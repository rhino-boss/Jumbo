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9B16FC2E-83C7-4B89-B174-D649561AB0D7}" xr6:coauthVersionLast="47" xr6:coauthVersionMax="47" xr10:uidLastSave="{00000000-0000-0000-0000-000000000000}"/>
  <bookViews>
    <workbookView xWindow="-24990" yWindow="1590" windowWidth="21600" windowHeight="11235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<sst xmlns="http://schemas.openxmlformats.org/spreadsheetml/2006/main" count="289" uniqueCount="129">
  <si>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</si>
  <si>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</si>
  <si>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</si>
  <si>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</si>
  <si>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</si>
  <si>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</si>
  <si>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</si>
  <si>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</si>
  <si>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</si>
  <si>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</si>
  <si>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</si>
  <si>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</si>
  <si>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</si>
  <si>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</si>
  <si>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</si>
  <si>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</si>
  <si>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</si>
  <si>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</si>
  <si>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</si>
  <si>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</si>
  <si>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</si>
  <si>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</si>
  <si>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</si>
  <si>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</si>
  <si>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</si>
  <si>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</si>
  <si>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</si>
  <si>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</si>
  <si>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</si>
  <si>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</si>
  <si>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</si>
  <si>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</si>
  <si>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</si>
  <si>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</si>
  <si>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</si>
  <si>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</si>
  <si>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</si>
  <si>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</si>
  <si>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</si>
  <si>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</si>
  <si>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</si>
  <si>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</si>
  <si>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</si>
  <si>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</si>
  <si>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</si>
  <si>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</si>
  <si>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</si>
  <si>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</si>
  <si>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</si>
  <si>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</si>
  <si>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</si>
  <si>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</si>
  <si>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</si>
  <si>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</si>
  <si>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</si>
  <si>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</si>
  <si>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</si>
  <si>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</si>
  <si>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</si>
  <si>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</si>
  <si>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</si>
  <si>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</si>
  <si>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</si>
  <si>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</si>
  <si>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</si>
  <si>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</si>
  <si>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</si>
  <si>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</si>
  <si>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</si>
  <si>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</si>
  <si>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</si>
  <si>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</si>
  <si>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</si>
  <si>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</si>
  <si>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</si>
  <si>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</si>
  <si>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</si>
  <si>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</si>
  <si>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</si>
  <si>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</si>
  <si>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</si>
  <si>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</si>
  <si>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</si>
  <si>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</si>
  <si>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</si>
  <si>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</si>
  <si>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</si>
  <si>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</si>
  <si>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</si>
  <si>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</si>
  <si>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</si>
  <si>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</si>
  <si>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</si>
  <si>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</si>
  <si>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</si>
  <si>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</si>
  <si>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</si>
  <si>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</si>
  <si>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</si>
  <si>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</si>
  <si>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</si>
  <si>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</si>
  <si>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</si>
  <si>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</si>
  <si>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</si>
  <si>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</si>
  <si>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</si>
  <si>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</si>
  <si>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</si>
  <si>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</si>
  <si>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</si>
  <si>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</si>
  <si>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</si>
  <si>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</si>
  <si>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</si>
  <si>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</si>
  <si>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</si>
  <si>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</si>
  <si>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</si>
  <si>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</si>
  <si>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</si>
  <si>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</si>
  <si>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</si>
  <si>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</si>
  <si>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</si>
  <si>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</si>
  <si>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</si>
  <si>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</si>
  <si>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3.2.0.0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</si>
</sst>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3.3.0.0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0.87999976734229868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0.92499992067200099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0.71999975321048371</v>
      </c>
      <c r="C17" s="102">
        <f>1/D17</f>
        <v>2.6666669113457812E-3</v>
      </c>
      <c r="D17" s="105">
        <f>Detail!G7</f>
        <v>374.9999655920027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f>Detail!D7</f>
        <v>0.160000014131815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f>Detail!D8</f>
        <v>0.92499992067200099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f>Detail_Newbie!K15</f>
        <v>733362426</v>
      </c>
      <c r="C3" s="10">
        <f>Detail_Newbie!K86</f>
        <v>0</v>
      </c>
      <c r="D3" s="10">
        <f>Detail!K15</f>
        <v>725030713</v>
      </c>
      <c r="E3" s="10">
        <f>Detail!K86</f>
        <v>0</v>
      </c>
      <c r="F3" s="10">
        <f>Detail!K163</f>
        <v>0</v>
      </c>
    </row>
    <row r="4" spans="1:6" x14ac:dyDescent="0.3">
      <c r="A4" s="14" t="s">
        <v>17</v>
      </c>
      <c r="B4" s="10">
        <f>Detail_Newbie!K16</f>
        <v>147073504</v>
      </c>
      <c r="C4" s="10">
        <f>Detail_Newbie!K87</f>
        <v>0</v>
      </c>
      <c r="D4" s="10">
        <f>Detail!K16</f>
        <v>154403735</v>
      </c>
      <c r="E4" s="10">
        <f>Detail!K87</f>
        <v>0</v>
      </c>
      <c r="F4" s="10">
        <f>Detail!K164</f>
        <v>0</v>
      </c>
    </row>
    <row r="5" spans="1:6" x14ac:dyDescent="0.3">
      <c r="A5" s="14" t="s">
        <v>18</v>
      </c>
      <c r="B5" s="10">
        <f>Detail_Newbie!K17</f>
        <v>43093495</v>
      </c>
      <c r="C5" s="10">
        <f>Detail_Newbie!K88</f>
        <v>0</v>
      </c>
      <c r="D5" s="10">
        <f>Detail!K17</f>
        <v>45377699</v>
      </c>
      <c r="E5" s="10">
        <f>Detail!K88</f>
        <v>0</v>
      </c>
      <c r="F5" s="10">
        <f>Detail!K165</f>
        <v>0</v>
      </c>
    </row>
    <row r="6" spans="1:6" x14ac:dyDescent="0.3">
      <c r="A6" s="14" t="s">
        <v>19</v>
      </c>
      <c r="B6" s="10">
        <f>Detail_Newbie!K18</f>
        <v>19740550</v>
      </c>
      <c r="C6" s="10">
        <f>Detail_Newbie!K89</f>
        <v>0</v>
      </c>
      <c r="D6" s="10">
        <f>Detail!K18</f>
        <v>20846903</v>
      </c>
      <c r="E6" s="10">
        <f>Detail!K89</f>
        <v>0</v>
      </c>
      <c r="F6" s="10">
        <f>Detail!K166</f>
        <v>0</v>
      </c>
    </row>
    <row r="7" spans="1:6" x14ac:dyDescent="0.3">
      <c r="A7" s="14" t="s">
        <v>20</v>
      </c>
      <c r="B7" s="10">
        <f>Detail_Newbie!K19</f>
        <v>12108868</v>
      </c>
      <c r="C7" s="10">
        <f>Detail_Newbie!K90</f>
        <v>0</v>
      </c>
      <c r="D7" s="10">
        <f>Detail!K19</f>
        <v>12823319</v>
      </c>
      <c r="E7" s="10">
        <f>Detail!K90</f>
        <v>0</v>
      </c>
      <c r="F7" s="10">
        <f>Detail!K167</f>
        <v>0</v>
      </c>
    </row>
    <row r="8" spans="1:6" x14ac:dyDescent="0.3">
      <c r="A8" s="14" t="s">
        <v>21</v>
      </c>
      <c r="B8" s="10">
        <f>Detail_Newbie!K20</f>
        <v>7862117</v>
      </c>
      <c r="C8" s="10">
        <f>Detail_Newbie!K91</f>
        <v>0</v>
      </c>
      <c r="D8" s="10">
        <f>Detail!K20</f>
        <v>8349493</v>
      </c>
      <c r="E8" s="10">
        <f>Detail!K91</f>
        <v>0</v>
      </c>
      <c r="F8" s="10">
        <f>Detail!K168</f>
        <v>0</v>
      </c>
    </row>
    <row r="9" spans="1:6" x14ac:dyDescent="0.3">
      <c r="A9" s="14" t="s">
        <v>22</v>
      </c>
      <c r="B9" s="10">
        <f>Detail_Newbie!K21</f>
        <v>6066338</v>
      </c>
      <c r="C9" s="10">
        <f>Detail_Newbie!K92</f>
        <v>0</v>
      </c>
      <c r="D9" s="10">
        <f>Detail!K21</f>
        <v>6460871</v>
      </c>
      <c r="E9" s="10">
        <f>Detail!K92</f>
        <v>0</v>
      </c>
      <c r="F9" s="10">
        <f>Detail!K169</f>
        <v>0</v>
      </c>
    </row>
    <row r="10" spans="1:6" x14ac:dyDescent="0.3">
      <c r="A10" s="14" t="s">
        <v>23</v>
      </c>
      <c r="B10" s="10">
        <f>Detail_Newbie!K22</f>
        <v>3265440</v>
      </c>
      <c r="C10" s="10">
        <f>Detail_Newbie!K93</f>
        <v>0</v>
      </c>
      <c r="D10" s="10">
        <f>Detail!K22</f>
        <v>3487326</v>
      </c>
      <c r="E10" s="10">
        <f>Detail!K93</f>
        <v>0</v>
      </c>
      <c r="F10" s="10">
        <f>Detail!K170</f>
        <v>0</v>
      </c>
    </row>
    <row r="11" spans="1:6" x14ac:dyDescent="0.3">
      <c r="A11" s="14" t="s">
        <v>24</v>
      </c>
      <c r="B11" s="10">
        <f>Detail_Newbie!K23</f>
        <v>3661421</v>
      </c>
      <c r="C11" s="10">
        <f>Detail_Newbie!K94</f>
        <v>0</v>
      </c>
      <c r="D11" s="10">
        <f>Detail!K23</f>
        <v>3921295</v>
      </c>
      <c r="E11" s="10">
        <f>Detail!K94</f>
        <v>0</v>
      </c>
      <c r="F11" s="10">
        <f>Detail!K171</f>
        <v>0</v>
      </c>
    </row>
    <row r="12" spans="1:6" x14ac:dyDescent="0.3">
      <c r="A12" s="14" t="s">
        <v>25</v>
      </c>
      <c r="B12" s="10">
        <f>Detail_Newbie!K24</f>
        <v>2962011</v>
      </c>
      <c r="C12" s="10">
        <f>Detail_Newbie!K95</f>
        <v>0</v>
      </c>
      <c r="D12" s="10">
        <f>Detail!K24</f>
        <v>3181346</v>
      </c>
      <c r="E12" s="10">
        <f>Detail!K95</f>
        <v>0</v>
      </c>
      <c r="F12" s="10">
        <f>Detail!K172</f>
        <v>0</v>
      </c>
    </row>
    <row r="13" spans="1:6" x14ac:dyDescent="0.3">
      <c r="A13" s="14" t="s">
        <v>26</v>
      </c>
      <c r="B13" s="10">
        <f>Detail_Newbie!K25</f>
        <v>1920529</v>
      </c>
      <c r="C13" s="10">
        <f>Detail_Newbie!K96</f>
        <v>0</v>
      </c>
      <c r="D13" s="10">
        <f>Detail!K25</f>
        <v>2068459</v>
      </c>
      <c r="E13" s="10">
        <f>Detail!K96</f>
        <v>0</v>
      </c>
      <c r="F13" s="10">
        <f>Detail!K173</f>
        <v>0</v>
      </c>
    </row>
    <row r="14" spans="1:6" x14ac:dyDescent="0.3">
      <c r="A14" s="14" t="s">
        <v>27</v>
      </c>
      <c r="B14" s="10">
        <f>Detail_Newbie!K26</f>
        <v>10160353</v>
      </c>
      <c r="C14" s="10">
        <f>Detail_Newbie!K97</f>
        <v>0</v>
      </c>
      <c r="D14" s="10">
        <f>Detail!K26</f>
        <v>6297155</v>
      </c>
      <c r="E14" s="10">
        <f>Detail!K97</f>
        <v>0</v>
      </c>
      <c r="F14" s="10">
        <f>Detail!K174</f>
        <v>0</v>
      </c>
    </row>
    <row r="15" spans="1:6" x14ac:dyDescent="0.3">
      <c r="A15" s="14" t="s">
        <v>28</v>
      </c>
      <c r="B15" s="10">
        <f>Detail_Newbie!K27</f>
        <v>4355288</v>
      </c>
      <c r="C15" s="10">
        <f>Detail_Newbie!K98</f>
        <v>0</v>
      </c>
      <c r="D15" s="10">
        <f>Detail!K27</f>
        <v>2737899</v>
      </c>
      <c r="E15" s="10">
        <f>Detail!K98</f>
        <v>0</v>
      </c>
      <c r="F15" s="10">
        <f>Detail!K175</f>
        <v>0</v>
      </c>
    </row>
    <row r="16" spans="1:6" x14ac:dyDescent="0.3">
      <c r="A16" s="14" t="s">
        <v>29</v>
      </c>
      <c r="B16" s="10">
        <f>Detail_Newbie!K28</f>
        <v>2430625</v>
      </c>
      <c r="C16" s="10">
        <f>Detail_Newbie!K99</f>
        <v>0</v>
      </c>
      <c r="D16" s="10">
        <f>Detail!K28</f>
        <v>1549742</v>
      </c>
      <c r="E16" s="10">
        <f>Detail!K99</f>
        <v>56807954</v>
      </c>
      <c r="F16" s="10">
        <f>Detail!K176</f>
        <v>33624105</v>
      </c>
    </row>
    <row r="17" spans="1:6" x14ac:dyDescent="0.3">
      <c r="A17" s="14" t="s">
        <v>30</v>
      </c>
      <c r="B17" s="10">
        <f>Detail_Newbie!K29</f>
        <v>1937035</v>
      </c>
      <c r="C17" s="10">
        <f>Detail_Newbie!K100</f>
        <v>0</v>
      </c>
      <c r="D17" s="10">
        <f>Detail!K29</f>
        <v>1252591</v>
      </c>
      <c r="E17" s="10">
        <f>Detail!K100</f>
        <v>150101929</v>
      </c>
      <c r="F17" s="10">
        <f>Detail!K177</f>
        <v>142495354</v>
      </c>
    </row>
    <row r="18" spans="1:6" x14ac:dyDescent="0.3">
      <c r="A18" s="14" t="s">
        <v>31</v>
      </c>
      <c r="B18" s="10">
        <f>Detail_Newbie!K30</f>
        <v>0</v>
      </c>
      <c r="C18" s="10">
        <f>Detail_Newbie!K101</f>
        <v>76827719</v>
      </c>
      <c r="D18" s="10">
        <f>Detail!K30</f>
        <v>600704</v>
      </c>
      <c r="E18" s="10">
        <f>Detail!K101</f>
        <v>79980935</v>
      </c>
      <c r="F18" s="10">
        <f>Detail!K178</f>
        <v>53611252</v>
      </c>
    </row>
    <row r="19" spans="1:6" x14ac:dyDescent="0.3">
      <c r="A19" s="14" t="s">
        <v>32</v>
      </c>
      <c r="B19" s="10">
        <f>Detail_Newbie!K31</f>
        <v>0</v>
      </c>
      <c r="C19" s="10">
        <f>Detail_Newbie!K102</f>
        <v>138321877</v>
      </c>
      <c r="D19" s="10">
        <f>Detail!K31</f>
        <v>416630</v>
      </c>
      <c r="E19" s="10">
        <f>Detail!K102</f>
        <v>132246110</v>
      </c>
      <c r="F19" s="10">
        <f>Detail!K179</f>
        <v>94377964</v>
      </c>
    </row>
    <row r="20" spans="1:6" x14ac:dyDescent="0.3">
      <c r="A20" s="14" t="s">
        <v>33</v>
      </c>
      <c r="B20" s="10">
        <f>Detail_Newbie!K32</f>
        <v>0</v>
      </c>
      <c r="C20" s="10">
        <f>Detail_Newbie!K103</f>
        <v>122981136</v>
      </c>
      <c r="D20" s="10">
        <f>Detail!K32</f>
        <v>255435</v>
      </c>
      <c r="E20" s="10">
        <f>Detail!K103</f>
        <v>107957063</v>
      </c>
      <c r="F20" s="10">
        <f>Detail!K180</f>
        <v>82045785</v>
      </c>
    </row>
    <row r="21" spans="1:6" x14ac:dyDescent="0.3">
      <c r="A21" s="14" t="s">
        <v>34</v>
      </c>
      <c r="B21" s="10">
        <f>Detail_Newbie!K33</f>
        <v>0</v>
      </c>
      <c r="C21" s="10">
        <f>Detail_Newbie!K104</f>
        <v>107635135</v>
      </c>
      <c r="D21" s="10">
        <f>Detail!K33</f>
        <v>214569</v>
      </c>
      <c r="E21" s="10">
        <f>Detail!K104</f>
        <v>86778826</v>
      </c>
      <c r="F21" s="10">
        <f>Detail!K181</f>
        <v>70222521</v>
      </c>
    </row>
    <row r="22" spans="1:6" x14ac:dyDescent="0.3">
      <c r="A22" s="14" t="s">
        <v>35</v>
      </c>
      <c r="B22" s="10">
        <f>Detail_Newbie!K34</f>
        <v>0</v>
      </c>
      <c r="C22" s="10">
        <f>Detail_Newbie!K105</f>
        <v>107673578</v>
      </c>
      <c r="D22" s="10">
        <f>Detail!K34</f>
        <v>460432</v>
      </c>
      <c r="E22" s="10">
        <f>Detail!K105</f>
        <v>76360256</v>
      </c>
      <c r="F22" s="10">
        <f>Detail!K182</f>
        <v>67928091</v>
      </c>
    </row>
    <row r="23" spans="1:6" x14ac:dyDescent="0.3">
      <c r="A23" s="14" t="s">
        <v>36</v>
      </c>
      <c r="B23" s="10">
        <f>Detail_Newbie!K35</f>
        <v>0</v>
      </c>
      <c r="C23" s="10">
        <f>Detail_Newbie!K106</f>
        <v>153893164</v>
      </c>
      <c r="D23" s="10">
        <f>Detail!K35</f>
        <v>263684</v>
      </c>
      <c r="E23" s="10">
        <f>Detail!K106</f>
        <v>91884316</v>
      </c>
      <c r="F23" s="10">
        <f>Detail!K183</f>
        <v>92830632</v>
      </c>
    </row>
    <row r="24" spans="1:6" x14ac:dyDescent="0.3">
      <c r="A24" s="14" t="s">
        <v>37</v>
      </c>
      <c r="B24" s="10">
        <f>Detail_Newbie!K36</f>
        <v>0</v>
      </c>
      <c r="C24" s="10">
        <f>Detail_Newbie!K107</f>
        <v>76983252</v>
      </c>
      <c r="D24" s="10">
        <f>Detail!K36</f>
        <v>0</v>
      </c>
      <c r="E24" s="10">
        <f>Detail!K107</f>
        <v>38659022</v>
      </c>
      <c r="F24" s="10">
        <f>Detail!K184</f>
        <v>44401194</v>
      </c>
    </row>
    <row r="25" spans="1:6" x14ac:dyDescent="0.3">
      <c r="A25" s="14" t="s">
        <v>38</v>
      </c>
      <c r="B25" s="10">
        <f>Detail_Newbie!K37</f>
        <v>0</v>
      </c>
      <c r="C25" s="10">
        <f>Detail_Newbie!K108</f>
        <v>154039749</v>
      </c>
      <c r="D25" s="10">
        <f>Detail!K37</f>
        <v>0</v>
      </c>
      <c r="E25" s="10">
        <f>Detail!K108</f>
        <v>64993215</v>
      </c>
      <c r="F25" s="10">
        <f>Detail!K185</f>
        <v>84947917</v>
      </c>
    </row>
    <row r="26" spans="1:6" x14ac:dyDescent="0.3">
      <c r="A26" s="14" t="s">
        <v>39</v>
      </c>
      <c r="B26" s="10">
        <f>Detail_Newbie!K38</f>
        <v>0</v>
      </c>
      <c r="C26" s="10">
        <f>Detail_Newbie!K109</f>
        <v>61644389</v>
      </c>
      <c r="D26" s="10">
        <f>Detail!K38</f>
        <v>0</v>
      </c>
      <c r="E26" s="10">
        <f>Detail!K109</f>
        <v>21831226</v>
      </c>
      <c r="F26" s="10">
        <f>Detail!K186</f>
        <v>32505662</v>
      </c>
    </row>
    <row r="27" spans="1:6" x14ac:dyDescent="0.3">
      <c r="A27" s="14" t="s">
        <v>40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41976423</v>
      </c>
      <c r="F27" s="10">
        <f>Detail!K187</f>
        <v>76061462</v>
      </c>
    </row>
    <row r="28" spans="1:6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11747032</v>
      </c>
      <c r="F28" s="10">
        <f>Detail!K188</f>
        <v>27838105</v>
      </c>
    </row>
    <row r="29" spans="1:6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14308642</v>
      </c>
      <c r="F29" s="10">
        <f>Detail!K189</f>
        <v>44588486</v>
      </c>
    </row>
    <row r="30" spans="1:6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5645901</v>
      </c>
      <c r="F30" s="10">
        <f>Detail!K190</f>
        <v>23313443</v>
      </c>
    </row>
    <row r="31" spans="1:6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4834726</v>
      </c>
      <c r="F31" s="10">
        <f>Detail!K191</f>
        <v>26669156</v>
      </c>
    </row>
    <row r="32" spans="1:6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1731698</v>
      </c>
      <c r="F32" s="10">
        <f>Detail!K192</f>
        <v>334548</v>
      </c>
    </row>
    <row r="33" spans="1:6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1467051</v>
      </c>
      <c r="F33" s="10">
        <f>Detail!K193</f>
        <v>273312</v>
      </c>
    </row>
    <row r="34" spans="1:6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1278742</v>
      </c>
      <c r="F34" s="10">
        <f>Detail!K194</f>
        <v>231084</v>
      </c>
    </row>
    <row r="35" spans="1:6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1135605</v>
      </c>
      <c r="F35" s="10">
        <f>Detail!K195</f>
        <v>200117</v>
      </c>
    </row>
    <row r="36" spans="1:6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1022015</v>
      </c>
      <c r="F36" s="10">
        <f>Detail!K196</f>
        <v>176501</v>
      </c>
    </row>
    <row r="37" spans="1:6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928253</v>
      </c>
      <c r="F37" s="10">
        <f>Detail!K197</f>
        <v>157835</v>
      </c>
    </row>
    <row r="38" spans="1:6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849121</v>
      </c>
      <c r="F38" s="10">
        <f>Detail!K198</f>
        <v>142794</v>
      </c>
    </row>
    <row r="39" spans="1:6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780211</v>
      </c>
      <c r="F39" s="10">
        <f>Detail!K199</f>
        <v>130320</v>
      </c>
    </row>
    <row r="40" spans="1:6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719610</v>
      </c>
      <c r="F40" s="10">
        <f>Detail!K200</f>
        <v>119894</v>
      </c>
    </row>
    <row r="41" spans="1:6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664973</v>
      </c>
      <c r="F41" s="10">
        <f>Detail!K201</f>
        <v>110974</v>
      </c>
    </row>
    <row r="42" spans="1:6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615354</v>
      </c>
      <c r="F42" s="10">
        <f>Detail!K202</f>
        <v>103301</v>
      </c>
    </row>
    <row r="43" spans="1:6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569855</v>
      </c>
      <c r="F43" s="10">
        <f>Detail!K203</f>
        <v>96638</v>
      </c>
    </row>
    <row r="44" spans="1:6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527522</v>
      </c>
      <c r="F44" s="10">
        <f>Detail!K204</f>
        <v>90769</v>
      </c>
    </row>
    <row r="45" spans="1:6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487909</v>
      </c>
      <c r="F45" s="10">
        <f>Detail!K205</f>
        <v>85581</v>
      </c>
    </row>
    <row r="46" spans="1:6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450478</v>
      </c>
      <c r="F46" s="10">
        <f>Detail!K206</f>
        <v>80941</v>
      </c>
    </row>
    <row r="47" spans="1:6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415082</v>
      </c>
      <c r="F47" s="10">
        <f>Detail!K207</f>
        <v>76795</v>
      </c>
    </row>
    <row r="48" spans="1:6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208447</v>
      </c>
      <c r="F48" s="10">
        <f>Detail!K208</f>
        <v>56989</v>
      </c>
    </row>
    <row r="49" spans="1:6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63225</v>
      </c>
    </row>
    <row r="50" spans="1:6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</row>
    <row r="51" spans="1:6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</row>
    <row r="52" spans="1:6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</row>
    <row r="53" spans="1:6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</row>
    <row r="54" spans="1:6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</row>
    <row r="55" spans="1:6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</row>
    <row r="56" spans="1:6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34498</v>
      </c>
      <c r="F56" s="10">
        <f>Detail!K216</f>
        <v>7253</v>
      </c>
    </row>
    <row r="57" spans="1:6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</row>
    <row r="58" spans="1:6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3590649</v>
      </c>
      <c r="C67" s="35">
        <v>0</v>
      </c>
      <c r="D67" s="33">
        <f>Detail!K79</f>
        <v>2673797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0.719999758770661</v>
      </c>
      <c r="D7" s="40">
        <f>SUM(_xlfn.ANCHORARRAY(M86))*F7</f>
        <v>0.160000019448999</v>
      </c>
      <c r="E7" s="41">
        <f>SUM(C7:D7)</f>
        <v>0.87999977821966</v>
      </c>
      <c r="F7" s="42">
        <f>L79</f>
        <v>0.002666667</v>
      </c>
      <c r="G7" s="43">
        <f>1/F7</f>
        <v>374.999953125006</v>
      </c>
      <c r="H7" s="44">
        <f>D7*G7</f>
        <v>59.9999997933748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f>M156/B8</f>
        <v>0</v>
      </c>
      <c r="D8" s="40">
        <f>SUM(_xlfn.ANCHORARRAY(M163))/B8</f>
        <v>0.924999913273033</v>
      </c>
      <c r="E8" s="41">
        <f>SUM(C8:D8)</f>
        <v>0.924999913273033</v>
      </c>
      <c r="F8" s="45">
        <f>D156</f>
        <v>1</v>
      </c>
      <c r="G8" s="43">
        <f>1/F8</f>
        <v>1</v>
      </c>
      <c r="H8" s="44">
        <f>D8*G8*B8</f>
        <v>69.3749934954775</v>
      </c>
      <c r="I8" s="61"/>
      <c r="J8" s="61" cm="1">
        <f t="array" ref="J8">LOOKUP(2,1/(_xlfn.ANCHORARRAY(K163)&lt;&gt;0),P15:P78)</f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0.62476902099999998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1.16047801448209</v>
      </c>
      <c r="I15" s="36" cm="1">
        <f t="array" ref="I15:I79">D15:D79*H15:H79</f>
        <v>0.725030713</v>
      </c>
      <c r="J15" s="36" cm="1">
        <f t="array" ref="J15:J78">I15:I78/SUM(I15:I78)</f>
        <v>0.725030713</v>
      </c>
      <c r="K15" s="71" cm="1">
        <f t="array" ref="K15:K79">INT(J15:J79*$B$2)</f>
        <v>725030713</v>
      </c>
      <c r="L15" s="36" cm="1">
        <f t="array" ref="L15:L79">_xlfn.LET(_xlpm.x, K15:K79, _xlpm.x/SUM(_xlpm.x))</f>
        <v>0.723097298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0.72309729773796227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str">
        <f t="shared" si="1"/>
        <v>(0, 1]</v>
      </c>
      <c r="H16" s="70">
        <v>1.07776112492533</v>
      </c>
      <c r="I16" s="36">
        <v>0.154403735</v>
      </c>
      <c r="J16" s="36">
        <v>0.154403735</v>
      </c>
      <c r="K16" s="71">
        <v>154403735</v>
      </c>
      <c r="L16" s="36">
        <v>0.153991992</v>
      </c>
      <c r="M16" s="36">
        <v>0.0667932938641131</v>
      </c>
      <c r="N16" s="73"/>
      <c r="O16" s="59">
        <v>0</v>
      </c>
      <c r="P16" s="59">
        <v>1</v>
      </c>
      <c r="Q16" s="36">
        <v>0.1539919918301085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str">
        <f t="shared" si="1"/>
        <v>(1, 2]</v>
      </c>
      <c r="H17" s="70">
        <v>0.826069734452263</v>
      </c>
      <c r="I17" s="36">
        <v>0.045377699</v>
      </c>
      <c r="J17" s="36">
        <v>0.045377699</v>
      </c>
      <c r="K17" s="71">
        <v>45377699</v>
      </c>
      <c r="L17" s="36">
        <v>0.045256692</v>
      </c>
      <c r="M17" s="36">
        <v>0.068133811856081</v>
      </c>
      <c r="N17" s="73"/>
      <c r="O17" s="59">
        <v>1</v>
      </c>
      <c r="P17" s="59">
        <v>2</v>
      </c>
      <c r="Q17" s="36">
        <v>4.5256692425157383E-2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str">
        <f t="shared" si="1"/>
        <v>(2, 3]</v>
      </c>
      <c r="H18" s="70">
        <v>0.630912310952028</v>
      </c>
      <c r="I18" s="36">
        <v>0.020846903</v>
      </c>
      <c r="J18" s="36">
        <v>0.020846903</v>
      </c>
      <c r="K18" s="71">
        <v>20846903</v>
      </c>
      <c r="L18" s="36">
        <v>0.020791311</v>
      </c>
      <c r="M18" s="36">
        <v>0.0526348985016243</v>
      </c>
      <c r="N18" s="73"/>
      <c r="O18" s="59">
        <v>2</v>
      </c>
      <c r="P18" s="59">
        <v>3</v>
      </c>
      <c r="Q18" s="36">
        <v>2.0791310547310881E-2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str">
        <f t="shared" si="1"/>
        <v>(3, 4]</v>
      </c>
      <c r="H19" s="70">
        <v>0.56052679903186</v>
      </c>
      <c r="I19" s="36">
        <v>0.012823319</v>
      </c>
      <c r="J19" s="36">
        <v>0.012823319</v>
      </c>
      <c r="K19" s="71">
        <v>12823319</v>
      </c>
      <c r="L19" s="36">
        <v>0.012789123</v>
      </c>
      <c r="M19" s="36">
        <v>0.0451239494745933</v>
      </c>
      <c r="N19" s="73"/>
      <c r="O19" s="59">
        <v>3</v>
      </c>
      <c r="P19" s="59">
        <v>4</v>
      </c>
      <c r="Q19" s="36">
        <v>1.2789122661243452E-2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str">
        <f t="shared" si="1"/>
        <v>(4, 5]</v>
      </c>
      <c r="H20" s="70">
        <v>0.492038365293902</v>
      </c>
      <c r="I20" s="36">
        <v>0.008349493</v>
      </c>
      <c r="J20" s="36">
        <v>0.008349493</v>
      </c>
      <c r="K20" s="71">
        <v>8349493</v>
      </c>
      <c r="L20" s="36">
        <v>0.008327228</v>
      </c>
      <c r="M20" s="36">
        <v>0.0377435423969308</v>
      </c>
      <c r="N20" s="73"/>
      <c r="O20" s="59">
        <v>4</v>
      </c>
      <c r="P20" s="59">
        <v>5</v>
      </c>
      <c r="Q20" s="36">
        <v>8.3272277998715765E-3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str">
        <f t="shared" si="1"/>
        <v>(5, 6]</v>
      </c>
      <c r="H21" s="70">
        <v>0.479531550443815</v>
      </c>
      <c r="I21" s="36">
        <v>0.006460871</v>
      </c>
      <c r="J21" s="36">
        <v>0.006460871</v>
      </c>
      <c r="K21" s="71">
        <v>6460871</v>
      </c>
      <c r="L21" s="36">
        <v>0.006443642</v>
      </c>
      <c r="M21" s="36">
        <v>0.0357775653974454</v>
      </c>
      <c r="N21" s="73"/>
      <c r="O21" s="59">
        <v>5</v>
      </c>
      <c r="P21" s="59">
        <v>6</v>
      </c>
      <c r="Q21" s="36">
        <v>6.4436420992968159E-3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str">
        <f t="shared" si="1"/>
        <v>(6, 7]</v>
      </c>
      <c r="H22" s="70">
        <v>0.327764890009303</v>
      </c>
      <c r="I22" s="36">
        <v>0.003487326</v>
      </c>
      <c r="J22" s="36">
        <v>0.003487326</v>
      </c>
      <c r="K22" s="71">
        <v>3487326</v>
      </c>
      <c r="L22" s="36">
        <v>0.003478026</v>
      </c>
      <c r="M22" s="36">
        <v>0.0226926440648986</v>
      </c>
      <c r="N22" s="73"/>
      <c r="O22" s="59">
        <v>6</v>
      </c>
      <c r="P22" s="59">
        <v>7</v>
      </c>
      <c r="Q22" s="36">
        <v>3.4780265118390954E-3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str">
        <f t="shared" si="1"/>
        <v>(7, 8]</v>
      </c>
      <c r="H23" s="70">
        <v>0.43795315136135</v>
      </c>
      <c r="I23" s="36">
        <v>0.003921295</v>
      </c>
      <c r="J23" s="36">
        <v>0.003921295</v>
      </c>
      <c r="K23" s="71">
        <v>3921295</v>
      </c>
      <c r="L23" s="36">
        <v>0.003910838</v>
      </c>
      <c r="M23" s="36">
        <v>0.0294580797840447</v>
      </c>
      <c r="N23" s="73"/>
      <c r="O23" s="59">
        <v>7</v>
      </c>
      <c r="P23" s="59">
        <v>8</v>
      </c>
      <c r="Q23" s="36">
        <v>3.9108382671256105E-3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str">
        <f t="shared" si="1"/>
        <v>(8, 9]</v>
      </c>
      <c r="H24" s="70">
        <v>0.422609725103741</v>
      </c>
      <c r="I24" s="36">
        <v>0.003181346</v>
      </c>
      <c r="J24" s="36">
        <v>0.003181346</v>
      </c>
      <c r="K24" s="71">
        <v>3181346</v>
      </c>
      <c r="L24" s="36">
        <v>0.003172862</v>
      </c>
      <c r="M24" s="36">
        <v>0.0271354377199372</v>
      </c>
      <c r="N24" s="73"/>
      <c r="O24" s="59">
        <v>8</v>
      </c>
      <c r="P24" s="59">
        <v>9</v>
      </c>
      <c r="Q24" s="36">
        <v>3.1728624543083321E-3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str">
        <f t="shared" si="1"/>
        <v>(9, 10]</v>
      </c>
      <c r="H25" s="70">
        <v>0.332278780434793</v>
      </c>
      <c r="I25" s="36">
        <v>0.002068459</v>
      </c>
      <c r="J25" s="36">
        <v>0.002068459</v>
      </c>
      <c r="K25" s="71">
        <v>2068459</v>
      </c>
      <c r="L25" s="36">
        <v>0.002062943</v>
      </c>
      <c r="M25" s="36">
        <v>0.0196760728761363</v>
      </c>
      <c r="N25" s="73"/>
      <c r="O25" s="59">
        <v>9</v>
      </c>
      <c r="P25" s="59">
        <v>10</v>
      </c>
      <c r="Q25" s="36">
        <v>2.0629431377084287E-3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str">
        <f t="shared" si="1"/>
        <v>(10, 15]</v>
      </c>
      <c r="H26" s="70">
        <v>0.304065257741716</v>
      </c>
      <c r="I26" s="36">
        <v>0.006297155</v>
      </c>
      <c r="J26" s="36">
        <v>0.006297155</v>
      </c>
      <c r="K26" s="71">
        <v>6297155</v>
      </c>
      <c r="L26" s="36">
        <v>0.006280363</v>
      </c>
      <c r="M26" s="36">
        <v>0.0771243263922148</v>
      </c>
      <c r="N26" s="73"/>
      <c r="O26" s="59">
        <v>10</v>
      </c>
      <c r="P26" s="59">
        <v>15</v>
      </c>
      <c r="Q26" s="36">
        <v>6.2803626730509616E-3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str">
        <f t="shared" si="1"/>
        <v>(15, 20]</v>
      </c>
      <c r="H27" s="70">
        <v>0.245455168935956</v>
      </c>
      <c r="I27" s="36">
        <v>0.002737899</v>
      </c>
      <c r="J27" s="36">
        <v>0.002737899</v>
      </c>
      <c r="K27" s="71">
        <v>2737899</v>
      </c>
      <c r="L27" s="36">
        <v>0.002730598</v>
      </c>
      <c r="M27" s="36">
        <v>0.0473398263145469</v>
      </c>
      <c r="N27" s="73"/>
      <c r="O27" s="59">
        <v>15</v>
      </c>
      <c r="P27" s="59">
        <v>20</v>
      </c>
      <c r="Q27" s="36">
        <v>2.7305979735584647E-3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str">
        <f t="shared" si="1"/>
        <v>(20, 25]</v>
      </c>
      <c r="H28" s="70">
        <v>0.229838270735234</v>
      </c>
      <c r="I28" s="36">
        <v>0.001549742</v>
      </c>
      <c r="J28" s="36">
        <v>0.001549742</v>
      </c>
      <c r="K28" s="71">
        <v>1549742</v>
      </c>
      <c r="L28" s="36">
        <v>0.001545609</v>
      </c>
      <c r="M28" s="36">
        <v>0.0345726297546585</v>
      </c>
      <c r="N28" s="73"/>
      <c r="O28" s="59">
        <v>20</v>
      </c>
      <c r="P28" s="59">
        <v>25</v>
      </c>
      <c r="Q28" s="36">
        <v>1.5456093759260085E-3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str">
        <f t="shared" si="1"/>
        <v>(25, 30]</v>
      </c>
      <c r="H29" s="70">
        <v>0.279662500351646</v>
      </c>
      <c r="I29" s="36">
        <v>0.001252591</v>
      </c>
      <c r="J29" s="36">
        <v>0.001252591</v>
      </c>
      <c r="K29" s="71">
        <v>1252591</v>
      </c>
      <c r="L29" s="36">
        <v>0.001249251</v>
      </c>
      <c r="M29" s="36">
        <v>0.0342246898351738</v>
      </c>
      <c r="N29" s="73"/>
      <c r="O29" s="59">
        <v>25</v>
      </c>
      <c r="P29" s="59">
        <v>30</v>
      </c>
      <c r="Q29" s="36">
        <v>1.2492507745163613E-3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str">
        <f t="shared" si="1"/>
        <v>(30, 35]</v>
      </c>
      <c r="H30" s="70">
        <v>0.198966783996778</v>
      </c>
      <c r="I30" s="36">
        <v>0.000600704</v>
      </c>
      <c r="J30" s="36">
        <v>0.000600704</v>
      </c>
      <c r="K30" s="71">
        <v>600704</v>
      </c>
      <c r="L30" s="36">
        <v>0.000599102</v>
      </c>
      <c r="M30" s="36">
        <v>0.0194099085413104</v>
      </c>
      <c r="N30" s="73"/>
      <c r="O30" s="59">
        <v>30</v>
      </c>
      <c r="P30" s="59">
        <v>35</v>
      </c>
      <c r="Q30" s="36">
        <v>5.9910213090711676E-4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str">
        <f t="shared" si="1"/>
        <v>(35, 40]</v>
      </c>
      <c r="H31" s="70">
        <v>0.188718644657418</v>
      </c>
      <c r="I31" s="36">
        <v>0.00041663</v>
      </c>
      <c r="J31" s="36">
        <v>0.00041663</v>
      </c>
      <c r="K31" s="71">
        <v>416630</v>
      </c>
      <c r="L31" s="36">
        <v>0.000415519</v>
      </c>
      <c r="M31" s="36">
        <v>0.0155563364837968</v>
      </c>
      <c r="N31" s="73"/>
      <c r="O31" s="59">
        <v>35</v>
      </c>
      <c r="P31" s="59">
        <v>40</v>
      </c>
      <c r="Q31" s="36">
        <v>4.1551899238199188E-4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str">
        <f t="shared" si="1"/>
        <v>(40, 45]</v>
      </c>
      <c r="H32" s="70">
        <v>0.155057747150886</v>
      </c>
      <c r="I32" s="36">
        <v>0.000255435</v>
      </c>
      <c r="J32" s="36">
        <v>0.000255435</v>
      </c>
      <c r="K32" s="71">
        <v>255435</v>
      </c>
      <c r="L32" s="36">
        <v>0.000254754</v>
      </c>
      <c r="M32" s="36">
        <v>0.0108110656681863</v>
      </c>
      <c r="N32" s="73"/>
      <c r="O32" s="59">
        <v>40</v>
      </c>
      <c r="P32" s="59">
        <v>45</v>
      </c>
      <c r="Q32" s="36">
        <v>2.5475384350405418E-4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str">
        <f t="shared" si="1"/>
        <v>(45, 50]</v>
      </c>
      <c r="H33" s="70">
        <v>0.17419128576775</v>
      </c>
      <c r="I33" s="36">
        <v>0.000214569</v>
      </c>
      <c r="J33" s="36">
        <v>0.000214569</v>
      </c>
      <c r="K33" s="71">
        <v>214569</v>
      </c>
      <c r="L33" s="36">
        <v>0.000213997</v>
      </c>
      <c r="M33" s="36">
        <v>0.0101563763339325</v>
      </c>
      <c r="N33" s="73"/>
      <c r="O33" s="59">
        <v>45</v>
      </c>
      <c r="P33" s="59">
        <v>50</v>
      </c>
      <c r="Q33" s="36">
        <v>2.1399681894345492E-4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str">
        <f t="shared" si="1"/>
        <v>(50, 60]</v>
      </c>
      <c r="H34" s="70">
        <v>0.26128500842421</v>
      </c>
      <c r="I34" s="36">
        <v>0.000460432</v>
      </c>
      <c r="J34" s="36">
        <v>0.000460432</v>
      </c>
      <c r="K34" s="71">
        <v>460432</v>
      </c>
      <c r="L34" s="36">
        <v>0.000459204</v>
      </c>
      <c r="M34" s="36">
        <v>0.0251192535938438</v>
      </c>
      <c r="N34" s="73"/>
      <c r="O34" s="59">
        <v>50</v>
      </c>
      <c r="P34" s="59">
        <v>60</v>
      </c>
      <c r="Q34" s="36">
        <v>4.5920418764953388E-4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str">
        <f t="shared" si="1"/>
        <v>(60, 70]</v>
      </c>
      <c r="H35" s="70">
        <v>0.236370237236174</v>
      </c>
      <c r="I35" s="36">
        <v>0.000263684</v>
      </c>
      <c r="J35" s="36">
        <v>0.000263684</v>
      </c>
      <c r="K35" s="71">
        <v>263684</v>
      </c>
      <c r="L35" s="36">
        <v>0.000262981</v>
      </c>
      <c r="M35" s="36">
        <v>0.0170108015908651</v>
      </c>
      <c r="N35" s="73"/>
      <c r="O35" s="59">
        <v>60</v>
      </c>
      <c r="P35" s="59">
        <v>70</v>
      </c>
      <c r="Q35" s="36">
        <v>2.6298084628388054E-4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6.9973149999999996E-3</v>
      </c>
      <c r="E79" s="69">
        <v>8.8144670205643152</v>
      </c>
      <c r="F79" s="77"/>
      <c r="G79" s="14" t="s">
        <v>117</v>
      </c>
      <c r="H79" s="70">
        <v>0.38211756938197</v>
      </c>
      <c r="I79" s="36">
        <v>0.002673797</v>
      </c>
      <c r="J79" s="36">
        <f>I79</f>
        <v>0.002673797</v>
      </c>
      <c r="K79" s="72">
        <v>2673797</v>
      </c>
      <c r="L79" s="36">
        <v>0.002666667</v>
      </c>
      <c r="M79" s="36">
        <v>0.0235052483263272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3.6186737341394521E-3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str">
        <f t="shared" si="5"/>
        <v>(20, 25]</v>
      </c>
      <c r="H99" s="70">
        <v>2.3787627458395</v>
      </c>
      <c r="I99" s="36">
        <v>0.056807954</v>
      </c>
      <c r="J99" s="36">
        <v>0.056807954</v>
      </c>
      <c r="K99" s="71">
        <v>56807954</v>
      </c>
      <c r="L99" s="36">
        <v>0.056807954</v>
      </c>
      <c r="M99" s="36">
        <v>1.28201802752791</v>
      </c>
      <c r="N99" s="73"/>
      <c r="O99" s="59">
        <v>20</v>
      </c>
      <c r="P99" s="59">
        <v>25</v>
      </c>
      <c r="Q99" s="36">
        <v>5.6769000999999999E-2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str">
        <f t="shared" si="5"/>
        <v>(25, 30]</v>
      </c>
      <c r="H100" s="70">
        <v>6.08089530242432</v>
      </c>
      <c r="I100" s="36">
        <v>0.150101929</v>
      </c>
      <c r="J100" s="36">
        <v>0.150101929</v>
      </c>
      <c r="K100" s="71">
        <v>150101929</v>
      </c>
      <c r="L100" s="36">
        <v>0.150101929</v>
      </c>
      <c r="M100" s="36">
        <v>4.13800205830829</v>
      </c>
      <c r="N100" s="73"/>
      <c r="O100" s="59">
        <v>25</v>
      </c>
      <c r="P100" s="59">
        <v>30</v>
      </c>
      <c r="Q100" s="36">
        <v>0.14999899999999999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str">
        <f t="shared" si="5"/>
        <v>(30, 35]</v>
      </c>
      <c r="H101" s="70">
        <v>3.26048108146093</v>
      </c>
      <c r="I101" s="36">
        <v>0.079980935</v>
      </c>
      <c r="J101" s="36">
        <v>0.079980935</v>
      </c>
      <c r="K101" s="71">
        <v>79980935</v>
      </c>
      <c r="L101" s="36">
        <v>0.079980935</v>
      </c>
      <c r="M101" s="36">
        <v>2.60398488163849</v>
      </c>
      <c r="N101" s="73"/>
      <c r="O101" s="59">
        <v>30</v>
      </c>
      <c r="P101" s="59">
        <v>35</v>
      </c>
      <c r="Q101" s="36">
        <v>7.9926090000000005E-2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str">
        <f t="shared" si="5"/>
        <v>(35, 40]</v>
      </c>
      <c r="H102" s="70">
        <v>5.35684210364786</v>
      </c>
      <c r="I102" s="36">
        <v>0.13224611</v>
      </c>
      <c r="J102" s="36">
        <v>0.13224611</v>
      </c>
      <c r="K102" s="71">
        <v>132246110</v>
      </c>
      <c r="L102" s="36">
        <v>0.13224611</v>
      </c>
      <c r="M102" s="36">
        <v>4.96629353007024</v>
      </c>
      <c r="N102" s="73"/>
      <c r="O102" s="59">
        <v>35</v>
      </c>
      <c r="P102" s="59">
        <v>40</v>
      </c>
      <c r="Q102" s="36">
        <v>0.13215542499999999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str">
        <f t="shared" si="5"/>
        <v>(40, 45]</v>
      </c>
      <c r="H103" s="70">
        <v>4.4375298198097</v>
      </c>
      <c r="I103" s="36">
        <v>0.107957063</v>
      </c>
      <c r="J103" s="36">
        <v>0.107957063</v>
      </c>
      <c r="K103" s="71">
        <v>107957063</v>
      </c>
      <c r="L103" s="36">
        <v>0.107957063</v>
      </c>
      <c r="M103" s="36">
        <v>4.59370535148977</v>
      </c>
      <c r="N103" s="73"/>
      <c r="O103" s="59">
        <v>40</v>
      </c>
      <c r="P103" s="59">
        <v>45</v>
      </c>
      <c r="Q103" s="36">
        <v>0.107883034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str">
        <f t="shared" si="5"/>
        <v>(45, 50]</v>
      </c>
      <c r="H104" s="70">
        <v>3.61342962213806</v>
      </c>
      <c r="I104" s="36">
        <v>0.086778826</v>
      </c>
      <c r="J104" s="36">
        <v>0.086778826</v>
      </c>
      <c r="K104" s="71">
        <v>86778826</v>
      </c>
      <c r="L104" s="36">
        <v>0.086778826</v>
      </c>
      <c r="M104" s="36">
        <v>4.1259374830308</v>
      </c>
      <c r="N104" s="73"/>
      <c r="O104" s="59">
        <v>45</v>
      </c>
      <c r="P104" s="59">
        <v>50</v>
      </c>
      <c r="Q104" s="36">
        <v>8.6719319000000003E-2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str">
        <f t="shared" si="5"/>
        <v>(50, 60]</v>
      </c>
      <c r="H105" s="70">
        <v>1.65079699421834</v>
      </c>
      <c r="I105" s="36">
        <v>0.076360256</v>
      </c>
      <c r="J105" s="36">
        <v>0.076360256</v>
      </c>
      <c r="K105" s="71">
        <v>76360256</v>
      </c>
      <c r="L105" s="36">
        <v>0.076360256</v>
      </c>
      <c r="M105" s="36">
        <v>4.20081617978434</v>
      </c>
      <c r="N105" s="73"/>
      <c r="O105" s="59">
        <v>50</v>
      </c>
      <c r="P105" s="59">
        <v>60</v>
      </c>
      <c r="Q105" s="36">
        <v>7.6307893000000002E-2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str">
        <f t="shared" si="5"/>
        <v>(60, 70]</v>
      </c>
      <c r="H106" s="70">
        <v>2.09608783676965</v>
      </c>
      <c r="I106" s="36">
        <v>0.091884316</v>
      </c>
      <c r="J106" s="36">
        <v>0.091884316</v>
      </c>
      <c r="K106" s="71">
        <v>91884316</v>
      </c>
      <c r="L106" s="36">
        <v>0.091884316</v>
      </c>
      <c r="M106" s="36">
        <v>5.97312335726475</v>
      </c>
      <c r="N106" s="73"/>
      <c r="O106" s="59">
        <v>60</v>
      </c>
      <c r="P106" s="59">
        <v>70</v>
      </c>
      <c r="Q106" s="36">
        <v>9.1821308000000004E-2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str">
        <f t="shared" si="5"/>
        <v>(70, 80]</v>
      </c>
      <c r="H107" s="70">
        <v>0.929074579358188</v>
      </c>
      <c r="I107" s="36">
        <v>0.038659022</v>
      </c>
      <c r="J107" s="36">
        <v>0.038659022</v>
      </c>
      <c r="K107" s="71">
        <v>38659022</v>
      </c>
      <c r="L107" s="36">
        <v>0.038659022</v>
      </c>
      <c r="M107" s="36">
        <v>2.89936546687959</v>
      </c>
      <c r="N107" s="73"/>
      <c r="O107" s="59">
        <v>70</v>
      </c>
      <c r="P107" s="59">
        <v>80</v>
      </c>
      <c r="Q107" s="36">
        <v>3.8632512000000001E-2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str">
        <f t="shared" si="5"/>
        <v>(80, 90]</v>
      </c>
      <c r="H108" s="70">
        <v>1.67063282951493</v>
      </c>
      <c r="I108" s="36">
        <v>0.064993215</v>
      </c>
      <c r="J108" s="36">
        <v>0.064993215</v>
      </c>
      <c r="K108" s="71">
        <v>64993215</v>
      </c>
      <c r="L108" s="36">
        <v>0.064993215</v>
      </c>
      <c r="M108" s="36">
        <v>5.5235951826666</v>
      </c>
      <c r="N108" s="73"/>
      <c r="O108" s="59">
        <v>80</v>
      </c>
      <c r="P108" s="59">
        <v>90</v>
      </c>
      <c r="Q108" s="36">
        <v>6.4948646999999998E-2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str">
        <f t="shared" si="5"/>
        <v>(90, 100]</v>
      </c>
      <c r="H109" s="81">
        <v>0.602187701421859</v>
      </c>
      <c r="I109" s="79">
        <v>0.021831226</v>
      </c>
      <c r="J109" s="79">
        <v>0.021831226</v>
      </c>
      <c r="K109" s="71">
        <v>21831226</v>
      </c>
      <c r="L109" s="79">
        <v>0.021831226</v>
      </c>
      <c r="M109" s="79">
        <v>2.07398417250592</v>
      </c>
      <c r="N109" s="73"/>
      <c r="O109" s="59">
        <v>90</v>
      </c>
      <c r="P109" s="59">
        <v>100</v>
      </c>
      <c r="Q109" s="36">
        <v>2.1816255999999999E-2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str">
        <f t="shared" si="5"/>
        <v>(100, 120]</v>
      </c>
      <c r="H110" s="81">
        <v>0.643009534524927</v>
      </c>
      <c r="I110" s="79">
        <v>0.041976423</v>
      </c>
      <c r="J110" s="79">
        <v>0.041976423</v>
      </c>
      <c r="K110" s="71">
        <v>41976423</v>
      </c>
      <c r="L110" s="79">
        <v>0.041976423</v>
      </c>
      <c r="M110" s="79">
        <v>4.61040418009356</v>
      </c>
      <c r="N110" s="73"/>
      <c r="O110" s="59">
        <v>100</v>
      </c>
      <c r="P110" s="59">
        <v>120</v>
      </c>
      <c r="Q110" s="36">
        <v>4.1947638000000002E-2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str">
        <f t="shared" si="5"/>
        <v>(120, 140]</v>
      </c>
      <c r="H111" s="81">
        <v>0.207667972550371</v>
      </c>
      <c r="I111" s="79">
        <v>0.011747032</v>
      </c>
      <c r="J111" s="79">
        <v>0.011747032</v>
      </c>
      <c r="K111" s="71">
        <v>11747032</v>
      </c>
      <c r="L111" s="79">
        <v>0.011747032</v>
      </c>
      <c r="M111" s="79">
        <v>1.52491734425525</v>
      </c>
      <c r="N111" s="73"/>
      <c r="O111" s="59">
        <v>120</v>
      </c>
      <c r="P111" s="59">
        <v>140</v>
      </c>
      <c r="Q111" s="36">
        <v>1.1738976999999999E-2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str">
        <f t="shared" si="5"/>
        <v>(140, 160]</v>
      </c>
      <c r="H112" s="81">
        <v>0.291449899124766</v>
      </c>
      <c r="I112" s="79">
        <v>0.014308642</v>
      </c>
      <c r="J112" s="79">
        <v>0.014308642</v>
      </c>
      <c r="K112" s="71">
        <v>14308642</v>
      </c>
      <c r="L112" s="79">
        <v>0.014308642</v>
      </c>
      <c r="M112" s="79">
        <v>2.14349258613729</v>
      </c>
      <c r="N112" s="73"/>
      <c r="O112" s="59">
        <v>140</v>
      </c>
      <c r="P112" s="59">
        <v>160</v>
      </c>
      <c r="Q112" s="36">
        <v>1.429883E-2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str">
        <f t="shared" si="5"/>
        <v>(160, 180]</v>
      </c>
      <c r="H113" s="81">
        <v>0.132292175401553</v>
      </c>
      <c r="I113" s="79">
        <v>0.005645901</v>
      </c>
      <c r="J113" s="79">
        <v>0.005645901</v>
      </c>
      <c r="K113" s="71">
        <v>5645901</v>
      </c>
      <c r="L113" s="79">
        <v>0.005645901</v>
      </c>
      <c r="M113" s="79">
        <v>0.958719891057561</v>
      </c>
      <c r="N113" s="73"/>
      <c r="O113" s="59">
        <v>160</v>
      </c>
      <c r="P113" s="59">
        <v>180</v>
      </c>
      <c r="Q113" s="36">
        <v>5.6420289999999998E-3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str">
        <f t="shared" si="5"/>
        <v>(180, 200]</v>
      </c>
      <c r="H114" s="81">
        <v>0.130953370058064</v>
      </c>
      <c r="I114" s="79">
        <v>0.004834726</v>
      </c>
      <c r="J114" s="79">
        <v>0.004834726</v>
      </c>
      <c r="K114" s="71">
        <v>4834726</v>
      </c>
      <c r="L114" s="79">
        <v>0.004834726</v>
      </c>
      <c r="M114" s="79">
        <v>0.917664579449289</v>
      </c>
      <c r="N114" s="73"/>
      <c r="O114" s="59">
        <v>180</v>
      </c>
      <c r="P114" s="59">
        <v>200</v>
      </c>
      <c r="Q114" s="36">
        <v>4.8314109999999999E-3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str">
        <f t="shared" si="5"/>
        <v>(200, 250]</v>
      </c>
      <c r="H115" s="81">
        <v>0.0236008834642585</v>
      </c>
      <c r="I115" s="79">
        <v>0.001731698</v>
      </c>
      <c r="J115" s="79">
        <v>0.001731698</v>
      </c>
      <c r="K115" s="71">
        <v>1731698</v>
      </c>
      <c r="L115" s="79">
        <v>0.001731698</v>
      </c>
      <c r="M115" s="79">
        <v>0.387295274107898</v>
      </c>
      <c r="N115" s="73"/>
      <c r="O115" s="59">
        <v>200</v>
      </c>
      <c r="P115" s="59">
        <v>250</v>
      </c>
      <c r="Q115" s="36">
        <v>1.8205470000000001E-3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str">
        <f t="shared" si="5"/>
        <v>(250, 300]</v>
      </c>
      <c r="H116" s="81">
        <v>0.02769661493982</v>
      </c>
      <c r="I116" s="79">
        <v>0.001467051</v>
      </c>
      <c r="J116" s="79">
        <v>0.001467051</v>
      </c>
      <c r="K116" s="71">
        <v>1467051</v>
      </c>
      <c r="L116" s="79">
        <v>0.001467051</v>
      </c>
      <c r="M116" s="79">
        <v>0.401621249587406</v>
      </c>
      <c r="N116" s="73"/>
      <c r="O116" s="59">
        <v>250</v>
      </c>
      <c r="P116" s="59">
        <v>300</v>
      </c>
      <c r="Q116" s="36">
        <v>1.5423220000000001E-3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str">
        <f t="shared" si="5"/>
        <v>(300, 350]</v>
      </c>
      <c r="H117" s="81">
        <v>0.0326497450410322</v>
      </c>
      <c r="I117" s="79">
        <v>0.001278742</v>
      </c>
      <c r="J117" s="79">
        <v>0.001278742</v>
      </c>
      <c r="K117" s="71">
        <v>1278742</v>
      </c>
      <c r="L117" s="79">
        <v>0.001278742</v>
      </c>
      <c r="M117" s="79">
        <v>0.414040003007098</v>
      </c>
      <c r="N117" s="73"/>
      <c r="O117" s="59">
        <v>300</v>
      </c>
      <c r="P117" s="59">
        <v>350</v>
      </c>
      <c r="Q117" s="36">
        <v>1.3443509999999999E-3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str">
        <f t="shared" ref="G118:G149" si="7">"("&amp;$O118&amp;", "&amp;$P118&amp;"]"</f>
        <v>(350, 400]</v>
      </c>
      <c r="H118" s="81">
        <v>0.0386807472159616</v>
      </c>
      <c r="I118" s="79">
        <v>0.001135605</v>
      </c>
      <c r="J118" s="79">
        <v>0.001135605</v>
      </c>
      <c r="K118" s="71">
        <v>1135605</v>
      </c>
      <c r="L118" s="79">
        <v>0.001135605</v>
      </c>
      <c r="M118" s="79">
        <v>0.424592274681433</v>
      </c>
      <c r="N118" s="73"/>
      <c r="O118" s="59">
        <v>350</v>
      </c>
      <c r="P118" s="59">
        <v>400</v>
      </c>
      <c r="Q118" s="36">
        <v>1.1938700000000001E-3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str">
        <f t="shared" si="7"/>
        <v>(400, 450]</v>
      </c>
      <c r="H119" s="81">
        <v>0.045847347063924</v>
      </c>
      <c r="I119" s="79">
        <v>0.001022015</v>
      </c>
      <c r="J119" s="79">
        <v>0.001022015</v>
      </c>
      <c r="K119" s="71">
        <v>1022015</v>
      </c>
      <c r="L119" s="79">
        <v>0.001022015</v>
      </c>
      <c r="M119" s="79">
        <v>0.433252062900942</v>
      </c>
      <c r="N119" s="73"/>
      <c r="O119" s="59">
        <v>400</v>
      </c>
      <c r="P119" s="59">
        <v>450</v>
      </c>
      <c r="Q119" s="36">
        <v>1.074452E-3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str">
        <f t="shared" si="7"/>
        <v>(450, 500]</v>
      </c>
      <c r="H120" s="81">
        <v>0.0534709658993768</v>
      </c>
      <c r="I120" s="79">
        <v>0.000928253</v>
      </c>
      <c r="J120" s="79">
        <v>0.000928253</v>
      </c>
      <c r="K120" s="71">
        <v>928253</v>
      </c>
      <c r="L120" s="79">
        <v>0.000928253</v>
      </c>
      <c r="M120" s="79">
        <v>0.440042101214617</v>
      </c>
      <c r="N120" s="73"/>
      <c r="O120" s="59">
        <v>450</v>
      </c>
      <c r="P120" s="59">
        <v>500</v>
      </c>
      <c r="Q120" s="36">
        <v>9.7587900000000003E-4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str">
        <f t="shared" si="7"/>
        <v>(500, 550]</v>
      </c>
      <c r="H121" s="81">
        <v>0.0619907675867016</v>
      </c>
      <c r="I121" s="79">
        <v>0.000849121</v>
      </c>
      <c r="J121" s="79">
        <v>0.000849121</v>
      </c>
      <c r="K121" s="71">
        <v>849121</v>
      </c>
      <c r="L121" s="79">
        <v>0.000849121</v>
      </c>
      <c r="M121" s="79">
        <v>0.444927224784438</v>
      </c>
      <c r="N121" s="73"/>
      <c r="O121" s="59">
        <v>500</v>
      </c>
      <c r="P121" s="59">
        <v>550</v>
      </c>
      <c r="Q121" s="36">
        <v>8.9268699999999997E-4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str">
        <f t="shared" si="7"/>
        <v>(550, 600]</v>
      </c>
      <c r="H122" s="70">
        <v>0.0716538978811802</v>
      </c>
      <c r="I122" s="36">
        <v>0.000780211</v>
      </c>
      <c r="J122" s="36">
        <v>0.000780211</v>
      </c>
      <c r="K122" s="71">
        <v>780211</v>
      </c>
      <c r="L122" s="36">
        <v>0.000780211</v>
      </c>
      <c r="M122" s="36">
        <v>0.447951753205791</v>
      </c>
      <c r="N122" s="73"/>
      <c r="O122" s="59">
        <v>550</v>
      </c>
      <c r="P122" s="59">
        <v>600</v>
      </c>
      <c r="Q122" s="36">
        <v>8.2024099999999998E-4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str">
        <f t="shared" si="7"/>
        <v>(600, 650]</v>
      </c>
      <c r="H123" s="70">
        <v>0.0824505550449477</v>
      </c>
      <c r="I123" s="36">
        <v>0.00071961</v>
      </c>
      <c r="J123" s="36">
        <v>0.00071961</v>
      </c>
      <c r="K123" s="71">
        <v>719610</v>
      </c>
      <c r="L123" s="36">
        <v>0.00071961</v>
      </c>
      <c r="M123" s="36">
        <v>0.449085345145724</v>
      </c>
      <c r="N123" s="73"/>
      <c r="O123" s="59">
        <v>600</v>
      </c>
      <c r="P123" s="59">
        <v>650</v>
      </c>
      <c r="Q123" s="36">
        <v>7.5653099999999996E-4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str">
        <f t="shared" si="7"/>
        <v>(650, 700]</v>
      </c>
      <c r="H124" s="70">
        <v>0.0939910220683769</v>
      </c>
      <c r="I124" s="36">
        <v>0.000664973</v>
      </c>
      <c r="J124" s="36">
        <v>0.000664973</v>
      </c>
      <c r="K124" s="71">
        <v>664973</v>
      </c>
      <c r="L124" s="36">
        <v>0.000664973</v>
      </c>
      <c r="M124" s="36">
        <v>0.44834285651715</v>
      </c>
      <c r="N124" s="73"/>
      <c r="O124" s="59">
        <v>650</v>
      </c>
      <c r="P124" s="59">
        <v>700</v>
      </c>
      <c r="Q124" s="36">
        <v>6.9909099999999999E-4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str">
        <f t="shared" si="7"/>
        <v>(700, 750]</v>
      </c>
      <c r="H125" s="70">
        <v>0.105312962248936</v>
      </c>
      <c r="I125" s="36">
        <v>0.000615354</v>
      </c>
      <c r="J125" s="36">
        <v>0.000615354</v>
      </c>
      <c r="K125" s="71">
        <v>615354</v>
      </c>
      <c r="L125" s="36">
        <v>0.000615354</v>
      </c>
      <c r="M125" s="36">
        <v>0.445709109227741</v>
      </c>
      <c r="N125" s="73"/>
      <c r="O125" s="59">
        <v>700</v>
      </c>
      <c r="P125" s="59">
        <v>750</v>
      </c>
      <c r="Q125" s="36">
        <v>6.4692600000000003E-4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str">
        <f t="shared" si="7"/>
        <v>(750, 800]</v>
      </c>
      <c r="H126" s="70">
        <v>0.117773427631657</v>
      </c>
      <c r="I126" s="36">
        <v>0.000569855</v>
      </c>
      <c r="J126" s="36">
        <v>0.000569855</v>
      </c>
      <c r="K126" s="71">
        <v>569855</v>
      </c>
      <c r="L126" s="36">
        <v>0.000569855</v>
      </c>
      <c r="M126" s="36">
        <v>0.441212500075302</v>
      </c>
      <c r="N126" s="73"/>
      <c r="O126" s="59">
        <v>750</v>
      </c>
      <c r="P126" s="59">
        <v>800</v>
      </c>
      <c r="Q126" s="36">
        <v>5.9909299999999998E-4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str">
        <f t="shared" si="7"/>
        <v>(800, 850]</v>
      </c>
      <c r="H127" s="70">
        <v>0.130473917621505</v>
      </c>
      <c r="I127" s="36">
        <v>0.000527522</v>
      </c>
      <c r="J127" s="36">
        <v>0.000527522</v>
      </c>
      <c r="K127" s="71">
        <v>527522</v>
      </c>
      <c r="L127" s="36">
        <v>0.000527522</v>
      </c>
      <c r="M127" s="36">
        <v>0.434833501884606</v>
      </c>
      <c r="N127" s="73"/>
      <c r="O127" s="59">
        <v>800</v>
      </c>
      <c r="P127" s="59">
        <v>850</v>
      </c>
      <c r="Q127" s="36">
        <v>5.5458700000000005E-4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str">
        <f t="shared" si="7"/>
        <v>(850, 900]</v>
      </c>
      <c r="H128" s="70">
        <v>0.14451017838455</v>
      </c>
      <c r="I128" s="36">
        <v>0.000487909</v>
      </c>
      <c r="J128" s="36">
        <v>0.000487909</v>
      </c>
      <c r="K128" s="72">
        <v>487909</v>
      </c>
      <c r="L128" s="36">
        <v>0.000487909</v>
      </c>
      <c r="M128" s="36">
        <v>0.426569558619189</v>
      </c>
      <c r="N128" s="73"/>
      <c r="O128" s="59">
        <v>850</v>
      </c>
      <c r="P128" s="59">
        <v>900</v>
      </c>
      <c r="Q128" s="36">
        <v>5.1294199999999996E-4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str">
        <f t="shared" si="7"/>
        <v>(900, 950]</v>
      </c>
      <c r="H129" s="70">
        <v>0.156768113919033</v>
      </c>
      <c r="I129" s="36">
        <v>0.000450478</v>
      </c>
      <c r="J129" s="36">
        <v>0.000450478</v>
      </c>
      <c r="K129" s="72">
        <v>450478</v>
      </c>
      <c r="L129" s="36">
        <v>0.000450478</v>
      </c>
      <c r="M129" s="36">
        <v>0.416414400414811</v>
      </c>
      <c r="N129" s="73"/>
      <c r="O129" s="59">
        <v>900</v>
      </c>
      <c r="P129" s="59">
        <v>950</v>
      </c>
      <c r="Q129" s="36">
        <v>4.7359099999999999E-4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str">
        <f t="shared" si="7"/>
        <v>(950, 1000]</v>
      </c>
      <c r="H130" s="70">
        <v>0.170840509665902</v>
      </c>
      <c r="I130" s="36">
        <v>0.000415082</v>
      </c>
      <c r="J130" s="36">
        <v>0.000415082</v>
      </c>
      <c r="K130" s="72">
        <v>415082</v>
      </c>
      <c r="L130" s="36">
        <v>0.000415082</v>
      </c>
      <c r="M130" s="36">
        <v>0.404419732193753</v>
      </c>
      <c r="N130" s="73"/>
      <c r="O130" s="59">
        <v>950</v>
      </c>
      <c r="P130" s="59">
        <v>1000</v>
      </c>
      <c r="Q130" s="36">
        <v>4.3637899999999998E-4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str">
        <f t="shared" si="7"/>
        <v>(1000, 2000]</v>
      </c>
      <c r="H131" s="70">
        <v>0.0133330528799762</v>
      </c>
      <c r="I131" s="36">
        <v>0.000208447</v>
      </c>
      <c r="J131" s="36">
        <v>0.000208447</v>
      </c>
      <c r="K131" s="72">
        <v>208447</v>
      </c>
      <c r="L131" s="36">
        <v>0.000208447</v>
      </c>
      <c r="M131" s="36">
        <v>0.273668584619967</v>
      </c>
      <c r="N131" s="73"/>
      <c r="O131" s="59">
        <v>1000</v>
      </c>
      <c r="P131" s="59">
        <v>2000</v>
      </c>
      <c r="Q131" s="36">
        <v>2.1914100000000001E-4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str">
        <f t="shared" si="7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str">
        <f t="shared" si="7"/>
        <v>(9000, 10000]</v>
      </c>
      <c r="H139" s="70">
        <v>21.9448520790909</v>
      </c>
      <c r="I139" s="36">
        <v>3.4498e-05</v>
      </c>
      <c r="J139" s="36">
        <v>3.4498e-05</v>
      </c>
      <c r="K139" s="72">
        <v>34498</v>
      </c>
      <c r="L139" s="36">
        <v>3.4498e-05</v>
      </c>
      <c r="M139" s="36">
        <v>0.329997989027273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25321</v>
      </c>
      <c r="C163" s="82">
        <v>0</v>
      </c>
      <c r="D163" s="36" cm="1">
        <f t="array" ref="D163:D226">_xlfn.LET(_xlpm.x, B163:B226, _xlpm.x/SUM(_xlpm.x))</f>
        <v>3.6186737341394521E-3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str">
        <f t="shared" si="9"/>
        <v>(20, 25]</v>
      </c>
      <c r="H176" s="70">
        <v>1.40796777043221</v>
      </c>
      <c r="I176" s="36">
        <v>0.033624105</v>
      </c>
      <c r="J176" s="36">
        <v>0.033624105</v>
      </c>
      <c r="K176" s="71">
        <v>33624105</v>
      </c>
      <c r="L176" s="36">
        <v>0.033624105</v>
      </c>
      <c r="M176" s="36">
        <v>0.758814668267957</v>
      </c>
      <c r="N176" s="73"/>
      <c r="O176" s="59">
        <v>20</v>
      </c>
      <c r="P176" s="59">
        <v>25</v>
      </c>
      <c r="Q176" s="36">
        <v>3.3619642268957139E-2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str">
        <f t="shared" si="9"/>
        <v>(25, 30]</v>
      </c>
      <c r="H177" s="70">
        <v>5.77273946130226</v>
      </c>
      <c r="I177" s="36">
        <v>0.142495354</v>
      </c>
      <c r="J177" s="36">
        <v>0.142495354</v>
      </c>
      <c r="K177" s="71">
        <v>142495354</v>
      </c>
      <c r="L177" s="36">
        <v>0.142495354</v>
      </c>
      <c r="M177" s="36">
        <v>3.92830440008115</v>
      </c>
      <c r="N177" s="73"/>
      <c r="O177" s="59">
        <v>25</v>
      </c>
      <c r="P177" s="59">
        <v>30</v>
      </c>
      <c r="Q177" s="36">
        <v>0.14247644913981158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str">
        <f t="shared" si="9"/>
        <v>(30, 35]</v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5.3604139428833117E-2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str">
        <f t="shared" si="9"/>
        <v>(35, 40]</v>
      </c>
      <c r="H179" s="70">
        <v>3.82293173849698</v>
      </c>
      <c r="I179" s="36">
        <v>0.094377964</v>
      </c>
      <c r="J179" s="36">
        <v>0.094377964</v>
      </c>
      <c r="K179" s="71">
        <v>94377964</v>
      </c>
      <c r="L179" s="36">
        <v>0.094377964</v>
      </c>
      <c r="M179" s="36">
        <v>3.54421519086196</v>
      </c>
      <c r="N179" s="73"/>
      <c r="O179" s="59">
        <v>35</v>
      </c>
      <c r="P179" s="59">
        <v>40</v>
      </c>
      <c r="Q179" s="36">
        <v>9.4365442754923548E-2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str">
        <f t="shared" si="9"/>
        <v>(40, 45]</v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8.2034900656279205E-2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str">
        <f t="shared" si="9"/>
        <v>(45, 50]</v>
      </c>
      <c r="H181" s="70">
        <v>2.92403284555396</v>
      </c>
      <c r="I181" s="36">
        <v>0.070222521</v>
      </c>
      <c r="J181" s="36">
        <v>0.070222521</v>
      </c>
      <c r="K181" s="71">
        <v>70222521</v>
      </c>
      <c r="L181" s="36">
        <v>0.070222521</v>
      </c>
      <c r="M181" s="36">
        <v>3.33876067356359</v>
      </c>
      <c r="N181" s="73"/>
      <c r="O181" s="59">
        <v>45</v>
      </c>
      <c r="P181" s="59">
        <v>50</v>
      </c>
      <c r="Q181" s="36">
        <v>7.0213204561705642E-2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str">
        <f t="shared" si="9"/>
        <v>(50, 60]</v>
      </c>
      <c r="H182" s="70">
        <v>1.46850592598577</v>
      </c>
      <c r="I182" s="36">
        <v>0.067928091</v>
      </c>
      <c r="J182" s="36">
        <v>0.067928091</v>
      </c>
      <c r="K182" s="71">
        <v>67928091</v>
      </c>
      <c r="L182" s="36">
        <v>0.067928091</v>
      </c>
      <c r="M182" s="36">
        <v>3.73693644681683</v>
      </c>
      <c r="N182" s="73"/>
      <c r="O182" s="59">
        <v>50</v>
      </c>
      <c r="P182" s="59">
        <v>60</v>
      </c>
      <c r="Q182" s="36">
        <v>6.7919079543352634E-2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str">
        <f t="shared" si="9"/>
        <v>(60, 70]</v>
      </c>
      <c r="H183" s="70">
        <v>2.11767543238652</v>
      </c>
      <c r="I183" s="36">
        <v>0.092830632</v>
      </c>
      <c r="J183" s="36">
        <v>0.092830632</v>
      </c>
      <c r="K183" s="71">
        <v>92830632</v>
      </c>
      <c r="L183" s="36">
        <v>0.092830632</v>
      </c>
      <c r="M183" s="36">
        <v>6.03464051763577</v>
      </c>
      <c r="N183" s="73"/>
      <c r="O183" s="59">
        <v>60</v>
      </c>
      <c r="P183" s="59">
        <v>70</v>
      </c>
      <c r="Q183" s="36">
        <v>9.2818316742546536E-2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str">
        <f t="shared" si="9"/>
        <v>(70, 80]</v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4.4395303355162424E-2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str">
        <f t="shared" si="9"/>
        <v>(80, 90]</v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8.4936647679493188E-2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str">
        <f t="shared" si="9"/>
        <v>(90, 100]</v>
      </c>
      <c r="H186" s="70">
        <v>0.89662897919594</v>
      </c>
      <c r="I186" s="36">
        <v>0.032505662</v>
      </c>
      <c r="J186" s="36">
        <v>0.032505662</v>
      </c>
      <c r="K186" s="71">
        <v>32505662</v>
      </c>
      <c r="L186" s="36">
        <v>0.032505662</v>
      </c>
      <c r="M186" s="36">
        <v>3.08806424819325</v>
      </c>
      <c r="N186" s="73"/>
      <c r="O186" s="59">
        <v>90</v>
      </c>
      <c r="P186" s="59">
        <v>100</v>
      </c>
      <c r="Q186" s="36">
        <v>3.2501349260010796E-2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str">
        <f t="shared" si="9"/>
        <v>(100, 120]</v>
      </c>
      <c r="H187" s="70">
        <v>1.16513608784401</v>
      </c>
      <c r="I187" s="36">
        <v>0.076061462</v>
      </c>
      <c r="J187" s="36">
        <v>0.076061462</v>
      </c>
      <c r="K187" s="71">
        <v>76061462</v>
      </c>
      <c r="L187" s="36">
        <v>0.076061462</v>
      </c>
      <c r="M187" s="36">
        <v>8.35407253135475</v>
      </c>
      <c r="N187" s="73"/>
      <c r="O187" s="59">
        <v>100</v>
      </c>
      <c r="P187" s="59">
        <v>120</v>
      </c>
      <c r="Q187" s="36">
        <v>7.6051371608410967E-2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str">
        <f t="shared" si="9"/>
        <v>(120, 140]</v>
      </c>
      <c r="H188" s="70">
        <v>0.492131359222853</v>
      </c>
      <c r="I188" s="36">
        <v>0.027838105</v>
      </c>
      <c r="J188" s="36">
        <v>0.027838105</v>
      </c>
      <c r="K188" s="71">
        <v>27838105</v>
      </c>
      <c r="L188" s="36">
        <v>0.027838105</v>
      </c>
      <c r="M188" s="36">
        <v>3.6137476381863</v>
      </c>
      <c r="N188" s="73"/>
      <c r="O188" s="59">
        <v>120</v>
      </c>
      <c r="P188" s="59">
        <v>140</v>
      </c>
      <c r="Q188" s="36">
        <v>2.7834411222675291E-2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str">
        <f t="shared" si="9"/>
        <v>(140, 160]</v>
      </c>
      <c r="H189" s="70">
        <v>0.908214053215256</v>
      </c>
      <c r="I189" s="36">
        <v>0.044588486</v>
      </c>
      <c r="J189" s="36">
        <v>0.044588486</v>
      </c>
      <c r="K189" s="71">
        <v>44588486</v>
      </c>
      <c r="L189" s="36">
        <v>0.044588486</v>
      </c>
      <c r="M189" s="36">
        <v>6.67953598727862</v>
      </c>
      <c r="N189" s="73"/>
      <c r="O189" s="59">
        <v>140</v>
      </c>
      <c r="P189" s="59">
        <v>160</v>
      </c>
      <c r="Q189" s="36">
        <v>4.4582570356660564E-2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str">
        <f t="shared" si="9"/>
        <v>(160, 180]</v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2.3310350186482802E-2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str">
        <f t="shared" si="9"/>
        <v>(180, 200]</v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2.6665618213324947E-2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str">
        <f t="shared" si="9"/>
        <v>(200, 250]</v>
      </c>
      <c r="H192" s="70">
        <v>0.00455947189475345</v>
      </c>
      <c r="I192" s="36">
        <v>0.000334548</v>
      </c>
      <c r="J192" s="36">
        <v>0.000334548</v>
      </c>
      <c r="K192" s="71">
        <v>334548</v>
      </c>
      <c r="L192" s="36">
        <v>0.000334548</v>
      </c>
      <c r="M192" s="36">
        <v>0.0748218565605834</v>
      </c>
      <c r="N192" s="73"/>
      <c r="O192" s="59">
        <v>200</v>
      </c>
      <c r="P192" s="59">
        <v>250</v>
      </c>
      <c r="Q192" s="36">
        <v>3.5299400282395204E-4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str">
        <f t="shared" si="9"/>
        <v>(250, 300]</v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2.8838100230704804E-4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str">
        <f t="shared" si="9"/>
        <v>(300, 350]</v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2.438250019506E-4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str">
        <f t="shared" ref="G195:G226" si="11">"("&amp;$O195&amp;", "&amp;$P195&amp;"]"</f>
        <v>(350, 400]</v>
      </c>
      <c r="H195" s="70">
        <v>0.00681634467144526</v>
      </c>
      <c r="I195" s="36">
        <v>0.000200117</v>
      </c>
      <c r="J195" s="36">
        <v>0.000200117</v>
      </c>
      <c r="K195" s="71">
        <v>200117</v>
      </c>
      <c r="L195" s="36">
        <v>0.000200117</v>
      </c>
      <c r="M195" s="36">
        <v>0.0748219074699603</v>
      </c>
      <c r="N195" s="73"/>
      <c r="O195" s="59">
        <v>350</v>
      </c>
      <c r="P195" s="59">
        <v>400</v>
      </c>
      <c r="Q195" s="36">
        <v>2.1115100168920802E-4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str">
        <f t="shared" si="11"/>
        <v>(400, 450]</v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1.8623200148985602E-4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str">
        <f t="shared" si="11"/>
        <v>(450, 500]</v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1.66537001332296E-4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str">
        <f t="shared" si="11"/>
        <v>(500, 550]</v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1.5066700120533601E-4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str">
        <f t="shared" si="11"/>
        <v>(550, 600]</v>
      </c>
      <c r="H199" s="70">
        <v>0.0119684751584833</v>
      </c>
      <c r="I199" s="36">
        <v>0.00013032</v>
      </c>
      <c r="J199" s="36">
        <v>0.00013032</v>
      </c>
      <c r="K199" s="71">
        <v>130320</v>
      </c>
      <c r="L199" s="36">
        <v>0.00013032</v>
      </c>
      <c r="M199" s="36">
        <v>0.0748221602589282</v>
      </c>
      <c r="N199" s="73"/>
      <c r="O199" s="59">
        <v>550</v>
      </c>
      <c r="P199" s="59">
        <v>600</v>
      </c>
      <c r="Q199" s="36">
        <v>1.3750500110004001E-4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str">
        <f t="shared" si="11"/>
        <v>(600, 650]</v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1.26504001012032E-4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str">
        <f t="shared" si="11"/>
        <v>(650, 700]</v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1.1709300093674401E-4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str">
        <f t="shared" si="11"/>
        <v>(700, 750]</v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1.0899600087196801E-4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str">
        <f t="shared" si="11"/>
        <v>(750, 800]</v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1.0196600081572801E-4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str">
        <f t="shared" si="11"/>
        <v>(800, 850]</v>
      </c>
      <c r="H204" s="70">
        <v>0.0224502239311088</v>
      </c>
      <c r="I204" s="36">
        <v>9.0769e-05</v>
      </c>
      <c r="J204" s="36">
        <v>9.0769e-05</v>
      </c>
      <c r="K204" s="71">
        <v>90769</v>
      </c>
      <c r="L204" s="36">
        <v>9.0769e-05</v>
      </c>
      <c r="M204" s="36">
        <v>0.0748203906805097</v>
      </c>
      <c r="N204" s="73"/>
      <c r="O204" s="59">
        <v>800</v>
      </c>
      <c r="P204" s="59">
        <v>850</v>
      </c>
      <c r="Q204" s="36">
        <v>9.5775000766200007E-5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str">
        <f t="shared" si="11"/>
        <v>(850, 900]</v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9.0300000722400004E-5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str">
        <f t="shared" si="11"/>
        <v>(900, 950]</v>
      </c>
      <c r="H206" s="70">
        <v>0.0281677860155667</v>
      </c>
      <c r="I206" s="36">
        <v>8.0941e-05</v>
      </c>
      <c r="J206" s="36">
        <v>8.0941e-05</v>
      </c>
      <c r="K206" s="72">
        <v>80941</v>
      </c>
      <c r="L206" s="36">
        <v>8.0941e-05</v>
      </c>
      <c r="M206" s="36">
        <v>0.0748205195014522</v>
      </c>
      <c r="N206" s="73"/>
      <c r="O206" s="59">
        <v>900</v>
      </c>
      <c r="P206" s="59">
        <v>950</v>
      </c>
      <c r="Q206" s="36">
        <v>8.5404000683232006E-5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str">
        <f t="shared" si="11"/>
        <v>(950, 1000]</v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8.102900064823201E-5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str">
        <f t="shared" si="11"/>
        <v>(1000, 2000]</v>
      </c>
      <c r="H208" s="70">
        <v>0.00364523044503862</v>
      </c>
      <c r="I208" s="36">
        <v>5.6989e-05</v>
      </c>
      <c r="J208" s="36">
        <v>5.6989e-05</v>
      </c>
      <c r="K208" s="72">
        <v>56989</v>
      </c>
      <c r="L208" s="36">
        <v>5.6989e-05</v>
      </c>
      <c r="M208" s="36">
        <v>0.0748204530115919</v>
      </c>
      <c r="N208" s="73"/>
      <c r="O208" s="59">
        <v>1000</v>
      </c>
      <c r="P208" s="59">
        <v>2000</v>
      </c>
      <c r="Q208" s="36">
        <v>6.0131000481048006E-5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str">
        <f t="shared" si="11"/>
        <v>(2000, 3000]</v>
      </c>
      <c r="H209" s="70">
        <v>0.0331986523244034</v>
      </c>
      <c r="I209" s="36">
        <v>6.3225e-05</v>
      </c>
      <c r="J209" s="36">
        <v>6.3225e-05</v>
      </c>
      <c r="K209" s="72">
        <v>63225</v>
      </c>
      <c r="L209" s="36">
        <v>6.3225e-05</v>
      </c>
      <c r="M209" s="36">
        <v>0.149636696022062</v>
      </c>
      <c r="N209" s="73"/>
      <c r="O209" s="59">
        <v>2000</v>
      </c>
      <c r="P209" s="59">
        <v>3000</v>
      </c>
      <c r="Q209" s="36">
        <v>6.6713000533704005E-5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str">
        <f t="shared" si="11"/>
        <v>(9000, 10000]</v>
      </c>
      <c r="H216" s="70">
        <v>4.61377506318182</v>
      </c>
      <c r="I216" s="36">
        <v>7.253e-06</v>
      </c>
      <c r="J216" s="36">
        <v>7.253e-06</v>
      </c>
      <c r="K216" s="72">
        <v>7253</v>
      </c>
      <c r="L216" s="36">
        <v>7.253e-06</v>
      </c>
      <c r="M216" s="36">
        <v>0.0693801210045455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0.720000018031069</v>
      </c>
      <c r="D7" s="40">
        <f>SUM(_xlfn.ANCHORARRAY(M86))*F7</f>
        <v>0.209999941045547</v>
      </c>
      <c r="E7" s="41">
        <f>SUM(C7:D7)</f>
        <v>0.929999959076617</v>
      </c>
      <c r="F7" s="42">
        <f>L79</f>
        <v>0.003577802</v>
      </c>
      <c r="G7" s="43">
        <f>1/F7</f>
        <v>279.501213314767</v>
      </c>
      <c r="H7" s="44">
        <f>D7*G7</f>
        <v>58.69523831826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0.62476902099999998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1.17381368369735</v>
      </c>
      <c r="I15" s="36" cm="1">
        <f t="array" ref="I15:I79">D15:D79*H15:H79</f>
        <v>0.733362426</v>
      </c>
      <c r="J15" s="36" cm="1">
        <f t="array" ref="J15:J78">I15:I78/SUM(I15:I78)</f>
        <v>0.733362426</v>
      </c>
      <c r="K15" s="71" cm="1">
        <f t="array" ref="K15:K79">INT(J15:J79*$B$2)</f>
        <v>733362426</v>
      </c>
      <c r="L15" s="36" cm="1">
        <f t="array" ref="L15:L79">_xlfn.LET(_xlpm.x, K15:K79, _xlpm.x/SUM(_xlpm.x))</f>
        <v>0.7307386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0.7307385999077185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str">
        <f t="shared" si="1"/>
        <v>(0, 1]</v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0.14654730421521425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str">
        <f t="shared" si="1"/>
        <v>(1, 2]</v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4.2939315034350542E-2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str">
        <f t="shared" si="1"/>
        <v>(2, 3]</v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1.9669922233073657E-2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str">
        <f t="shared" si="1"/>
        <v>(3, 4]</v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1.2065544875424147E-2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str">
        <f t="shared" si="1"/>
        <v>(4, 5]</v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7.8339879069897426E-3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str">
        <f t="shared" si="1"/>
        <v>(5, 6]</v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6.0446338475645105E-3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str">
        <f t="shared" si="1"/>
        <v>(6, 7]</v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3.2537569042791637E-3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str">
        <f t="shared" si="1"/>
        <v>(7, 8]</v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3.6483211629130285E-3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str">
        <f t="shared" si="1"/>
        <v>(8, 9]</v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2.9514135129724726E-3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str">
        <f t="shared" si="1"/>
        <v>(9, 10]</v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1.9136577287037454E-3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str">
        <f t="shared" si="1"/>
        <v>(10, 15]</v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1.0124001275069674E-2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str">
        <f t="shared" si="1"/>
        <v>(15, 20]</v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4.3397056446066043E-3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str">
        <f t="shared" si="1"/>
        <v>(20, 25]</v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2.4219287065337419E-3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str">
        <f t="shared" si="1"/>
        <v>(25, 30]</v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1.9301046735142554E-3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6.9973149999999996E-3</v>
      </c>
      <c r="E79" s="69">
        <v>8.8144670205643152</v>
      </c>
      <c r="F79" s="77"/>
      <c r="G79" s="14" t="s">
        <v>117</v>
      </c>
      <c r="H79" s="70">
        <v>0.5131466855501</v>
      </c>
      <c r="I79" s="36">
        <v>0.003590649</v>
      </c>
      <c r="J79" s="36">
        <f>I79</f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3.6186737341394521E-3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str">
        <f t="shared" si="3"/>
        <v>(30, 35]</v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0.0768277190768277</v>
      </c>
      <c r="M101" s="36">
        <v>2.5013238338215</v>
      </c>
      <c r="N101" s="73"/>
      <c r="O101" s="59">
        <v>30</v>
      </c>
      <c r="P101" s="59">
        <v>35</v>
      </c>
      <c r="Q101" s="36">
        <v>7.6827719076827714E-2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str">
        <f t="shared" si="3"/>
        <v>(35, 40]</v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0.138321877138322</v>
      </c>
      <c r="M102" s="36">
        <v>5.19445935687044</v>
      </c>
      <c r="N102" s="73"/>
      <c r="O102" s="59">
        <v>35</v>
      </c>
      <c r="P102" s="59">
        <v>40</v>
      </c>
      <c r="Q102" s="36">
        <v>0.13832187713832186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str">
        <f t="shared" si="3"/>
        <v>(40, 45]</v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0.122981136122981</v>
      </c>
      <c r="M103" s="36">
        <v>5.23299807758229</v>
      </c>
      <c r="N103" s="73"/>
      <c r="O103" s="59">
        <v>40</v>
      </c>
      <c r="P103" s="59">
        <v>45</v>
      </c>
      <c r="Q103" s="36">
        <v>0.12298113612298113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str">
        <f t="shared" si="3"/>
        <v>(45, 50]</v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0.107635135107635</v>
      </c>
      <c r="M104" s="36">
        <v>5.11755988069804</v>
      </c>
      <c r="N104" s="73"/>
      <c r="O104" s="59">
        <v>45</v>
      </c>
      <c r="P104" s="59">
        <v>50</v>
      </c>
      <c r="Q104" s="36">
        <v>0.10763513510763513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str">
        <f t="shared" si="3"/>
        <v>(50, 60]</v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0.107673578107674</v>
      </c>
      <c r="M105" s="36">
        <v>5.92345983033358</v>
      </c>
      <c r="N105" s="73"/>
      <c r="O105" s="59">
        <v>50</v>
      </c>
      <c r="P105" s="59">
        <v>60</v>
      </c>
      <c r="Q105" s="36">
        <v>0.10767357810767358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str">
        <f t="shared" si="3"/>
        <v>(60, 70]</v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0.153893164153893</v>
      </c>
      <c r="M106" s="36">
        <v>10.0041322975185</v>
      </c>
      <c r="N106" s="73"/>
      <c r="O106" s="59">
        <v>60</v>
      </c>
      <c r="P106" s="59">
        <v>70</v>
      </c>
      <c r="Q106" s="36">
        <v>0.15389316415389317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str">
        <f t="shared" si="3"/>
        <v>(70, 80]</v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0.0769832520769833</v>
      </c>
      <c r="M107" s="36">
        <v>5.77362206938634</v>
      </c>
      <c r="N107" s="73"/>
      <c r="O107" s="59">
        <v>70</v>
      </c>
      <c r="P107" s="59">
        <v>80</v>
      </c>
      <c r="Q107" s="36">
        <v>7.6983252076983255E-2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str">
        <f t="shared" si="3"/>
        <v>(80, 90]</v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0.15403974915404</v>
      </c>
      <c r="M108" s="36">
        <v>13.091416024987</v>
      </c>
      <c r="N108" s="73"/>
      <c r="O108" s="59">
        <v>80</v>
      </c>
      <c r="P108" s="59">
        <v>90</v>
      </c>
      <c r="Q108" s="36">
        <v>0.15403974915403976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str">
        <f t="shared" si="3"/>
        <v>(90, 100]</v>
      </c>
      <c r="H109" s="81">
        <v>1.70038516927382</v>
      </c>
      <c r="I109" s="79">
        <v>0.061644389</v>
      </c>
      <c r="J109" s="79">
        <v>0.061644389</v>
      </c>
      <c r="K109" s="71">
        <v>61644389</v>
      </c>
      <c r="L109" s="79">
        <v>0.0616443890616444</v>
      </c>
      <c r="M109" s="79">
        <v>5.85626694706231</v>
      </c>
      <c r="N109" s="73"/>
      <c r="O109" s="59">
        <v>90</v>
      </c>
      <c r="P109" s="59">
        <v>100</v>
      </c>
      <c r="Q109" s="36">
        <v>6.1644389061644392E-2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3864674550</v>
      </c>
    </row>
    <row r="6" spans="1:3" x14ac:dyDescent="0.3">
      <c r="A6" s="21"/>
      <c r="B6" s="15" t="s">
        <v>84</v>
      </c>
      <c r="C6" s="22">
        <v>3800982750</v>
      </c>
    </row>
    <row r="7" spans="1:3" x14ac:dyDescent="0.3">
      <c r="A7" s="21"/>
      <c r="B7" s="15" t="s">
        <v>86</v>
      </c>
      <c r="C7" s="22">
        <v>51240310600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2026-09-01T09:24:00Z</dcterms:modified>
</cp:coreProperties>
</file>