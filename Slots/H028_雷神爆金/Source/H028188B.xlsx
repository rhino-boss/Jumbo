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F400C67-98C5-4D0E-A20C-A27073A9C61C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K86" i="6" s="1" a="1"/>
  <c r="K86" i="6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A15" i="6"/>
  <c r="B7" i="6"/>
  <c r="B3" i="6"/>
  <c r="E86" i="6" s="1" a="1"/>
  <c r="E86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A15" i="5"/>
  <c r="F8" i="5"/>
  <c r="G8" i="5" s="1"/>
  <c r="B7" i="5" a="1"/>
  <c r="B7" i="5" s="1"/>
  <c r="B3" i="5"/>
  <c r="E86" i="5" s="1" a="1"/>
  <c r="E86" i="5" s="1"/>
  <c r="C21" i="1"/>
  <c r="A21" i="1"/>
  <c r="A17" i="1"/>
  <c r="A11" i="1" a="1"/>
  <c r="A12" i="1" s="1"/>
  <c r="E15" i="6" l="1" a="1"/>
  <c r="E15" i="6" s="1"/>
  <c r="I15" i="6" a="1"/>
  <c r="J79" i="6" s="1"/>
  <c r="L156" i="5"/>
  <c r="A11" i="1"/>
  <c r="E15" i="5" a="1"/>
  <c r="E15" i="5" s="1"/>
  <c r="J79" i="5"/>
  <c r="I15" i="5"/>
  <c r="J15" i="5" s="1" a="1"/>
  <c r="J15" i="5" s="1"/>
  <c r="E52" i="3"/>
  <c r="E36" i="3"/>
  <c r="E20" i="3"/>
  <c r="E4" i="3"/>
  <c r="E26" i="3"/>
  <c r="E61" i="3"/>
  <c r="E45" i="3"/>
  <c r="E29" i="3"/>
  <c r="E13" i="3"/>
  <c r="E64" i="3"/>
  <c r="E48" i="3"/>
  <c r="E32" i="3"/>
  <c r="E16" i="3"/>
  <c r="E60" i="3"/>
  <c r="E12" i="3"/>
  <c r="E62" i="3"/>
  <c r="E30" i="3"/>
  <c r="E14" i="3"/>
  <c r="E51" i="3"/>
  <c r="E35" i="3"/>
  <c r="E19" i="3"/>
  <c r="E54" i="3"/>
  <c r="E6" i="3"/>
  <c r="E46" i="3"/>
  <c r="E17" i="3"/>
  <c r="E38" i="3"/>
  <c r="E22" i="3"/>
  <c r="E44" i="3"/>
  <c r="E49" i="3"/>
  <c r="E33" i="3"/>
  <c r="E7" i="3"/>
  <c r="E57" i="3"/>
  <c r="E41" i="3"/>
  <c r="E25" i="3"/>
  <c r="E9" i="3"/>
  <c r="E28" i="3"/>
  <c r="E63" i="3"/>
  <c r="E47" i="3"/>
  <c r="E31" i="3"/>
  <c r="E15" i="3"/>
  <c r="E66" i="3"/>
  <c r="E34" i="3"/>
  <c r="E18" i="3"/>
  <c r="E21" i="3"/>
  <c r="E5" i="3"/>
  <c r="E65" i="3"/>
  <c r="E42" i="3"/>
  <c r="E50" i="3"/>
  <c r="E53" i="3"/>
  <c r="E37" i="3"/>
  <c r="E59" i="3"/>
  <c r="E55" i="3"/>
  <c r="E39" i="3"/>
  <c r="E23" i="3"/>
  <c r="E58" i="3"/>
  <c r="E10" i="3"/>
  <c r="E27" i="3"/>
  <c r="E11" i="3"/>
  <c r="E56" i="3"/>
  <c r="E40" i="3"/>
  <c r="E24" i="3"/>
  <c r="E8" i="3"/>
  <c r="E43" i="3"/>
  <c r="C62" i="3"/>
  <c r="C46" i="3"/>
  <c r="C30" i="3"/>
  <c r="C14" i="3"/>
  <c r="C49" i="3"/>
  <c r="C55" i="3"/>
  <c r="C39" i="3"/>
  <c r="C23" i="3"/>
  <c r="C7" i="3"/>
  <c r="C58" i="3"/>
  <c r="C42" i="3"/>
  <c r="C26" i="3"/>
  <c r="C10" i="3"/>
  <c r="C38" i="3"/>
  <c r="C22" i="3"/>
  <c r="C36" i="3"/>
  <c r="C61" i="3"/>
  <c r="C45" i="3"/>
  <c r="C29" i="3"/>
  <c r="C13" i="3"/>
  <c r="C48" i="3"/>
  <c r="C32" i="3"/>
  <c r="C24" i="3"/>
  <c r="C64" i="3"/>
  <c r="C16" i="3"/>
  <c r="C6" i="3"/>
  <c r="C56" i="3"/>
  <c r="C40" i="3"/>
  <c r="C8" i="3"/>
  <c r="C11" i="3"/>
  <c r="C4" i="3"/>
  <c r="C51" i="3"/>
  <c r="C35" i="3"/>
  <c r="C19" i="3"/>
  <c r="C54" i="3"/>
  <c r="C65" i="3"/>
  <c r="C20" i="3"/>
  <c r="C57" i="3"/>
  <c r="C41" i="3"/>
  <c r="C25" i="3"/>
  <c r="C9" i="3"/>
  <c r="C12" i="3"/>
  <c r="C31" i="3"/>
  <c r="C15" i="3"/>
  <c r="C21" i="3"/>
  <c r="C60" i="3"/>
  <c r="C44" i="3"/>
  <c r="C28" i="3"/>
  <c r="C47" i="3"/>
  <c r="C59" i="3"/>
  <c r="C27" i="3"/>
  <c r="C33" i="3"/>
  <c r="C63" i="3"/>
  <c r="C37" i="3"/>
  <c r="C43" i="3"/>
  <c r="C52" i="3"/>
  <c r="C66" i="3"/>
  <c r="C50" i="3"/>
  <c r="C34" i="3"/>
  <c r="C18" i="3"/>
  <c r="C53" i="3"/>
  <c r="C5" i="3"/>
  <c r="C17" i="3"/>
  <c r="D163" i="5" a="1"/>
  <c r="D163" i="5" s="1"/>
  <c r="I163" i="5" s="1" a="1"/>
  <c r="I163" i="5" s="1"/>
  <c r="J163" i="5" s="1" a="1"/>
  <c r="J163" i="5" s="1"/>
  <c r="E163" i="5" a="1"/>
  <c r="E163" i="5" s="1"/>
  <c r="E156" i="5"/>
  <c r="I15" i="6" l="1"/>
  <c r="J15" i="6" s="1" a="1"/>
  <c r="J15" i="6" s="1"/>
  <c r="M156" i="5"/>
  <c r="C8" i="5" s="1"/>
  <c r="B21" i="1" s="1"/>
  <c r="K15" i="5" a="1"/>
  <c r="K15" i="5" s="1"/>
  <c r="L86" i="5" a="1"/>
  <c r="L86" i="5" s="1"/>
  <c r="E3" i="3"/>
  <c r="J7" i="5" a="1"/>
  <c r="J7" i="5" s="1"/>
  <c r="F55" i="3"/>
  <c r="F39" i="3"/>
  <c r="F23" i="3"/>
  <c r="F7" i="3"/>
  <c r="F45" i="3"/>
  <c r="F64" i="3"/>
  <c r="F48" i="3"/>
  <c r="F32" i="3"/>
  <c r="F16" i="3"/>
  <c r="F51" i="3"/>
  <c r="F35" i="3"/>
  <c r="F19" i="3"/>
  <c r="F13" i="3"/>
  <c r="F54" i="3"/>
  <c r="F38" i="3"/>
  <c r="F22" i="3"/>
  <c r="F6" i="3"/>
  <c r="F41" i="3"/>
  <c r="F25" i="3"/>
  <c r="F65" i="3"/>
  <c r="F58" i="3"/>
  <c r="F42" i="3"/>
  <c r="F57" i="3"/>
  <c r="F9" i="3"/>
  <c r="F15" i="3"/>
  <c r="F29" i="3"/>
  <c r="F60" i="3"/>
  <c r="F44" i="3"/>
  <c r="F28" i="3"/>
  <c r="F12" i="3"/>
  <c r="F63" i="3"/>
  <c r="F47" i="3"/>
  <c r="F10" i="3"/>
  <c r="F31" i="3"/>
  <c r="F26" i="3"/>
  <c r="F66" i="3"/>
  <c r="F50" i="3"/>
  <c r="F34" i="3"/>
  <c r="F18" i="3"/>
  <c r="F53" i="3"/>
  <c r="F5" i="3"/>
  <c r="F56" i="3"/>
  <c r="F62" i="3"/>
  <c r="F30" i="3"/>
  <c r="F33" i="3"/>
  <c r="F52" i="3"/>
  <c r="F61" i="3"/>
  <c r="F37" i="3"/>
  <c r="F21" i="3"/>
  <c r="F8" i="3"/>
  <c r="F14" i="3"/>
  <c r="F36" i="3"/>
  <c r="F40" i="3"/>
  <c r="F24" i="3"/>
  <c r="F46" i="3"/>
  <c r="F49" i="3"/>
  <c r="F17" i="3"/>
  <c r="F4" i="3"/>
  <c r="F59" i="3"/>
  <c r="F43" i="3"/>
  <c r="F27" i="3"/>
  <c r="F11" i="3"/>
  <c r="F20" i="3"/>
  <c r="L86" i="6" a="1"/>
  <c r="L86" i="6" s="1"/>
  <c r="J7" i="6" a="1"/>
  <c r="J7" i="6" s="1"/>
  <c r="C3" i="3"/>
  <c r="B59" i="3" l="1"/>
  <c r="D53" i="3"/>
  <c r="D23" i="3"/>
  <c r="D6" i="3"/>
  <c r="D48" i="3"/>
  <c r="D12" i="3"/>
  <c r="D10" i="3"/>
  <c r="D26" i="3"/>
  <c r="D42" i="3"/>
  <c r="D58" i="3"/>
  <c r="D49" i="3"/>
  <c r="D7" i="3"/>
  <c r="D27" i="3"/>
  <c r="D17" i="3"/>
  <c r="D5" i="3"/>
  <c r="D33" i="3"/>
  <c r="D66" i="3"/>
  <c r="D8" i="3"/>
  <c r="D40" i="3"/>
  <c r="D14" i="3"/>
  <c r="D44" i="3"/>
  <c r="D60" i="3"/>
  <c r="D52" i="3"/>
  <c r="D41" i="3"/>
  <c r="D65" i="3"/>
  <c r="D67" i="3"/>
  <c r="D54" i="3"/>
  <c r="D24" i="3"/>
  <c r="D51" i="3"/>
  <c r="D20" i="3"/>
  <c r="D55" i="3"/>
  <c r="D39" i="3"/>
  <c r="D25" i="3"/>
  <c r="D4" i="3"/>
  <c r="D57" i="3"/>
  <c r="D15" i="3"/>
  <c r="D35" i="3"/>
  <c r="D19" i="3"/>
  <c r="D63" i="3"/>
  <c r="D16" i="3"/>
  <c r="D28" i="3"/>
  <c r="D32" i="3"/>
  <c r="D56" i="3"/>
  <c r="D62" i="3"/>
  <c r="D64" i="3"/>
  <c r="D34" i="3"/>
  <c r="D59" i="3"/>
  <c r="D45" i="3"/>
  <c r="D50" i="3"/>
  <c r="D36" i="3"/>
  <c r="D61" i="3"/>
  <c r="D46" i="3"/>
  <c r="D30" i="3"/>
  <c r="D11" i="3"/>
  <c r="D18" i="3"/>
  <c r="D9" i="3"/>
  <c r="D43" i="3"/>
  <c r="D21" i="3"/>
  <c r="D31" i="3"/>
  <c r="D22" i="3"/>
  <c r="D13" i="3"/>
  <c r="D37" i="3"/>
  <c r="D47" i="3"/>
  <c r="D38" i="3"/>
  <c r="D29" i="3"/>
  <c r="B63" i="3"/>
  <c r="B30" i="3"/>
  <c r="B18" i="3"/>
  <c r="B22" i="3"/>
  <c r="B12" i="3"/>
  <c r="B38" i="3"/>
  <c r="B42" i="3"/>
  <c r="B3" i="3"/>
  <c r="B54" i="3"/>
  <c r="B58" i="3"/>
  <c r="B67" i="3"/>
  <c r="B32" i="3"/>
  <c r="B28" i="3"/>
  <c r="B60" i="3"/>
  <c r="B64" i="3"/>
  <c r="B23" i="3"/>
  <c r="B6" i="3"/>
  <c r="B48" i="3"/>
  <c r="B13" i="3"/>
  <c r="B8" i="3"/>
  <c r="B4" i="3"/>
  <c r="B24" i="3"/>
  <c r="B21" i="3"/>
  <c r="B55" i="3"/>
  <c r="B56" i="3"/>
  <c r="B40" i="3"/>
  <c r="B35" i="3"/>
  <c r="B20" i="3"/>
  <c r="B53" i="3"/>
  <c r="B50" i="3"/>
  <c r="B51" i="3"/>
  <c r="B36" i="3"/>
  <c r="B66" i="3"/>
  <c r="B44" i="3"/>
  <c r="B29" i="3"/>
  <c r="B52" i="3"/>
  <c r="B15" i="3"/>
  <c r="B25" i="3"/>
  <c r="B45" i="3"/>
  <c r="B65" i="3"/>
  <c r="B31" i="3"/>
  <c r="B41" i="3"/>
  <c r="B33" i="3"/>
  <c r="B11" i="3"/>
  <c r="B62" i="3"/>
  <c r="B49" i="3"/>
  <c r="B34" i="3"/>
  <c r="B5" i="3"/>
  <c r="B7" i="3"/>
  <c r="B39" i="3"/>
  <c r="B47" i="3"/>
  <c r="B57" i="3"/>
  <c r="B14" i="3"/>
  <c r="B37" i="3"/>
  <c r="B61" i="3"/>
  <c r="B27" i="3"/>
  <c r="B9" i="3"/>
  <c r="B19" i="3"/>
  <c r="B10" i="3"/>
  <c r="B43" i="3"/>
  <c r="B46" i="3"/>
  <c r="B17" i="3"/>
  <c r="B16" i="3"/>
  <c r="B26" i="3"/>
  <c r="L15" i="5" a="1"/>
  <c r="D3" i="3"/>
  <c r="I7" i="5" a="1"/>
  <c r="I7" i="5" s="1"/>
  <c r="F3" i="3"/>
  <c r="L163" i="5" a="1"/>
  <c r="L163" i="5" s="1"/>
  <c r="J8" i="5" a="1"/>
  <c r="J8" i="5" s="1"/>
  <c r="I7" i="6" a="1"/>
  <c r="I7" i="6" s="1"/>
  <c r="M86" i="5" a="1"/>
  <c r="M86" i="5" s="1"/>
  <c r="U86" i="5" a="1"/>
  <c r="U86" i="5" s="1"/>
  <c r="Q86" i="5" a="1"/>
  <c r="Q86" i="5" s="1"/>
  <c r="Q86" i="6" a="1"/>
  <c r="Q86" i="6" s="1"/>
  <c r="M86" i="6" a="1"/>
  <c r="M86" i="6" s="1"/>
  <c r="U86" i="6" a="1"/>
  <c r="U86" i="6" s="1"/>
  <c r="L15" i="6" l="1" a="1"/>
  <c r="L15" i="6" s="1"/>
  <c r="U163" i="5" a="1"/>
  <c r="U163" i="5" s="1"/>
  <c r="M163" i="5" a="1"/>
  <c r="M163" i="5" s="1"/>
  <c r="D8" i="5" s="1"/>
  <c r="Q163" i="5" a="1"/>
  <c r="Q163" i="5" s="1"/>
  <c r="F7" i="5"/>
  <c r="L15" i="5"/>
  <c r="F7" i="6" l="1"/>
  <c r="D7" i="6" s="1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H8" i="5"/>
  <c r="B22" i="1"/>
  <c r="C12" i="1" s="1"/>
  <c r="E8" i="5"/>
  <c r="Q15" i="6" a="1"/>
  <c r="Q15" i="6" s="1"/>
  <c r="U15" i="6" a="1"/>
  <c r="U15" i="6" s="1"/>
  <c r="M15" i="6" a="1"/>
  <c r="M15" i="6" s="1"/>
  <c r="C7" i="6" s="1"/>
  <c r="G7" i="6" l="1"/>
  <c r="H7" i="6" s="1"/>
  <c r="E7" i="6"/>
  <c r="H7" i="5"/>
  <c r="B18" i="1"/>
  <c r="B17" i="1"/>
  <c r="E7" i="5"/>
  <c r="C1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<sst xmlns="http://schemas.openxmlformats.org/spreadsheetml/2006/main" count="287" uniqueCount="127">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</sst>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98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f t="array" ref="A11:A12">B11:B12*A7</f>
        <v>100</v>
      </c>
      <c r="B11" s="24">
        <v>1</v>
      </c>
      <c r="C11" s="22">
        <f>B17+B18</f>
        <v>0.88000048431163769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f>B21+B22</f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100" t="str">
        <f>D11</f>
        <v>Normal Bet</v>
      </c>
      <c r="B17" s="18">
        <f>Detail!C7</f>
        <v>0.71999975006627315</v>
      </c>
      <c r="C17" s="102">
        <f>1/D17</f>
        <v>2.6666668741120001E-3</v>
      </c>
      <c r="D17" s="105">
        <f>Detail!G7</f>
        <v>374.99997082800223</v>
      </c>
      <c r="E17" s="15" t="s">
        <v>13</v>
      </c>
      <c r="H17" s="25"/>
      <c r="I17" s="29"/>
      <c r="J17" s="30"/>
    </row>
    <row r="18" spans="1:10" ht="15.6" customHeight="1" x14ac:dyDescent="0.3">
      <c r="A18" s="101"/>
      <c r="B18" s="18">
        <f>Detail!D7</f>
        <v>0.16000073424536454</v>
      </c>
      <c r="C18" s="103"/>
      <c r="D18" s="103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6" t="str">
        <f>D12</f>
        <v>Buy Feature</v>
      </c>
      <c r="B21" s="18">
        <f>Detail!C8</f>
        <v>0</v>
      </c>
      <c r="C21" s="102">
        <f>1/D21</f>
        <v>1</v>
      </c>
      <c r="D21" s="104">
        <v>1</v>
      </c>
      <c r="E21" s="15" t="s">
        <v>13</v>
      </c>
      <c r="H21" s="25"/>
      <c r="I21" s="29"/>
      <c r="J21" s="30"/>
    </row>
    <row r="22" spans="1:10" x14ac:dyDescent="0.3">
      <c r="A22" s="107"/>
      <c r="B22" s="18">
        <f>Detail!D8</f>
        <v>0.92500039351908048</v>
      </c>
      <c r="C22" s="103"/>
      <c r="D22" s="103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99">
        <f>Detail!K163</f>
        <v>0</v>
      </c>
    </row>
    <row r="4" spans="1:6" x14ac:dyDescent="0.3">
      <c r="A4" s="13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99">
        <f>Detail!K164</f>
        <v>0</v>
      </c>
    </row>
    <row r="5" spans="1:6" x14ac:dyDescent="0.3">
      <c r="A5" s="13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99">
        <f>Detail!K165</f>
        <v>0</v>
      </c>
    </row>
    <row r="6" spans="1:6" x14ac:dyDescent="0.3">
      <c r="A6" s="13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99">
        <f>Detail!K166</f>
        <v>0</v>
      </c>
    </row>
    <row r="7" spans="1:6" x14ac:dyDescent="0.3">
      <c r="A7" s="13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99">
        <f>Detail!K167</f>
        <v>0</v>
      </c>
    </row>
    <row r="8" spans="1:6" x14ac:dyDescent="0.3">
      <c r="A8" s="13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99">
        <f>Detail!K168</f>
        <v>0</v>
      </c>
    </row>
    <row r="9" spans="1:6" x14ac:dyDescent="0.3">
      <c r="A9" s="13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99">
        <f>Detail!K169</f>
        <v>0</v>
      </c>
    </row>
    <row r="10" spans="1:6" x14ac:dyDescent="0.3">
      <c r="A10" s="13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99">
        <f>Detail!K170</f>
        <v>0</v>
      </c>
    </row>
    <row r="11" spans="1:6" x14ac:dyDescent="0.3">
      <c r="A11" s="13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99">
        <f>Detail!K171</f>
        <v>0</v>
      </c>
    </row>
    <row r="12" spans="1:6" x14ac:dyDescent="0.3">
      <c r="A12" s="13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99">
        <f>Detail!K172</f>
        <v>0</v>
      </c>
    </row>
    <row r="13" spans="1:6" x14ac:dyDescent="0.3">
      <c r="A13" s="13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99">
        <f>Detail!K173</f>
        <v>0</v>
      </c>
    </row>
    <row r="14" spans="1:6" x14ac:dyDescent="0.3">
      <c r="A14" s="13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99">
        <f>Detail!K174</f>
        <v>0</v>
      </c>
    </row>
    <row r="15" spans="1:6" x14ac:dyDescent="0.3">
      <c r="A15" s="13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99">
        <f>Detail!K175</f>
        <v>0</v>
      </c>
    </row>
    <row r="16" spans="1:6" x14ac:dyDescent="0.3">
      <c r="A16" s="13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56807954</v>
      </c>
      <c r="F16" s="99">
        <f>Detail!K176</f>
        <v>33624101</v>
      </c>
    </row>
    <row r="17" spans="1:6" x14ac:dyDescent="0.3">
      <c r="A17" s="13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1252591</v>
      </c>
      <c r="E17" s="10">
        <f>Detail!K100</f>
        <v>150101929</v>
      </c>
      <c r="F17" s="99">
        <f>Detail!K177</f>
        <v>142495353</v>
      </c>
    </row>
    <row r="18" spans="1:6" x14ac:dyDescent="0.3">
      <c r="A18" s="13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79980935</v>
      </c>
      <c r="F18" s="99">
        <f>Detail!K178</f>
        <v>53611252</v>
      </c>
    </row>
    <row r="19" spans="1:6" x14ac:dyDescent="0.3">
      <c r="A19" s="13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132246110</v>
      </c>
      <c r="F19" s="99">
        <f>Detail!K179</f>
        <v>94377963</v>
      </c>
    </row>
    <row r="20" spans="1:6" x14ac:dyDescent="0.3">
      <c r="A20" s="13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107957063</v>
      </c>
      <c r="F20" s="99">
        <f>Detail!K180</f>
        <v>82045785</v>
      </c>
    </row>
    <row r="21" spans="1:6" x14ac:dyDescent="0.3">
      <c r="A21" s="13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86778826</v>
      </c>
      <c r="F21" s="99">
        <f>Detail!K181</f>
        <v>70222520</v>
      </c>
    </row>
    <row r="22" spans="1:6" x14ac:dyDescent="0.3">
      <c r="A22" s="13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76360256</v>
      </c>
      <c r="F22" s="99">
        <f>Detail!K182</f>
        <v>67928092</v>
      </c>
    </row>
    <row r="23" spans="1:6" x14ac:dyDescent="0.3">
      <c r="A23" s="13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91884316</v>
      </c>
      <c r="F23" s="99">
        <f>Detail!K183</f>
        <v>92830631</v>
      </c>
    </row>
    <row r="24" spans="1:6" x14ac:dyDescent="0.3">
      <c r="A24" s="13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38659022</v>
      </c>
      <c r="F24" s="99">
        <f>Detail!K184</f>
        <v>44401194</v>
      </c>
    </row>
    <row r="25" spans="1:6" x14ac:dyDescent="0.3">
      <c r="A25" s="13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64993215</v>
      </c>
      <c r="F25" s="99">
        <f>Detail!K185</f>
        <v>84947917</v>
      </c>
    </row>
    <row r="26" spans="1:6" x14ac:dyDescent="0.3">
      <c r="A26" s="13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21831226</v>
      </c>
      <c r="F26" s="99">
        <f>Detail!K186</f>
        <v>32505661</v>
      </c>
    </row>
    <row r="27" spans="1:6" x14ac:dyDescent="0.3">
      <c r="A27" s="13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41976423</v>
      </c>
      <c r="F27" s="99">
        <f>Detail!K187</f>
        <v>76061463</v>
      </c>
    </row>
    <row r="28" spans="1:6" x14ac:dyDescent="0.3">
      <c r="A28" s="13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11747032</v>
      </c>
      <c r="F28" s="99">
        <f>Detail!K188</f>
        <v>27838104</v>
      </c>
    </row>
    <row r="29" spans="1:6" x14ac:dyDescent="0.3">
      <c r="A29" s="13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14308642</v>
      </c>
      <c r="F29" s="99">
        <f>Detail!K189</f>
        <v>44588485</v>
      </c>
    </row>
    <row r="30" spans="1:6" x14ac:dyDescent="0.3">
      <c r="A30" s="13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5645901</v>
      </c>
      <c r="F30" s="99">
        <f>Detail!K190</f>
        <v>23313443</v>
      </c>
    </row>
    <row r="31" spans="1:6" x14ac:dyDescent="0.3">
      <c r="A31" s="13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4834726</v>
      </c>
      <c r="F31" s="99">
        <f>Detail!K191</f>
        <v>26669156</v>
      </c>
    </row>
    <row r="32" spans="1:6" x14ac:dyDescent="0.3">
      <c r="A32" s="13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1731698</v>
      </c>
      <c r="F32" s="99">
        <f>Detail!K192</f>
        <v>334549</v>
      </c>
    </row>
    <row r="33" spans="1:6" x14ac:dyDescent="0.3">
      <c r="A33" s="13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1467051</v>
      </c>
      <c r="F33" s="99">
        <f>Detail!K193</f>
        <v>273312</v>
      </c>
    </row>
    <row r="34" spans="1:6" x14ac:dyDescent="0.3">
      <c r="A34" s="13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1278742</v>
      </c>
      <c r="F34" s="99">
        <f>Detail!K194</f>
        <v>231084</v>
      </c>
    </row>
    <row r="35" spans="1:6" x14ac:dyDescent="0.3">
      <c r="A35" s="13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1135605</v>
      </c>
      <c r="F35" s="99">
        <f>Detail!K195</f>
        <v>200118</v>
      </c>
    </row>
    <row r="36" spans="1:6" x14ac:dyDescent="0.3">
      <c r="A36" s="13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1022015</v>
      </c>
      <c r="F36" s="99">
        <f>Detail!K196</f>
        <v>176501</v>
      </c>
    </row>
    <row r="37" spans="1:6" x14ac:dyDescent="0.3">
      <c r="A37" s="13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928253</v>
      </c>
      <c r="F37" s="99">
        <f>Detail!K197</f>
        <v>157835</v>
      </c>
    </row>
    <row r="38" spans="1:6" x14ac:dyDescent="0.3">
      <c r="A38" s="13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849121</v>
      </c>
      <c r="F38" s="99">
        <f>Detail!K198</f>
        <v>142794</v>
      </c>
    </row>
    <row r="39" spans="1:6" x14ac:dyDescent="0.3">
      <c r="A39" s="13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780211</v>
      </c>
      <c r="F39" s="99">
        <f>Detail!K199</f>
        <v>130319</v>
      </c>
    </row>
    <row r="40" spans="1:6" x14ac:dyDescent="0.3">
      <c r="A40" s="13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719610</v>
      </c>
      <c r="F40" s="99">
        <f>Detail!K200</f>
        <v>119894</v>
      </c>
    </row>
    <row r="41" spans="1:6" x14ac:dyDescent="0.3">
      <c r="A41" s="13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664973</v>
      </c>
      <c r="F41" s="99">
        <f>Detail!K201</f>
        <v>110974</v>
      </c>
    </row>
    <row r="42" spans="1:6" x14ac:dyDescent="0.3">
      <c r="A42" s="13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615354</v>
      </c>
      <c r="F42" s="99">
        <f>Detail!K202</f>
        <v>103301</v>
      </c>
    </row>
    <row r="43" spans="1:6" x14ac:dyDescent="0.3">
      <c r="A43" s="13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569855</v>
      </c>
      <c r="F43" s="99">
        <f>Detail!K203</f>
        <v>96638</v>
      </c>
    </row>
    <row r="44" spans="1:6" x14ac:dyDescent="0.3">
      <c r="A44" s="13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527522</v>
      </c>
      <c r="F44" s="99">
        <f>Detail!K204</f>
        <v>90771</v>
      </c>
    </row>
    <row r="45" spans="1:6" x14ac:dyDescent="0.3">
      <c r="A45" s="13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487909</v>
      </c>
      <c r="F45" s="99">
        <f>Detail!K205</f>
        <v>85581</v>
      </c>
    </row>
    <row r="46" spans="1:6" x14ac:dyDescent="0.3">
      <c r="A46" s="13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450478</v>
      </c>
      <c r="F46" s="99">
        <f>Detail!K206</f>
        <v>80942</v>
      </c>
    </row>
    <row r="47" spans="1:6" x14ac:dyDescent="0.3">
      <c r="A47" s="13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415082</v>
      </c>
      <c r="F47" s="99">
        <f>Detail!K207</f>
        <v>76795</v>
      </c>
    </row>
    <row r="48" spans="1:6" x14ac:dyDescent="0.3">
      <c r="A48" s="13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99">
        <f>Detail!K131</f>
        <v>470400</v>
      </c>
      <c r="F48" s="99">
        <f>Detail!K208</f>
        <v>56990</v>
      </c>
    </row>
    <row r="49" spans="1:6" x14ac:dyDescent="0.3">
      <c r="A49" s="13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99">
        <f>Detail!K209</f>
        <v>93220</v>
      </c>
    </row>
    <row r="50" spans="1:6" x14ac:dyDescent="0.3">
      <c r="A50" s="13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99">
        <f>Detail!K210</f>
        <v>0</v>
      </c>
    </row>
    <row r="51" spans="1:6" x14ac:dyDescent="0.3">
      <c r="A51" s="13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99">
        <f>Detail!K211</f>
        <v>0</v>
      </c>
    </row>
    <row r="52" spans="1:6" x14ac:dyDescent="0.3">
      <c r="A52" s="13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99">
        <f>Detail!K212</f>
        <v>0</v>
      </c>
    </row>
    <row r="53" spans="1:6" x14ac:dyDescent="0.3">
      <c r="A53" s="13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99">
        <f>Detail!K213</f>
        <v>0</v>
      </c>
    </row>
    <row r="54" spans="1:6" x14ac:dyDescent="0.3">
      <c r="A54" s="13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99">
        <f>Detail!K214</f>
        <v>0</v>
      </c>
    </row>
    <row r="55" spans="1:6" x14ac:dyDescent="0.3">
      <c r="A55" s="13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99">
        <f>Detail!K215</f>
        <v>0</v>
      </c>
    </row>
    <row r="56" spans="1:6" x14ac:dyDescent="0.3">
      <c r="A56" s="13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3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99">
        <f>Detail!K217</f>
        <v>0</v>
      </c>
    </row>
    <row r="58" spans="1:6" x14ac:dyDescent="0.3">
      <c r="A58" s="13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99">
        <f>Detail!K218</f>
        <v>0</v>
      </c>
    </row>
    <row r="59" spans="1:6" x14ac:dyDescent="0.3">
      <c r="A59" s="13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99">
        <f>Detail!K219</f>
        <v>0</v>
      </c>
    </row>
    <row r="60" spans="1:6" x14ac:dyDescent="0.3">
      <c r="A60" s="13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99">
        <f>Detail!K220</f>
        <v>0</v>
      </c>
    </row>
    <row r="61" spans="1:6" x14ac:dyDescent="0.3">
      <c r="A61" s="13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99">
        <f>Detail!K221</f>
        <v>0</v>
      </c>
    </row>
    <row r="62" spans="1:6" x14ac:dyDescent="0.3">
      <c r="A62" s="13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99">
        <f>Detail!K222</f>
        <v>0</v>
      </c>
    </row>
    <row r="63" spans="1:6" x14ac:dyDescent="0.3">
      <c r="A63" s="13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99">
        <f>Detail!K223</f>
        <v>0</v>
      </c>
    </row>
    <row r="64" spans="1:6" x14ac:dyDescent="0.3">
      <c r="A64" s="13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99">
        <f>Detail!K224</f>
        <v>0</v>
      </c>
    </row>
    <row r="65" spans="1:7" x14ac:dyDescent="0.3">
      <c r="A65" s="13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99">
        <f>Detail!K225</f>
        <v>0</v>
      </c>
    </row>
    <row r="66" spans="1:7" x14ac:dyDescent="0.3">
      <c r="A66" s="13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99">
        <f>Detail!K226</f>
        <v>0</v>
      </c>
    </row>
    <row r="67" spans="1:7" x14ac:dyDescent="0.3">
      <c r="A67" s="13" t="s">
        <v>14</v>
      </c>
      <c r="B67" s="10">
        <f>Detail_Newbie!K79</f>
        <v>3590649</v>
      </c>
      <c r="C67" s="34">
        <v>0</v>
      </c>
      <c r="D67" s="32">
        <f>Detail!K79</f>
        <v>2673797</v>
      </c>
      <c r="E67" s="32">
        <v>0</v>
      </c>
      <c r="F67" s="99"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f t="array" ref="B7:B8">Overview!B11:B12</f>
        <v>1</v>
      </c>
      <c r="C7" s="39">
        <f>SUM(M15:M79)</f>
        <v>0.71999975006627315</v>
      </c>
      <c r="D7" s="39">
        <f>SUM(_xlfn.ANCHORARRAY(M86))*F7</f>
        <v>0.16000073424536454</v>
      </c>
      <c r="E7" s="40">
        <f>SUM(C7:D7)</f>
        <v>0.88000048431163769</v>
      </c>
      <c r="F7" s="41">
        <f>L79</f>
        <v>2.6666668741120001E-3</v>
      </c>
      <c r="G7" s="42">
        <f>1/F7</f>
        <v>374.99997082800223</v>
      </c>
      <c r="H7" s="43">
        <f>D7*G7</f>
        <v>60.000270674470642</v>
      </c>
      <c r="I7" s="59" cm="1">
        <f t="array" ref="I7">LOOKUP(2,1/(K15:K78&lt;&gt;0),P15:P78)</f>
        <v>70</v>
      </c>
      <c r="J7" s="59">
        <f>LOOKUP(2,1/(K86:K149&lt;&gt;0),P15:P78)</f>
        <v>2000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f>M156/B8</f>
        <v>0</v>
      </c>
      <c r="D8" s="39">
        <f>SUM(_xlfn.ANCHORARRAY(M163))/B8</f>
        <v>0.92500039351908048</v>
      </c>
      <c r="E8" s="40">
        <f>SUM(C8:D8)</f>
        <v>0.92500039351908048</v>
      </c>
      <c r="F8" s="44">
        <f>D156</f>
        <v>1</v>
      </c>
      <c r="G8" s="42">
        <f>1/F8</f>
        <v>1</v>
      </c>
      <c r="H8" s="43">
        <f>D8*G8*B8</f>
        <v>69.37502951393104</v>
      </c>
      <c r="I8" s="60"/>
      <c r="J8" s="60">
        <f>LOOKUP(2,1/(K163:K226&lt;&gt;0),P15:P78)</f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46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9">_xlfn.LET(_xlpm.x, C15:C79/B15:B79/B3, IF(ISERR(_xlpm.x), 0, _xlpm.x))</f>
        <v>0</v>
      </c>
      <c r="G15" s="13" t="str">
        <f t="shared" ref="G15:G46" si="1">"("&amp;$O15&amp;", "&amp;$P15&amp;"]"</f>
        <v>(-1, 0]</v>
      </c>
      <c r="H15" s="69">
        <v>1.1604780144820901</v>
      </c>
      <c r="I15" s="35" cm="1">
        <f t="array" ref="I15:I79">D15:D79*H15:H79</f>
        <v>0.72503071299999922</v>
      </c>
      <c r="J15" s="35" cm="1">
        <f t="array" ref="J15:J78">I15:I78/SUM(I15:I78)</f>
        <v>0.72503071299999966</v>
      </c>
      <c r="K15" s="70" cm="1">
        <f t="array" ref="K15:K79">ROUND(J15:J79*$B$2,0)</f>
        <v>725030713</v>
      </c>
      <c r="L15" s="35" cm="1">
        <f t="array" ref="L15:L79">_xlfn.LET(_xlpm.x, K15:K79, _xlpm.x/SUM(_xlpm.x))</f>
        <v>0.72309729761492914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0.72309729761492914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1.07776112492533</v>
      </c>
      <c r="I16" s="35">
        <v>0.1544037349999999</v>
      </c>
      <c r="J16" s="35">
        <v>0.15440373500000001</v>
      </c>
      <c r="K16" s="70">
        <v>154403735</v>
      </c>
      <c r="L16" s="35">
        <v>0.15399199167463634</v>
      </c>
      <c r="M16" s="35">
        <v>6.6793293722988187E-2</v>
      </c>
      <c r="N16" s="72"/>
      <c r="O16" s="58">
        <v>0</v>
      </c>
      <c r="P16" s="58">
        <v>1</v>
      </c>
      <c r="Q16" s="35">
        <v>0.15399199167463634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0.82606973445226295</v>
      </c>
      <c r="I17" s="35">
        <v>4.5377699000000021E-2</v>
      </c>
      <c r="J17" s="35">
        <v>4.5377699000000049E-2</v>
      </c>
      <c r="K17" s="70">
        <v>45377699</v>
      </c>
      <c r="L17" s="35">
        <v>4.5256691793253277E-2</v>
      </c>
      <c r="M17" s="35">
        <v>6.813381154482441E-2</v>
      </c>
      <c r="N17" s="72"/>
      <c r="O17" s="58">
        <v>1</v>
      </c>
      <c r="P17" s="58">
        <v>2</v>
      </c>
      <c r="Q17" s="35">
        <v>4.5256691793253277E-2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0.63091231095202804</v>
      </c>
      <c r="I18" s="35">
        <v>2.0846902999999993E-2</v>
      </c>
      <c r="J18" s="35">
        <v>2.0846903000000007E-2</v>
      </c>
      <c r="K18" s="70">
        <v>20846903</v>
      </c>
      <c r="L18" s="35">
        <v>2.0791311254342075E-2</v>
      </c>
      <c r="M18" s="35">
        <v>5.2634899145511969E-2</v>
      </c>
      <c r="N18" s="72"/>
      <c r="O18" s="58">
        <v>2</v>
      </c>
      <c r="P18" s="58">
        <v>3</v>
      </c>
      <c r="Q18" s="35">
        <v>2.0791311254342075E-2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0.56052679903185998</v>
      </c>
      <c r="I19" s="35">
        <v>1.2823319000000005E-2</v>
      </c>
      <c r="J19" s="35">
        <v>1.2823319000000014E-2</v>
      </c>
      <c r="K19" s="70">
        <v>12823319</v>
      </c>
      <c r="L19" s="35">
        <v>1.2789123480006529E-2</v>
      </c>
      <c r="M19" s="35">
        <v>4.5123951168203599E-2</v>
      </c>
      <c r="N19" s="72"/>
      <c r="O19" s="58">
        <v>3</v>
      </c>
      <c r="P19" s="58">
        <v>4</v>
      </c>
      <c r="Q19" s="35">
        <v>1.2789123480006529E-2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0.49203836529390199</v>
      </c>
      <c r="I20" s="35">
        <v>8.3494929999999943E-3</v>
      </c>
      <c r="J20" s="35">
        <v>8.3494929999999995E-3</v>
      </c>
      <c r="K20" s="70">
        <v>8349493</v>
      </c>
      <c r="L20" s="35">
        <v>8.3272276836012706E-3</v>
      </c>
      <c r="M20" s="35">
        <v>3.7743540962839078E-2</v>
      </c>
      <c r="N20" s="72"/>
      <c r="O20" s="58">
        <v>4</v>
      </c>
      <c r="P20" s="58">
        <v>5</v>
      </c>
      <c r="Q20" s="35">
        <v>8.3272276836012706E-3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0.47953155044381501</v>
      </c>
      <c r="I21" s="35">
        <v>6.4608710000000017E-3</v>
      </c>
      <c r="J21" s="35">
        <v>6.460871000000006E-3</v>
      </c>
      <c r="K21" s="70">
        <v>6460871</v>
      </c>
      <c r="L21" s="35">
        <v>6.4436420093263889E-3</v>
      </c>
      <c r="M21" s="35">
        <v>3.5777565449229033E-2</v>
      </c>
      <c r="N21" s="72"/>
      <c r="O21" s="58">
        <v>5</v>
      </c>
      <c r="P21" s="58">
        <v>6</v>
      </c>
      <c r="Q21" s="35">
        <v>6.4436420093263889E-3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0.32776489000930298</v>
      </c>
      <c r="I22" s="35">
        <v>3.4873260000000007E-3</v>
      </c>
      <c r="J22" s="35">
        <v>3.4873260000000028E-3</v>
      </c>
      <c r="K22" s="70">
        <v>3487326</v>
      </c>
      <c r="L22" s="35">
        <v>3.4780264632765707E-3</v>
      </c>
      <c r="M22" s="35">
        <v>2.2692647087581664E-2</v>
      </c>
      <c r="N22" s="72"/>
      <c r="O22" s="58">
        <v>6</v>
      </c>
      <c r="P22" s="58">
        <v>7</v>
      </c>
      <c r="Q22" s="35">
        <v>3.4780264632765707E-3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0.43795315136134999</v>
      </c>
      <c r="I23" s="35">
        <v>3.9212950000000009E-3</v>
      </c>
      <c r="J23" s="35">
        <v>3.9212950000000035E-3</v>
      </c>
      <c r="K23" s="70">
        <v>3921295</v>
      </c>
      <c r="L23" s="35">
        <v>3.9108382125198791E-3</v>
      </c>
      <c r="M23" s="35">
        <v>2.9458081384833995E-2</v>
      </c>
      <c r="N23" s="72"/>
      <c r="O23" s="58">
        <v>7</v>
      </c>
      <c r="P23" s="58">
        <v>8</v>
      </c>
      <c r="Q23" s="35">
        <v>3.9108382125198791E-3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0.42260972510374101</v>
      </c>
      <c r="I24" s="35">
        <v>3.1813459999999977E-3</v>
      </c>
      <c r="J24" s="35">
        <v>3.1813459999999998E-3</v>
      </c>
      <c r="K24" s="70">
        <v>3181346</v>
      </c>
      <c r="L24" s="35">
        <v>3.1728624100067111E-3</v>
      </c>
      <c r="M24" s="35">
        <v>2.7135441226459542E-2</v>
      </c>
      <c r="N24" s="72"/>
      <c r="O24" s="58">
        <v>8</v>
      </c>
      <c r="P24" s="58">
        <v>9</v>
      </c>
      <c r="Q24" s="35">
        <v>3.1728624100067111E-3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0.33227878043479298</v>
      </c>
      <c r="I25" s="35">
        <v>2.0684589999999973E-3</v>
      </c>
      <c r="J25" s="35">
        <v>2.0684589999999986E-3</v>
      </c>
      <c r="K25" s="70">
        <v>2068459</v>
      </c>
      <c r="L25" s="35">
        <v>2.0629431089042413E-3</v>
      </c>
      <c r="M25" s="35">
        <v>1.9676073914850337E-2</v>
      </c>
      <c r="N25" s="72"/>
      <c r="O25" s="58">
        <v>9</v>
      </c>
      <c r="P25" s="58">
        <v>10</v>
      </c>
      <c r="Q25" s="35">
        <v>2.0629431089042413E-3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0.304065257741716</v>
      </c>
      <c r="I26" s="35">
        <v>6.2971550000000091E-3</v>
      </c>
      <c r="J26" s="35">
        <v>6.2971550000000135E-3</v>
      </c>
      <c r="K26" s="70">
        <v>6297155</v>
      </c>
      <c r="L26" s="35">
        <v>6.2803625853603516E-3</v>
      </c>
      <c r="M26" s="35">
        <v>7.7124321300342927E-2</v>
      </c>
      <c r="N26" s="72"/>
      <c r="O26" s="58">
        <v>10</v>
      </c>
      <c r="P26" s="58">
        <v>15</v>
      </c>
      <c r="Q26" s="35">
        <v>6.2803625853603516E-3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0.24545516893595601</v>
      </c>
      <c r="I27" s="35">
        <v>2.7378990000000041E-3</v>
      </c>
      <c r="J27" s="35">
        <v>2.7378990000000059E-3</v>
      </c>
      <c r="K27" s="70">
        <v>2737899</v>
      </c>
      <c r="L27" s="35">
        <v>2.7305979354320356E-3</v>
      </c>
      <c r="M27" s="35">
        <v>4.733982519514518E-2</v>
      </c>
      <c r="N27" s="72"/>
      <c r="O27" s="58">
        <v>15</v>
      </c>
      <c r="P27" s="58">
        <v>20</v>
      </c>
      <c r="Q27" s="35">
        <v>2.7305979354320356E-3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0.229838270735234</v>
      </c>
      <c r="I28" s="35">
        <v>1.5497419999999989E-3</v>
      </c>
      <c r="J28" s="35">
        <v>1.549742E-3</v>
      </c>
      <c r="K28" s="70">
        <v>1549742</v>
      </c>
      <c r="L28" s="35">
        <v>1.54560935434518E-3</v>
      </c>
      <c r="M28" s="35">
        <v>3.4572637680754123E-2</v>
      </c>
      <c r="N28" s="72"/>
      <c r="O28" s="58">
        <v>20</v>
      </c>
      <c r="P28" s="58">
        <v>25</v>
      </c>
      <c r="Q28" s="35">
        <v>1.54560935434518E-3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0.27966250035164603</v>
      </c>
      <c r="I29" s="35">
        <v>1.2525910000000008E-3</v>
      </c>
      <c r="J29" s="35">
        <v>1.2525910000000017E-3</v>
      </c>
      <c r="K29" s="70">
        <v>1252591</v>
      </c>
      <c r="L29" s="35">
        <v>1.2492507570734891E-3</v>
      </c>
      <c r="M29" s="35">
        <v>3.4224683179918419E-2</v>
      </c>
      <c r="N29" s="72"/>
      <c r="O29" s="58">
        <v>25</v>
      </c>
      <c r="P29" s="58">
        <v>30</v>
      </c>
      <c r="Q29" s="35">
        <v>1.2492507570734891E-3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0.198966783996778</v>
      </c>
      <c r="I30" s="35">
        <v>6.0070400000000041E-4</v>
      </c>
      <c r="J30" s="35">
        <v>6.0070400000000084E-4</v>
      </c>
      <c r="K30" s="70">
        <v>600704</v>
      </c>
      <c r="L30" s="35">
        <v>5.9910212254205345E-4</v>
      </c>
      <c r="M30" s="35">
        <v>1.9409912511469181E-2</v>
      </c>
      <c r="N30" s="72"/>
      <c r="O30" s="58">
        <v>30</v>
      </c>
      <c r="P30" s="58">
        <v>35</v>
      </c>
      <c r="Q30" s="35">
        <v>5.9910212254205345E-4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0.188718644657418</v>
      </c>
      <c r="I31" s="35">
        <v>4.1662999999999921E-4</v>
      </c>
      <c r="J31" s="35">
        <v>4.1662999999999949E-4</v>
      </c>
      <c r="K31" s="70">
        <v>416630</v>
      </c>
      <c r="L31" s="35">
        <v>4.155189865802387E-4</v>
      </c>
      <c r="M31" s="35">
        <v>1.5556335981383399E-2</v>
      </c>
      <c r="N31" s="72"/>
      <c r="O31" s="58">
        <v>35</v>
      </c>
      <c r="P31" s="58">
        <v>40</v>
      </c>
      <c r="Q31" s="35">
        <v>4.155189865802387E-4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0.15505774715088599</v>
      </c>
      <c r="I32" s="35">
        <v>2.5543500000000063E-4</v>
      </c>
      <c r="J32" s="35">
        <v>2.554350000000008E-4</v>
      </c>
      <c r="K32" s="70">
        <v>255435</v>
      </c>
      <c r="L32" s="35">
        <v>2.5475383994701123E-4</v>
      </c>
      <c r="M32" s="35">
        <v>1.0811058875973487E-2</v>
      </c>
      <c r="N32" s="72"/>
      <c r="O32" s="58">
        <v>40</v>
      </c>
      <c r="P32" s="58">
        <v>45</v>
      </c>
      <c r="Q32" s="35">
        <v>2.5475383994701123E-4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0.17419128576775</v>
      </c>
      <c r="I33" s="35">
        <v>2.1456900000000023E-4</v>
      </c>
      <c r="J33" s="35">
        <v>2.1456900000000036E-4</v>
      </c>
      <c r="K33" s="70">
        <v>214569</v>
      </c>
      <c r="L33" s="35">
        <v>2.1399681595548866E-4</v>
      </c>
      <c r="M33" s="35">
        <v>1.0156367599112264E-2</v>
      </c>
      <c r="N33" s="72"/>
      <c r="O33" s="58">
        <v>45</v>
      </c>
      <c r="P33" s="58">
        <v>50</v>
      </c>
      <c r="Q33" s="35">
        <v>2.1399681595548866E-4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0.26128500842420999</v>
      </c>
      <c r="I34" s="35">
        <v>4.6043199999999966E-4</v>
      </c>
      <c r="J34" s="35">
        <v>4.6043199999999999E-4</v>
      </c>
      <c r="K34" s="70">
        <v>460432</v>
      </c>
      <c r="L34" s="35">
        <v>4.5920418123781886E-4</v>
      </c>
      <c r="M34" s="35">
        <v>2.5119263507866151E-2</v>
      </c>
      <c r="N34" s="72"/>
      <c r="O34" s="58">
        <v>50</v>
      </c>
      <c r="P34" s="58">
        <v>60</v>
      </c>
      <c r="Q34" s="35">
        <v>4.5920418123781886E-4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0.23637023723617401</v>
      </c>
      <c r="I35" s="35">
        <v>2.6368400000000009E-4</v>
      </c>
      <c r="J35" s="35">
        <v>2.6368400000000025E-4</v>
      </c>
      <c r="K35" s="70">
        <v>263684</v>
      </c>
      <c r="L35" s="35">
        <v>2.6298084261196664E-4</v>
      </c>
      <c r="M35" s="35">
        <v>1.7010791410294594E-2</v>
      </c>
      <c r="N35" s="72"/>
      <c r="O35" s="58">
        <v>60</v>
      </c>
      <c r="P35" s="58">
        <v>70</v>
      </c>
      <c r="Q35" s="35">
        <v>2.6298084261196664E-4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ref="A47:A78" si="2">"("&amp;$O47&amp;", "&amp;$P47&amp;"]"</f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ref="G47:G78" si="3">"("&amp;$O47&amp;", "&amp;$P47&amp;"]"</f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2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3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2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3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2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3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2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3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2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3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2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3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2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3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2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3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2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3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2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3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2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3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2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3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2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3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2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3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2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3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2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3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2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3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2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3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2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3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2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3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2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3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2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3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2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3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2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3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2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3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2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3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2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3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2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3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2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3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2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3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2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3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68">
        <v>8.8144670205643152</v>
      </c>
      <c r="F79" s="76"/>
      <c r="G79" s="13" t="s">
        <v>115</v>
      </c>
      <c r="H79" s="69">
        <v>0.38211756938197</v>
      </c>
      <c r="I79" s="35">
        <v>2.6737969999999995E-3</v>
      </c>
      <c r="J79" s="35">
        <f>I79</f>
        <v>2.6737969999999995E-3</v>
      </c>
      <c r="K79" s="71">
        <v>2673797</v>
      </c>
      <c r="L79" s="35">
        <v>2.6666668741120001E-3</v>
      </c>
      <c r="M79" s="35">
        <v>2.3505247216691557E-2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17" si="4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17" si="5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4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5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4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5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4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5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4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5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4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5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4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5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4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5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4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5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4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5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4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5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4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5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4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5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4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5"/>
        <v>(20, 25]</v>
      </c>
      <c r="H99" s="69">
        <v>2.3787627458395</v>
      </c>
      <c r="I99" s="35">
        <v>5.6807953999999952E-2</v>
      </c>
      <c r="J99" s="35">
        <v>5.6807953999999987E-2</v>
      </c>
      <c r="K99" s="70">
        <v>56807954</v>
      </c>
      <c r="L99" s="35">
        <v>5.6795035685158229E-2</v>
      </c>
      <c r="M99" s="35">
        <v>1.2817264924285758</v>
      </c>
      <c r="N99" s="72"/>
      <c r="O99" s="58">
        <v>20</v>
      </c>
      <c r="P99" s="58">
        <v>25</v>
      </c>
      <c r="Q99" s="35">
        <v>5.6795035685158229E-2</v>
      </c>
      <c r="R99" s="35">
        <v>2.069E-2</v>
      </c>
      <c r="T99" s="35"/>
      <c r="U99" s="73">
        <v>0</v>
      </c>
    </row>
    <row r="100" spans="1:21" x14ac:dyDescent="0.3">
      <c r="A100" s="13" t="str">
        <f t="shared" si="4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5"/>
        <v>(25, 30]</v>
      </c>
      <c r="H100" s="69">
        <v>6.0808953024243202</v>
      </c>
      <c r="I100" s="35">
        <v>0.15010192900000011</v>
      </c>
      <c r="J100" s="35">
        <v>0.15010192900000022</v>
      </c>
      <c r="K100" s="70">
        <v>150101929</v>
      </c>
      <c r="L100" s="35">
        <v>0.15006779532961331</v>
      </c>
      <c r="M100" s="35">
        <v>4.1370610630841878</v>
      </c>
      <c r="N100" s="72"/>
      <c r="O100" s="58">
        <v>25</v>
      </c>
      <c r="P100" s="58">
        <v>30</v>
      </c>
      <c r="Q100" s="35">
        <v>0.15006779532961331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4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5"/>
        <v>(30, 35]</v>
      </c>
      <c r="H101" s="69">
        <v>3.26048108146093</v>
      </c>
      <c r="I101" s="35">
        <v>7.9980934999999892E-2</v>
      </c>
      <c r="J101" s="35">
        <v>7.9980934999999947E-2</v>
      </c>
      <c r="K101" s="70">
        <v>79980935</v>
      </c>
      <c r="L101" s="35">
        <v>7.9962747073364426E-2</v>
      </c>
      <c r="M101" s="35">
        <v>2.6033927269457831</v>
      </c>
      <c r="N101" s="72"/>
      <c r="O101" s="58">
        <v>30</v>
      </c>
      <c r="P101" s="58">
        <v>35</v>
      </c>
      <c r="Q101" s="35">
        <v>7.9962747073364426E-2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4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5"/>
        <v>(35, 40]</v>
      </c>
      <c r="H102" s="69">
        <v>5.3568421036478604</v>
      </c>
      <c r="I102" s="35">
        <v>0.13224610999999994</v>
      </c>
      <c r="J102" s="35">
        <v>0.13224611000000003</v>
      </c>
      <c r="K102" s="70">
        <v>132246110</v>
      </c>
      <c r="L102" s="35">
        <v>0.13221603680134936</v>
      </c>
      <c r="M102" s="35">
        <v>4.9651641786519818</v>
      </c>
      <c r="N102" s="72"/>
      <c r="O102" s="58">
        <v>35</v>
      </c>
      <c r="P102" s="58">
        <v>40</v>
      </c>
      <c r="Q102" s="35">
        <v>0.13221603680134936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4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5"/>
        <v>(40, 45]</v>
      </c>
      <c r="H103" s="69">
        <v>4.4375298198096997</v>
      </c>
      <c r="I103" s="35">
        <v>0.10795706299999996</v>
      </c>
      <c r="J103" s="35">
        <v>0.10795706300000003</v>
      </c>
      <c r="K103" s="70">
        <v>107957063</v>
      </c>
      <c r="L103" s="35">
        <v>0.10793251321020778</v>
      </c>
      <c r="M103" s="35">
        <v>4.5926607278439144</v>
      </c>
      <c r="N103" s="72"/>
      <c r="O103" s="58">
        <v>40</v>
      </c>
      <c r="P103" s="58">
        <v>45</v>
      </c>
      <c r="Q103" s="35">
        <v>0.10793251321020778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4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5"/>
        <v>(45, 50]</v>
      </c>
      <c r="H104" s="69">
        <v>3.6134296221380602</v>
      </c>
      <c r="I104" s="35">
        <v>8.6778826000000045E-2</v>
      </c>
      <c r="J104" s="35">
        <v>8.67788260000001E-2</v>
      </c>
      <c r="K104" s="70">
        <v>86778826</v>
      </c>
      <c r="L104" s="35">
        <v>8.6759092210681218E-2</v>
      </c>
      <c r="M104" s="35">
        <v>4.1249992313306389</v>
      </c>
      <c r="N104" s="72"/>
      <c r="O104" s="58">
        <v>45</v>
      </c>
      <c r="P104" s="58">
        <v>50</v>
      </c>
      <c r="Q104" s="35">
        <v>8.6759092210681218E-2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4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5"/>
        <v>(50, 60]</v>
      </c>
      <c r="H105" s="69">
        <v>1.65079699421834</v>
      </c>
      <c r="I105" s="35">
        <v>7.6360255999999793E-2</v>
      </c>
      <c r="J105" s="35">
        <v>7.6360255999999849E-2</v>
      </c>
      <c r="K105" s="70">
        <v>76360256</v>
      </c>
      <c r="L105" s="35">
        <v>7.634289142763033E-2</v>
      </c>
      <c r="M105" s="35">
        <v>4.1998609004232383</v>
      </c>
      <c r="N105" s="72"/>
      <c r="O105" s="58">
        <v>50</v>
      </c>
      <c r="P105" s="58">
        <v>60</v>
      </c>
      <c r="Q105" s="35">
        <v>7.634289142763033E-2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4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5"/>
        <v>(60, 70]</v>
      </c>
      <c r="H106" s="69">
        <v>2.0960878367696498</v>
      </c>
      <c r="I106" s="35">
        <v>9.1884315999999785E-2</v>
      </c>
      <c r="J106" s="35">
        <v>9.1884315999999841E-2</v>
      </c>
      <c r="K106" s="70">
        <v>91884316</v>
      </c>
      <c r="L106" s="35">
        <v>9.1863421205529691E-2</v>
      </c>
      <c r="M106" s="35">
        <v>5.9717650494454322</v>
      </c>
      <c r="N106" s="72"/>
      <c r="O106" s="58">
        <v>60</v>
      </c>
      <c r="P106" s="58">
        <v>70</v>
      </c>
      <c r="Q106" s="35">
        <v>9.1863421205529691E-2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4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5"/>
        <v>(70, 80]</v>
      </c>
      <c r="H107" s="69">
        <v>0.92907457935818805</v>
      </c>
      <c r="I107" s="35">
        <v>3.8659022000000001E-2</v>
      </c>
      <c r="J107" s="35">
        <v>3.8659022000000029E-2</v>
      </c>
      <c r="K107" s="70">
        <v>38659022</v>
      </c>
      <c r="L107" s="35">
        <v>3.8650230811750716E-2</v>
      </c>
      <c r="M107" s="35">
        <v>2.8987061416741393</v>
      </c>
      <c r="N107" s="72"/>
      <c r="O107" s="58">
        <v>70</v>
      </c>
      <c r="P107" s="58">
        <v>80</v>
      </c>
      <c r="Q107" s="35">
        <v>3.8650230811750716E-2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4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5"/>
        <v>(80, 90]</v>
      </c>
      <c r="H108" s="69">
        <v>1.67063282951493</v>
      </c>
      <c r="I108" s="35">
        <v>6.4993214999999951E-2</v>
      </c>
      <c r="J108" s="35">
        <v>6.4993214999999993E-2</v>
      </c>
      <c r="K108" s="70">
        <v>64993215</v>
      </c>
      <c r="L108" s="35">
        <v>6.4978435329992021E-2</v>
      </c>
      <c r="M108" s="35">
        <v>5.5223390990268308</v>
      </c>
      <c r="N108" s="72"/>
      <c r="O108" s="58">
        <v>80</v>
      </c>
      <c r="P108" s="58">
        <v>90</v>
      </c>
      <c r="Q108" s="35">
        <v>6.4978435329992021E-2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4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5"/>
        <v>(90, 100]</v>
      </c>
      <c r="H109" s="80">
        <v>0.60218770142185896</v>
      </c>
      <c r="I109" s="78">
        <v>2.1831226000000009E-2</v>
      </c>
      <c r="J109" s="78">
        <v>2.1831226000000023E-2</v>
      </c>
      <c r="K109" s="70">
        <v>21831226</v>
      </c>
      <c r="L109" s="78">
        <v>2.1826261507688769E-2</v>
      </c>
      <c r="M109" s="78">
        <v>2.0735125417107412</v>
      </c>
      <c r="N109" s="72"/>
      <c r="O109" s="58">
        <v>90</v>
      </c>
      <c r="P109" s="58">
        <v>100</v>
      </c>
      <c r="Q109" s="35">
        <v>2.1826261507688769E-2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4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5"/>
        <v>(100, 120]</v>
      </c>
      <c r="H110" s="80">
        <v>0.64300953452492704</v>
      </c>
      <c r="I110" s="78">
        <v>4.1976422999999999E-2</v>
      </c>
      <c r="J110" s="78">
        <v>4.1976423000000027E-2</v>
      </c>
      <c r="K110" s="70">
        <v>41976423</v>
      </c>
      <c r="L110" s="78">
        <v>4.196687742389555E-2</v>
      </c>
      <c r="M110" s="78">
        <v>4.6093557590793814</v>
      </c>
      <c r="N110" s="72"/>
      <c r="O110" s="58">
        <v>100</v>
      </c>
      <c r="P110" s="58">
        <v>120</v>
      </c>
      <c r="Q110" s="35">
        <v>4.196687742389555E-2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4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5"/>
        <v>(120, 140]</v>
      </c>
      <c r="H111" s="80">
        <v>0.20766797255037101</v>
      </c>
      <c r="I111" s="78">
        <v>1.1747031999999999E-2</v>
      </c>
      <c r="J111" s="78">
        <v>1.1747032000000008E-2</v>
      </c>
      <c r="K111" s="70">
        <v>11747032</v>
      </c>
      <c r="L111" s="78">
        <v>1.1744360686440065E-2</v>
      </c>
      <c r="M111" s="78">
        <v>1.5245705730555594</v>
      </c>
      <c r="N111" s="72"/>
      <c r="O111" s="58">
        <v>120</v>
      </c>
      <c r="P111" s="58">
        <v>140</v>
      </c>
      <c r="Q111" s="35">
        <v>1.1744360686440065E-2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4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5"/>
        <v>(140, 160]</v>
      </c>
      <c r="H112" s="80">
        <v>0.29144989912476599</v>
      </c>
      <c r="I112" s="78">
        <v>1.4308641999999998E-2</v>
      </c>
      <c r="J112" s="78">
        <v>1.4308642000000007E-2</v>
      </c>
      <c r="K112" s="70">
        <v>14308642</v>
      </c>
      <c r="L112" s="78">
        <v>1.4305388167934262E-2</v>
      </c>
      <c r="M112" s="78">
        <v>2.1430051489011461</v>
      </c>
      <c r="N112" s="72"/>
      <c r="O112" s="58">
        <v>140</v>
      </c>
      <c r="P112" s="58">
        <v>160</v>
      </c>
      <c r="Q112" s="35">
        <v>1.4305388167934262E-2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4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5"/>
        <v>(160, 180]</v>
      </c>
      <c r="H113" s="80">
        <v>0.132292175401553</v>
      </c>
      <c r="I113" s="78">
        <v>5.6459009999999957E-3</v>
      </c>
      <c r="J113" s="78">
        <v>5.6459009999999992E-3</v>
      </c>
      <c r="K113" s="70">
        <v>5645901</v>
      </c>
      <c r="L113" s="78">
        <v>5.644617103616697E-3</v>
      </c>
      <c r="M113" s="78">
        <v>0.95850187501357953</v>
      </c>
      <c r="N113" s="72"/>
      <c r="O113" s="58">
        <v>160</v>
      </c>
      <c r="P113" s="58">
        <v>180</v>
      </c>
      <c r="Q113" s="35">
        <v>5.644617103616697E-3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4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5"/>
        <v>(180, 200]</v>
      </c>
      <c r="H114" s="80">
        <v>0.13095337005806401</v>
      </c>
      <c r="I114" s="78">
        <v>4.8347260000000123E-3</v>
      </c>
      <c r="J114" s="78">
        <v>4.8347260000000157E-3</v>
      </c>
      <c r="K114" s="70">
        <v>4834726</v>
      </c>
      <c r="L114" s="78">
        <v>4.8336265674690966E-3</v>
      </c>
      <c r="M114" s="78">
        <v>0.91745589951766415</v>
      </c>
      <c r="N114" s="72"/>
      <c r="O114" s="58">
        <v>180</v>
      </c>
      <c r="P114" s="58">
        <v>200</v>
      </c>
      <c r="Q114" s="35">
        <v>4.8336265674690966E-3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4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5"/>
        <v>(200, 250]</v>
      </c>
      <c r="H115" s="80">
        <v>2.3600883464258499E-2</v>
      </c>
      <c r="I115" s="78">
        <v>1.7316979999999987E-3</v>
      </c>
      <c r="J115" s="78">
        <v>1.7316979999999998E-3</v>
      </c>
      <c r="K115" s="70">
        <v>1731698</v>
      </c>
      <c r="L115" s="78">
        <v>1.7313042062017784E-3</v>
      </c>
      <c r="M115" s="78">
        <v>0.38720720189379143</v>
      </c>
      <c r="N115" s="72"/>
      <c r="O115" s="58">
        <v>200</v>
      </c>
      <c r="P115" s="58">
        <v>250</v>
      </c>
      <c r="Q115" s="35">
        <v>1.7313042062017784E-3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4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5"/>
        <v>(250, 300]</v>
      </c>
      <c r="H116" s="80">
        <v>2.7696614939820001E-2</v>
      </c>
      <c r="I116" s="78">
        <v>1.4670510000000007E-3</v>
      </c>
      <c r="J116" s="78">
        <v>1.4670510000000018E-3</v>
      </c>
      <c r="K116" s="70">
        <v>1467051</v>
      </c>
      <c r="L116" s="78">
        <v>1.4667173877965587E-3</v>
      </c>
      <c r="M116" s="78">
        <v>0.40152991959954343</v>
      </c>
      <c r="N116" s="72"/>
      <c r="O116" s="58">
        <v>250</v>
      </c>
      <c r="P116" s="58">
        <v>300</v>
      </c>
      <c r="Q116" s="35">
        <v>1.4667173877965587E-3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4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5"/>
        <v>(300, 350]</v>
      </c>
      <c r="H117" s="80">
        <v>3.2649745041032199E-2</v>
      </c>
      <c r="I117" s="78">
        <v>1.2787419999999996E-3</v>
      </c>
      <c r="J117" s="78">
        <v>1.2787420000000005E-3</v>
      </c>
      <c r="K117" s="70">
        <v>1278742</v>
      </c>
      <c r="L117" s="78">
        <v>1.2784512098800568E-3</v>
      </c>
      <c r="M117" s="78">
        <v>0.41394584895402442</v>
      </c>
      <c r="N117" s="72"/>
      <c r="O117" s="58">
        <v>300</v>
      </c>
      <c r="P117" s="58">
        <v>350</v>
      </c>
      <c r="Q117" s="35">
        <v>1.2784512098800568E-3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ref="A118:A149" si="6">"("&amp;$O118&amp;", "&amp;$P118&amp;"]"</f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ref="G118:G149" si="7">"("&amp;$O118&amp;", "&amp;$P118&amp;"]"</f>
        <v>(350, 400]</v>
      </c>
      <c r="H118" s="80">
        <v>3.8680747215961597E-2</v>
      </c>
      <c r="I118" s="78">
        <v>1.1356049999999987E-3</v>
      </c>
      <c r="J118" s="78">
        <v>1.1356049999999994E-3</v>
      </c>
      <c r="K118" s="70">
        <v>1135605</v>
      </c>
      <c r="L118" s="78">
        <v>1.1353467597027718E-3</v>
      </c>
      <c r="M118" s="78">
        <v>0.42449572100721117</v>
      </c>
      <c r="N118" s="72"/>
      <c r="O118" s="58">
        <v>350</v>
      </c>
      <c r="P118" s="58">
        <v>400</v>
      </c>
      <c r="Q118" s="35">
        <v>1.1353467597027718E-3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6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7"/>
        <v>(400, 450]</v>
      </c>
      <c r="H119" s="80">
        <v>4.5847347063924002E-2</v>
      </c>
      <c r="I119" s="78">
        <v>1.0220149999999989E-3</v>
      </c>
      <c r="J119" s="78">
        <v>1.0220149999999996E-3</v>
      </c>
      <c r="K119" s="70">
        <v>1022015</v>
      </c>
      <c r="L119" s="78">
        <v>1.0217825904408912E-3</v>
      </c>
      <c r="M119" s="78">
        <v>0.43315353996250988</v>
      </c>
      <c r="N119" s="72"/>
      <c r="O119" s="58">
        <v>400</v>
      </c>
      <c r="P119" s="58">
        <v>450</v>
      </c>
      <c r="Q119" s="35">
        <v>1.0217825904408912E-3</v>
      </c>
      <c r="R119" s="35">
        <v>0</v>
      </c>
      <c r="T119" s="35"/>
      <c r="U119" s="73">
        <v>0</v>
      </c>
    </row>
    <row r="120" spans="1:21" x14ac:dyDescent="0.3">
      <c r="A120" s="13" t="str">
        <f t="shared" si="6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7"/>
        <v>(450, 500]</v>
      </c>
      <c r="H120" s="80">
        <v>5.3470965899376798E-2</v>
      </c>
      <c r="I120" s="78">
        <v>9.2825299999999976E-4</v>
      </c>
      <c r="J120" s="78">
        <v>9.2825300000000041E-4</v>
      </c>
      <c r="K120" s="70">
        <v>928253</v>
      </c>
      <c r="L120" s="78">
        <v>9.2804191222685449E-4</v>
      </c>
      <c r="M120" s="78">
        <v>0.43994203419922812</v>
      </c>
      <c r="N120" s="72"/>
      <c r="O120" s="58">
        <v>450</v>
      </c>
      <c r="P120" s="58">
        <v>500</v>
      </c>
      <c r="Q120" s="35">
        <v>9.2804191222685449E-4</v>
      </c>
      <c r="R120" s="35">
        <v>0</v>
      </c>
      <c r="T120" s="35"/>
      <c r="U120" s="73">
        <v>0</v>
      </c>
    </row>
    <row r="121" spans="1:21" x14ac:dyDescent="0.3">
      <c r="A121" s="13" t="str">
        <f t="shared" si="6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7"/>
        <v>(500, 550]</v>
      </c>
      <c r="H121" s="80">
        <v>6.1990767586701599E-2</v>
      </c>
      <c r="I121" s="78">
        <v>8.4912100000000021E-4</v>
      </c>
      <c r="J121" s="78">
        <v>8.4912100000000075E-4</v>
      </c>
      <c r="K121" s="70">
        <v>849121</v>
      </c>
      <c r="L121" s="78">
        <v>8.4892790710288995E-4</v>
      </c>
      <c r="M121" s="78">
        <v>0.4448260468759459</v>
      </c>
      <c r="N121" s="72"/>
      <c r="O121" s="58">
        <v>500</v>
      </c>
      <c r="P121" s="58">
        <v>550</v>
      </c>
      <c r="Q121" s="35">
        <v>8.4892790710288995E-4</v>
      </c>
      <c r="R121" s="35">
        <v>0</v>
      </c>
      <c r="T121" s="35"/>
      <c r="U121" s="73">
        <v>0</v>
      </c>
    </row>
    <row r="122" spans="1:21" x14ac:dyDescent="0.3">
      <c r="A122" s="13" t="str">
        <f t="shared" si="6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7"/>
        <v>(550, 600]</v>
      </c>
      <c r="H122" s="69">
        <v>7.1653897881180206E-2</v>
      </c>
      <c r="I122" s="35">
        <v>7.8021100000000016E-4</v>
      </c>
      <c r="J122" s="35">
        <v>7.8021100000000071E-4</v>
      </c>
      <c r="K122" s="70">
        <v>780211</v>
      </c>
      <c r="L122" s="35">
        <v>7.8003357746263822E-4</v>
      </c>
      <c r="M122" s="35">
        <v>0.44784988750962718</v>
      </c>
      <c r="N122" s="72"/>
      <c r="O122" s="58">
        <v>550</v>
      </c>
      <c r="P122" s="58">
        <v>600</v>
      </c>
      <c r="Q122" s="35">
        <v>7.8003357746263822E-4</v>
      </c>
      <c r="R122" s="35">
        <v>0</v>
      </c>
      <c r="T122" s="35"/>
      <c r="U122" s="73">
        <v>0</v>
      </c>
    </row>
    <row r="123" spans="1:21" x14ac:dyDescent="0.3">
      <c r="A123" s="13" t="str">
        <f t="shared" si="6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7"/>
        <v>(600, 650]</v>
      </c>
      <c r="H123" s="69">
        <v>8.2450555044947693E-2</v>
      </c>
      <c r="I123" s="35">
        <v>7.1961000000000008E-4</v>
      </c>
      <c r="J123" s="35">
        <v>7.1961000000000052E-4</v>
      </c>
      <c r="K123" s="70">
        <v>719610</v>
      </c>
      <c r="L123" s="35">
        <v>7.1944635832856636E-4</v>
      </c>
      <c r="M123" s="35">
        <v>0.44898322166703952</v>
      </c>
      <c r="N123" s="72"/>
      <c r="O123" s="58">
        <v>600</v>
      </c>
      <c r="P123" s="58">
        <v>650</v>
      </c>
      <c r="Q123" s="35">
        <v>7.1944635832856636E-4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6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7"/>
        <v>(650, 700]</v>
      </c>
      <c r="H124" s="69">
        <v>9.3991022068376895E-2</v>
      </c>
      <c r="I124" s="35">
        <v>6.6497299999999969E-4</v>
      </c>
      <c r="J124" s="35">
        <v>6.6497300000000013E-4</v>
      </c>
      <c r="K124" s="70">
        <v>664973</v>
      </c>
      <c r="L124" s="35">
        <v>6.6482178296135657E-4</v>
      </c>
      <c r="M124" s="35">
        <v>0.44824090188281202</v>
      </c>
      <c r="N124" s="72"/>
      <c r="O124" s="58">
        <v>650</v>
      </c>
      <c r="P124" s="58">
        <v>700</v>
      </c>
      <c r="Q124" s="35">
        <v>6.6482178296135657E-4</v>
      </c>
      <c r="R124" s="35">
        <v>0</v>
      </c>
      <c r="T124" s="35"/>
      <c r="U124" s="73">
        <v>0</v>
      </c>
    </row>
    <row r="125" spans="1:21" x14ac:dyDescent="0.3">
      <c r="A125" s="13" t="str">
        <f t="shared" si="6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7"/>
        <v>(700, 750]</v>
      </c>
      <c r="H125" s="69">
        <v>0.10531296224893601</v>
      </c>
      <c r="I125" s="35">
        <v>6.1535399999999971E-4</v>
      </c>
      <c r="J125" s="35">
        <v>6.1535400000000014E-4</v>
      </c>
      <c r="K125" s="70">
        <v>615354</v>
      </c>
      <c r="L125" s="35">
        <v>6.1521406648450778E-4</v>
      </c>
      <c r="M125" s="35">
        <v>0.44560775351616455</v>
      </c>
      <c r="N125" s="72"/>
      <c r="O125" s="58">
        <v>700</v>
      </c>
      <c r="P125" s="58">
        <v>750</v>
      </c>
      <c r="Q125" s="35">
        <v>6.1521406648450778E-4</v>
      </c>
      <c r="R125" s="35">
        <v>0</v>
      </c>
      <c r="T125" s="35"/>
      <c r="U125" s="73">
        <v>0</v>
      </c>
    </row>
    <row r="126" spans="1:21" x14ac:dyDescent="0.3">
      <c r="A126" s="13" t="str">
        <f t="shared" si="6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7"/>
        <v>(750, 800]</v>
      </c>
      <c r="H126" s="69">
        <v>0.117773427631657</v>
      </c>
      <c r="I126" s="35">
        <v>5.698550000000016E-4</v>
      </c>
      <c r="J126" s="35">
        <v>5.6985500000000203E-4</v>
      </c>
      <c r="K126" s="70">
        <v>569855</v>
      </c>
      <c r="L126" s="35">
        <v>5.6972541310616189E-4</v>
      </c>
      <c r="M126" s="35">
        <v>0.44111216690737803</v>
      </c>
      <c r="N126" s="72"/>
      <c r="O126" s="58">
        <v>750</v>
      </c>
      <c r="P126" s="58">
        <v>800</v>
      </c>
      <c r="Q126" s="35">
        <v>5.6972541310616189E-4</v>
      </c>
      <c r="R126" s="35">
        <v>0</v>
      </c>
      <c r="T126" s="35"/>
      <c r="U126" s="73">
        <v>0</v>
      </c>
    </row>
    <row r="127" spans="1:21" x14ac:dyDescent="0.3">
      <c r="A127" s="13" t="str">
        <f t="shared" si="6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7"/>
        <v>(800, 850]</v>
      </c>
      <c r="H127" s="69">
        <v>0.13047391762150501</v>
      </c>
      <c r="I127" s="35">
        <v>5.2752199999999967E-4</v>
      </c>
      <c r="J127" s="35">
        <v>5.27522E-4</v>
      </c>
      <c r="K127" s="70">
        <v>527522</v>
      </c>
      <c r="L127" s="35">
        <v>5.2740203976904434E-4</v>
      </c>
      <c r="M127" s="35">
        <v>0.43473461932176866</v>
      </c>
      <c r="N127" s="72"/>
      <c r="O127" s="58">
        <v>800</v>
      </c>
      <c r="P127" s="58">
        <v>850</v>
      </c>
      <c r="Q127" s="35">
        <v>5.2740203976904434E-4</v>
      </c>
      <c r="R127" s="35">
        <v>0</v>
      </c>
      <c r="T127" s="35"/>
      <c r="U127" s="73">
        <v>0</v>
      </c>
    </row>
    <row r="128" spans="1:21" x14ac:dyDescent="0.3">
      <c r="A128" s="13" t="str">
        <f t="shared" si="6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7"/>
        <v>(850, 900]</v>
      </c>
      <c r="H128" s="69">
        <v>0.14451017838454999</v>
      </c>
      <c r="I128" s="35">
        <v>4.879089999999991E-4</v>
      </c>
      <c r="J128" s="35">
        <v>4.8790899999999942E-4</v>
      </c>
      <c r="K128" s="71">
        <v>487909</v>
      </c>
      <c r="L128" s="35">
        <v>4.8779804789501603E-4</v>
      </c>
      <c r="M128" s="35">
        <v>0.42647255530412276</v>
      </c>
      <c r="N128" s="72"/>
      <c r="O128" s="58">
        <v>850</v>
      </c>
      <c r="P128" s="58">
        <v>900</v>
      </c>
      <c r="Q128" s="35">
        <v>4.8779804789501603E-4</v>
      </c>
      <c r="R128" s="35">
        <v>0</v>
      </c>
      <c r="T128" s="35"/>
      <c r="U128" s="73">
        <v>0</v>
      </c>
    </row>
    <row r="129" spans="1:21" x14ac:dyDescent="0.3">
      <c r="A129" s="13" t="str">
        <f t="shared" si="6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7"/>
        <v>(900, 950]</v>
      </c>
      <c r="H129" s="69">
        <v>0.156768113919033</v>
      </c>
      <c r="I129" s="35">
        <v>4.5047799999999949E-4</v>
      </c>
      <c r="J129" s="35">
        <v>4.5047799999999982E-4</v>
      </c>
      <c r="K129" s="71">
        <v>450478</v>
      </c>
      <c r="L129" s="35">
        <v>4.5037555982703953E-4</v>
      </c>
      <c r="M129" s="35">
        <v>0.41631970641598792</v>
      </c>
      <c r="N129" s="72"/>
      <c r="O129" s="58">
        <v>900</v>
      </c>
      <c r="P129" s="58">
        <v>950</v>
      </c>
      <c r="Q129" s="35">
        <v>4.5037555982703953E-4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6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7"/>
        <v>(950, 1000]</v>
      </c>
      <c r="H130" s="69">
        <v>0.170840509665902</v>
      </c>
      <c r="I130" s="35">
        <v>4.1508199999999999E-4</v>
      </c>
      <c r="J130" s="35">
        <v>4.1508200000000027E-4</v>
      </c>
      <c r="K130" s="71">
        <v>415082</v>
      </c>
      <c r="L130" s="35">
        <v>4.1498760899339642E-4</v>
      </c>
      <c r="M130" s="35">
        <v>0.40432776582177832</v>
      </c>
      <c r="N130" s="72"/>
      <c r="O130" s="58">
        <v>950</v>
      </c>
      <c r="P130" s="58">
        <v>1000</v>
      </c>
      <c r="Q130" s="35">
        <v>4.1498760899339642E-4</v>
      </c>
      <c r="R130" s="35">
        <v>0</v>
      </c>
      <c r="T130" s="35"/>
      <c r="U130" s="73">
        <v>0</v>
      </c>
    </row>
    <row r="131" spans="1:21" x14ac:dyDescent="0.3">
      <c r="A131" s="13" t="str">
        <f t="shared" si="6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7"/>
        <v>(1000, 2000]</v>
      </c>
      <c r="H131" s="69">
        <v>1.3333052879976199E-2</v>
      </c>
      <c r="I131" s="35">
        <v>2.0844699999999946E-4</v>
      </c>
      <c r="J131" s="35">
        <v>2.084469999999996E-4</v>
      </c>
      <c r="K131" s="71">
        <v>470400</v>
      </c>
      <c r="L131" s="35">
        <v>4.702930294989753E-4</v>
      </c>
      <c r="M131" s="35">
        <v>0.61744437549890863</v>
      </c>
      <c r="N131" s="72"/>
      <c r="O131" s="58">
        <v>1000</v>
      </c>
      <c r="P131" s="58">
        <v>2000</v>
      </c>
      <c r="Q131" s="35">
        <v>4.702930294989753E-4</v>
      </c>
      <c r="R131" s="35">
        <v>0</v>
      </c>
      <c r="T131" s="35"/>
      <c r="U131" s="73">
        <v>0</v>
      </c>
    </row>
    <row r="132" spans="1:21" x14ac:dyDescent="0.3">
      <c r="A132" s="13" t="str">
        <f t="shared" si="6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7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6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7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6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7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6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7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6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7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6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7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6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7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6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7"/>
        <v>(9000, 10000]</v>
      </c>
      <c r="H139" s="69">
        <v>21.9448520790909</v>
      </c>
      <c r="I139" s="35">
        <v>3.4497999999999987E-5</v>
      </c>
      <c r="J139" s="35">
        <v>3.4498000000000008E-5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6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7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6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7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6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7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6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7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6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7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6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7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6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7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6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7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6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7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6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7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f>C156/B156/B3</f>
        <v>0</v>
      </c>
      <c r="F156" s="76"/>
      <c r="G156" s="13" t="s">
        <v>116</v>
      </c>
      <c r="H156" s="69">
        <v>1</v>
      </c>
      <c r="I156" s="35">
        <f>D156*H156</f>
        <v>1</v>
      </c>
      <c r="J156" s="79">
        <f>I156/SUM(I156)</f>
        <v>1</v>
      </c>
      <c r="K156" s="70">
        <f>ROUND(J156*$B$2,0)</f>
        <v>1000000000</v>
      </c>
      <c r="L156" s="35">
        <f>_xlfn.LET(_xlpm.x, K156, _xlpm.x/SUM(_xlpm.x))</f>
        <v>1</v>
      </c>
      <c r="M156" s="35">
        <f>L156*E156</f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str">
        <f t="shared" ref="A163:A194" si="8">"("&amp;$O163&amp;", "&amp;$P163&amp;"]"</f>
        <v>(-1, 0]</v>
      </c>
      <c r="B163" s="81" cm="1">
        <f t="array" ref="B163:C226">B86:C149</f>
        <v>25321</v>
      </c>
      <c r="C163" s="81">
        <v>0</v>
      </c>
      <c r="D163" s="35" cm="1">
        <f t="array" ref="D163:D226">_xlfn.LET(_xlpm.x, B163:B226, _xlpm.x/SUM(_xlpm.x))</f>
        <v>3.6186737341394521E-3</v>
      </c>
      <c r="E163" s="67" cm="1">
        <f t="array" ref="E163:E226">_xlfn.LET(_xlpm.x, C163:C226/B163:B226/B3, IF(ISERR(_xlpm.x), 0, _xlpm.x))</f>
        <v>0</v>
      </c>
      <c r="G163" s="13" t="str">
        <f t="shared" ref="G163:G194" si="9">"("&amp;$O163&amp;", "&amp;$P163&amp;"]"</f>
        <v>(-1, 0]</v>
      </c>
      <c r="H163" s="69">
        <v>0</v>
      </c>
      <c r="I163" s="35" cm="1">
        <f t="array" ref="I163:I226">_xlfn.ANCHORARRAY(D163)*H163:H226</f>
        <v>0</v>
      </c>
      <c r="J163" s="35" cm="1">
        <f t="array" ref="J163:J226">I163:I226/SUM(_xlfn.ANCHORARRAY(I163))</f>
        <v>0</v>
      </c>
      <c r="K163" s="70">
        <v>0</v>
      </c>
      <c r="L163" s="35" cm="1">
        <f t="array" ref="L163:L226">_xlfn.LET(_xlpm.x, K163:K226, _xlpm.x/SUM(_xlpm.x))</f>
        <v>0</v>
      </c>
      <c r="M163" s="79" cm="1">
        <f t="array" ref="M163:M226">L163:L226*_xlfn.ANCHORARRAY(E163)</f>
        <v>0</v>
      </c>
      <c r="N163" s="72"/>
      <c r="O163" s="65">
        <v>-1</v>
      </c>
      <c r="P163" s="65">
        <v>0</v>
      </c>
      <c r="Q163" s="35" cm="1">
        <f t="array" ref="Q163:Q226">_xlfn.ANCHORARRAY(L163)</f>
        <v>0</v>
      </c>
      <c r="R163" s="35">
        <v>2.069E-2</v>
      </c>
      <c r="T163" s="35"/>
      <c r="U163" s="73" cm="1">
        <f t="array" ref="U163:U226">_xlfn.LET(_xlpm.x, T163:T226/L163:L226, IF(ISERR(_xlpm.x), 0, ROUND(_xlpm.x,2)))</f>
        <v>0</v>
      </c>
    </row>
    <row r="164" spans="1:21" x14ac:dyDescent="0.3">
      <c r="A164" s="13" t="str">
        <f t="shared" si="8"/>
        <v>(0, 1]</v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str">
        <f t="shared" si="9"/>
        <v>(0, 1]</v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str">
        <f t="shared" si="8"/>
        <v>(1, 2]</v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str">
        <f t="shared" si="9"/>
        <v>(1, 2]</v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str">
        <f t="shared" si="8"/>
        <v>(2, 3]</v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str">
        <f t="shared" si="9"/>
        <v>(2, 3]</v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str">
        <f t="shared" si="8"/>
        <v>(3, 4]</v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str">
        <f t="shared" si="9"/>
        <v>(3, 4]</v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str">
        <f t="shared" si="8"/>
        <v>(4, 5]</v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str">
        <f t="shared" si="9"/>
        <v>(4, 5]</v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str">
        <f t="shared" si="8"/>
        <v>(5, 6]</v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str">
        <f t="shared" si="9"/>
        <v>(5, 6]</v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str">
        <f t="shared" si="8"/>
        <v>(6, 7]</v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str">
        <f t="shared" si="9"/>
        <v>(6, 7]</v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str">
        <f t="shared" si="8"/>
        <v>(7, 8]</v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str">
        <f t="shared" si="9"/>
        <v>(7, 8]</v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str">
        <f t="shared" si="8"/>
        <v>(8, 9]</v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str">
        <f t="shared" si="9"/>
        <v>(8, 9]</v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str">
        <f t="shared" si="8"/>
        <v>(9, 10]</v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str">
        <f t="shared" si="9"/>
        <v>(9, 10]</v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str">
        <f t="shared" si="8"/>
        <v>(10, 15]</v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str">
        <f t="shared" si="9"/>
        <v>(10, 15]</v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str">
        <f t="shared" si="8"/>
        <v>(15, 20]</v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str">
        <f t="shared" si="9"/>
        <v>(15, 20]</v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str">
        <f t="shared" si="8"/>
        <v>(20, 25]</v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str">
        <f t="shared" si="9"/>
        <v>(20, 25]</v>
      </c>
      <c r="H176" s="69">
        <v>1.40796777043221</v>
      </c>
      <c r="I176" s="35">
        <v>3.3624104999999925E-2</v>
      </c>
      <c r="J176" s="35">
        <v>3.3624104999999911E-2</v>
      </c>
      <c r="K176" s="70">
        <v>33624101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str">
        <f t="shared" si="8"/>
        <v>(25, 30]</v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str">
        <f t="shared" si="9"/>
        <v>(25, 30]</v>
      </c>
      <c r="H177" s="69">
        <v>5.77273946130226</v>
      </c>
      <c r="I177" s="35">
        <v>0.14249535400000002</v>
      </c>
      <c r="J177" s="35">
        <v>0.14249535399999996</v>
      </c>
      <c r="K177" s="70">
        <v>142495353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str">
        <f t="shared" si="8"/>
        <v>(30, 35]</v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str">
        <f t="shared" si="9"/>
        <v>(30, 35]</v>
      </c>
      <c r="H178" s="69">
        <v>2.1855017436272099</v>
      </c>
      <c r="I178" s="35">
        <v>5.3611251999999963E-2</v>
      </c>
      <c r="J178" s="35">
        <v>5.3611251999999943E-2</v>
      </c>
      <c r="K178" s="70">
        <v>53611252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str">
        <f t="shared" si="8"/>
        <v>(35, 40]</v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str">
        <f t="shared" si="9"/>
        <v>(35, 40]</v>
      </c>
      <c r="H179" s="69">
        <v>3.8229317384969801</v>
      </c>
      <c r="I179" s="35">
        <v>9.437796400000012E-2</v>
      </c>
      <c r="J179" s="35">
        <v>9.4377964000000078E-2</v>
      </c>
      <c r="K179" s="70">
        <v>94377963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str">
        <f t="shared" si="8"/>
        <v>(40, 45]</v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str">
        <f t="shared" si="9"/>
        <v>(40, 45]</v>
      </c>
      <c r="H180" s="69">
        <v>3.3724575994364998</v>
      </c>
      <c r="I180" s="35">
        <v>8.2045784999999885E-2</v>
      </c>
      <c r="J180" s="35">
        <v>8.2045784999999843E-2</v>
      </c>
      <c r="K180" s="70">
        <v>82045785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str">
        <f t="shared" si="8"/>
        <v>(45, 50]</v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str">
        <f t="shared" si="9"/>
        <v>(45, 50]</v>
      </c>
      <c r="H181" s="69">
        <v>2.9240328455539601</v>
      </c>
      <c r="I181" s="35">
        <v>7.0222521000000038E-2</v>
      </c>
      <c r="J181" s="35">
        <v>7.022252100000001E-2</v>
      </c>
      <c r="K181" s="70">
        <v>70222520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str">
        <f t="shared" si="8"/>
        <v>(50, 60]</v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str">
        <f t="shared" si="9"/>
        <v>(50, 60]</v>
      </c>
      <c r="H182" s="69">
        <v>1.46850592598577</v>
      </c>
      <c r="I182" s="35">
        <v>6.7928091000000163E-2</v>
      </c>
      <c r="J182" s="35">
        <v>6.7928091000000135E-2</v>
      </c>
      <c r="K182" s="70">
        <v>67928092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str">
        <f t="shared" si="8"/>
        <v>(60, 70]</v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str">
        <f t="shared" si="9"/>
        <v>(60, 70]</v>
      </c>
      <c r="H183" s="69">
        <v>2.1176754323865201</v>
      </c>
      <c r="I183" s="35">
        <v>9.2830631999999885E-2</v>
      </c>
      <c r="J183" s="35">
        <v>9.2830631999999844E-2</v>
      </c>
      <c r="K183" s="70">
        <v>92830631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str">
        <f t="shared" si="8"/>
        <v>(70, 80]</v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str">
        <f t="shared" si="9"/>
        <v>(70, 80]</v>
      </c>
      <c r="H184" s="69">
        <v>1.0670735705251799</v>
      </c>
      <c r="I184" s="35">
        <v>4.4401194000000199E-2</v>
      </c>
      <c r="J184" s="35">
        <v>4.4401194000000178E-2</v>
      </c>
      <c r="K184" s="70">
        <v>44401194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str">
        <f t="shared" si="8"/>
        <v>(80, 90]</v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str">
        <f t="shared" si="9"/>
        <v>(80, 90]</v>
      </c>
      <c r="H185" s="69">
        <v>2.1835629909846701</v>
      </c>
      <c r="I185" s="35">
        <v>8.4947917000000123E-2</v>
      </c>
      <c r="J185" s="35">
        <v>8.4947917000000081E-2</v>
      </c>
      <c r="K185" s="70">
        <v>84947917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str">
        <f t="shared" si="8"/>
        <v>(90, 100]</v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str">
        <f t="shared" si="9"/>
        <v>(90, 100]</v>
      </c>
      <c r="H186" s="69">
        <v>0.89662897919593998</v>
      </c>
      <c r="I186" s="35">
        <v>3.2505662000000012E-2</v>
      </c>
      <c r="J186" s="35">
        <v>3.2505661999999998E-2</v>
      </c>
      <c r="K186" s="70">
        <v>32505661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str">
        <f t="shared" si="8"/>
        <v>(100, 120]</v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str">
        <f t="shared" si="9"/>
        <v>(100, 120]</v>
      </c>
      <c r="H187" s="69">
        <v>1.16513608784401</v>
      </c>
      <c r="I187" s="35">
        <v>7.6061461999999844E-2</v>
      </c>
      <c r="J187" s="35">
        <v>7.6061461999999816E-2</v>
      </c>
      <c r="K187" s="70">
        <v>76061463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str">
        <f t="shared" si="8"/>
        <v>(120, 140]</v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str">
        <f t="shared" si="9"/>
        <v>(120, 140]</v>
      </c>
      <c r="H188" s="69">
        <v>0.492131359222853</v>
      </c>
      <c r="I188" s="35">
        <v>2.7838105000000016E-2</v>
      </c>
      <c r="J188" s="35">
        <v>2.7838105000000002E-2</v>
      </c>
      <c r="K188" s="70">
        <v>27838104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str">
        <f t="shared" si="8"/>
        <v>(140, 160]</v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str">
        <f t="shared" si="9"/>
        <v>(140, 160]</v>
      </c>
      <c r="H189" s="69">
        <v>0.90821405321525595</v>
      </c>
      <c r="I189" s="35">
        <v>4.4588486000000011E-2</v>
      </c>
      <c r="J189" s="35">
        <v>4.458848599999999E-2</v>
      </c>
      <c r="K189" s="70">
        <v>44588485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str">
        <f t="shared" si="8"/>
        <v>(160, 180]</v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str">
        <f t="shared" si="9"/>
        <v>(160, 180]</v>
      </c>
      <c r="H190" s="69">
        <v>0.54626995595036298</v>
      </c>
      <c r="I190" s="35">
        <v>2.3313443E-2</v>
      </c>
      <c r="J190" s="35">
        <v>2.3313442999999989E-2</v>
      </c>
      <c r="K190" s="70">
        <v>23313443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str">
        <f t="shared" si="8"/>
        <v>(180, 200]</v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str">
        <f t="shared" si="9"/>
        <v>(180, 200]</v>
      </c>
      <c r="H191" s="69">
        <v>0.72236065804023397</v>
      </c>
      <c r="I191" s="35">
        <v>2.6669155999999992E-2</v>
      </c>
      <c r="J191" s="35">
        <v>2.6669155999999982E-2</v>
      </c>
      <c r="K191" s="70">
        <v>26669156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str">
        <f t="shared" si="8"/>
        <v>(200, 250]</v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str">
        <f t="shared" si="9"/>
        <v>(200, 250]</v>
      </c>
      <c r="H192" s="69">
        <v>4.55947189475345E-3</v>
      </c>
      <c r="I192" s="35">
        <v>3.345480000000001E-4</v>
      </c>
      <c r="J192" s="35">
        <v>3.3454799999999994E-4</v>
      </c>
      <c r="K192" s="70">
        <v>334549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str">
        <f t="shared" si="8"/>
        <v>(250, 300]</v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str">
        <f t="shared" si="9"/>
        <v>(250, 300]</v>
      </c>
      <c r="H193" s="69">
        <v>5.1598868903890097E-3</v>
      </c>
      <c r="I193" s="35">
        <v>2.7331200000000022E-4</v>
      </c>
      <c r="J193" s="35">
        <v>2.7331200000000011E-4</v>
      </c>
      <c r="K193" s="70">
        <v>273312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str">
        <f t="shared" si="8"/>
        <v>(300, 350]</v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str">
        <f t="shared" si="9"/>
        <v>(300, 350]</v>
      </c>
      <c r="H194" s="69">
        <v>5.9002001053081003E-3</v>
      </c>
      <c r="I194" s="35">
        <v>2.3108400000000013E-4</v>
      </c>
      <c r="J194" s="35">
        <v>2.3108400000000003E-4</v>
      </c>
      <c r="K194" s="70">
        <v>231084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str">
        <f t="shared" ref="A195:A226" si="10">"("&amp;$O195&amp;", "&amp;$P195&amp;"]"</f>
        <v>(350, 400]</v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str">
        <f t="shared" ref="G195:G226" si="11">"("&amp;$O195&amp;", "&amp;$P195&amp;"]"</f>
        <v>(350, 400]</v>
      </c>
      <c r="H195" s="69">
        <v>6.8163446714452599E-3</v>
      </c>
      <c r="I195" s="35">
        <v>2.0011699999999995E-4</v>
      </c>
      <c r="J195" s="35">
        <v>2.0011699999999987E-4</v>
      </c>
      <c r="K195" s="70">
        <v>200118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str">
        <f t="shared" si="10"/>
        <v>(400, 450]</v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str">
        <f t="shared" si="11"/>
        <v>(400, 450]</v>
      </c>
      <c r="H196" s="69">
        <v>7.9177924043479404E-3</v>
      </c>
      <c r="I196" s="35">
        <v>1.7650100000000005E-4</v>
      </c>
      <c r="J196" s="35">
        <v>1.7650099999999997E-4</v>
      </c>
      <c r="K196" s="70">
        <v>176501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str">
        <f t="shared" si="10"/>
        <v>(450, 500]</v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str">
        <f t="shared" si="11"/>
        <v>(450, 500]</v>
      </c>
      <c r="H197" s="69">
        <v>9.0919069507215608E-3</v>
      </c>
      <c r="I197" s="35">
        <v>1.5783500000000002E-4</v>
      </c>
      <c r="J197" s="35">
        <v>1.5783499999999994E-4</v>
      </c>
      <c r="K197" s="70">
        <v>157835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str">
        <f t="shared" si="10"/>
        <v>(500, 550]</v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str">
        <f t="shared" si="11"/>
        <v>(500, 550]</v>
      </c>
      <c r="H198" s="69">
        <v>1.04247918338793E-2</v>
      </c>
      <c r="I198" s="35">
        <v>1.4279399999999934E-4</v>
      </c>
      <c r="J198" s="35">
        <v>1.4279399999999928E-4</v>
      </c>
      <c r="K198" s="70">
        <v>142794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str">
        <f t="shared" si="10"/>
        <v>(550, 600]</v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str">
        <f t="shared" si="11"/>
        <v>(550, 600]</v>
      </c>
      <c r="H199" s="69">
        <v>1.19684751584833E-2</v>
      </c>
      <c r="I199" s="35">
        <v>1.3032000000000015E-4</v>
      </c>
      <c r="J199" s="35">
        <v>1.3032000000000009E-4</v>
      </c>
      <c r="K199" s="70">
        <v>130319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str">
        <f t="shared" si="10"/>
        <v>(600, 650]</v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str">
        <f t="shared" si="11"/>
        <v>(600, 650]</v>
      </c>
      <c r="H200" s="69">
        <v>1.37370615285487E-2</v>
      </c>
      <c r="I200" s="35">
        <v>1.1989399999999966E-4</v>
      </c>
      <c r="J200" s="35">
        <v>1.1989399999999961E-4</v>
      </c>
      <c r="K200" s="70">
        <v>119894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str">
        <f t="shared" si="10"/>
        <v>(650, 700]</v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str">
        <f t="shared" si="11"/>
        <v>(650, 700]</v>
      </c>
      <c r="H201" s="69">
        <v>1.5685689017473001E-2</v>
      </c>
      <c r="I201" s="35">
        <v>1.1097400000000013E-4</v>
      </c>
      <c r="J201" s="35">
        <v>1.1097400000000008E-4</v>
      </c>
      <c r="K201" s="70">
        <v>110974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str">
        <f t="shared" si="10"/>
        <v>(700, 750]</v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str">
        <f t="shared" si="11"/>
        <v>(700, 750]</v>
      </c>
      <c r="H202" s="69">
        <v>1.7679147796678601E-2</v>
      </c>
      <c r="I202" s="35">
        <v>1.033010000000002E-4</v>
      </c>
      <c r="J202" s="35">
        <v>1.0330100000000015E-4</v>
      </c>
      <c r="K202" s="70">
        <v>103301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str">
        <f t="shared" si="10"/>
        <v>(750, 800]</v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str">
        <f t="shared" si="11"/>
        <v>(750, 800]</v>
      </c>
      <c r="H203" s="69">
        <v>1.9972428950290898E-2</v>
      </c>
      <c r="I203" s="35">
        <v>9.6637999999999843E-5</v>
      </c>
      <c r="J203" s="35">
        <v>9.6637999999999802E-5</v>
      </c>
      <c r="K203" s="70">
        <v>96638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str">
        <f t="shared" si="10"/>
        <v>(800, 850]</v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str">
        <f t="shared" si="11"/>
        <v>(800, 850]</v>
      </c>
      <c r="H204" s="69">
        <v>2.2450223931108799E-2</v>
      </c>
      <c r="I204" s="35">
        <v>9.0768999999999862E-5</v>
      </c>
      <c r="J204" s="35">
        <v>9.0768999999999822E-5</v>
      </c>
      <c r="K204" s="70">
        <v>90771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str">
        <f t="shared" si="10"/>
        <v>(850, 900]</v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str">
        <f t="shared" si="11"/>
        <v>(850, 900]</v>
      </c>
      <c r="H205" s="69">
        <v>2.5347606984761899E-2</v>
      </c>
      <c r="I205" s="35">
        <v>8.5580999999999979E-5</v>
      </c>
      <c r="J205" s="35">
        <v>8.5580999999999938E-5</v>
      </c>
      <c r="K205" s="71">
        <v>85581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str">
        <f t="shared" si="10"/>
        <v>(900, 950]</v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str">
        <f t="shared" si="11"/>
        <v>(900, 950]</v>
      </c>
      <c r="H206" s="69">
        <v>2.8167786015566701E-2</v>
      </c>
      <c r="I206" s="35">
        <v>8.0940999999999942E-5</v>
      </c>
      <c r="J206" s="35">
        <v>8.0940999999999901E-5</v>
      </c>
      <c r="K206" s="71">
        <v>80942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str">
        <f t="shared" si="10"/>
        <v>(950, 1000]</v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str">
        <f t="shared" si="11"/>
        <v>(950, 1000]</v>
      </c>
      <c r="H207" s="69">
        <v>3.1607482231927497E-2</v>
      </c>
      <c r="I207" s="35">
        <v>7.6794999999999904E-5</v>
      </c>
      <c r="J207" s="35">
        <v>7.6794999999999864E-5</v>
      </c>
      <c r="K207" s="71">
        <v>76795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str">
        <f t="shared" si="10"/>
        <v>(1000, 2000]</v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str">
        <f t="shared" si="11"/>
        <v>(1000, 2000]</v>
      </c>
      <c r="H208" s="69">
        <v>3.6452304450386198E-3</v>
      </c>
      <c r="I208" s="35">
        <v>5.6988999999999965E-5</v>
      </c>
      <c r="J208" s="35">
        <v>5.6988999999999938E-5</v>
      </c>
      <c r="K208" s="71">
        <v>56990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str">
        <f t="shared" si="10"/>
        <v>(2000, 3000]</v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str">
        <f t="shared" si="11"/>
        <v>(2000, 3000]</v>
      </c>
      <c r="H209" s="69">
        <v>3.3198652324403402E-2</v>
      </c>
      <c r="I209" s="35">
        <v>6.3224999999999965E-5</v>
      </c>
      <c r="J209" s="35">
        <v>6.3224999999999938E-5</v>
      </c>
      <c r="K209" s="71">
        <v>93220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str">
        <f t="shared" si="10"/>
        <v>(3000, 4000]</v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str">
        <f t="shared" si="11"/>
        <v>(3000, 4000]</v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str">
        <f t="shared" si="10"/>
        <v>(4000, 5000]</v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str">
        <f t="shared" si="11"/>
        <v>(4000, 5000]</v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str">
        <f t="shared" si="10"/>
        <v>(5000, 6000]</v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str">
        <f t="shared" si="11"/>
        <v>(5000, 6000]</v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str">
        <f t="shared" si="10"/>
        <v>(6000, 7000]</v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str">
        <f t="shared" si="11"/>
        <v>(6000, 7000]</v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str">
        <f t="shared" si="10"/>
        <v>(7000, 8000]</v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str">
        <f t="shared" si="11"/>
        <v>(7000, 8000]</v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str">
        <f t="shared" si="10"/>
        <v>(8000, 9000]</v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str">
        <f t="shared" si="11"/>
        <v>(8000, 9000]</v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str">
        <f t="shared" si="10"/>
        <v>(9000, 10000]</v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str">
        <f t="shared" si="11"/>
        <v>(9000, 10000]</v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str">
        <f t="shared" si="10"/>
        <v>(10000, 20000]</v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str">
        <f t="shared" si="11"/>
        <v>(10000, 20000]</v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str">
        <f t="shared" si="10"/>
        <v>(20000, 30000]</v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str">
        <f t="shared" si="11"/>
        <v>(20000, 30000]</v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str">
        <f t="shared" si="10"/>
        <v>(30000, 40000]</v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str">
        <f t="shared" si="11"/>
        <v>(30000, 40000]</v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str">
        <f t="shared" si="10"/>
        <v>(40000, 50000]</v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str">
        <f t="shared" si="11"/>
        <v>(40000, 50000]</v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str">
        <f t="shared" si="10"/>
        <v>(50000, 60000]</v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str">
        <f t="shared" si="11"/>
        <v>(50000, 60000]</v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str">
        <f t="shared" si="10"/>
        <v>(60000, 70000]</v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str">
        <f t="shared" si="11"/>
        <v>(60000, 70000]</v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str">
        <f t="shared" si="10"/>
        <v>(70000, 80000]</v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str">
        <f t="shared" si="11"/>
        <v>(70000, 80000]</v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str">
        <f t="shared" si="10"/>
        <v>(80000, 90000]</v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str">
        <f t="shared" si="11"/>
        <v>(80000, 90000]</v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str">
        <f t="shared" si="10"/>
        <v>(90000, 100000]</v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str">
        <f t="shared" si="11"/>
        <v>(90000, 100000]</v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str">
        <f t="shared" si="10"/>
        <v>(100000, 9999999]</v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str">
        <f t="shared" si="11"/>
        <v>(100000, 9999999]</v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f>Overview!A7</f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f>Overview!B11</f>
        <v>1</v>
      </c>
      <c r="C7" s="39">
        <f>SUM(M15:M79)</f>
        <v>0.72008498629709505</v>
      </c>
      <c r="D7" s="39">
        <f>SUM(_xlfn.ANCHORARRAY(M86))*F7</f>
        <v>0.20991468149786327</v>
      </c>
      <c r="E7" s="40">
        <f>SUM(C7:D7)</f>
        <v>0.92999966779495835</v>
      </c>
      <c r="F7" s="41">
        <f>L79</f>
        <v>3.5763494174742556E-3</v>
      </c>
      <c r="G7" s="42">
        <f>1/F7</f>
        <v>279.61473650028171</v>
      </c>
      <c r="H7" s="43">
        <f>D7*G7</f>
        <v>58.695238354565596</v>
      </c>
      <c r="I7" s="59" cm="1">
        <f t="array" ref="I7">LOOKUP(2,1/(K15:K78&lt;&gt;0),P15:P78)</f>
        <v>30</v>
      </c>
      <c r="J7" s="59">
        <f>LOOKUP(2,1/(K86:K149&lt;&gt;0),P15:P78)</f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str">
        <f t="shared" ref="A15:A78" si="0">"("&amp;$O15&amp;", "&amp;$P15&amp;"]"</f>
        <v>(-1, 0]</v>
      </c>
      <c r="B15" s="66">
        <v>624769021</v>
      </c>
      <c r="C15" s="66">
        <v>0</v>
      </c>
      <c r="D15" s="36" cm="1">
        <f t="array" ref="D15:D78">_xlfn.LET(_xlpm.x, B15:B78, _xlpm.x/SUM(_xlpm.x))</f>
        <v>0.62476902099999998</v>
      </c>
      <c r="E15" s="67" cm="1">
        <f t="array" ref="E15:E78">_xlfn.LET(_xlpm.x, C15:C78/B15:B78/B3, IF(ISERR(_xlpm.x), 0, _xlpm.x))</f>
        <v>0</v>
      </c>
      <c r="G15" s="13" t="str">
        <f t="shared" ref="G15:G78" si="1">"("&amp;$O15&amp;", "&amp;$P15&amp;"]"</f>
        <v>(-1, 0]</v>
      </c>
      <c r="H15" s="69">
        <v>1.1738136836973501</v>
      </c>
      <c r="I15" s="35" cm="1">
        <f t="array" ref="I15:I79">D15:D79*H15:H79</f>
        <v>0.73336242599999701</v>
      </c>
      <c r="J15" s="35" cm="1">
        <f t="array" ref="J15:J78">I15:I78/SUM(I15:I78)</f>
        <v>0.73336242599999946</v>
      </c>
      <c r="K15" s="70">
        <v>733362426</v>
      </c>
      <c r="L15" s="35" cm="1">
        <f t="array" ref="L15:L79">_xlfn.LET(_xlpm.x, K15:K79, _xlpm.x/SUM(_xlpm.x))</f>
        <v>0.73044184631318931</v>
      </c>
      <c r="M15" s="35" cm="1">
        <f t="array" ref="M15:M79">L15:L79*E15:E79</f>
        <v>0</v>
      </c>
      <c r="N15" s="72"/>
      <c r="O15" s="65">
        <v>-1</v>
      </c>
      <c r="P15" s="65">
        <v>0</v>
      </c>
      <c r="Q15" s="35" cm="1">
        <f t="array" ref="Q15:Q78">L15:L78</f>
        <v>0.73044184631318931</v>
      </c>
      <c r="R15" s="35">
        <v>0.72379899999999997</v>
      </c>
      <c r="T15" s="35"/>
      <c r="U15" s="73" cm="1">
        <f t="array" ref="U15:U78">_xlfn.LET(_xlpm.x, T15:T78/L15:L78, IF(ISERR(_xlpm.x), 0, ROUND(_xlpm.x,2)))</f>
        <v>0</v>
      </c>
    </row>
    <row r="16" spans="1:21" x14ac:dyDescent="0.3">
      <c r="A16" s="13" t="str">
        <f t="shared" si="0"/>
        <v>(0, 1]</v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str">
        <f t="shared" si="1"/>
        <v>(0, 1]</v>
      </c>
      <c r="H16" s="69">
        <v>1.02659501803988</v>
      </c>
      <c r="I16" s="35">
        <v>0.14707350399999974</v>
      </c>
      <c r="J16" s="35">
        <v>0.14707350400000024</v>
      </c>
      <c r="K16" s="70">
        <v>147073504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str">
        <f t="shared" si="0"/>
        <v>(1, 2]</v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str">
        <f t="shared" si="1"/>
        <v>(1, 2]</v>
      </c>
      <c r="H17" s="69">
        <v>0.78448737498280596</v>
      </c>
      <c r="I17" s="35">
        <v>4.3093494999999996E-2</v>
      </c>
      <c r="J17" s="35">
        <v>4.3093495000000141E-2</v>
      </c>
      <c r="K17" s="70">
        <v>43093495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str">
        <f t="shared" si="0"/>
        <v>(2, 3]</v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str">
        <f t="shared" si="1"/>
        <v>(2, 3]</v>
      </c>
      <c r="H18" s="69">
        <v>0.59742955680103005</v>
      </c>
      <c r="I18" s="35">
        <v>1.9740550000000003E-2</v>
      </c>
      <c r="J18" s="35">
        <v>1.9740550000000068E-2</v>
      </c>
      <c r="K18" s="70">
        <v>19740550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str">
        <f t="shared" si="0"/>
        <v>(3, 4]</v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str">
        <f t="shared" si="1"/>
        <v>(3, 4]</v>
      </c>
      <c r="H19" s="69">
        <v>0.52929705795662696</v>
      </c>
      <c r="I19" s="35">
        <v>1.2108867999999997E-2</v>
      </c>
      <c r="J19" s="35">
        <v>1.2108868000000036E-2</v>
      </c>
      <c r="K19" s="70">
        <v>12108868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str">
        <f t="shared" si="0"/>
        <v>(4, 5]</v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str">
        <f t="shared" si="1"/>
        <v>(4, 5]</v>
      </c>
      <c r="H20" s="69">
        <v>0.463317137511152</v>
      </c>
      <c r="I20" s="35">
        <v>7.8621170000000035E-3</v>
      </c>
      <c r="J20" s="35">
        <v>7.8621170000000296E-3</v>
      </c>
      <c r="K20" s="70">
        <v>7862117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str">
        <f t="shared" si="0"/>
        <v>(5, 6]</v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str">
        <f t="shared" si="1"/>
        <v>(5, 6]</v>
      </c>
      <c r="H21" s="69">
        <v>0.45024896281882598</v>
      </c>
      <c r="I21" s="35">
        <v>6.0663380000000001E-3</v>
      </c>
      <c r="J21" s="35">
        <v>6.0663380000000201E-3</v>
      </c>
      <c r="K21" s="70">
        <v>6066338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str">
        <f t="shared" si="0"/>
        <v>(6, 7]</v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str">
        <f t="shared" si="1"/>
        <v>(6, 7]</v>
      </c>
      <c r="H22" s="69">
        <v>0.306910389918229</v>
      </c>
      <c r="I22" s="35">
        <v>3.2654399999999992E-3</v>
      </c>
      <c r="J22" s="35">
        <v>3.2654400000000101E-3</v>
      </c>
      <c r="K22" s="70">
        <v>3265440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str">
        <f t="shared" si="0"/>
        <v>(7, 8]</v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str">
        <f t="shared" si="1"/>
        <v>(7, 8]</v>
      </c>
      <c r="H23" s="69">
        <v>0.40892890369396501</v>
      </c>
      <c r="I23" s="35">
        <v>3.6614210000000028E-3</v>
      </c>
      <c r="J23" s="35">
        <v>3.661421000000015E-3</v>
      </c>
      <c r="K23" s="70">
        <v>3661421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str">
        <f t="shared" si="0"/>
        <v>(8, 9]</v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str">
        <f t="shared" si="1"/>
        <v>(8, 9]</v>
      </c>
      <c r="H24" s="69">
        <v>0.39347328283822602</v>
      </c>
      <c r="I24" s="35">
        <v>2.9620110000000027E-3</v>
      </c>
      <c r="J24" s="35">
        <v>2.9620110000000126E-3</v>
      </c>
      <c r="K24" s="70">
        <v>2962011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str">
        <f t="shared" si="0"/>
        <v>(9, 10]</v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str">
        <f t="shared" si="1"/>
        <v>(9, 10]</v>
      </c>
      <c r="H25" s="69">
        <v>0.30851519605157901</v>
      </c>
      <c r="I25" s="35">
        <v>1.9205289999999992E-3</v>
      </c>
      <c r="J25" s="35">
        <v>1.9205290000000055E-3</v>
      </c>
      <c r="K25" s="70">
        <v>1920529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str">
        <f t="shared" si="0"/>
        <v>(10, 15]</v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str">
        <f t="shared" si="1"/>
        <v>(10, 15]</v>
      </c>
      <c r="H26" s="69">
        <v>0.49060414642673</v>
      </c>
      <c r="I26" s="35">
        <v>1.0160353000000007E-2</v>
      </c>
      <c r="J26" s="35">
        <v>1.0160353000000042E-2</v>
      </c>
      <c r="K26" s="70">
        <v>10160353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str">
        <f t="shared" si="0"/>
        <v>(15, 20]</v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str">
        <f t="shared" si="1"/>
        <v>(15, 20]</v>
      </c>
      <c r="H27" s="69">
        <v>0.39045558357146898</v>
      </c>
      <c r="I27" s="35">
        <v>4.355288000000004E-3</v>
      </c>
      <c r="J27" s="35">
        <v>4.3552880000000188E-3</v>
      </c>
      <c r="K27" s="70">
        <v>4355288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str">
        <f t="shared" si="0"/>
        <v>(20, 25]</v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str">
        <f t="shared" si="1"/>
        <v>(20, 25]</v>
      </c>
      <c r="H28" s="69">
        <v>0.36047977457268898</v>
      </c>
      <c r="I28" s="35">
        <v>2.4306249999999983E-3</v>
      </c>
      <c r="J28" s="35">
        <v>2.4306250000000066E-3</v>
      </c>
      <c r="K28" s="70">
        <v>2430625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str">
        <f t="shared" si="0"/>
        <v>(25, 30]</v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str">
        <f t="shared" si="1"/>
        <v>(25, 30]</v>
      </c>
      <c r="H29" s="69">
        <v>0.432476404004699</v>
      </c>
      <c r="I29" s="35">
        <v>1.9370349999999986E-3</v>
      </c>
      <c r="J29" s="35">
        <v>1.9370350000000051E-3</v>
      </c>
      <c r="K29" s="70">
        <v>2344760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str">
        <f t="shared" si="0"/>
        <v>(30, 35]</v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str">
        <f t="shared" si="1"/>
        <v>(30, 35]</v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str">
        <f t="shared" si="0"/>
        <v>(35, 40]</v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str">
        <f t="shared" si="1"/>
        <v>(35, 40]</v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str">
        <f t="shared" si="0"/>
        <v>(40, 45]</v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str">
        <f t="shared" si="1"/>
        <v>(40, 45]</v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str">
        <f t="shared" si="0"/>
        <v>(45, 50]</v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str">
        <f t="shared" si="1"/>
        <v>(45, 50]</v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str">
        <f t="shared" si="0"/>
        <v>(50, 60]</v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str">
        <f t="shared" si="1"/>
        <v>(50, 60]</v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str">
        <f t="shared" si="0"/>
        <v>(60, 70]</v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str">
        <f t="shared" si="1"/>
        <v>(60, 70]</v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str">
        <f t="shared" si="0"/>
        <v>(70, 80]</v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str">
        <f t="shared" si="1"/>
        <v>(70, 80]</v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str">
        <f t="shared" si="0"/>
        <v>(80, 90]</v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str">
        <f t="shared" si="1"/>
        <v>(80, 90]</v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str">
        <f t="shared" si="0"/>
        <v>(90, 100]</v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str">
        <f t="shared" si="1"/>
        <v>(90, 100]</v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str">
        <f t="shared" si="0"/>
        <v>(100, 120]</v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str">
        <f t="shared" si="1"/>
        <v>(100, 120]</v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str">
        <f t="shared" si="0"/>
        <v>(120, 140]</v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str">
        <f t="shared" si="1"/>
        <v>(120, 140]</v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str">
        <f t="shared" si="0"/>
        <v>(140, 160]</v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str">
        <f t="shared" si="1"/>
        <v>(140, 160]</v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str">
        <f t="shared" si="0"/>
        <v>(160, 180]</v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str">
        <f t="shared" si="1"/>
        <v>(160, 180]</v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str">
        <f t="shared" si="0"/>
        <v>(180, 200]</v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str">
        <f t="shared" si="1"/>
        <v>(180, 200]</v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str">
        <f t="shared" si="0"/>
        <v>(200, 250]</v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str">
        <f t="shared" si="1"/>
        <v>(200, 250]</v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str">
        <f t="shared" si="0"/>
        <v>(250, 300]</v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str">
        <f t="shared" si="1"/>
        <v>(250, 300]</v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str">
        <f t="shared" si="0"/>
        <v>(300, 350]</v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str">
        <f t="shared" si="1"/>
        <v>(300, 350]</v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str">
        <f t="shared" si="0"/>
        <v>(350, 400]</v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str">
        <f t="shared" si="1"/>
        <v>(350, 400]</v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str">
        <f t="shared" si="0"/>
        <v>(400, 450]</v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str">
        <f t="shared" si="1"/>
        <v>(400, 450]</v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str">
        <f t="shared" si="0"/>
        <v>(450, 500]</v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str">
        <f t="shared" si="1"/>
        <v>(450, 500]</v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str">
        <f t="shared" si="0"/>
        <v>(500, 550]</v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str">
        <f t="shared" si="1"/>
        <v>(500, 550]</v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str">
        <f t="shared" si="0"/>
        <v>(550, 600]</v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str">
        <f t="shared" si="1"/>
        <v>(550, 600]</v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str">
        <f t="shared" si="0"/>
        <v>(600, 650]</v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str">
        <f t="shared" si="1"/>
        <v>(600, 650]</v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str">
        <f t="shared" si="0"/>
        <v>(650, 700]</v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str">
        <f t="shared" si="1"/>
        <v>(650, 700]</v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str">
        <f t="shared" si="0"/>
        <v>(700, 750]</v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str">
        <f t="shared" si="1"/>
        <v>(700, 750]</v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str">
        <f t="shared" si="0"/>
        <v>(750, 800]</v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str">
        <f t="shared" si="1"/>
        <v>(750, 800]</v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str">
        <f t="shared" si="0"/>
        <v>(800, 850]</v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str">
        <f t="shared" si="1"/>
        <v>(800, 850]</v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str">
        <f t="shared" si="0"/>
        <v>(850, 900]</v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str">
        <f t="shared" si="1"/>
        <v>(850, 900]</v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str">
        <f t="shared" si="0"/>
        <v>(900, 950]</v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str">
        <f t="shared" si="1"/>
        <v>(900, 950]</v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str">
        <f t="shared" si="0"/>
        <v>(950, 1000]</v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str">
        <f t="shared" si="1"/>
        <v>(950, 1000]</v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str">
        <f t="shared" si="0"/>
        <v>(1000, 2000]</v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str">
        <f t="shared" si="1"/>
        <v>(1000, 2000]</v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str">
        <f t="shared" si="0"/>
        <v>(2000, 3000]</v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str">
        <f t="shared" si="1"/>
        <v>(2000, 3000]</v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str">
        <f t="shared" si="0"/>
        <v>(3000, 4000]</v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str">
        <f t="shared" si="1"/>
        <v>(3000, 4000]</v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str">
        <f t="shared" si="0"/>
        <v>(4000, 5000]</v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str">
        <f t="shared" si="1"/>
        <v>(4000, 5000]</v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str">
        <f t="shared" si="0"/>
        <v>(5000, 6000]</v>
      </c>
      <c r="B64" s="74">
        <v>0</v>
      </c>
      <c r="C64" s="74">
        <v>0</v>
      </c>
      <c r="D64" s="35">
        <v>0</v>
      </c>
      <c r="E64" s="68">
        <v>0</v>
      </c>
      <c r="F64" s="76"/>
      <c r="G64" s="13" t="str">
        <f t="shared" si="1"/>
        <v>(5000, 6000]</v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str">
        <f t="shared" si="0"/>
        <v>(6000, 7000]</v>
      </c>
      <c r="B65" s="74">
        <v>0</v>
      </c>
      <c r="C65" s="74">
        <v>0</v>
      </c>
      <c r="D65" s="35">
        <v>0</v>
      </c>
      <c r="E65" s="68">
        <v>0</v>
      </c>
      <c r="F65" s="76"/>
      <c r="G65" s="13" t="str">
        <f t="shared" si="1"/>
        <v>(6000, 7000]</v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str">
        <f t="shared" si="0"/>
        <v>(7000, 8000]</v>
      </c>
      <c r="B66" s="74">
        <v>0</v>
      </c>
      <c r="C66" s="74">
        <v>0</v>
      </c>
      <c r="D66" s="35">
        <v>0</v>
      </c>
      <c r="E66" s="68">
        <v>0</v>
      </c>
      <c r="F66" s="76"/>
      <c r="G66" s="13" t="str">
        <f t="shared" si="1"/>
        <v>(7000, 8000]</v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str">
        <f t="shared" si="0"/>
        <v>(8000, 9000]</v>
      </c>
      <c r="B67" s="74">
        <v>0</v>
      </c>
      <c r="C67" s="74">
        <v>0</v>
      </c>
      <c r="D67" s="35">
        <v>0</v>
      </c>
      <c r="E67" s="68">
        <v>0</v>
      </c>
      <c r="F67" s="76"/>
      <c r="G67" s="13" t="str">
        <f t="shared" si="1"/>
        <v>(8000, 9000]</v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str">
        <f t="shared" si="0"/>
        <v>(9000, 10000]</v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str">
        <f t="shared" si="1"/>
        <v>(9000, 10000]</v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str">
        <f t="shared" si="0"/>
        <v>(10000, 20000]</v>
      </c>
      <c r="B69" s="74">
        <v>0</v>
      </c>
      <c r="C69" s="74">
        <v>0</v>
      </c>
      <c r="D69" s="35">
        <v>0</v>
      </c>
      <c r="E69" s="68">
        <v>0</v>
      </c>
      <c r="F69" s="76"/>
      <c r="G69" s="13" t="str">
        <f t="shared" si="1"/>
        <v>(10000, 20000]</v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str">
        <f t="shared" si="0"/>
        <v>(20000, 30000]</v>
      </c>
      <c r="B70" s="74">
        <v>0</v>
      </c>
      <c r="C70" s="74">
        <v>0</v>
      </c>
      <c r="D70" s="35">
        <v>0</v>
      </c>
      <c r="E70" s="68">
        <v>0</v>
      </c>
      <c r="F70" s="76"/>
      <c r="G70" s="13" t="str">
        <f t="shared" si="1"/>
        <v>(20000, 30000]</v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str">
        <f t="shared" si="0"/>
        <v>(30000, 40000]</v>
      </c>
      <c r="B71" s="74">
        <v>0</v>
      </c>
      <c r="C71" s="74">
        <v>0</v>
      </c>
      <c r="D71" s="35">
        <v>0</v>
      </c>
      <c r="E71" s="68">
        <v>0</v>
      </c>
      <c r="F71" s="76"/>
      <c r="G71" s="13" t="str">
        <f t="shared" si="1"/>
        <v>(30000, 40000]</v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str">
        <f t="shared" si="0"/>
        <v>(40000, 50000]</v>
      </c>
      <c r="B72" s="74">
        <v>0</v>
      </c>
      <c r="C72" s="74">
        <v>0</v>
      </c>
      <c r="D72" s="35">
        <v>0</v>
      </c>
      <c r="E72" s="68">
        <v>0</v>
      </c>
      <c r="F72" s="76"/>
      <c r="G72" s="13" t="str">
        <f t="shared" si="1"/>
        <v>(40000, 50000]</v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str">
        <f t="shared" si="0"/>
        <v>(50000, 60000]</v>
      </c>
      <c r="B73" s="74">
        <v>0</v>
      </c>
      <c r="C73" s="74">
        <v>0</v>
      </c>
      <c r="D73" s="35">
        <v>0</v>
      </c>
      <c r="E73" s="68">
        <v>0</v>
      </c>
      <c r="F73" s="76"/>
      <c r="G73" s="13" t="str">
        <f t="shared" si="1"/>
        <v>(50000, 60000]</v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str">
        <f t="shared" si="0"/>
        <v>(60000, 70000]</v>
      </c>
      <c r="B74" s="74">
        <v>0</v>
      </c>
      <c r="C74" s="74">
        <v>0</v>
      </c>
      <c r="D74" s="35">
        <v>0</v>
      </c>
      <c r="E74" s="68">
        <v>0</v>
      </c>
      <c r="F74" s="76"/>
      <c r="G74" s="13" t="str">
        <f t="shared" si="1"/>
        <v>(60000, 70000]</v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str">
        <f t="shared" si="0"/>
        <v>(70000, 80000]</v>
      </c>
      <c r="B75" s="74">
        <v>0</v>
      </c>
      <c r="C75" s="74">
        <v>0</v>
      </c>
      <c r="D75" s="35">
        <v>0</v>
      </c>
      <c r="E75" s="68">
        <v>0</v>
      </c>
      <c r="F75" s="76"/>
      <c r="G75" s="13" t="str">
        <f t="shared" si="1"/>
        <v>(70000, 80000]</v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str">
        <f t="shared" si="0"/>
        <v>(80000, 90000]</v>
      </c>
      <c r="B76" s="74">
        <v>0</v>
      </c>
      <c r="C76" s="74">
        <v>0</v>
      </c>
      <c r="D76" s="35">
        <v>0</v>
      </c>
      <c r="E76" s="68">
        <v>0</v>
      </c>
      <c r="F76" s="76"/>
      <c r="G76" s="13" t="str">
        <f t="shared" si="1"/>
        <v>(80000, 90000]</v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str">
        <f t="shared" si="0"/>
        <v>(90000, 100000]</v>
      </c>
      <c r="B77" s="74">
        <v>0</v>
      </c>
      <c r="C77" s="74">
        <v>0</v>
      </c>
      <c r="D77" s="35">
        <v>0</v>
      </c>
      <c r="E77" s="68">
        <v>0</v>
      </c>
      <c r="F77" s="76"/>
      <c r="G77" s="13" t="str">
        <f t="shared" si="1"/>
        <v>(90000, 100000]</v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str">
        <f t="shared" si="0"/>
        <v>(100000, 9999999]</v>
      </c>
      <c r="B78" s="74">
        <v>0</v>
      </c>
      <c r="C78" s="74">
        <v>0</v>
      </c>
      <c r="D78" s="35">
        <v>0</v>
      </c>
      <c r="E78" s="68">
        <v>0</v>
      </c>
      <c r="F78" s="76"/>
      <c r="G78" s="13" t="str">
        <f t="shared" si="1"/>
        <v>(100000, 9999999]</v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f>B79/B13</f>
        <v>6.9973149999999996E-3</v>
      </c>
      <c r="E79" s="108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f>I79</f>
        <v>3.5906489999999978E-3</v>
      </c>
      <c r="K79" s="71">
        <v>3590649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str">
        <f t="shared" ref="A86:A149" si="2">"("&amp;$O86&amp;", "&amp;$P86&amp;"]"</f>
        <v>(-1, 0]</v>
      </c>
      <c r="B86" s="66">
        <v>25321</v>
      </c>
      <c r="C86" s="66">
        <v>0</v>
      </c>
      <c r="D86" s="35" cm="1">
        <f t="array" ref="D86:D149">_xlfn.LET(_xlpm.x, B86:B149, _xlpm.x/SUM(_xlpm.x))</f>
        <v>3.6186737341394521E-3</v>
      </c>
      <c r="E86" s="67" cm="1">
        <f t="array" ref="E86:E149">_xlfn.LET(_xlpm.x, C86:C149/B86:B149/B3, IF(ISERR(_xlpm.x), 0, _xlpm.x))</f>
        <v>0</v>
      </c>
      <c r="G86" s="13" t="str">
        <f t="shared" ref="G86:G149" si="3">"("&amp;$O86&amp;", "&amp;$P86&amp;"]"</f>
        <v>(-1, 0]</v>
      </c>
      <c r="H86" s="69">
        <v>0</v>
      </c>
      <c r="I86" s="35" cm="1">
        <f t="array" ref="I86:I149">_xlfn.ANCHORARRAY(D86)*H86:H149</f>
        <v>0</v>
      </c>
      <c r="J86" s="35" cm="1">
        <f t="array" ref="J86:J149">I86:I149/SUM(_xlfn.ANCHORARRAY(I86))</f>
        <v>0</v>
      </c>
      <c r="K86" s="70" cm="1">
        <f t="array" ref="K86:K149">ROUND(_xlfn.ANCHORARRAY(J86)*$B$2,0)</f>
        <v>0</v>
      </c>
      <c r="L86" s="35" cm="1">
        <f t="array" ref="L86:L149">_xlfn.LET(_xlpm.x, K86:K149, _xlpm.x/SUM(_xlpm.x))</f>
        <v>0</v>
      </c>
      <c r="M86" s="79" cm="1">
        <f t="array" ref="M86:M149">L86:L149*_xlfn.ANCHORARRAY(E86)</f>
        <v>0</v>
      </c>
      <c r="N86" s="72"/>
      <c r="O86" s="65">
        <v>-1</v>
      </c>
      <c r="P86" s="65">
        <v>0</v>
      </c>
      <c r="Q86" s="35" cm="1">
        <f t="array" ref="Q86:Q149">_xlfn.ANCHORARRAY(L86)</f>
        <v>0</v>
      </c>
      <c r="R86" s="35">
        <v>2.069E-2</v>
      </c>
      <c r="T86" s="35"/>
      <c r="U86" s="73" cm="1">
        <f t="array" ref="U86:U149">_xlfn.LET(_xlpm.x, T86:T149/L86:L149, IF(ISERR(_xlpm.x), 0, ROUND(_xlpm.x,2)))</f>
        <v>0</v>
      </c>
    </row>
    <row r="87" spans="1:21" x14ac:dyDescent="0.3">
      <c r="A87" s="13" t="str">
        <f t="shared" si="2"/>
        <v>(0, 1]</v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str">
        <f t="shared" si="3"/>
        <v>(0, 1]</v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str">
        <f t="shared" si="2"/>
        <v>(1, 2]</v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str">
        <f t="shared" si="3"/>
        <v>(1, 2]</v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str">
        <f t="shared" si="2"/>
        <v>(2, 3]</v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str">
        <f t="shared" si="3"/>
        <v>(2, 3]</v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str">
        <f t="shared" si="2"/>
        <v>(3, 4]</v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str">
        <f t="shared" si="3"/>
        <v>(3, 4]</v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str">
        <f t="shared" si="2"/>
        <v>(4, 5]</v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str">
        <f t="shared" si="3"/>
        <v>(4, 5]</v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str">
        <f t="shared" si="2"/>
        <v>(5, 6]</v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str">
        <f t="shared" si="3"/>
        <v>(5, 6]</v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str">
        <f t="shared" si="2"/>
        <v>(6, 7]</v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str">
        <f t="shared" si="3"/>
        <v>(6, 7]</v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str">
        <f t="shared" si="2"/>
        <v>(7, 8]</v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str">
        <f t="shared" si="3"/>
        <v>(7, 8]</v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str">
        <f t="shared" si="2"/>
        <v>(8, 9]</v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str">
        <f t="shared" si="3"/>
        <v>(8, 9]</v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str">
        <f t="shared" si="2"/>
        <v>(9, 10]</v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str">
        <f t="shared" si="3"/>
        <v>(9, 10]</v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str">
        <f t="shared" si="2"/>
        <v>(10, 15]</v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str">
        <f t="shared" si="3"/>
        <v>(10, 15]</v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str">
        <f t="shared" si="2"/>
        <v>(15, 20]</v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str">
        <f t="shared" si="3"/>
        <v>(15, 20]</v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str">
        <f t="shared" si="2"/>
        <v>(20, 25]</v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str">
        <f t="shared" si="3"/>
        <v>(20, 25]</v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str">
        <f t="shared" si="2"/>
        <v>(25, 30]</v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str">
        <f t="shared" si="3"/>
        <v>(25, 30]</v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str">
        <f t="shared" si="2"/>
        <v>(30, 35]</v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str">
        <f t="shared" si="3"/>
        <v>(30, 35]</v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str">
        <f t="shared" si="2"/>
        <v>(35, 40]</v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str">
        <f t="shared" si="3"/>
        <v>(35, 40]</v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str">
        <f t="shared" si="2"/>
        <v>(40, 45]</v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str">
        <f t="shared" si="3"/>
        <v>(40, 45]</v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str">
        <f t="shared" si="2"/>
        <v>(45, 50]</v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str">
        <f t="shared" si="3"/>
        <v>(45, 50]</v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str">
        <f t="shared" si="2"/>
        <v>(50, 60]</v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str">
        <f t="shared" si="3"/>
        <v>(50, 60]</v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str">
        <f t="shared" si="2"/>
        <v>(60, 70]</v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str">
        <f t="shared" si="3"/>
        <v>(60, 70]</v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str">
        <f t="shared" si="2"/>
        <v>(70, 80]</v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str">
        <f t="shared" si="3"/>
        <v>(70, 80]</v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str">
        <f t="shared" si="2"/>
        <v>(80, 90]</v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str">
        <f t="shared" si="3"/>
        <v>(80, 90]</v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str">
        <f t="shared" si="2"/>
        <v>(90, 100]</v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str">
        <f t="shared" si="3"/>
        <v>(90, 100]</v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str">
        <f t="shared" si="2"/>
        <v>(100, 120]</v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str">
        <f t="shared" si="3"/>
        <v>(100, 120]</v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str">
        <f t="shared" si="2"/>
        <v>(120, 140]</v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str">
        <f t="shared" si="3"/>
        <v>(120, 140]</v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str">
        <f t="shared" si="2"/>
        <v>(140, 160]</v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str">
        <f t="shared" si="3"/>
        <v>(140, 160]</v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str">
        <f t="shared" si="2"/>
        <v>(160, 180]</v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str">
        <f t="shared" si="3"/>
        <v>(160, 180]</v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str">
        <f t="shared" si="2"/>
        <v>(180, 200]</v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str">
        <f t="shared" si="3"/>
        <v>(180, 200]</v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str">
        <f t="shared" si="2"/>
        <v>(200, 250]</v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str">
        <f t="shared" si="3"/>
        <v>(200, 250]</v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str">
        <f t="shared" si="2"/>
        <v>(250, 300]</v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str">
        <f t="shared" si="3"/>
        <v>(250, 300]</v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str">
        <f t="shared" si="2"/>
        <v>(300, 350]</v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str">
        <f t="shared" si="3"/>
        <v>(300, 350]</v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str">
        <f t="shared" si="2"/>
        <v>(350, 400]</v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str">
        <f t="shared" si="3"/>
        <v>(350, 400]</v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str">
        <f t="shared" si="2"/>
        <v>(400, 450]</v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str">
        <f t="shared" si="3"/>
        <v>(400, 450]</v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str">
        <f t="shared" si="2"/>
        <v>(450, 500]</v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str">
        <f t="shared" si="3"/>
        <v>(450, 500]</v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str">
        <f t="shared" si="2"/>
        <v>(500, 550]</v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str">
        <f t="shared" si="3"/>
        <v>(500, 550]</v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str">
        <f t="shared" si="2"/>
        <v>(550, 600]</v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str">
        <f t="shared" si="3"/>
        <v>(550, 600]</v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str">
        <f t="shared" si="2"/>
        <v>(600, 650]</v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str">
        <f t="shared" si="3"/>
        <v>(600, 650]</v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str">
        <f t="shared" si="2"/>
        <v>(650, 700]</v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str">
        <f t="shared" si="3"/>
        <v>(650, 700]</v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str">
        <f t="shared" si="2"/>
        <v>(700, 750]</v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str">
        <f t="shared" si="3"/>
        <v>(700, 750]</v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str">
        <f t="shared" si="2"/>
        <v>(750, 800]</v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str">
        <f t="shared" si="3"/>
        <v>(750, 800]</v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str">
        <f t="shared" si="2"/>
        <v>(800, 850]</v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str">
        <f t="shared" si="3"/>
        <v>(800, 850]</v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str">
        <f t="shared" si="2"/>
        <v>(850, 900]</v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str">
        <f t="shared" si="3"/>
        <v>(850, 900]</v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str">
        <f t="shared" si="2"/>
        <v>(900, 950]</v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str">
        <f t="shared" si="3"/>
        <v>(900, 950]</v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str">
        <f t="shared" si="2"/>
        <v>(950, 1000]</v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str">
        <f t="shared" si="3"/>
        <v>(950, 1000]</v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str">
        <f t="shared" si="2"/>
        <v>(1000, 2000]</v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str">
        <f t="shared" si="3"/>
        <v>(1000, 2000]</v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str">
        <f t="shared" si="2"/>
        <v>(2000, 3000]</v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str">
        <f t="shared" si="3"/>
        <v>(2000, 3000]</v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str">
        <f t="shared" si="2"/>
        <v>(3000, 4000]</v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str">
        <f t="shared" si="3"/>
        <v>(3000, 4000]</v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str">
        <f t="shared" si="2"/>
        <v>(4000, 5000]</v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str">
        <f t="shared" si="3"/>
        <v>(4000, 5000]</v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str">
        <f t="shared" si="2"/>
        <v>(5000, 6000]</v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str">
        <f t="shared" si="3"/>
        <v>(5000, 6000]</v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str">
        <f t="shared" si="2"/>
        <v>(6000, 7000]</v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str">
        <f t="shared" si="3"/>
        <v>(6000, 7000]</v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str">
        <f t="shared" si="2"/>
        <v>(7000, 8000]</v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str">
        <f t="shared" si="3"/>
        <v>(7000, 8000]</v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str">
        <f t="shared" si="2"/>
        <v>(8000, 9000]</v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str">
        <f t="shared" si="3"/>
        <v>(8000, 9000]</v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str">
        <f t="shared" si="2"/>
        <v>(9000, 10000]</v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str">
        <f t="shared" si="3"/>
        <v>(9000, 10000]</v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str">
        <f t="shared" si="2"/>
        <v>(10000, 20000]</v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str">
        <f t="shared" si="3"/>
        <v>(10000, 20000]</v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str">
        <f t="shared" si="2"/>
        <v>(20000, 30000]</v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str">
        <f t="shared" si="3"/>
        <v>(20000, 30000]</v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str">
        <f t="shared" si="2"/>
        <v>(30000, 40000]</v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str">
        <f t="shared" si="3"/>
        <v>(30000, 40000]</v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str">
        <f t="shared" si="2"/>
        <v>(40000, 50000]</v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str">
        <f t="shared" si="3"/>
        <v>(40000, 50000]</v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str">
        <f t="shared" si="2"/>
        <v>(50000, 60000]</v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str">
        <f t="shared" si="3"/>
        <v>(50000, 60000]</v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str">
        <f t="shared" si="2"/>
        <v>(60000, 70000]</v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str">
        <f t="shared" si="3"/>
        <v>(60000, 70000]</v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str">
        <f t="shared" si="2"/>
        <v>(70000, 80000]</v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str">
        <f t="shared" si="3"/>
        <v>(70000, 80000]</v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str">
        <f t="shared" si="2"/>
        <v>(80000, 90000]</v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str">
        <f t="shared" si="3"/>
        <v>(80000, 90000]</v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str">
        <f t="shared" si="2"/>
        <v>(90000, 100000]</v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str">
        <f t="shared" si="3"/>
        <v>(90000, 100000]</v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str">
        <f t="shared" si="2"/>
        <v>(100000, 9999999]</v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str">
        <f t="shared" si="3"/>
        <v>(100000, 9999999]</v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3618838430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2026-09-18T08:52:59Z</dcterms:modified>
</cp:coreProperties>
</file>