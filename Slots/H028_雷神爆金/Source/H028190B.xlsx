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E29C74BC-4A6E-4C0F-9CE4-E414983D993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<sst xmlns="http://schemas.openxmlformats.org/spreadsheetml/2006/main" count="289" uniqueCount="129">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</sst>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24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0.89999996318274089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99" t="str">
        <f>D11</f>
        <v>Normal Bet</v>
      </c>
      <c r="B17" s="19">
        <f>Detail!C7</f>
        <v>0.71999996615917716</v>
      </c>
      <c r="C17" s="101">
        <f>1/D17</f>
        <v>2.7272726483975203E-3</v>
      </c>
      <c r="D17" s="104">
        <f>Detail!G7</f>
        <v>366.66667727100037</v>
      </c>
      <c r="E17" s="16" t="s">
        <v>13</v>
      </c>
      <c r="H17" s="26"/>
      <c r="I17" s="30"/>
      <c r="J17" s="31"/>
    </row>
    <row r="18" spans="1:10" ht="15.6" customHeight="1" x14ac:dyDescent="0.3">
      <c r="A18" s="100"/>
      <c r="B18" s="19">
        <f>Detail!D7</f>
        <v>0.17999999702356367</v>
      </c>
      <c r="C18" s="102"/>
      <c r="D18" s="102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5" t="str">
        <f>D12</f>
        <v>Buy Feature</v>
      </c>
      <c r="B21" s="19">
        <f>Detail!C8</f>
        <v>0</v>
      </c>
      <c r="C21" s="101">
        <f>1/D21</f>
        <v>1</v>
      </c>
      <c r="D21" s="103">
        <v>1</v>
      </c>
      <c r="E21" s="16" t="s">
        <v>13</v>
      </c>
      <c r="H21" s="26"/>
      <c r="I21" s="30"/>
      <c r="J21" s="31"/>
    </row>
    <row r="22" spans="1:10" x14ac:dyDescent="0.3">
      <c r="A22" s="106"/>
      <c r="B22" s="19">
        <f>Detail!D8</f>
        <v>0.92499992067200099</v>
      </c>
      <c r="C22" s="102"/>
      <c r="D22" s="102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733362426</v>
      </c>
      <c r="C3" s="10">
        <f>Detail_Newbie!K86</f>
        <v>0</v>
      </c>
      <c r="D3" s="10">
        <f>Detail!K15</f>
        <v>725057784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154405918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45375770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20844830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12821375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8347782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6459198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3486235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3919863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3180010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2067482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6293255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2735463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1547946</v>
      </c>
      <c r="E16" s="10">
        <f>Detail!K99</f>
        <v>44261342</v>
      </c>
      <c r="F16" s="10">
        <f>Detail!K176</f>
        <v>33624105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1250803</v>
      </c>
      <c r="E17" s="10">
        <f>Detail!K100</f>
        <v>150095303</v>
      </c>
      <c r="F17" s="10">
        <f>Detail!K177</f>
        <v>142495354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599685</v>
      </c>
      <c r="E18" s="10">
        <f>Detail!K101</f>
        <v>66347258</v>
      </c>
      <c r="F18" s="10">
        <f>Detail!K178</f>
        <v>53611252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415813</v>
      </c>
      <c r="E19" s="10">
        <f>Detail!K102</f>
        <v>113229493</v>
      </c>
      <c r="F19" s="10">
        <f>Detail!K179</f>
        <v>94377964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254865</v>
      </c>
      <c r="E20" s="10">
        <f>Detail!K103</f>
        <v>95419393</v>
      </c>
      <c r="F20" s="10">
        <f>Detail!K180</f>
        <v>82045785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214033</v>
      </c>
      <c r="E21" s="10">
        <f>Detail!K104</f>
        <v>79176578</v>
      </c>
      <c r="F21" s="10">
        <f>Detail!K181</f>
        <v>70222521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459105</v>
      </c>
      <c r="E22" s="10">
        <f>Detail!K105</f>
        <v>73097646</v>
      </c>
      <c r="F22" s="10">
        <f>Detail!K182</f>
        <v>67928091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262785</v>
      </c>
      <c r="E23" s="10">
        <f>Detail!K106</f>
        <v>93838719</v>
      </c>
      <c r="F23" s="10">
        <f>Detail!K183</f>
        <v>92830632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42151094</v>
      </c>
      <c r="F24" s="10">
        <f>Detail!K184</f>
        <v>44401194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75713804</v>
      </c>
      <c r="F25" s="10">
        <f>Detail!K185</f>
        <v>84947917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61644390</v>
      </c>
      <c r="D26" s="10">
        <f>Detail!K38</f>
        <v>0</v>
      </c>
      <c r="E26" s="10">
        <f>Detail!K109</f>
        <v>27194541</v>
      </c>
      <c r="F26" s="10">
        <f>Detail!K186</f>
        <v>32505662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57874274</v>
      </c>
      <c r="F27" s="10">
        <f>Detail!K187</f>
        <v>76061462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18627869</v>
      </c>
      <c r="F28" s="10">
        <f>Detail!K188</f>
        <v>27838105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26213671</v>
      </c>
      <c r="F29" s="10">
        <f>Detail!K189</f>
        <v>44588486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12022121</v>
      </c>
      <c r="F30" s="10">
        <f>Detail!K190</f>
        <v>23313443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12047397</v>
      </c>
      <c r="F31" s="10">
        <f>Detail!K191</f>
        <v>26669156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1552274</v>
      </c>
      <c r="F32" s="10">
        <f>Detail!K192</f>
        <v>334548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1299760</v>
      </c>
      <c r="F33" s="10">
        <f>Detail!K193</f>
        <v>273312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1123468</v>
      </c>
      <c r="F34" s="10">
        <f>Detail!K194</f>
        <v>231084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992305</v>
      </c>
      <c r="F35" s="10">
        <f>Detail!K195</f>
        <v>200117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890624</v>
      </c>
      <c r="F36" s="10">
        <f>Detail!K196</f>
        <v>176501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808771</v>
      </c>
      <c r="F37" s="10">
        <f>Detail!K197</f>
        <v>157835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741483</v>
      </c>
      <c r="F38" s="10">
        <f>Detail!K198</f>
        <v>142794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684454</v>
      </c>
      <c r="F39" s="10">
        <f>Detail!K199</f>
        <v>130320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635669</v>
      </c>
      <c r="F40" s="10">
        <f>Detail!K200</f>
        <v>119894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592888</v>
      </c>
      <c r="F41" s="10">
        <f>Detail!K201</f>
        <v>110974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555110</v>
      </c>
      <c r="F42" s="10">
        <f>Detail!K202</f>
        <v>103301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521407</v>
      </c>
      <c r="F43" s="10">
        <f>Detail!K203</f>
        <v>96638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490881</v>
      </c>
      <c r="F44" s="10">
        <f>Detail!K204</f>
        <v>90769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463071</v>
      </c>
      <c r="F45" s="10">
        <f>Detail!K205</f>
        <v>85581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437465</v>
      </c>
      <c r="F46" s="10">
        <f>Detail!K206</f>
        <v>80941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413840</v>
      </c>
      <c r="F47" s="10">
        <f>Detail!K207</f>
        <v>76795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287042</v>
      </c>
      <c r="F48" s="10">
        <f>Detail!K208</f>
        <v>56989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164487</v>
      </c>
      <c r="F49" s="10">
        <f>Detail!K209</f>
        <v>63225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34498</v>
      </c>
      <c r="F56" s="10">
        <f>Detail!K216</f>
        <v>7253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2734731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0.719999964550154</v>
      </c>
      <c r="D7" s="40">
        <f>SUM(_xlfn.ANCHORARRAY(M86))*F7</f>
        <v>0.180000020225826</v>
      </c>
      <c r="E7" s="41">
        <f>SUM(C7:D7)</f>
        <v>0.899999984775981</v>
      </c>
      <c r="F7" s="42">
        <f>L79</f>
        <v>0.002727273</v>
      </c>
      <c r="G7" s="43">
        <f>1/F7</f>
        <v>366.666630000004</v>
      </c>
      <c r="H7" s="44">
        <f>D7*G7</f>
        <v>66.0000008161363</v>
      </c>
      <c r="I7" s="60" cm="1">
        <f t="array" ref="I7">LOOKUP(2,1/(K15:K78&lt;&gt;0),P15:P78)</f>
        <v>70</v>
      </c>
      <c r="J7" s="60" cm="1">
        <f t="array" ref="J7">LOOKUP(2,1/(_xlfn.ANCHORARRAY(K86)&lt;&gt;0),P15:P78)</f>
        <v>3000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0.924999913273033</v>
      </c>
      <c r="E8" s="41">
        <f>SUM(C8:D8)</f>
        <v>0.924999913273033</v>
      </c>
      <c r="F8" s="45">
        <f>D156</f>
        <v>1</v>
      </c>
      <c r="G8" s="43">
        <f>1/F8</f>
        <v>1</v>
      </c>
      <c r="H8" s="44">
        <f>D8*G8*B8</f>
        <v>69.3749934954775</v>
      </c>
      <c r="I8" s="61"/>
      <c r="J8" s="61" cm="1">
        <f t="array" ref="J8">LOOKUP(2,1/(_xlfn.ANCHORARRAY(K163)&lt;&gt;0),P15:P78)</f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0.62476902099999998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1.16052134409526</v>
      </c>
      <c r="I15" s="36" cm="1">
        <f t="array" ref="I15:I79">D15:D79*H15:H79</f>
        <v>0.725057784</v>
      </c>
      <c r="J15" s="36" cm="1">
        <f t="array" ref="J15:J78">I15:I78/SUM(I15:I78)</f>
        <v>0.725057784</v>
      </c>
      <c r="K15" s="71" cm="1">
        <f t="array" ref="K15:K79">INT(J15:J79*$B$2)</f>
        <v>725057784</v>
      </c>
      <c r="L15" s="36" cm="1">
        <f t="array" ref="L15:L79">_xlfn.LET(_xlpm.x, K15:K79, _xlpm.x/SUM(_xlpm.x))</f>
        <v>0.723080354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0.72308035418607708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str">
        <f t="shared" si="1"/>
        <v>(0, 1]</v>
      </c>
      <c r="H16" s="70">
        <v>1.07777636259128</v>
      </c>
      <c r="I16" s="36">
        <v>0.154405918</v>
      </c>
      <c r="J16" s="36">
        <v>0.154405918</v>
      </c>
      <c r="K16" s="71">
        <v>154405918</v>
      </c>
      <c r="L16" s="36">
        <v>0.153984811</v>
      </c>
      <c r="M16" s="36">
        <v>0.066790179139529</v>
      </c>
      <c r="N16" s="73"/>
      <c r="O16" s="59">
        <v>0</v>
      </c>
      <c r="P16" s="59">
        <v>1</v>
      </c>
      <c r="Q16" s="36">
        <v>0.15398481127105751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str">
        <f t="shared" si="1"/>
        <v>(1, 2]</v>
      </c>
      <c r="H17" s="70">
        <v>0.826034618336794</v>
      </c>
      <c r="I17" s="36">
        <v>0.04537577</v>
      </c>
      <c r="J17" s="36">
        <v>0.04537577</v>
      </c>
      <c r="K17" s="71">
        <v>45375770</v>
      </c>
      <c r="L17" s="36">
        <v>0.045252018</v>
      </c>
      <c r="M17" s="36">
        <v>0.0681267751633281</v>
      </c>
      <c r="N17" s="73"/>
      <c r="O17" s="59">
        <v>1</v>
      </c>
      <c r="P17" s="59">
        <v>2</v>
      </c>
      <c r="Q17" s="36">
        <v>4.5252017994083057E-2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str">
        <f t="shared" si="1"/>
        <v>(2, 3]</v>
      </c>
      <c r="H18" s="70">
        <v>0.630849573517091</v>
      </c>
      <c r="I18" s="36">
        <v>0.02084483</v>
      </c>
      <c r="J18" s="36">
        <v>0.02084483</v>
      </c>
      <c r="K18" s="71">
        <v>20844830</v>
      </c>
      <c r="L18" s="36">
        <v>0.02078798</v>
      </c>
      <c r="M18" s="36">
        <v>0.0526264658036136</v>
      </c>
      <c r="N18" s="73"/>
      <c r="O18" s="59">
        <v>2</v>
      </c>
      <c r="P18" s="59">
        <v>3</v>
      </c>
      <c r="Q18" s="36">
        <v>2.0787979509583734E-2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str">
        <f t="shared" si="1"/>
        <v>(3, 4]</v>
      </c>
      <c r="H19" s="70">
        <v>0.560441823831811</v>
      </c>
      <c r="I19" s="36">
        <v>0.012821375</v>
      </c>
      <c r="J19" s="36">
        <v>0.012821375</v>
      </c>
      <c r="K19" s="71">
        <v>12821375</v>
      </c>
      <c r="L19" s="36">
        <v>0.012786408</v>
      </c>
      <c r="M19" s="36">
        <v>0.0451143701216679</v>
      </c>
      <c r="N19" s="73"/>
      <c r="O19" s="59">
        <v>3</v>
      </c>
      <c r="P19" s="59">
        <v>4</v>
      </c>
      <c r="Q19" s="36">
        <v>1.2786407640220468E-2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str">
        <f t="shared" si="1"/>
        <v>(4, 5]</v>
      </c>
      <c r="H20" s="70">
        <v>0.49193753550184</v>
      </c>
      <c r="I20" s="36">
        <v>0.008347782</v>
      </c>
      <c r="J20" s="36">
        <v>0.008347782</v>
      </c>
      <c r="K20" s="71">
        <v>8347782</v>
      </c>
      <c r="L20" s="36">
        <v>0.008325015</v>
      </c>
      <c r="M20" s="36">
        <v>0.0377335118730489</v>
      </c>
      <c r="N20" s="73"/>
      <c r="O20" s="59">
        <v>4</v>
      </c>
      <c r="P20" s="59">
        <v>5</v>
      </c>
      <c r="Q20" s="36">
        <v>8.325015339126645E-3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str">
        <f t="shared" si="1"/>
        <v>(5, 6]</v>
      </c>
      <c r="H21" s="70">
        <v>0.479407378906588</v>
      </c>
      <c r="I21" s="36">
        <v>0.006459198</v>
      </c>
      <c r="J21" s="36">
        <v>0.006459198</v>
      </c>
      <c r="K21" s="71">
        <v>6459198</v>
      </c>
      <c r="L21" s="36">
        <v>0.006441582</v>
      </c>
      <c r="M21" s="36">
        <v>0.0357661274893929</v>
      </c>
      <c r="N21" s="73"/>
      <c r="O21" s="59">
        <v>5</v>
      </c>
      <c r="P21" s="59">
        <v>6</v>
      </c>
      <c r="Q21" s="36">
        <v>6.4415820188471803E-3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str">
        <f t="shared" si="1"/>
        <v>(6, 7]</v>
      </c>
      <c r="H22" s="70">
        <v>0.327662349697614</v>
      </c>
      <c r="I22" s="36">
        <v>0.003486235</v>
      </c>
      <c r="J22" s="36">
        <v>0.003486235</v>
      </c>
      <c r="K22" s="71">
        <v>3486235</v>
      </c>
      <c r="L22" s="36">
        <v>0.003476727</v>
      </c>
      <c r="M22" s="36">
        <v>0.0226841686410115</v>
      </c>
      <c r="N22" s="73"/>
      <c r="O22" s="59">
        <v>6</v>
      </c>
      <c r="P22" s="59">
        <v>7</v>
      </c>
      <c r="Q22" s="36">
        <v>3.4767270935920679E-3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str">
        <f t="shared" si="1"/>
        <v>(7, 8]</v>
      </c>
      <c r="H23" s="70">
        <v>0.437793217229195</v>
      </c>
      <c r="I23" s="36">
        <v>0.003919863</v>
      </c>
      <c r="J23" s="36">
        <v>0.003919863</v>
      </c>
      <c r="K23" s="71">
        <v>3919863</v>
      </c>
      <c r="L23" s="36">
        <v>0.003909172</v>
      </c>
      <c r="M23" s="36">
        <v>0.0294455307700175</v>
      </c>
      <c r="N23" s="73"/>
      <c r="O23" s="59">
        <v>7</v>
      </c>
      <c r="P23" s="59">
        <v>8</v>
      </c>
      <c r="Q23" s="36">
        <v>3.9091724726729796E-3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str">
        <f t="shared" si="1"/>
        <v>(8, 9]</v>
      </c>
      <c r="H24" s="70">
        <v>0.422432250980292</v>
      </c>
      <c r="I24" s="36">
        <v>0.00318001</v>
      </c>
      <c r="J24" s="36">
        <v>0.00318001</v>
      </c>
      <c r="K24" s="71">
        <v>3180010</v>
      </c>
      <c r="L24" s="36">
        <v>0.003171337</v>
      </c>
      <c r="M24" s="36">
        <v>0.0271223953807107</v>
      </c>
      <c r="N24" s="73"/>
      <c r="O24" s="59">
        <v>8</v>
      </c>
      <c r="P24" s="59">
        <v>9</v>
      </c>
      <c r="Q24" s="36">
        <v>3.1713372520480441E-3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str">
        <f t="shared" si="1"/>
        <v>(9, 10]</v>
      </c>
      <c r="H25" s="70">
        <v>0.332121834433696</v>
      </c>
      <c r="I25" s="36">
        <v>0.002067482</v>
      </c>
      <c r="J25" s="36">
        <v>0.002067482</v>
      </c>
      <c r="K25" s="71">
        <v>2067482</v>
      </c>
      <c r="L25" s="36">
        <v>0.002061843</v>
      </c>
      <c r="M25" s="36">
        <v>0.0196655812240821</v>
      </c>
      <c r="N25" s="73"/>
      <c r="O25" s="59">
        <v>9</v>
      </c>
      <c r="P25" s="59">
        <v>10</v>
      </c>
      <c r="Q25" s="36">
        <v>2.0618434170140325E-3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str">
        <f t="shared" si="1"/>
        <v>(10, 15]</v>
      </c>
      <c r="H26" s="70">
        <v>0.3038769418268</v>
      </c>
      <c r="I26" s="36">
        <v>0.006293255</v>
      </c>
      <c r="J26" s="36">
        <v>0.006293255</v>
      </c>
      <c r="K26" s="71">
        <v>6293255</v>
      </c>
      <c r="L26" s="36">
        <v>0.006276092</v>
      </c>
      <c r="M26" s="36">
        <v>0.0770718775133807</v>
      </c>
      <c r="N26" s="73"/>
      <c r="O26" s="59">
        <v>10</v>
      </c>
      <c r="P26" s="59">
        <v>15</v>
      </c>
      <c r="Q26" s="36">
        <v>6.276091590321292E-3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str">
        <f t="shared" si="1"/>
        <v>(15, 20]</v>
      </c>
      <c r="H27" s="70">
        <v>0.245236779290637</v>
      </c>
      <c r="I27" s="36">
        <v>0.002735463</v>
      </c>
      <c r="J27" s="36">
        <v>0.002735463</v>
      </c>
      <c r="K27" s="71">
        <v>2735463</v>
      </c>
      <c r="L27" s="36">
        <v>0.002728003</v>
      </c>
      <c r="M27" s="36">
        <v>0.0472948373233859</v>
      </c>
      <c r="N27" s="73"/>
      <c r="O27" s="59">
        <v>15</v>
      </c>
      <c r="P27" s="59">
        <v>20</v>
      </c>
      <c r="Q27" s="36">
        <v>2.728002652035402E-3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str">
        <f t="shared" si="1"/>
        <v>(20, 25]</v>
      </c>
      <c r="H28" s="70">
        <v>0.229571910570613</v>
      </c>
      <c r="I28" s="36">
        <v>0.001547946</v>
      </c>
      <c r="J28" s="36">
        <v>0.001547946</v>
      </c>
      <c r="K28" s="71">
        <v>1547946</v>
      </c>
      <c r="L28" s="36">
        <v>0.001543724</v>
      </c>
      <c r="M28" s="36">
        <v>0.0345304655287207</v>
      </c>
      <c r="N28" s="73"/>
      <c r="O28" s="59">
        <v>20</v>
      </c>
      <c r="P28" s="59">
        <v>25</v>
      </c>
      <c r="Q28" s="36">
        <v>1.5437243323004524E-3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str">
        <f t="shared" si="1"/>
        <v>(25, 30]</v>
      </c>
      <c r="H29" s="70">
        <v>0.279263298576582</v>
      </c>
      <c r="I29" s="36">
        <v>0.001250803</v>
      </c>
      <c r="J29" s="36">
        <v>0.001250803</v>
      </c>
      <c r="K29" s="71">
        <v>1250803</v>
      </c>
      <c r="L29" s="36">
        <v>0.001247392</v>
      </c>
      <c r="M29" s="36">
        <v>0.0341737603595091</v>
      </c>
      <c r="N29" s="73"/>
      <c r="O29" s="59">
        <v>25</v>
      </c>
      <c r="P29" s="59">
        <v>30</v>
      </c>
      <c r="Q29" s="36">
        <v>1.2473917216843499E-3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str">
        <f t="shared" si="1"/>
        <v>(30, 35]</v>
      </c>
      <c r="H30" s="70">
        <v>0.198629268093949</v>
      </c>
      <c r="I30" s="36">
        <v>0.000599685</v>
      </c>
      <c r="J30" s="36">
        <v>0.000599685</v>
      </c>
      <c r="K30" s="71">
        <v>599685</v>
      </c>
      <c r="L30" s="36">
        <v>0.00059805</v>
      </c>
      <c r="M30" s="36">
        <v>0.0193758254907023</v>
      </c>
      <c r="N30" s="73"/>
      <c r="O30" s="59">
        <v>30</v>
      </c>
      <c r="P30" s="59">
        <v>35</v>
      </c>
      <c r="Q30" s="36">
        <v>5.9804949669794473E-4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str">
        <f t="shared" si="1"/>
        <v>(35, 40]</v>
      </c>
      <c r="H31" s="70">
        <v>0.188348572572631</v>
      </c>
      <c r="I31" s="36">
        <v>0.000415813</v>
      </c>
      <c r="J31" s="36">
        <v>0.000415813</v>
      </c>
      <c r="K31" s="71">
        <v>415813</v>
      </c>
      <c r="L31" s="36">
        <v>0.000414679</v>
      </c>
      <c r="M31" s="36">
        <v>0.0155248882885365</v>
      </c>
      <c r="N31" s="73"/>
      <c r="O31" s="59">
        <v>35</v>
      </c>
      <c r="P31" s="59">
        <v>40</v>
      </c>
      <c r="Q31" s="36">
        <v>4.1467896540760979E-4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str">
        <f t="shared" si="1"/>
        <v>(40, 45]</v>
      </c>
      <c r="H32" s="70">
        <v>0.154711737732145</v>
      </c>
      <c r="I32" s="36">
        <v>0.000254865</v>
      </c>
      <c r="J32" s="36">
        <v>0.000254865</v>
      </c>
      <c r="K32" s="71">
        <v>254865</v>
      </c>
      <c r="L32" s="36">
        <v>0.00025417</v>
      </c>
      <c r="M32" s="36">
        <v>0.0107862822993276</v>
      </c>
      <c r="N32" s="73"/>
      <c r="O32" s="59">
        <v>40</v>
      </c>
      <c r="P32" s="59">
        <v>45</v>
      </c>
      <c r="Q32" s="36">
        <v>2.5416991416480597E-4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str">
        <f t="shared" si="1"/>
        <v>(45, 50]</v>
      </c>
      <c r="H33" s="70">
        <v>0.173756150547045</v>
      </c>
      <c r="I33" s="36">
        <v>0.000214033</v>
      </c>
      <c r="J33" s="36">
        <v>0.000214033</v>
      </c>
      <c r="K33" s="71">
        <v>214033</v>
      </c>
      <c r="L33" s="36">
        <v>0.000213449</v>
      </c>
      <c r="M33" s="36">
        <v>0.0101303680523631</v>
      </c>
      <c r="N33" s="73"/>
      <c r="O33" s="59">
        <v>45</v>
      </c>
      <c r="P33" s="59">
        <v>50</v>
      </c>
      <c r="Q33" s="36">
        <v>2.1344927408014407E-4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str">
        <f t="shared" si="1"/>
        <v>(50, 60]</v>
      </c>
      <c r="H34" s="70">
        <v>0.260531965181823</v>
      </c>
      <c r="I34" s="36">
        <v>0.000459105</v>
      </c>
      <c r="J34" s="36">
        <v>0.000459105</v>
      </c>
      <c r="K34" s="71">
        <v>459105</v>
      </c>
      <c r="L34" s="36">
        <v>0.000457853</v>
      </c>
      <c r="M34" s="36">
        <v>0.0250453515555225</v>
      </c>
      <c r="N34" s="73"/>
      <c r="O34" s="59">
        <v>50</v>
      </c>
      <c r="P34" s="59">
        <v>60</v>
      </c>
      <c r="Q34" s="36">
        <v>4.5785289640646324E-4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str">
        <f t="shared" si="1"/>
        <v>(60, 70]</v>
      </c>
      <c r="H35" s="70">
        <v>0.235564360340817</v>
      </c>
      <c r="I35" s="36">
        <v>0.000262785</v>
      </c>
      <c r="J35" s="36">
        <v>0.000262785</v>
      </c>
      <c r="K35" s="71">
        <v>262785</v>
      </c>
      <c r="L35" s="36">
        <v>0.000262068</v>
      </c>
      <c r="M35" s="36">
        <v>0.0169517446177284</v>
      </c>
      <c r="N35" s="73"/>
      <c r="O35" s="59">
        <v>60</v>
      </c>
      <c r="P35" s="59">
        <v>70</v>
      </c>
      <c r="Q35" s="36">
        <v>2.6206831418122749E-4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6.9973149999999996E-3</v>
      </c>
      <c r="E79" s="69">
        <v>8.8144670205643152</v>
      </c>
      <c r="F79" s="77"/>
      <c r="G79" s="14" t="s">
        <v>117</v>
      </c>
      <c r="H79" s="70">
        <v>0.390825766740528</v>
      </c>
      <c r="I79" s="36">
        <v>0.002734731</v>
      </c>
      <c r="J79" s="36">
        <f>I79</f>
        <v>0.002734731</v>
      </c>
      <c r="K79" s="72">
        <v>2734731</v>
      </c>
      <c r="L79" s="36">
        <v>0.002727273</v>
      </c>
      <c r="M79" s="36">
        <v>0.0240394579145755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3.6186737341394521E-3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str">
        <f t="shared" si="5"/>
        <v>(20, 25]</v>
      </c>
      <c r="H99" s="70">
        <v>1.85338890097083</v>
      </c>
      <c r="I99" s="36">
        <v>0.044261342</v>
      </c>
      <c r="J99" s="36">
        <v>0.044261342</v>
      </c>
      <c r="K99" s="71">
        <v>44261342</v>
      </c>
      <c r="L99" s="36">
        <v>0.044261342</v>
      </c>
      <c r="M99" s="36">
        <v>0.998871361686047</v>
      </c>
      <c r="N99" s="73"/>
      <c r="O99" s="59">
        <v>20</v>
      </c>
      <c r="P99" s="59">
        <v>25</v>
      </c>
      <c r="Q99" s="36">
        <v>4.4232945000000003E-2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str">
        <f t="shared" si="5"/>
        <v>(25, 30]</v>
      </c>
      <c r="H100" s="70">
        <v>6.08062687141519</v>
      </c>
      <c r="I100" s="36">
        <v>0.150095303</v>
      </c>
      <c r="J100" s="36">
        <v>0.150095303</v>
      </c>
      <c r="K100" s="71">
        <v>150095303</v>
      </c>
      <c r="L100" s="36">
        <v>0.150095303</v>
      </c>
      <c r="M100" s="36">
        <v>4.13781939308992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str">
        <f t="shared" si="5"/>
        <v>(30, 35]</v>
      </c>
      <c r="H101" s="70">
        <v>2.70469430640949</v>
      </c>
      <c r="I101" s="36">
        <v>0.066347258</v>
      </c>
      <c r="J101" s="36">
        <v>0.066347258</v>
      </c>
      <c r="K101" s="71">
        <v>66347258</v>
      </c>
      <c r="L101" s="36">
        <v>0.066347258</v>
      </c>
      <c r="M101" s="36">
        <v>2.16010548976664</v>
      </c>
      <c r="N101" s="73"/>
      <c r="O101" s="59">
        <v>30</v>
      </c>
      <c r="P101" s="59">
        <v>35</v>
      </c>
      <c r="Q101" s="36">
        <v>6.6304689E-2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str">
        <f t="shared" si="5"/>
        <v>(35, 40]</v>
      </c>
      <c r="H102" s="70">
        <v>4.58654334314333</v>
      </c>
      <c r="I102" s="36">
        <v>0.113229493</v>
      </c>
      <c r="J102" s="36">
        <v>0.113229493</v>
      </c>
      <c r="K102" s="71">
        <v>113229493</v>
      </c>
      <c r="L102" s="36">
        <v>0.113229493</v>
      </c>
      <c r="M102" s="36">
        <v>4.2521545510793</v>
      </c>
      <c r="N102" s="73"/>
      <c r="O102" s="59">
        <v>35</v>
      </c>
      <c r="P102" s="59">
        <v>40</v>
      </c>
      <c r="Q102" s="36">
        <v>0.11315684400000001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str">
        <f t="shared" si="5"/>
        <v>(40, 45]</v>
      </c>
      <c r="H103" s="70">
        <v>3.92217415015858</v>
      </c>
      <c r="I103" s="36">
        <v>0.095419393</v>
      </c>
      <c r="J103" s="36">
        <v>0.095419393</v>
      </c>
      <c r="K103" s="71">
        <v>95419393</v>
      </c>
      <c r="L103" s="36">
        <v>0.095419393</v>
      </c>
      <c r="M103" s="36">
        <v>4.06021212581529</v>
      </c>
      <c r="N103" s="73"/>
      <c r="O103" s="59">
        <v>40</v>
      </c>
      <c r="P103" s="59">
        <v>45</v>
      </c>
      <c r="Q103" s="36">
        <v>9.5358171000000005E-2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str">
        <f t="shared" si="5"/>
        <v>(45, 50]</v>
      </c>
      <c r="H104" s="70">
        <v>3.29687558027951</v>
      </c>
      <c r="I104" s="36">
        <v>0.079176578</v>
      </c>
      <c r="J104" s="36">
        <v>0.079176578</v>
      </c>
      <c r="K104" s="71">
        <v>79176578</v>
      </c>
      <c r="L104" s="36">
        <v>0.079176578</v>
      </c>
      <c r="M104" s="36">
        <v>3.76448525528926</v>
      </c>
      <c r="N104" s="73"/>
      <c r="O104" s="59">
        <v>45</v>
      </c>
      <c r="P104" s="59">
        <v>50</v>
      </c>
      <c r="Q104" s="36">
        <v>7.9125777999999994E-2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str">
        <f t="shared" si="5"/>
        <v>(50, 60]</v>
      </c>
      <c r="H105" s="70">
        <v>1.58026414030404</v>
      </c>
      <c r="I105" s="36">
        <v>0.073097646</v>
      </c>
      <c r="J105" s="36">
        <v>0.073097646</v>
      </c>
      <c r="K105" s="71">
        <v>73097646</v>
      </c>
      <c r="L105" s="36">
        <v>0.073097646</v>
      </c>
      <c r="M105" s="36">
        <v>4.02132981352169</v>
      </c>
      <c r="N105" s="73"/>
      <c r="O105" s="59">
        <v>50</v>
      </c>
      <c r="P105" s="59">
        <v>60</v>
      </c>
      <c r="Q105" s="36">
        <v>7.3050746E-2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str">
        <f t="shared" si="5"/>
        <v>(60, 70]</v>
      </c>
      <c r="H106" s="70">
        <v>2.14067216339669</v>
      </c>
      <c r="I106" s="36">
        <v>0.093838719</v>
      </c>
      <c r="J106" s="36">
        <v>0.093838719</v>
      </c>
      <c r="K106" s="71">
        <v>93838719</v>
      </c>
      <c r="L106" s="36">
        <v>0.093838719</v>
      </c>
      <c r="M106" s="36">
        <v>6.10017322515307</v>
      </c>
      <c r="N106" s="73"/>
      <c r="O106" s="59">
        <v>60</v>
      </c>
      <c r="P106" s="59">
        <v>70</v>
      </c>
      <c r="Q106" s="36">
        <v>9.3778511999999994E-2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str">
        <f t="shared" si="5"/>
        <v>(70, 80]</v>
      </c>
      <c r="H107" s="70">
        <v>1.01299794722012</v>
      </c>
      <c r="I107" s="36">
        <v>0.042151094</v>
      </c>
      <c r="J107" s="36">
        <v>0.042151094</v>
      </c>
      <c r="K107" s="71">
        <v>42151094</v>
      </c>
      <c r="L107" s="36">
        <v>0.042151094</v>
      </c>
      <c r="M107" s="36">
        <v>3.1612653402043</v>
      </c>
      <c r="N107" s="73"/>
      <c r="O107" s="59">
        <v>70</v>
      </c>
      <c r="P107" s="59">
        <v>80</v>
      </c>
      <c r="Q107" s="36">
        <v>4.2124050000000003E-2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str">
        <f t="shared" si="5"/>
        <v>(80, 90]</v>
      </c>
      <c r="H108" s="70">
        <v>1.94620263991955</v>
      </c>
      <c r="I108" s="36">
        <v>0.075713804</v>
      </c>
      <c r="J108" s="36">
        <v>0.075713804</v>
      </c>
      <c r="K108" s="71">
        <v>75713804</v>
      </c>
      <c r="L108" s="36">
        <v>0.075713804</v>
      </c>
      <c r="M108" s="36">
        <v>6.43470865436897</v>
      </c>
      <c r="N108" s="73"/>
      <c r="O108" s="59">
        <v>80</v>
      </c>
      <c r="P108" s="59">
        <v>90</v>
      </c>
      <c r="Q108" s="36">
        <v>7.5665226000000002E-2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str">
        <f t="shared" si="5"/>
        <v>(90, 100]</v>
      </c>
      <c r="H109" s="81">
        <v>0.750128194175283</v>
      </c>
      <c r="I109" s="79">
        <v>0.027194541</v>
      </c>
      <c r="J109" s="79">
        <v>0.027194541</v>
      </c>
      <c r="K109" s="71">
        <v>27194541</v>
      </c>
      <c r="L109" s="79">
        <v>0.027194541</v>
      </c>
      <c r="M109" s="79">
        <v>2.58350344651112</v>
      </c>
      <c r="N109" s="73"/>
      <c r="O109" s="59">
        <v>90</v>
      </c>
      <c r="P109" s="59">
        <v>100</v>
      </c>
      <c r="Q109" s="36">
        <v>2.7177092999999999E-2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str">
        <f t="shared" si="5"/>
        <v>(100, 120]</v>
      </c>
      <c r="H110" s="81">
        <v>0.886538378596673</v>
      </c>
      <c r="I110" s="79">
        <v>0.057874274</v>
      </c>
      <c r="J110" s="79">
        <v>0.057874274</v>
      </c>
      <c r="K110" s="71">
        <v>57874274</v>
      </c>
      <c r="L110" s="79">
        <v>0.057874274</v>
      </c>
      <c r="M110" s="79">
        <v>6.35651577004263</v>
      </c>
      <c r="N110" s="73"/>
      <c r="O110" s="59">
        <v>100</v>
      </c>
      <c r="P110" s="59">
        <v>120</v>
      </c>
      <c r="Q110" s="36">
        <v>5.7837142000000001E-2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str">
        <f t="shared" si="5"/>
        <v>(120, 140]</v>
      </c>
      <c r="H111" s="81">
        <v>0.329309717396182</v>
      </c>
      <c r="I111" s="79">
        <v>0.018627869</v>
      </c>
      <c r="J111" s="79">
        <v>0.018627869</v>
      </c>
      <c r="K111" s="71">
        <v>18627869</v>
      </c>
      <c r="L111" s="79">
        <v>0.018627869</v>
      </c>
      <c r="M111" s="79">
        <v>2.41813936700051</v>
      </c>
      <c r="N111" s="73"/>
      <c r="O111" s="59">
        <v>120</v>
      </c>
      <c r="P111" s="59">
        <v>140</v>
      </c>
      <c r="Q111" s="36">
        <v>1.8615916999999999E-2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str">
        <f t="shared" si="5"/>
        <v>(140, 160]</v>
      </c>
      <c r="H112" s="81">
        <v>0.533941080407198</v>
      </c>
      <c r="I112" s="79">
        <v>0.026213671</v>
      </c>
      <c r="J112" s="79">
        <v>0.026213671</v>
      </c>
      <c r="K112" s="71">
        <v>26213671</v>
      </c>
      <c r="L112" s="79">
        <v>0.026213671</v>
      </c>
      <c r="M112" s="79">
        <v>3.92691419940076</v>
      </c>
      <c r="N112" s="73"/>
      <c r="O112" s="59">
        <v>140</v>
      </c>
      <c r="P112" s="59">
        <v>160</v>
      </c>
      <c r="Q112" s="36">
        <v>2.6196852E-2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str">
        <f t="shared" si="5"/>
        <v>(160, 180]</v>
      </c>
      <c r="H113" s="81">
        <v>0.281696852288181</v>
      </c>
      <c r="I113" s="79">
        <v>0.012022121</v>
      </c>
      <c r="J113" s="79">
        <v>0.012022121</v>
      </c>
      <c r="K113" s="71">
        <v>12022121</v>
      </c>
      <c r="L113" s="79">
        <v>0.012022121</v>
      </c>
      <c r="M113" s="79">
        <v>2.04145388581925</v>
      </c>
      <c r="N113" s="73"/>
      <c r="O113" s="59">
        <v>160</v>
      </c>
      <c r="P113" s="59">
        <v>180</v>
      </c>
      <c r="Q113" s="36">
        <v>1.2014408000000001E-2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str">
        <f t="shared" si="5"/>
        <v>(180, 200]</v>
      </c>
      <c r="H114" s="81">
        <v>0.326315749346996</v>
      </c>
      <c r="I114" s="79">
        <v>0.012047397</v>
      </c>
      <c r="J114" s="79">
        <v>0.012047397</v>
      </c>
      <c r="K114" s="71">
        <v>12047397</v>
      </c>
      <c r="L114" s="79">
        <v>0.012047397</v>
      </c>
      <c r="M114" s="79">
        <v>2.28667963840425</v>
      </c>
      <c r="N114" s="73"/>
      <c r="O114" s="59">
        <v>180</v>
      </c>
      <c r="P114" s="59">
        <v>200</v>
      </c>
      <c r="Q114" s="36">
        <v>1.2039667E-2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str">
        <f t="shared" si="5"/>
        <v>(200, 250]</v>
      </c>
      <c r="H115" s="81">
        <v>0.0211555581738839</v>
      </c>
      <c r="I115" s="79">
        <v>0.001552274</v>
      </c>
      <c r="J115" s="79">
        <v>0.001552274</v>
      </c>
      <c r="K115" s="71">
        <v>1552274</v>
      </c>
      <c r="L115" s="79">
        <v>0.001552274</v>
      </c>
      <c r="M115" s="79">
        <v>0.34716699119625</v>
      </c>
      <c r="N115" s="73"/>
      <c r="O115" s="59">
        <v>200</v>
      </c>
      <c r="P115" s="59">
        <v>250</v>
      </c>
      <c r="Q115" s="36">
        <v>1.6342069999999999E-3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str">
        <f t="shared" si="5"/>
        <v>(250, 300]</v>
      </c>
      <c r="H116" s="81">
        <v>0.0245383100070689</v>
      </c>
      <c r="I116" s="79">
        <v>0.00129976</v>
      </c>
      <c r="J116" s="79">
        <v>0.00129976</v>
      </c>
      <c r="K116" s="71">
        <v>1299760</v>
      </c>
      <c r="L116" s="79">
        <v>0.00129976</v>
      </c>
      <c r="M116" s="79">
        <v>0.355823509451087</v>
      </c>
      <c r="N116" s="73"/>
      <c r="O116" s="59">
        <v>250</v>
      </c>
      <c r="P116" s="59">
        <v>300</v>
      </c>
      <c r="Q116" s="36">
        <v>1.3683650000000001E-3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str">
        <f t="shared" si="5"/>
        <v>(300, 350]</v>
      </c>
      <c r="H117" s="81">
        <v>0.0286851794668185</v>
      </c>
      <c r="I117" s="79">
        <v>0.001123468</v>
      </c>
      <c r="J117" s="79">
        <v>0.001123468</v>
      </c>
      <c r="K117" s="71">
        <v>1123468</v>
      </c>
      <c r="L117" s="79">
        <v>0.001123468</v>
      </c>
      <c r="M117" s="79">
        <v>0.363764304369747</v>
      </c>
      <c r="N117" s="73"/>
      <c r="O117" s="59">
        <v>300</v>
      </c>
      <c r="P117" s="59">
        <v>350</v>
      </c>
      <c r="Q117" s="36">
        <v>1.1827669999999999E-3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str">
        <f t="shared" ref="G118:G149" si="7">"("&amp;$O118&amp;", "&amp;$P118&amp;"]"</f>
        <v>(350, 400]</v>
      </c>
      <c r="H118" s="81">
        <v>0.0337996916763618</v>
      </c>
      <c r="I118" s="79">
        <v>0.000992305</v>
      </c>
      <c r="J118" s="79">
        <v>0.000992305</v>
      </c>
      <c r="K118" s="71">
        <v>992305</v>
      </c>
      <c r="L118" s="79">
        <v>0.000992305</v>
      </c>
      <c r="M118" s="79">
        <v>0.371013721432857</v>
      </c>
      <c r="N118" s="73"/>
      <c r="O118" s="59">
        <v>350</v>
      </c>
      <c r="P118" s="59">
        <v>400</v>
      </c>
      <c r="Q118" s="36">
        <v>1.044681E-3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str">
        <f t="shared" si="7"/>
        <v>(400, 450]</v>
      </c>
      <c r="H119" s="81">
        <v>0.0399531784087908</v>
      </c>
      <c r="I119" s="79">
        <v>0.000890624</v>
      </c>
      <c r="J119" s="79">
        <v>0.000890624</v>
      </c>
      <c r="K119" s="71">
        <v>890624</v>
      </c>
      <c r="L119" s="79">
        <v>0.000890624</v>
      </c>
      <c r="M119" s="79">
        <v>0.377552859076519</v>
      </c>
      <c r="N119" s="73"/>
      <c r="O119" s="59">
        <v>400</v>
      </c>
      <c r="P119" s="59">
        <v>450</v>
      </c>
      <c r="Q119" s="36">
        <v>9.37633E-4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str">
        <f t="shared" si="7"/>
        <v>(450, 500]</v>
      </c>
      <c r="H120" s="81">
        <v>0.0465883402061775</v>
      </c>
      <c r="I120" s="79">
        <v>0.000808771</v>
      </c>
      <c r="J120" s="79">
        <v>0.000808771</v>
      </c>
      <c r="K120" s="71">
        <v>808771</v>
      </c>
      <c r="L120" s="79">
        <v>0.000808771</v>
      </c>
      <c r="M120" s="79">
        <v>0.383401174293481</v>
      </c>
      <c r="N120" s="73"/>
      <c r="O120" s="59">
        <v>450</v>
      </c>
      <c r="P120" s="59">
        <v>500</v>
      </c>
      <c r="Q120" s="36">
        <v>8.5146099999999997E-4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str">
        <f t="shared" si="7"/>
        <v>(500, 550]</v>
      </c>
      <c r="H121" s="81">
        <v>0.0541325680586044</v>
      </c>
      <c r="I121" s="79">
        <v>0.000741483</v>
      </c>
      <c r="J121" s="79">
        <v>0.000741483</v>
      </c>
      <c r="K121" s="71">
        <v>741483</v>
      </c>
      <c r="L121" s="79">
        <v>0.000741483</v>
      </c>
      <c r="M121" s="79">
        <v>0.388526456670886</v>
      </c>
      <c r="N121" s="73"/>
      <c r="O121" s="59">
        <v>500</v>
      </c>
      <c r="P121" s="59">
        <v>550</v>
      </c>
      <c r="Q121" s="36">
        <v>7.8061999999999999E-4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str">
        <f t="shared" si="7"/>
        <v>(550, 600]</v>
      </c>
      <c r="H122" s="70">
        <v>0.062859658503104</v>
      </c>
      <c r="I122" s="36">
        <v>0.000684454</v>
      </c>
      <c r="J122" s="36">
        <v>0.000684454</v>
      </c>
      <c r="K122" s="71">
        <v>684454</v>
      </c>
      <c r="L122" s="36">
        <v>0.000684454</v>
      </c>
      <c r="M122" s="36">
        <v>0.39297365621443</v>
      </c>
      <c r="N122" s="73"/>
      <c r="O122" s="59">
        <v>550</v>
      </c>
      <c r="P122" s="59">
        <v>600</v>
      </c>
      <c r="Q122" s="36">
        <v>7.2058099999999998E-4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str">
        <f t="shared" si="7"/>
        <v>(600, 650]</v>
      </c>
      <c r="H123" s="70">
        <v>0.0728328704087865</v>
      </c>
      <c r="I123" s="36">
        <v>0.000635669</v>
      </c>
      <c r="J123" s="36">
        <v>0.000635669</v>
      </c>
      <c r="K123" s="71">
        <v>635669</v>
      </c>
      <c r="L123" s="36">
        <v>0.000635669</v>
      </c>
      <c r="M123" s="36">
        <v>0.396700479792439</v>
      </c>
      <c r="N123" s="73"/>
      <c r="O123" s="59">
        <v>600</v>
      </c>
      <c r="P123" s="59">
        <v>650</v>
      </c>
      <c r="Q123" s="36">
        <v>6.6922100000000001E-4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str">
        <f t="shared" si="7"/>
        <v>(650, 700]</v>
      </c>
      <c r="H124" s="70">
        <v>0.0838021229314211</v>
      </c>
      <c r="I124" s="36">
        <v>0.000592888</v>
      </c>
      <c r="J124" s="36">
        <v>0.000592888</v>
      </c>
      <c r="K124" s="71">
        <v>592888</v>
      </c>
      <c r="L124" s="36">
        <v>0.000592888</v>
      </c>
      <c r="M124" s="36">
        <v>0.399741191769801</v>
      </c>
      <c r="N124" s="73"/>
      <c r="O124" s="59">
        <v>650</v>
      </c>
      <c r="P124" s="59">
        <v>700</v>
      </c>
      <c r="Q124" s="36">
        <v>6.2418200000000004E-4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str">
        <f t="shared" si="7"/>
        <v>(700, 750]</v>
      </c>
      <c r="H125" s="70">
        <v>0.0950026789035367</v>
      </c>
      <c r="I125" s="36">
        <v>0.00055511</v>
      </c>
      <c r="J125" s="36">
        <v>0.00055511</v>
      </c>
      <c r="K125" s="71">
        <v>555110</v>
      </c>
      <c r="L125" s="36">
        <v>0.00055511</v>
      </c>
      <c r="M125" s="36">
        <v>0.402073576548476</v>
      </c>
      <c r="N125" s="73"/>
      <c r="O125" s="59">
        <v>700</v>
      </c>
      <c r="P125" s="59">
        <v>750</v>
      </c>
      <c r="Q125" s="36">
        <v>5.8441000000000005E-4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str">
        <f t="shared" si="7"/>
        <v>(750, 800]</v>
      </c>
      <c r="H126" s="70">
        <v>0.107760552388132</v>
      </c>
      <c r="I126" s="36">
        <v>0.000521407</v>
      </c>
      <c r="J126" s="36">
        <v>0.000521407</v>
      </c>
      <c r="K126" s="71">
        <v>521407</v>
      </c>
      <c r="L126" s="36">
        <v>0.000521407</v>
      </c>
      <c r="M126" s="36">
        <v>0.403701443396589</v>
      </c>
      <c r="N126" s="73"/>
      <c r="O126" s="59">
        <v>750</v>
      </c>
      <c r="P126" s="59">
        <v>800</v>
      </c>
      <c r="Q126" s="36">
        <v>5.4892799999999996E-4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str">
        <f t="shared" si="7"/>
        <v>(800, 850]</v>
      </c>
      <c r="H127" s="70">
        <v>0.121411367025379</v>
      </c>
      <c r="I127" s="36">
        <v>0.000490881</v>
      </c>
      <c r="J127" s="36">
        <v>0.000490881</v>
      </c>
      <c r="K127" s="71">
        <v>490881</v>
      </c>
      <c r="L127" s="36">
        <v>0.000490881</v>
      </c>
      <c r="M127" s="36">
        <v>0.404630525814312</v>
      </c>
      <c r="N127" s="73"/>
      <c r="O127" s="59">
        <v>800</v>
      </c>
      <c r="P127" s="59">
        <v>850</v>
      </c>
      <c r="Q127" s="36">
        <v>5.1679099999999995E-4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str">
        <f t="shared" si="7"/>
        <v>(850, 900]</v>
      </c>
      <c r="H128" s="70">
        <v>0.137153593835556</v>
      </c>
      <c r="I128" s="36">
        <v>0.000463071</v>
      </c>
      <c r="J128" s="36">
        <v>0.000463071</v>
      </c>
      <c r="K128" s="72">
        <v>463071</v>
      </c>
      <c r="L128" s="36">
        <v>0.000463071</v>
      </c>
      <c r="M128" s="36">
        <v>0.404854167640578</v>
      </c>
      <c r="N128" s="73"/>
      <c r="O128" s="59">
        <v>850</v>
      </c>
      <c r="P128" s="59">
        <v>900</v>
      </c>
      <c r="Q128" s="36">
        <v>4.8751300000000002E-4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str">
        <f t="shared" si="7"/>
        <v>(900, 950]</v>
      </c>
      <c r="H129" s="70">
        <v>0.152239538791217</v>
      </c>
      <c r="I129" s="36">
        <v>0.000437465</v>
      </c>
      <c r="J129" s="36">
        <v>0.000437465</v>
      </c>
      <c r="K129" s="72">
        <v>437465</v>
      </c>
      <c r="L129" s="36">
        <v>0.000437465</v>
      </c>
      <c r="M129" s="36">
        <v>0.404385398792983</v>
      </c>
      <c r="N129" s="73"/>
      <c r="O129" s="59">
        <v>900</v>
      </c>
      <c r="P129" s="59">
        <v>950</v>
      </c>
      <c r="Q129" s="36">
        <v>4.6055500000000002E-4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str">
        <f t="shared" si="7"/>
        <v>(950, 1000]</v>
      </c>
      <c r="H130" s="70">
        <v>0.170329324133874</v>
      </c>
      <c r="I130" s="36">
        <v>0.00041384</v>
      </c>
      <c r="J130" s="36">
        <v>0.00041384</v>
      </c>
      <c r="K130" s="72">
        <v>413840</v>
      </c>
      <c r="L130" s="36">
        <v>0.00041384</v>
      </c>
      <c r="M130" s="36">
        <v>0.403209635616728</v>
      </c>
      <c r="N130" s="73"/>
      <c r="O130" s="59">
        <v>950</v>
      </c>
      <c r="P130" s="59">
        <v>1000</v>
      </c>
      <c r="Q130" s="36">
        <v>4.3568399999999998E-4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str">
        <f t="shared" si="7"/>
        <v>(1000, 2000]</v>
      </c>
      <c r="H131" s="70">
        <v>0.0183602842198455</v>
      </c>
      <c r="I131" s="36">
        <v>0.000287042</v>
      </c>
      <c r="J131" s="36">
        <v>0.000287042</v>
      </c>
      <c r="K131" s="72">
        <v>287042</v>
      </c>
      <c r="L131" s="36">
        <v>0.000287042</v>
      </c>
      <c r="M131" s="36">
        <v>0.376855401452094</v>
      </c>
      <c r="N131" s="73"/>
      <c r="O131" s="59">
        <v>1000</v>
      </c>
      <c r="P131" s="59">
        <v>2000</v>
      </c>
      <c r="Q131" s="36">
        <v>3.0219300000000003E-4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str">
        <f t="shared" si="7"/>
        <v>(2000, 3000]</v>
      </c>
      <c r="H132" s="70">
        <v>0.0863700549606033</v>
      </c>
      <c r="I132" s="36">
        <v>0.000164487</v>
      </c>
      <c r="J132" s="36">
        <v>0.000164487</v>
      </c>
      <c r="K132" s="72">
        <v>164487</v>
      </c>
      <c r="L132" s="36">
        <v>0.000164487</v>
      </c>
      <c r="M132" s="36">
        <v>0.389296816426745</v>
      </c>
      <c r="N132" s="73"/>
      <c r="O132" s="59">
        <v>2000</v>
      </c>
      <c r="P132" s="59">
        <v>3000</v>
      </c>
      <c r="Q132" s="36">
        <v>1.7316799999999999E-4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str">
        <f t="shared" si="7"/>
        <v>(9000, 10000]</v>
      </c>
      <c r="H139" s="70">
        <v>21.9448520790909</v>
      </c>
      <c r="I139" s="36">
        <v>3.4498e-05</v>
      </c>
      <c r="J139" s="36">
        <v>3.4498e-05</v>
      </c>
      <c r="K139" s="72">
        <v>34498</v>
      </c>
      <c r="L139" s="36">
        <v>3.4498e-05</v>
      </c>
      <c r="M139" s="36">
        <v>0.329997989027273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3.6186737341394521E-3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str">
        <f t="shared" si="9"/>
        <v>(20, 25]</v>
      </c>
      <c r="H176" s="70">
        <v>1.40796777043221</v>
      </c>
      <c r="I176" s="36">
        <v>0.033624105</v>
      </c>
      <c r="J176" s="36">
        <v>0.033624105</v>
      </c>
      <c r="K176" s="71">
        <v>33624105</v>
      </c>
      <c r="L176" s="36">
        <v>0.033624105</v>
      </c>
      <c r="M176" s="36">
        <v>0.758814668267957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str">
        <f t="shared" si="9"/>
        <v>(25, 30]</v>
      </c>
      <c r="H177" s="70">
        <v>5.77273946130226</v>
      </c>
      <c r="I177" s="36">
        <v>0.142495354</v>
      </c>
      <c r="J177" s="36">
        <v>0.142495354</v>
      </c>
      <c r="K177" s="71">
        <v>142495354</v>
      </c>
      <c r="L177" s="36">
        <v>0.142495354</v>
      </c>
      <c r="M177" s="36">
        <v>3.92830440008115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str">
        <f t="shared" si="9"/>
        <v>(30, 35]</v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str">
        <f t="shared" si="9"/>
        <v>(35, 40]</v>
      </c>
      <c r="H179" s="70">
        <v>3.82293173849698</v>
      </c>
      <c r="I179" s="36">
        <v>0.094377964</v>
      </c>
      <c r="J179" s="36">
        <v>0.094377964</v>
      </c>
      <c r="K179" s="71">
        <v>94377964</v>
      </c>
      <c r="L179" s="36">
        <v>0.094377964</v>
      </c>
      <c r="M179" s="36">
        <v>3.54421519086196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str">
        <f t="shared" si="9"/>
        <v>(40, 45]</v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str">
        <f t="shared" si="9"/>
        <v>(45, 50]</v>
      </c>
      <c r="H181" s="70">
        <v>2.92403284555396</v>
      </c>
      <c r="I181" s="36">
        <v>0.070222521</v>
      </c>
      <c r="J181" s="36">
        <v>0.070222521</v>
      </c>
      <c r="K181" s="71">
        <v>70222521</v>
      </c>
      <c r="L181" s="36">
        <v>0.070222521</v>
      </c>
      <c r="M181" s="36">
        <v>3.33876067356359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str">
        <f t="shared" si="9"/>
        <v>(50, 60]</v>
      </c>
      <c r="H182" s="70">
        <v>1.46850592598577</v>
      </c>
      <c r="I182" s="36">
        <v>0.067928091</v>
      </c>
      <c r="J182" s="36">
        <v>0.067928091</v>
      </c>
      <c r="K182" s="71">
        <v>67928091</v>
      </c>
      <c r="L182" s="36">
        <v>0.067928091</v>
      </c>
      <c r="M182" s="36">
        <v>3.73693644681683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str">
        <f t="shared" si="9"/>
        <v>(60, 70]</v>
      </c>
      <c r="H183" s="70">
        <v>2.11767543238652</v>
      </c>
      <c r="I183" s="36">
        <v>0.092830632</v>
      </c>
      <c r="J183" s="36">
        <v>0.092830632</v>
      </c>
      <c r="K183" s="71">
        <v>92830632</v>
      </c>
      <c r="L183" s="36">
        <v>0.092830632</v>
      </c>
      <c r="M183" s="36">
        <v>6.03464051763577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str">
        <f t="shared" si="9"/>
        <v>(70, 80]</v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str">
        <f t="shared" si="9"/>
        <v>(80, 90]</v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str">
        <f t="shared" si="9"/>
        <v>(90, 100]</v>
      </c>
      <c r="H186" s="70">
        <v>0.89662897919594</v>
      </c>
      <c r="I186" s="36">
        <v>0.032505662</v>
      </c>
      <c r="J186" s="36">
        <v>0.032505662</v>
      </c>
      <c r="K186" s="71">
        <v>32505662</v>
      </c>
      <c r="L186" s="36">
        <v>0.032505662</v>
      </c>
      <c r="M186" s="36">
        <v>3.08806424819325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str">
        <f t="shared" si="9"/>
        <v>(100, 120]</v>
      </c>
      <c r="H187" s="70">
        <v>1.16513608784401</v>
      </c>
      <c r="I187" s="36">
        <v>0.076061462</v>
      </c>
      <c r="J187" s="36">
        <v>0.076061462</v>
      </c>
      <c r="K187" s="71">
        <v>76061462</v>
      </c>
      <c r="L187" s="36">
        <v>0.076061462</v>
      </c>
      <c r="M187" s="36">
        <v>8.35407253135475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str">
        <f t="shared" si="9"/>
        <v>(120, 140]</v>
      </c>
      <c r="H188" s="70">
        <v>0.492131359222853</v>
      </c>
      <c r="I188" s="36">
        <v>0.027838105</v>
      </c>
      <c r="J188" s="36">
        <v>0.027838105</v>
      </c>
      <c r="K188" s="71">
        <v>27838105</v>
      </c>
      <c r="L188" s="36">
        <v>0.027838105</v>
      </c>
      <c r="M188" s="36">
        <v>3.6137476381863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str">
        <f t="shared" si="9"/>
        <v>(140, 160]</v>
      </c>
      <c r="H189" s="70">
        <v>0.908214053215256</v>
      </c>
      <c r="I189" s="36">
        <v>0.044588486</v>
      </c>
      <c r="J189" s="36">
        <v>0.044588486</v>
      </c>
      <c r="K189" s="71">
        <v>44588486</v>
      </c>
      <c r="L189" s="36">
        <v>0.044588486</v>
      </c>
      <c r="M189" s="36">
        <v>6.67953598727862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str">
        <f t="shared" si="9"/>
        <v>(160, 180]</v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str">
        <f t="shared" si="9"/>
        <v>(180, 200]</v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str">
        <f t="shared" si="9"/>
        <v>(200, 250]</v>
      </c>
      <c r="H192" s="70">
        <v>0.00455947189475345</v>
      </c>
      <c r="I192" s="36">
        <v>0.000334548</v>
      </c>
      <c r="J192" s="36">
        <v>0.000334548</v>
      </c>
      <c r="K192" s="71">
        <v>334548</v>
      </c>
      <c r="L192" s="36">
        <v>0.000334548</v>
      </c>
      <c r="M192" s="36">
        <v>0.0748218565605834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str">
        <f t="shared" si="9"/>
        <v>(250, 300]</v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str">
        <f t="shared" si="9"/>
        <v>(300, 350]</v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str">
        <f t="shared" ref="G195:G226" si="11">"("&amp;$O195&amp;", "&amp;$P195&amp;"]"</f>
        <v>(350, 400]</v>
      </c>
      <c r="H195" s="70">
        <v>0.00681634467144526</v>
      </c>
      <c r="I195" s="36">
        <v>0.000200117</v>
      </c>
      <c r="J195" s="36">
        <v>0.000200117</v>
      </c>
      <c r="K195" s="71">
        <v>200117</v>
      </c>
      <c r="L195" s="36">
        <v>0.000200117</v>
      </c>
      <c r="M195" s="36">
        <v>0.0748219074699603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str">
        <f t="shared" si="11"/>
        <v>(400, 450]</v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str">
        <f t="shared" si="11"/>
        <v>(450, 500]</v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str">
        <f t="shared" si="11"/>
        <v>(500, 550]</v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str">
        <f t="shared" si="11"/>
        <v>(550, 600]</v>
      </c>
      <c r="H199" s="70">
        <v>0.0119684751584833</v>
      </c>
      <c r="I199" s="36">
        <v>0.00013032</v>
      </c>
      <c r="J199" s="36">
        <v>0.00013032</v>
      </c>
      <c r="K199" s="71">
        <v>130320</v>
      </c>
      <c r="L199" s="36">
        <v>0.00013032</v>
      </c>
      <c r="M199" s="36">
        <v>0.0748221602589282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str">
        <f t="shared" si="11"/>
        <v>(600, 650]</v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str">
        <f t="shared" si="11"/>
        <v>(650, 700]</v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str">
        <f t="shared" si="11"/>
        <v>(700, 750]</v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str">
        <f t="shared" si="11"/>
        <v>(750, 800]</v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str">
        <f t="shared" si="11"/>
        <v>(800, 850]</v>
      </c>
      <c r="H204" s="70">
        <v>0.0224502239311088</v>
      </c>
      <c r="I204" s="36">
        <v>9.0769e-05</v>
      </c>
      <c r="J204" s="36">
        <v>9.0769e-05</v>
      </c>
      <c r="K204" s="71">
        <v>90769</v>
      </c>
      <c r="L204" s="36">
        <v>9.0769e-05</v>
      </c>
      <c r="M204" s="36">
        <v>0.0748203906805097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str">
        <f t="shared" si="11"/>
        <v>(850, 900]</v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str">
        <f t="shared" si="11"/>
        <v>(900, 950]</v>
      </c>
      <c r="H206" s="70">
        <v>0.0281677860155667</v>
      </c>
      <c r="I206" s="36">
        <v>8.0941e-05</v>
      </c>
      <c r="J206" s="36">
        <v>8.0941e-05</v>
      </c>
      <c r="K206" s="72">
        <v>80941</v>
      </c>
      <c r="L206" s="36">
        <v>8.0941e-05</v>
      </c>
      <c r="M206" s="36">
        <v>0.0748205195014522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str">
        <f t="shared" si="11"/>
        <v>(950, 1000]</v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str">
        <f t="shared" si="11"/>
        <v>(1000, 2000]</v>
      </c>
      <c r="H208" s="70">
        <v>0.00364523044503862</v>
      </c>
      <c r="I208" s="36">
        <v>5.6989e-05</v>
      </c>
      <c r="J208" s="36">
        <v>5.6989e-05</v>
      </c>
      <c r="K208" s="72">
        <v>56989</v>
      </c>
      <c r="L208" s="36">
        <v>5.6989e-05</v>
      </c>
      <c r="M208" s="36">
        <v>0.0748204530115919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str">
        <f t="shared" si="11"/>
        <v>(2000, 3000]</v>
      </c>
      <c r="H209" s="70">
        <v>0.0331986523244034</v>
      </c>
      <c r="I209" s="36">
        <v>6.3225e-05</v>
      </c>
      <c r="J209" s="36">
        <v>6.3225e-05</v>
      </c>
      <c r="K209" s="72">
        <v>63225</v>
      </c>
      <c r="L209" s="36">
        <v>6.3225e-05</v>
      </c>
      <c r="M209" s="36">
        <v>0.149636696022062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str">
        <f t="shared" si="11"/>
        <v>(9000, 10000]</v>
      </c>
      <c r="H216" s="70">
        <v>4.61377506318182</v>
      </c>
      <c r="I216" s="36">
        <v>7.253e-06</v>
      </c>
      <c r="J216" s="36">
        <v>7.253e-06</v>
      </c>
      <c r="K216" s="72">
        <v>7253</v>
      </c>
      <c r="L216" s="36">
        <v>7.253e-06</v>
      </c>
      <c r="M216" s="36">
        <v>0.0693801210045455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0.720000018031069</v>
      </c>
      <c r="D7" s="40">
        <f>SUM(_xlfn.ANCHORARRAY(M86))*F7</f>
        <v>0.209999941175442</v>
      </c>
      <c r="E7" s="41">
        <f>SUM(C7:D7)</f>
        <v>0.929999959206511</v>
      </c>
      <c r="F7" s="42">
        <f>L79</f>
        <v>0.003577802</v>
      </c>
      <c r="G7" s="43">
        <f>1/F7</f>
        <v>279.501213314767</v>
      </c>
      <c r="H7" s="44">
        <f>D7*G7</f>
        <v>58.6952383545656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</v>
      </c>
      <c r="I15" s="36" cm="1">
        <f t="array" ref="I15:I79">D15:D79*H15:H79</f>
        <v>0.733362426</v>
      </c>
      <c r="J15" s="36" cm="1">
        <f t="array" ref="J15:J78">I15:I78/SUM(I15:I78)</f>
        <v>0.733362426</v>
      </c>
      <c r="K15" s="71" cm="1">
        <f t="array" ref="K15:K79">INT(J15:J79*$B$2)</f>
        <v>733362426</v>
      </c>
      <c r="L15" s="36" cm="1">
        <f t="array" ref="L15:L79">_xlfn.LET(_xlpm.x, K15:K79, _xlpm.x/SUM(_xlpm.x))</f>
        <v>0.7307386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0.73073984072165266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f>I79</f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3"/>
        <v>(30, 35]</v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3"/>
        <v>(35, 40]</v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3"/>
        <v>(40, 45]</v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3"/>
        <v>(45, 50]</v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3"/>
        <v>(50, 60]</v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3"/>
        <v>(60, 70]</v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3"/>
        <v>(70, 80]</v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3"/>
        <v>(80, 90]</v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3"/>
        <v>(90, 100]</v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3621199650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2026-09-01T09:24:01Z</dcterms:modified>
</cp:coreProperties>
</file>