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2CDF195-C555-4ECE-995A-81E3E28C07F7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6" l="1" a="1"/>
  <c r="E15" i="6" s="1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I15" i="5" s="1"/>
  <c r="J15" i="5" s="1" a="1"/>
  <c r="J15" i="5" s="1"/>
  <c r="A15" i="5"/>
  <c r="F8" i="5"/>
  <c r="G8" i="5" s="1"/>
  <c r="B7" i="5" a="1"/>
  <c r="B7" i="5" s="1"/>
  <c r="B3" i="5"/>
  <c r="E156" i="5" s="1"/>
  <c r="C21" i="1"/>
  <c r="A21" i="1"/>
  <c r="A17" i="1"/>
  <c r="A11" i="1" a="1"/>
  <c r="A12" i="1" s="1"/>
  <c r="C66" i="3" l="1"/>
  <c r="L156" i="5"/>
  <c r="M156" i="5" s="1"/>
  <c r="C8" i="5" s="1"/>
  <c r="B21" i="1" s="1"/>
  <c r="E163" i="5" a="1"/>
  <c r="E163" i="5" s="1"/>
  <c r="E56" i="3"/>
  <c r="E8" i="3"/>
  <c r="E21" i="3"/>
  <c r="J79" i="5"/>
  <c r="K15" i="5" s="1" a="1"/>
  <c r="K15" i="5" s="1"/>
  <c r="E15" i="5" a="1"/>
  <c r="E15" i="5" s="1"/>
  <c r="C34" i="3"/>
  <c r="E86" i="6" a="1"/>
  <c r="E86" i="6" s="1"/>
  <c r="E86" i="5" a="1"/>
  <c r="E86" i="5" s="1"/>
  <c r="E11" i="3"/>
  <c r="E37" i="3"/>
  <c r="E14" i="3"/>
  <c r="E27" i="3"/>
  <c r="E53" i="3"/>
  <c r="E40" i="3"/>
  <c r="C56" i="3"/>
  <c r="E24" i="3"/>
  <c r="E52" i="3"/>
  <c r="E36" i="3"/>
  <c r="E20" i="3"/>
  <c r="E4" i="3"/>
  <c r="E58" i="3"/>
  <c r="E42" i="3"/>
  <c r="E26" i="3"/>
  <c r="E10" i="3"/>
  <c r="E45" i="3"/>
  <c r="E13" i="3"/>
  <c r="E19" i="3"/>
  <c r="E60" i="3"/>
  <c r="E44" i="3"/>
  <c r="E28" i="3"/>
  <c r="E12" i="3"/>
  <c r="E55" i="3"/>
  <c r="E39" i="3"/>
  <c r="E23" i="3"/>
  <c r="E7" i="3"/>
  <c r="E61" i="3"/>
  <c r="E29" i="3"/>
  <c r="E64" i="3"/>
  <c r="E48" i="3"/>
  <c r="E32" i="3"/>
  <c r="E16" i="3"/>
  <c r="E51" i="3"/>
  <c r="E15" i="3"/>
  <c r="E35" i="3"/>
  <c r="E63" i="3"/>
  <c r="E47" i="3"/>
  <c r="E31" i="3"/>
  <c r="E50" i="3"/>
  <c r="E34" i="3"/>
  <c r="E18" i="3"/>
  <c r="E54" i="3"/>
  <c r="E38" i="3"/>
  <c r="E22" i="3"/>
  <c r="E6" i="3"/>
  <c r="E57" i="3"/>
  <c r="E41" i="3"/>
  <c r="E25" i="3"/>
  <c r="E9" i="3"/>
  <c r="E66" i="3"/>
  <c r="E65" i="3"/>
  <c r="E49" i="3"/>
  <c r="E33" i="3"/>
  <c r="E17" i="3"/>
  <c r="C53" i="3"/>
  <c r="C15" i="3"/>
  <c r="C62" i="3"/>
  <c r="C46" i="3"/>
  <c r="C30" i="3"/>
  <c r="C14" i="3"/>
  <c r="C52" i="3"/>
  <c r="C36" i="3"/>
  <c r="C4" i="3"/>
  <c r="C23" i="3"/>
  <c r="C7" i="3"/>
  <c r="C6" i="3"/>
  <c r="C63" i="3"/>
  <c r="C47" i="3"/>
  <c r="C65" i="3"/>
  <c r="C49" i="3"/>
  <c r="C33" i="3"/>
  <c r="C17" i="3"/>
  <c r="C20" i="3"/>
  <c r="C55" i="3"/>
  <c r="C58" i="3"/>
  <c r="C42" i="3"/>
  <c r="C10" i="3"/>
  <c r="C45" i="3"/>
  <c r="C57" i="3"/>
  <c r="C25" i="3"/>
  <c r="C9" i="3"/>
  <c r="C60" i="3"/>
  <c r="C44" i="3"/>
  <c r="C28" i="3"/>
  <c r="C39" i="3"/>
  <c r="C26" i="3"/>
  <c r="C64" i="3"/>
  <c r="C48" i="3"/>
  <c r="C32" i="3"/>
  <c r="C16" i="3"/>
  <c r="C51" i="3"/>
  <c r="C12" i="3"/>
  <c r="C54" i="3"/>
  <c r="C59" i="3"/>
  <c r="C43" i="3"/>
  <c r="C27" i="3"/>
  <c r="C11" i="3"/>
  <c r="C40" i="3"/>
  <c r="J79" i="6"/>
  <c r="I15" i="6"/>
  <c r="J15" i="6" s="1" a="1"/>
  <c r="J15" i="6" s="1"/>
  <c r="E30" i="3"/>
  <c r="E43" i="3"/>
  <c r="C18" i="3"/>
  <c r="E59" i="3"/>
  <c r="E5" i="3"/>
  <c r="E46" i="3"/>
  <c r="C8" i="3"/>
  <c r="E62" i="3"/>
  <c r="A11" i="1"/>
  <c r="F4" i="3" l="1"/>
  <c r="F20" i="3"/>
  <c r="F36" i="3"/>
  <c r="F52" i="3"/>
  <c r="F6" i="3"/>
  <c r="F38" i="3"/>
  <c r="F54" i="3"/>
  <c r="F25" i="3"/>
  <c r="F42" i="3"/>
  <c r="F27" i="3"/>
  <c r="F28" i="3"/>
  <c r="F60" i="3"/>
  <c r="F14" i="3"/>
  <c r="F15" i="3"/>
  <c r="F16" i="3"/>
  <c r="F64" i="3"/>
  <c r="F33" i="3"/>
  <c r="F18" i="3"/>
  <c r="F66" i="3"/>
  <c r="F35" i="3"/>
  <c r="F5" i="3"/>
  <c r="F21" i="3"/>
  <c r="F37" i="3"/>
  <c r="F53" i="3"/>
  <c r="F22" i="3"/>
  <c r="F9" i="3"/>
  <c r="F57" i="3"/>
  <c r="F10" i="3"/>
  <c r="F58" i="3"/>
  <c r="F11" i="3"/>
  <c r="F43" i="3"/>
  <c r="F59" i="3"/>
  <c r="F12" i="3"/>
  <c r="F13" i="3"/>
  <c r="F45" i="3"/>
  <c r="F61" i="3"/>
  <c r="F30" i="3"/>
  <c r="F31" i="3"/>
  <c r="F7" i="3"/>
  <c r="F23" i="3"/>
  <c r="F39" i="3"/>
  <c r="F55" i="3"/>
  <c r="F8" i="3"/>
  <c r="F24" i="3"/>
  <c r="F40" i="3"/>
  <c r="F56" i="3"/>
  <c r="F41" i="3"/>
  <c r="F26" i="3"/>
  <c r="F44" i="3"/>
  <c r="F29" i="3"/>
  <c r="F46" i="3"/>
  <c r="F47" i="3"/>
  <c r="F32" i="3"/>
  <c r="F17" i="3"/>
  <c r="F34" i="3"/>
  <c r="F51" i="3"/>
  <c r="F62" i="3"/>
  <c r="F63" i="3"/>
  <c r="F48" i="3"/>
  <c r="F49" i="3"/>
  <c r="F65" i="3"/>
  <c r="F50" i="3"/>
  <c r="F19" i="3"/>
  <c r="C24" i="3"/>
  <c r="C37" i="3"/>
  <c r="C50" i="3"/>
  <c r="C21" i="3"/>
  <c r="C19" i="3"/>
  <c r="C41" i="3"/>
  <c r="C13" i="3"/>
  <c r="F3" i="3"/>
  <c r="C61" i="3"/>
  <c r="C38" i="3"/>
  <c r="C31" i="3"/>
  <c r="C35" i="3"/>
  <c r="C22" i="3"/>
  <c r="C29" i="3"/>
  <c r="C5" i="3"/>
  <c r="L86" i="6" a="1"/>
  <c r="L86" i="6" s="1"/>
  <c r="J7" i="6" a="1"/>
  <c r="J7" i="6" s="1"/>
  <c r="C3" i="3"/>
  <c r="L86" i="5" a="1"/>
  <c r="L86" i="5" s="1"/>
  <c r="E3" i="3"/>
  <c r="J7" i="5" a="1"/>
  <c r="J7" i="5" s="1"/>
  <c r="J8" i="5" a="1"/>
  <c r="J8" i="5" s="1"/>
  <c r="D65" i="3"/>
  <c r="D49" i="3"/>
  <c r="D33" i="3"/>
  <c r="D17" i="3"/>
  <c r="D23" i="3"/>
  <c r="D58" i="3"/>
  <c r="D26" i="3"/>
  <c r="D10" i="3"/>
  <c r="D9" i="3"/>
  <c r="D52" i="3"/>
  <c r="D36" i="3"/>
  <c r="D20" i="3"/>
  <c r="D4" i="3"/>
  <c r="D55" i="3"/>
  <c r="D42" i="3"/>
  <c r="D61" i="3"/>
  <c r="D45" i="3"/>
  <c r="D29" i="3"/>
  <c r="D13" i="3"/>
  <c r="D57" i="3"/>
  <c r="D28" i="3"/>
  <c r="D66" i="3"/>
  <c r="D39" i="3"/>
  <c r="D7" i="3"/>
  <c r="D48" i="3"/>
  <c r="D16" i="3"/>
  <c r="D41" i="3"/>
  <c r="D15" i="3"/>
  <c r="D64" i="3"/>
  <c r="D32" i="3"/>
  <c r="D25" i="3"/>
  <c r="D51" i="3"/>
  <c r="D35" i="3"/>
  <c r="D19" i="3"/>
  <c r="D67" i="3"/>
  <c r="D54" i="3"/>
  <c r="D38" i="3"/>
  <c r="D22" i="3"/>
  <c r="D6" i="3"/>
  <c r="D60" i="3"/>
  <c r="D12" i="3"/>
  <c r="D63" i="3"/>
  <c r="D31" i="3"/>
  <c r="D44" i="3"/>
  <c r="D62" i="3"/>
  <c r="D46" i="3"/>
  <c r="D30" i="3"/>
  <c r="D14" i="3"/>
  <c r="D47" i="3"/>
  <c r="D18" i="3"/>
  <c r="D59" i="3"/>
  <c r="D24" i="3"/>
  <c r="D34" i="3"/>
  <c r="D5" i="3"/>
  <c r="D27" i="3"/>
  <c r="D21" i="3"/>
  <c r="D56" i="3"/>
  <c r="D43" i="3"/>
  <c r="D11" i="3"/>
  <c r="D40" i="3"/>
  <c r="D53" i="3"/>
  <c r="D37" i="3"/>
  <c r="D50" i="3"/>
  <c r="D8" i="3"/>
  <c r="B28" i="3" l="1"/>
  <c r="B52" i="3"/>
  <c r="B60" i="3"/>
  <c r="B6" i="3"/>
  <c r="B47" i="3"/>
  <c r="B4" i="3"/>
  <c r="B62" i="3"/>
  <c r="B19" i="3"/>
  <c r="B16" i="3"/>
  <c r="B51" i="3"/>
  <c r="B12" i="3"/>
  <c r="B67" i="3"/>
  <c r="B5" i="3"/>
  <c r="B48" i="3"/>
  <c r="B42" i="3"/>
  <c r="B44" i="3"/>
  <c r="B13" i="3"/>
  <c r="B23" i="3"/>
  <c r="B49" i="3"/>
  <c r="B50" i="3"/>
  <c r="B29" i="3"/>
  <c r="B39" i="3"/>
  <c r="B65" i="3"/>
  <c r="B53" i="3"/>
  <c r="B45" i="3"/>
  <c r="B55" i="3"/>
  <c r="B11" i="3"/>
  <c r="B18" i="3"/>
  <c r="B61" i="3"/>
  <c r="B20" i="3"/>
  <c r="B27" i="3"/>
  <c r="B21" i="3"/>
  <c r="B41" i="3"/>
  <c r="B36" i="3"/>
  <c r="B43" i="3"/>
  <c r="B8" i="3"/>
  <c r="B38" i="3"/>
  <c r="B33" i="3"/>
  <c r="B59" i="3"/>
  <c r="B63" i="3"/>
  <c r="B22" i="3"/>
  <c r="B57" i="3"/>
  <c r="B35" i="3"/>
  <c r="B66" i="3"/>
  <c r="B54" i="3"/>
  <c r="B32" i="3"/>
  <c r="B10" i="3"/>
  <c r="B26" i="3"/>
  <c r="B31" i="3"/>
  <c r="B64" i="3"/>
  <c r="B58" i="3"/>
  <c r="B17" i="3"/>
  <c r="B34" i="3"/>
  <c r="B24" i="3"/>
  <c r="B9" i="3"/>
  <c r="B14" i="3"/>
  <c r="B37" i="3"/>
  <c r="B40" i="3"/>
  <c r="B25" i="3"/>
  <c r="B30" i="3"/>
  <c r="B15" i="3"/>
  <c r="B56" i="3"/>
  <c r="B7" i="3"/>
  <c r="B46" i="3"/>
  <c r="L163" i="5" a="1"/>
  <c r="L163" i="5" s="1"/>
  <c r="U163" i="5" s="1" a="1"/>
  <c r="U163" i="5" s="1"/>
  <c r="L15" i="5" a="1"/>
  <c r="D3" i="3"/>
  <c r="I7" i="5" a="1"/>
  <c r="I7" i="5" s="1"/>
  <c r="U86" i="5" a="1"/>
  <c r="U86" i="5" s="1"/>
  <c r="Q86" i="5" a="1"/>
  <c r="Q86" i="5" s="1"/>
  <c r="M86" i="5" a="1"/>
  <c r="M86" i="5" s="1"/>
  <c r="B3" i="3"/>
  <c r="L15" i="6" a="1"/>
  <c r="I7" i="6" a="1"/>
  <c r="I7" i="6" s="1"/>
  <c r="Q86" i="6" a="1"/>
  <c r="Q86" i="6" s="1"/>
  <c r="M86" i="6" a="1"/>
  <c r="M86" i="6" s="1"/>
  <c r="U86" i="6" a="1"/>
  <c r="U86" i="6" s="1"/>
  <c r="M163" i="5" l="1" a="1"/>
  <c r="M163" i="5" s="1"/>
  <c r="D8" i="5" s="1"/>
  <c r="H8" i="5" s="1"/>
  <c r="Q163" i="5" a="1"/>
  <c r="Q163" i="5" s="1"/>
  <c r="L15" i="6"/>
  <c r="F7" i="6"/>
  <c r="F7" i="5"/>
  <c r="L15" i="5"/>
  <c r="E8" i="5" l="1"/>
  <c r="B22" i="1"/>
  <c r="C12" i="1" s="1"/>
  <c r="Q15" i="5" a="1"/>
  <c r="Q15" i="5" s="1"/>
  <c r="M15" i="5" a="1"/>
  <c r="M15" i="5" s="1"/>
  <c r="C7" i="5" s="1"/>
  <c r="U15" i="5" a="1"/>
  <c r="U15" i="5" s="1"/>
  <c r="G7" i="6"/>
  <c r="D7" i="6"/>
  <c r="D7" i="5"/>
  <c r="G7" i="5"/>
  <c r="D17" i="1" s="1"/>
  <c r="C17" i="1" s="1"/>
  <c r="U15" i="6" a="1"/>
  <c r="U15" i="6" s="1"/>
  <c r="Q15" i="6" a="1"/>
  <c r="Q15" i="6" s="1"/>
  <c r="M15" i="6" a="1"/>
  <c r="M15" i="6" s="1"/>
  <c r="C7" i="6" s="1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<sst xmlns="http://schemas.openxmlformats.org/spreadsheetml/2006/main" count="287" uniqueCount="127">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</sst>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23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0.90000040907611067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99" t="str">
        <f>D11</f>
        <v>Normal Bet</v>
      </c>
      <c r="B17" s="18">
        <f>Detail!C7</f>
        <v>0.7199999672477817</v>
      </c>
      <c r="C17" s="101">
        <f>1/D17</f>
        <v>2.7272726429578512E-3</v>
      </c>
      <c r="D17" s="104">
        <f>Detail!G7</f>
        <v>366.6666780023337</v>
      </c>
      <c r="E17" s="15" t="s">
        <v>13</v>
      </c>
      <c r="H17" s="25"/>
      <c r="I17" s="29"/>
      <c r="J17" s="30"/>
    </row>
    <row r="18" spans="1:10" ht="15.6" customHeight="1" x14ac:dyDescent="0.3">
      <c r="A18" s="100"/>
      <c r="B18" s="18">
        <f>Detail!D7</f>
        <v>0.18000044182832897</v>
      </c>
      <c r="C18" s="102"/>
      <c r="D18" s="102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5" t="str">
        <f>D12</f>
        <v>Buy Feature</v>
      </c>
      <c r="B21" s="18">
        <f>Detail!C8</f>
        <v>0</v>
      </c>
      <c r="C21" s="101">
        <f>1/D21</f>
        <v>1</v>
      </c>
      <c r="D21" s="103">
        <v>1</v>
      </c>
      <c r="E21" s="15" t="s">
        <v>13</v>
      </c>
      <c r="H21" s="25"/>
      <c r="I21" s="29"/>
      <c r="J21" s="30"/>
    </row>
    <row r="22" spans="1:10" x14ac:dyDescent="0.3">
      <c r="A22" s="106"/>
      <c r="B22" s="18">
        <f>Detail!D8</f>
        <v>0.92500039351908048</v>
      </c>
      <c r="C22" s="102"/>
      <c r="D22" s="102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C13" sqref="C1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725057784</v>
      </c>
      <c r="E3" s="10">
        <f>Detail!K86</f>
        <v>0</v>
      </c>
      <c r="F3" s="98">
        <f>Detail!K163</f>
        <v>0</v>
      </c>
    </row>
    <row r="4" spans="1:6" x14ac:dyDescent="0.3">
      <c r="A4" s="13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98">
        <f>Detail!K164</f>
        <v>0</v>
      </c>
    </row>
    <row r="5" spans="1:6" x14ac:dyDescent="0.3">
      <c r="A5" s="13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98">
        <f>Detail!K165</f>
        <v>0</v>
      </c>
    </row>
    <row r="6" spans="1:6" x14ac:dyDescent="0.3">
      <c r="A6" s="13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20844830</v>
      </c>
      <c r="E6" s="10">
        <f>Detail!K89</f>
        <v>0</v>
      </c>
      <c r="F6" s="98">
        <f>Detail!K166</f>
        <v>0</v>
      </c>
    </row>
    <row r="7" spans="1:6" x14ac:dyDescent="0.3">
      <c r="A7" s="13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98">
        <f>Detail!K167</f>
        <v>0</v>
      </c>
    </row>
    <row r="8" spans="1:6" x14ac:dyDescent="0.3">
      <c r="A8" s="13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98">
        <f>Detail!K168</f>
        <v>0</v>
      </c>
    </row>
    <row r="9" spans="1:6" x14ac:dyDescent="0.3">
      <c r="A9" s="13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98">
        <f>Detail!K169</f>
        <v>0</v>
      </c>
    </row>
    <row r="10" spans="1:6" x14ac:dyDescent="0.3">
      <c r="A10" s="13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98">
        <f>Detail!K170</f>
        <v>0</v>
      </c>
    </row>
    <row r="11" spans="1:6" x14ac:dyDescent="0.3">
      <c r="A11" s="13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98">
        <f>Detail!K171</f>
        <v>0</v>
      </c>
    </row>
    <row r="12" spans="1:6" x14ac:dyDescent="0.3">
      <c r="A12" s="13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98">
        <f>Detail!K172</f>
        <v>0</v>
      </c>
    </row>
    <row r="13" spans="1:6" x14ac:dyDescent="0.3">
      <c r="A13" s="13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98">
        <f>Detail!K173</f>
        <v>0</v>
      </c>
    </row>
    <row r="14" spans="1:6" x14ac:dyDescent="0.3">
      <c r="A14" s="13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98">
        <f>Detail!K174</f>
        <v>0</v>
      </c>
    </row>
    <row r="15" spans="1:6" x14ac:dyDescent="0.3">
      <c r="A15" s="13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98">
        <f>Detail!K175</f>
        <v>0</v>
      </c>
    </row>
    <row r="16" spans="1:6" x14ac:dyDescent="0.3">
      <c r="A16" s="13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44261342</v>
      </c>
      <c r="F16" s="98">
        <f>Detail!K176</f>
        <v>33624101</v>
      </c>
    </row>
    <row r="17" spans="1:6" x14ac:dyDescent="0.3">
      <c r="A17" s="13" t="s">
        <v>30</v>
      </c>
      <c r="B17" s="98">
        <f>Detail_Newbie!K29</f>
        <v>2344760</v>
      </c>
      <c r="C17" s="10">
        <f>Detail_Newbie!K100</f>
        <v>0</v>
      </c>
      <c r="D17" s="10">
        <f>Detail!K29</f>
        <v>1250803</v>
      </c>
      <c r="E17" s="10">
        <f>Detail!K100</f>
        <v>150095303</v>
      </c>
      <c r="F17" s="98">
        <f>Detail!K177</f>
        <v>142495353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66347258</v>
      </c>
      <c r="F18" s="98">
        <f>Detail!K178</f>
        <v>53611252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113229493</v>
      </c>
      <c r="F19" s="98">
        <f>Detail!K179</f>
        <v>94377963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95419393</v>
      </c>
      <c r="F20" s="98">
        <f>Detail!K180</f>
        <v>82045785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79176578</v>
      </c>
      <c r="F21" s="98">
        <f>Detail!K181</f>
        <v>70222520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73097646</v>
      </c>
      <c r="F22" s="98">
        <f>Detail!K182</f>
        <v>67928092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93838719</v>
      </c>
      <c r="F23" s="98">
        <f>Detail!K183</f>
        <v>92830631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42151094</v>
      </c>
      <c r="F24" s="98">
        <f>Detail!K184</f>
        <v>44401194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75713804</v>
      </c>
      <c r="F25" s="98">
        <f>Detail!K185</f>
        <v>84947917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27194541</v>
      </c>
      <c r="F26" s="98">
        <f>Detail!K186</f>
        <v>32505661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57874274</v>
      </c>
      <c r="F27" s="98">
        <f>Detail!K187</f>
        <v>76061463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18627869</v>
      </c>
      <c r="F28" s="98">
        <f>Detail!K188</f>
        <v>27838104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26213671</v>
      </c>
      <c r="F29" s="98">
        <f>Detail!K189</f>
        <v>44588485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12022121</v>
      </c>
      <c r="F30" s="98">
        <f>Detail!K190</f>
        <v>23313443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12047397</v>
      </c>
      <c r="F31" s="98">
        <f>Detail!K191</f>
        <v>26669156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1552274</v>
      </c>
      <c r="F32" s="98">
        <f>Detail!K192</f>
        <v>334549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1299760</v>
      </c>
      <c r="F33" s="98">
        <f>Detail!K193</f>
        <v>273312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1123468</v>
      </c>
      <c r="F34" s="98">
        <f>Detail!K194</f>
        <v>231084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992305</v>
      </c>
      <c r="F35" s="98">
        <f>Detail!K195</f>
        <v>200118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890624</v>
      </c>
      <c r="F36" s="98">
        <f>Detail!K196</f>
        <v>176501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808771</v>
      </c>
      <c r="F37" s="98">
        <f>Detail!K197</f>
        <v>157835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741483</v>
      </c>
      <c r="F38" s="98">
        <f>Detail!K198</f>
        <v>142794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684454</v>
      </c>
      <c r="F39" s="98">
        <f>Detail!K199</f>
        <v>130319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635669</v>
      </c>
      <c r="F40" s="98">
        <f>Detail!K200</f>
        <v>119894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592888</v>
      </c>
      <c r="F41" s="98">
        <f>Detail!K201</f>
        <v>110974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555110</v>
      </c>
      <c r="F42" s="98">
        <f>Detail!K202</f>
        <v>103301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521407</v>
      </c>
      <c r="F43" s="98">
        <f>Detail!K203</f>
        <v>96638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490881</v>
      </c>
      <c r="F44" s="98">
        <f>Detail!K204</f>
        <v>90771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463071</v>
      </c>
      <c r="F45" s="98">
        <f>Detail!K205</f>
        <v>85581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437465</v>
      </c>
      <c r="F46" s="98">
        <f>Detail!K206</f>
        <v>80942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413840</v>
      </c>
      <c r="F47" s="98">
        <f>Detail!K207</f>
        <v>76795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287042</v>
      </c>
      <c r="F48" s="98">
        <f>Detail!K208</f>
        <v>56990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98">
        <f>Detail!K132</f>
        <v>307000</v>
      </c>
      <c r="F49" s="98">
        <f>Detail!K209</f>
        <v>93220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8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8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8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8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8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8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8">
        <f>Detail!K139</f>
        <v>0</v>
      </c>
      <c r="F56" s="98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8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8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8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8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8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8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8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8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8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8">
        <f>Detail!K226</f>
        <v>0</v>
      </c>
    </row>
    <row r="67" spans="1:7" x14ac:dyDescent="0.3">
      <c r="A67" s="13" t="s">
        <v>14</v>
      </c>
      <c r="B67" s="10">
        <f>Detail_Newbie!K79</f>
        <v>3590649</v>
      </c>
      <c r="C67" s="34">
        <v>0</v>
      </c>
      <c r="D67" s="32">
        <f>Detail!K79</f>
        <v>2734731</v>
      </c>
      <c r="E67" s="34">
        <v>0</v>
      </c>
      <c r="F67" s="98">
        <v>0</v>
      </c>
      <c r="G67" s="20"/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A4"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0.7199999672477817</v>
      </c>
      <c r="D7" s="39">
        <f>SUM(_xlfn.ANCHORARRAY(M86))*F7</f>
        <v>0.18000044182832897</v>
      </c>
      <c r="E7" s="40">
        <f>SUM(C7:D7)</f>
        <v>0.90000040907611067</v>
      </c>
      <c r="F7" s="41">
        <f>L79</f>
        <v>2.7272726429578512E-3</v>
      </c>
      <c r="G7" s="42">
        <f>1/F7</f>
        <v>366.6666780023337</v>
      </c>
      <c r="H7" s="43">
        <f>D7*G7</f>
        <v>66.000164044145691</v>
      </c>
      <c r="I7" s="59" cm="1">
        <f t="array" ref="I7">LOOKUP(2,1/(K15:K78&lt;&gt;0),P15:P78)</f>
        <v>70</v>
      </c>
      <c r="J7" s="59">
        <f>LOOKUP(2,1/(K86:K149&lt;&gt;0),P15:P78)</f>
        <v>3000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0.92500039351908048</v>
      </c>
      <c r="E8" s="40">
        <f>SUM(C8:D8)</f>
        <v>0.92500039351908048</v>
      </c>
      <c r="F8" s="44">
        <f>D156</f>
        <v>1</v>
      </c>
      <c r="G8" s="42">
        <f>1/F8</f>
        <v>1</v>
      </c>
      <c r="H8" s="43">
        <f>D8*G8*B8</f>
        <v>69.37502951393104</v>
      </c>
      <c r="I8" s="60"/>
      <c r="J8" s="60">
        <f>LOOKUP(2,1/(K163:K226&lt;&gt;0),P15:P78)</f>
        <v>3000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1.16052134409526</v>
      </c>
      <c r="I15" s="35" cm="1">
        <f t="array" ref="I15:I79">D15:D79*H15:H79</f>
        <v>0.72505778399999965</v>
      </c>
      <c r="J15" s="35" cm="1">
        <f t="array" ref="J15:J78">I15:I78/SUM(I15:I78)</f>
        <v>0.72505778400000021</v>
      </c>
      <c r="K15" s="70" cm="1">
        <f t="array" ref="K15:K79">ROUND(J15:J79*$B$2,0)</f>
        <v>725057784</v>
      </c>
      <c r="L15" s="35" cm="1">
        <f t="array" ref="L15:L79">_xlfn.LET(_xlpm.x, K15:K79, _xlpm.x/SUM(_xlpm.x))</f>
        <v>0.72308035374113311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0.72308035374113311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1.07777636259128</v>
      </c>
      <c r="I16" s="35">
        <v>0.15440591799999959</v>
      </c>
      <c r="J16" s="35">
        <v>0.1544059179999997</v>
      </c>
      <c r="K16" s="70">
        <v>154405918</v>
      </c>
      <c r="L16" s="35">
        <v>0.1539848109639278</v>
      </c>
      <c r="M16" s="35">
        <v>6.6790179123882867E-2</v>
      </c>
      <c r="N16" s="72"/>
      <c r="O16" s="58">
        <v>0</v>
      </c>
      <c r="P16" s="58">
        <v>1</v>
      </c>
      <c r="Q16" s="35">
        <v>0.1539848109639278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0.82603461833679404</v>
      </c>
      <c r="I17" s="35">
        <v>4.5375769999999975E-2</v>
      </c>
      <c r="J17" s="35">
        <v>4.537577000000001E-2</v>
      </c>
      <c r="K17" s="70">
        <v>45375770</v>
      </c>
      <c r="L17" s="35">
        <v>4.5252017903825853E-2</v>
      </c>
      <c r="M17" s="35">
        <v>6.8126775018538213E-2</v>
      </c>
      <c r="N17" s="72"/>
      <c r="O17" s="58">
        <v>1</v>
      </c>
      <c r="P17" s="58">
        <v>2</v>
      </c>
      <c r="Q17" s="35">
        <v>4.5252017903825853E-2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0.63084957351709103</v>
      </c>
      <c r="I18" s="35">
        <v>2.0844829999999998E-2</v>
      </c>
      <c r="J18" s="35">
        <v>2.0844830000000016E-2</v>
      </c>
      <c r="K18" s="70">
        <v>20844830</v>
      </c>
      <c r="L18" s="35">
        <v>2.0787980465393895E-2</v>
      </c>
      <c r="M18" s="35">
        <v>5.2626466981796183E-2</v>
      </c>
      <c r="N18" s="72"/>
      <c r="O18" s="58">
        <v>2</v>
      </c>
      <c r="P18" s="58">
        <v>3</v>
      </c>
      <c r="Q18" s="35">
        <v>2.0787980465393895E-2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0.56044182383181096</v>
      </c>
      <c r="I19" s="35">
        <v>1.2821375000000006E-2</v>
      </c>
      <c r="J19" s="35">
        <v>1.2821375000000017E-2</v>
      </c>
      <c r="K19" s="70">
        <v>12821375</v>
      </c>
      <c r="L19" s="35">
        <v>1.2786407614717396E-2</v>
      </c>
      <c r="M19" s="35">
        <v>4.5114368762272671E-2</v>
      </c>
      <c r="N19" s="72"/>
      <c r="O19" s="58">
        <v>3</v>
      </c>
      <c r="P19" s="58">
        <v>4</v>
      </c>
      <c r="Q19" s="35">
        <v>1.2786407614717396E-2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0.49193753550184</v>
      </c>
      <c r="I20" s="35">
        <v>8.347782000000005E-3</v>
      </c>
      <c r="J20" s="35">
        <v>8.3477820000000119E-3</v>
      </c>
      <c r="K20" s="70">
        <v>8347782</v>
      </c>
      <c r="L20" s="35">
        <v>8.3250153225220246E-3</v>
      </c>
      <c r="M20" s="35">
        <v>3.7733513334894719E-2</v>
      </c>
      <c r="N20" s="72"/>
      <c r="O20" s="58">
        <v>4</v>
      </c>
      <c r="P20" s="58">
        <v>5</v>
      </c>
      <c r="Q20" s="35">
        <v>8.3250153225220246E-3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0.47940737890658802</v>
      </c>
      <c r="I21" s="35">
        <v>6.4591979999999959E-3</v>
      </c>
      <c r="J21" s="35">
        <v>6.4591980000000011E-3</v>
      </c>
      <c r="K21" s="70">
        <v>6459198</v>
      </c>
      <c r="L21" s="35">
        <v>6.4415820059991521E-3</v>
      </c>
      <c r="M21" s="35">
        <v>3.5766127522702515E-2</v>
      </c>
      <c r="N21" s="72"/>
      <c r="O21" s="58">
        <v>5</v>
      </c>
      <c r="P21" s="58">
        <v>6</v>
      </c>
      <c r="Q21" s="35">
        <v>6.4415820059991521E-3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0.32766234969761399</v>
      </c>
      <c r="I22" s="35">
        <v>3.4862349999999977E-3</v>
      </c>
      <c r="J22" s="35">
        <v>3.4862350000000003E-3</v>
      </c>
      <c r="K22" s="70">
        <v>3486235</v>
      </c>
      <c r="L22" s="35">
        <v>3.476727086657578E-3</v>
      </c>
      <c r="M22" s="35">
        <v>2.2684169206415437E-2</v>
      </c>
      <c r="N22" s="72"/>
      <c r="O22" s="58">
        <v>6</v>
      </c>
      <c r="P22" s="58">
        <v>7</v>
      </c>
      <c r="Q22" s="35">
        <v>3.476727086657578E-3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0.43779321722919501</v>
      </c>
      <c r="I23" s="35">
        <v>3.9198630000000026E-3</v>
      </c>
      <c r="J23" s="35">
        <v>3.9198630000000061E-3</v>
      </c>
      <c r="K23" s="70">
        <v>3919863</v>
      </c>
      <c r="L23" s="35">
        <v>3.909172464875957E-3</v>
      </c>
      <c r="M23" s="35">
        <v>2.9445534271659086E-2</v>
      </c>
      <c r="N23" s="72"/>
      <c r="O23" s="58">
        <v>7</v>
      </c>
      <c r="P23" s="58">
        <v>8</v>
      </c>
      <c r="Q23" s="35">
        <v>3.909172464875957E-3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0.42243225098029202</v>
      </c>
      <c r="I24" s="35">
        <v>3.1800099999999992E-3</v>
      </c>
      <c r="J24" s="35">
        <v>3.1800100000000018E-3</v>
      </c>
      <c r="K24" s="70">
        <v>3180010</v>
      </c>
      <c r="L24" s="35">
        <v>3.1713372457226677E-3</v>
      </c>
      <c r="M24" s="35">
        <v>2.7122397482217803E-2</v>
      </c>
      <c r="N24" s="72"/>
      <c r="O24" s="58">
        <v>8</v>
      </c>
      <c r="P24" s="58">
        <v>9</v>
      </c>
      <c r="Q24" s="35">
        <v>3.1713372457226677E-3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0.33212183443369597</v>
      </c>
      <c r="I25" s="35">
        <v>2.0674820000000024E-3</v>
      </c>
      <c r="J25" s="35">
        <v>2.0674820000000042E-3</v>
      </c>
      <c r="K25" s="70">
        <v>2067482</v>
      </c>
      <c r="L25" s="35">
        <v>2.0618434129015921E-3</v>
      </c>
      <c r="M25" s="35">
        <v>1.966558516228193E-2</v>
      </c>
      <c r="N25" s="72"/>
      <c r="O25" s="58">
        <v>9</v>
      </c>
      <c r="P25" s="58">
        <v>10</v>
      </c>
      <c r="Q25" s="35">
        <v>2.0618434129015921E-3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0.30387694182679997</v>
      </c>
      <c r="I26" s="35">
        <v>6.293255000000008E-3</v>
      </c>
      <c r="J26" s="35">
        <v>6.2932550000000132E-3</v>
      </c>
      <c r="K26" s="70">
        <v>6293255</v>
      </c>
      <c r="L26" s="35">
        <v>6.2760915778033426E-3</v>
      </c>
      <c r="M26" s="35">
        <v>7.7071872328706992E-2</v>
      </c>
      <c r="N26" s="72"/>
      <c r="O26" s="58">
        <v>10</v>
      </c>
      <c r="P26" s="58">
        <v>15</v>
      </c>
      <c r="Q26" s="35">
        <v>6.2760915778033426E-3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0.245236779290637</v>
      </c>
      <c r="I27" s="35">
        <v>2.7354629999999987E-3</v>
      </c>
      <c r="J27" s="35">
        <v>2.7354630000000009E-3</v>
      </c>
      <c r="K27" s="70">
        <v>2735463</v>
      </c>
      <c r="L27" s="35">
        <v>2.7280026465942766E-3</v>
      </c>
      <c r="M27" s="35">
        <v>4.7294831196462259E-2</v>
      </c>
      <c r="N27" s="72"/>
      <c r="O27" s="58">
        <v>15</v>
      </c>
      <c r="P27" s="58">
        <v>20</v>
      </c>
      <c r="Q27" s="35">
        <v>2.7280026465942766E-3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0.22957191057061299</v>
      </c>
      <c r="I28" s="35">
        <v>1.5479460000000006E-3</v>
      </c>
      <c r="J28" s="35">
        <v>1.5479460000000019E-3</v>
      </c>
      <c r="K28" s="70">
        <v>1547946</v>
      </c>
      <c r="L28" s="35">
        <v>1.543724329221424E-3</v>
      </c>
      <c r="M28" s="35">
        <v>3.4530472892840849E-2</v>
      </c>
      <c r="N28" s="72"/>
      <c r="O28" s="58">
        <v>20</v>
      </c>
      <c r="P28" s="58">
        <v>25</v>
      </c>
      <c r="Q28" s="35">
        <v>1.543724329221424E-3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0.279263298576582</v>
      </c>
      <c r="I29" s="35">
        <v>1.2508029999999991E-3</v>
      </c>
      <c r="J29" s="35">
        <v>1.250803E-3</v>
      </c>
      <c r="K29" s="70">
        <v>1250803</v>
      </c>
      <c r="L29" s="35">
        <v>1.2473917191963705E-3</v>
      </c>
      <c r="M29" s="35">
        <v>3.4173752666565839E-2</v>
      </c>
      <c r="N29" s="72"/>
      <c r="O29" s="58">
        <v>25</v>
      </c>
      <c r="P29" s="58">
        <v>30</v>
      </c>
      <c r="Q29" s="35">
        <v>1.2473917191963705E-3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0.19862926809394901</v>
      </c>
      <c r="I30" s="35">
        <v>5.9968499999999911E-4</v>
      </c>
      <c r="J30" s="35">
        <v>5.9968499999999954E-4</v>
      </c>
      <c r="K30" s="70">
        <v>599685</v>
      </c>
      <c r="L30" s="35">
        <v>5.9804949550510778E-4</v>
      </c>
      <c r="M30" s="35">
        <v>1.9375809145906676E-2</v>
      </c>
      <c r="N30" s="72"/>
      <c r="O30" s="58">
        <v>30</v>
      </c>
      <c r="P30" s="58">
        <v>35</v>
      </c>
      <c r="Q30" s="35">
        <v>5.9804949550510778E-4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0.18834857257263099</v>
      </c>
      <c r="I31" s="35">
        <v>4.1581300000000082E-4</v>
      </c>
      <c r="J31" s="35">
        <v>4.1581300000000115E-4</v>
      </c>
      <c r="K31" s="70">
        <v>415813</v>
      </c>
      <c r="L31" s="35">
        <v>4.1467896458051375E-4</v>
      </c>
      <c r="M31" s="35">
        <v>1.5524886962490127E-2</v>
      </c>
      <c r="N31" s="72"/>
      <c r="O31" s="58">
        <v>35</v>
      </c>
      <c r="P31" s="58">
        <v>40</v>
      </c>
      <c r="Q31" s="35">
        <v>4.1467896458051375E-4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0.154711737732145</v>
      </c>
      <c r="I32" s="35">
        <v>2.5486500000000001E-4</v>
      </c>
      <c r="J32" s="35">
        <v>2.5486500000000022E-4</v>
      </c>
      <c r="K32" s="70">
        <v>254865</v>
      </c>
      <c r="L32" s="35">
        <v>2.5416991365785255E-4</v>
      </c>
      <c r="M32" s="35">
        <v>1.0786278635202096E-2</v>
      </c>
      <c r="N32" s="72"/>
      <c r="O32" s="58">
        <v>40</v>
      </c>
      <c r="P32" s="58">
        <v>45</v>
      </c>
      <c r="Q32" s="35">
        <v>2.5416991365785255E-4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0.17375615054704499</v>
      </c>
      <c r="I33" s="35">
        <v>2.1403300000000057E-4</v>
      </c>
      <c r="J33" s="35">
        <v>2.1403300000000073E-4</v>
      </c>
      <c r="K33" s="70">
        <v>214033</v>
      </c>
      <c r="L33" s="35">
        <v>2.1344927365440981E-4</v>
      </c>
      <c r="M33" s="35">
        <v>1.0130381040102072E-2</v>
      </c>
      <c r="N33" s="72"/>
      <c r="O33" s="58">
        <v>45</v>
      </c>
      <c r="P33" s="58">
        <v>50</v>
      </c>
      <c r="Q33" s="35">
        <v>2.1344927365440981E-4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0.26053196518182298</v>
      </c>
      <c r="I34" s="35">
        <v>4.591050000000004E-4</v>
      </c>
      <c r="J34" s="35">
        <v>4.5910500000000078E-4</v>
      </c>
      <c r="K34" s="70">
        <v>459105</v>
      </c>
      <c r="L34" s="35">
        <v>4.5785289549325482E-4</v>
      </c>
      <c r="M34" s="35">
        <v>2.5045345838822654E-2</v>
      </c>
      <c r="N34" s="72"/>
      <c r="O34" s="58">
        <v>50</v>
      </c>
      <c r="P34" s="58">
        <v>60</v>
      </c>
      <c r="Q34" s="35">
        <v>4.5785289549325482E-4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0.23556436034081699</v>
      </c>
      <c r="I35" s="35">
        <v>2.6278500000000013E-4</v>
      </c>
      <c r="J35" s="35">
        <v>2.6278500000000035E-4</v>
      </c>
      <c r="K35" s="70">
        <v>262785</v>
      </c>
      <c r="L35" s="35">
        <v>2.6206831365852034E-4</v>
      </c>
      <c r="M35" s="35">
        <v>1.6951764906581415E-2</v>
      </c>
      <c r="N35" s="72"/>
      <c r="O35" s="58">
        <v>60</v>
      </c>
      <c r="P35" s="58">
        <v>70</v>
      </c>
      <c r="Q35" s="35">
        <v>2.6206831365852034E-4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0.39082576674052799</v>
      </c>
      <c r="I79" s="35">
        <v>2.7347309999999976E-3</v>
      </c>
      <c r="J79" s="35">
        <f>I79</f>
        <v>2.7347309999999976E-3</v>
      </c>
      <c r="K79" s="71">
        <v>2734731</v>
      </c>
      <c r="L79" s="35">
        <v>2.7272726429578512E-3</v>
      </c>
      <c r="M79" s="35">
        <v>2.4039454767439256E-2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1.85338890097083</v>
      </c>
      <c r="I99" s="35">
        <v>4.4261342000000078E-2</v>
      </c>
      <c r="J99" s="35">
        <v>4.4261342000000085E-2</v>
      </c>
      <c r="K99" s="70">
        <v>44261342</v>
      </c>
      <c r="L99" s="35">
        <v>4.4256561627495805E-2</v>
      </c>
      <c r="M99" s="35">
        <v>0.99876348024872741</v>
      </c>
      <c r="N99" s="72"/>
      <c r="O99" s="58">
        <v>20</v>
      </c>
      <c r="P99" s="58">
        <v>25</v>
      </c>
      <c r="Q99" s="35">
        <v>4.4256561627495805E-2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6.0806268714151903</v>
      </c>
      <c r="I100" s="35">
        <v>0.15009530300000012</v>
      </c>
      <c r="J100" s="35">
        <v>0.15009530300000015</v>
      </c>
      <c r="K100" s="70">
        <v>150095303</v>
      </c>
      <c r="L100" s="35">
        <v>0.15007909220685528</v>
      </c>
      <c r="M100" s="35">
        <v>4.1373724947998962</v>
      </c>
      <c r="N100" s="72"/>
      <c r="O100" s="58">
        <v>25</v>
      </c>
      <c r="P100" s="58">
        <v>30</v>
      </c>
      <c r="Q100" s="35">
        <v>0.15007909220685528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2.7046943064094902</v>
      </c>
      <c r="I101" s="35">
        <v>6.6347257999999965E-2</v>
      </c>
      <c r="J101" s="35">
        <v>6.6347257999999978E-2</v>
      </c>
      <c r="K101" s="70">
        <v>66347258</v>
      </c>
      <c r="L101" s="35">
        <v>6.6340092274932927E-2</v>
      </c>
      <c r="M101" s="35">
        <v>2.1598721911719059</v>
      </c>
      <c r="N101" s="72"/>
      <c r="O101" s="58">
        <v>30</v>
      </c>
      <c r="P101" s="58">
        <v>35</v>
      </c>
      <c r="Q101" s="35">
        <v>6.6340092274932927E-2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4.5865433431433296</v>
      </c>
      <c r="I102" s="35">
        <v>0.11322949299999992</v>
      </c>
      <c r="J102" s="35">
        <v>0.11322949299999994</v>
      </c>
      <c r="K102" s="70">
        <v>113229493</v>
      </c>
      <c r="L102" s="35">
        <v>0.11321726383724662</v>
      </c>
      <c r="M102" s="35">
        <v>4.2516953042110108</v>
      </c>
      <c r="N102" s="72"/>
      <c r="O102" s="58">
        <v>35</v>
      </c>
      <c r="P102" s="58">
        <v>40</v>
      </c>
      <c r="Q102" s="35">
        <v>0.11321726383724662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3.9221741501585798</v>
      </c>
      <c r="I103" s="35">
        <v>9.5419393000000047E-2</v>
      </c>
      <c r="J103" s="35">
        <v>9.5419393000000075E-2</v>
      </c>
      <c r="K103" s="70">
        <v>95419393</v>
      </c>
      <c r="L103" s="35">
        <v>9.5409087387425845E-2</v>
      </c>
      <c r="M103" s="35">
        <v>4.0597736093688734</v>
      </c>
      <c r="N103" s="72"/>
      <c r="O103" s="58">
        <v>40</v>
      </c>
      <c r="P103" s="58">
        <v>45</v>
      </c>
      <c r="Q103" s="35">
        <v>9.5409087387425845E-2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3.2968755802795102</v>
      </c>
      <c r="I104" s="35">
        <v>7.9176578000000039E-2</v>
      </c>
      <c r="J104" s="35">
        <v>7.9176578000000053E-2</v>
      </c>
      <c r="K104" s="70">
        <v>79176578</v>
      </c>
      <c r="L104" s="35">
        <v>7.9168026665599717E-2</v>
      </c>
      <c r="M104" s="35">
        <v>3.7640786783308164</v>
      </c>
      <c r="N104" s="72"/>
      <c r="O104" s="58">
        <v>45</v>
      </c>
      <c r="P104" s="58">
        <v>50</v>
      </c>
      <c r="Q104" s="35">
        <v>7.9168026665599717E-2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1.5802641403040401</v>
      </c>
      <c r="I105" s="35">
        <v>7.3097645999999891E-2</v>
      </c>
      <c r="J105" s="35">
        <v>7.3097645999999905E-2</v>
      </c>
      <c r="K105" s="70">
        <v>73097646</v>
      </c>
      <c r="L105" s="35">
        <v>7.3089751210522996E-2</v>
      </c>
      <c r="M105" s="35">
        <v>4.0208954964946342</v>
      </c>
      <c r="N105" s="72"/>
      <c r="O105" s="58">
        <v>50</v>
      </c>
      <c r="P105" s="58">
        <v>60</v>
      </c>
      <c r="Q105" s="35">
        <v>7.3089751210522996E-2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2.1406721633966899</v>
      </c>
      <c r="I106" s="35">
        <v>9.3838718999999807E-2</v>
      </c>
      <c r="J106" s="35">
        <v>9.3838718999999834E-2</v>
      </c>
      <c r="K106" s="70">
        <v>93838719</v>
      </c>
      <c r="L106" s="35">
        <v>9.3828584105487847E-2</v>
      </c>
      <c r="M106" s="35">
        <v>6.0995143861066552</v>
      </c>
      <c r="N106" s="72"/>
      <c r="O106" s="58">
        <v>60</v>
      </c>
      <c r="P106" s="58">
        <v>70</v>
      </c>
      <c r="Q106" s="35">
        <v>9.3828584105487847E-2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1.01299794722012</v>
      </c>
      <c r="I107" s="35">
        <v>4.2151094000000021E-2</v>
      </c>
      <c r="J107" s="35">
        <v>4.2151094000000028E-2</v>
      </c>
      <c r="K107" s="70">
        <v>42151094</v>
      </c>
      <c r="L107" s="35">
        <v>4.2146541541315412E-2</v>
      </c>
      <c r="M107" s="35">
        <v>3.1609239130078395</v>
      </c>
      <c r="N107" s="72"/>
      <c r="O107" s="58">
        <v>70</v>
      </c>
      <c r="P107" s="58">
        <v>80</v>
      </c>
      <c r="Q107" s="35">
        <v>4.2146541541315412E-2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1.94620263991955</v>
      </c>
      <c r="I108" s="35">
        <v>7.5713803999999996E-2</v>
      </c>
      <c r="J108" s="35">
        <v>7.571380400000001E-2</v>
      </c>
      <c r="K108" s="70">
        <v>75713804</v>
      </c>
      <c r="L108" s="35">
        <v>7.5705626656736677E-2</v>
      </c>
      <c r="M108" s="35">
        <v>6.4340136843808517</v>
      </c>
      <c r="N108" s="72"/>
      <c r="O108" s="58">
        <v>80</v>
      </c>
      <c r="P108" s="58">
        <v>90</v>
      </c>
      <c r="Q108" s="35">
        <v>7.5705626656736677E-2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0.75012819417528298</v>
      </c>
      <c r="I109" s="78">
        <v>2.7194540999999985E-2</v>
      </c>
      <c r="J109" s="78">
        <v>2.7194540999999992E-2</v>
      </c>
      <c r="K109" s="70">
        <v>27194541</v>
      </c>
      <c r="L109" s="78">
        <v>2.7191603898904858E-2</v>
      </c>
      <c r="M109" s="78">
        <v>2.5832244195254459</v>
      </c>
      <c r="N109" s="72"/>
      <c r="O109" s="58">
        <v>90</v>
      </c>
      <c r="P109" s="58">
        <v>100</v>
      </c>
      <c r="Q109" s="35">
        <v>2.7191603898904858E-2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0.88653837859667295</v>
      </c>
      <c r="I110" s="78">
        <v>5.7874274000000003E-2</v>
      </c>
      <c r="J110" s="78">
        <v>5.7874274000000017E-2</v>
      </c>
      <c r="K110" s="70">
        <v>57874274</v>
      </c>
      <c r="L110" s="78">
        <v>5.786802338545402E-2</v>
      </c>
      <c r="M110" s="78">
        <v>6.3558292451467153</v>
      </c>
      <c r="N110" s="72"/>
      <c r="O110" s="58">
        <v>100</v>
      </c>
      <c r="P110" s="58">
        <v>120</v>
      </c>
      <c r="Q110" s="35">
        <v>5.786802338545402E-2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0.32930971739618198</v>
      </c>
      <c r="I111" s="78">
        <v>1.8627868999999995E-2</v>
      </c>
      <c r="J111" s="78">
        <v>1.8627868999999998E-2</v>
      </c>
      <c r="K111" s="70">
        <v>18627869</v>
      </c>
      <c r="L111" s="78">
        <v>1.8625857128042315E-2</v>
      </c>
      <c r="M111" s="78">
        <v>2.4178781998867525</v>
      </c>
      <c r="N111" s="72"/>
      <c r="O111" s="58">
        <v>120</v>
      </c>
      <c r="P111" s="58">
        <v>140</v>
      </c>
      <c r="Q111" s="35">
        <v>1.8625857128042315E-2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0.53394108040719801</v>
      </c>
      <c r="I112" s="78">
        <v>2.6213671000000022E-2</v>
      </c>
      <c r="J112" s="78">
        <v>2.6213671000000029E-2</v>
      </c>
      <c r="K112" s="70">
        <v>26213671</v>
      </c>
      <c r="L112" s="78">
        <v>2.6210839836135098E-2</v>
      </c>
      <c r="M112" s="78">
        <v>3.9264900795748132</v>
      </c>
      <c r="N112" s="72"/>
      <c r="O112" s="58">
        <v>140</v>
      </c>
      <c r="P112" s="58">
        <v>160</v>
      </c>
      <c r="Q112" s="35">
        <v>2.6210839836135098E-2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0.28169685228818098</v>
      </c>
      <c r="I113" s="78">
        <v>1.2022120999999986E-2</v>
      </c>
      <c r="J113" s="78">
        <v>1.202212099999999E-2</v>
      </c>
      <c r="K113" s="70">
        <v>12022121</v>
      </c>
      <c r="L113" s="78">
        <v>1.202082257085001E-2</v>
      </c>
      <c r="M113" s="78">
        <v>2.0412334019933378</v>
      </c>
      <c r="N113" s="72"/>
      <c r="O113" s="58">
        <v>160</v>
      </c>
      <c r="P113" s="58">
        <v>180</v>
      </c>
      <c r="Q113" s="35">
        <v>1.202082257085001E-2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0.32631574934699598</v>
      </c>
      <c r="I114" s="78">
        <v>1.2047396999999986E-2</v>
      </c>
      <c r="J114" s="78">
        <v>1.2047396999999989E-2</v>
      </c>
      <c r="K114" s="70">
        <v>12047397</v>
      </c>
      <c r="L114" s="78">
        <v>1.2046095840957739E-2</v>
      </c>
      <c r="M114" s="78">
        <v>2.2864326693794665</v>
      </c>
      <c r="N114" s="72"/>
      <c r="O114" s="58">
        <v>180</v>
      </c>
      <c r="P114" s="58">
        <v>200</v>
      </c>
      <c r="Q114" s="35">
        <v>1.2046095840957739E-2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2.1155558173883902E-2</v>
      </c>
      <c r="I115" s="78">
        <v>1.5522739999999993E-3</v>
      </c>
      <c r="J115" s="78">
        <v>1.5522739999999998E-3</v>
      </c>
      <c r="K115" s="70">
        <v>1552274</v>
      </c>
      <c r="L115" s="78">
        <v>1.5521063492326876E-3</v>
      </c>
      <c r="M115" s="78">
        <v>0.34712949600373899</v>
      </c>
      <c r="N115" s="72"/>
      <c r="O115" s="58">
        <v>200</v>
      </c>
      <c r="P115" s="58">
        <v>250</v>
      </c>
      <c r="Q115" s="35">
        <v>1.5521063492326876E-3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2.4538310007068902E-2</v>
      </c>
      <c r="I116" s="78">
        <v>1.2997600000000005E-3</v>
      </c>
      <c r="J116" s="78">
        <v>1.2997600000000007E-3</v>
      </c>
      <c r="K116" s="70">
        <v>1299760</v>
      </c>
      <c r="L116" s="78">
        <v>1.2996196215865744E-3</v>
      </c>
      <c r="M116" s="78">
        <v>0.35578507932574371</v>
      </c>
      <c r="N116" s="72"/>
      <c r="O116" s="58">
        <v>250</v>
      </c>
      <c r="P116" s="58">
        <v>300</v>
      </c>
      <c r="Q116" s="35">
        <v>1.2996196215865744E-3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2.8685179466818499E-2</v>
      </c>
      <c r="I117" s="78">
        <v>1.1234680000000016E-3</v>
      </c>
      <c r="J117" s="78">
        <v>1.1234680000000018E-3</v>
      </c>
      <c r="K117" s="70">
        <v>1123468</v>
      </c>
      <c r="L117" s="78">
        <v>1.1233466617103353E-3</v>
      </c>
      <c r="M117" s="78">
        <v>0.36372501661207735</v>
      </c>
      <c r="N117" s="72"/>
      <c r="O117" s="58">
        <v>300</v>
      </c>
      <c r="P117" s="58">
        <v>350</v>
      </c>
      <c r="Q117" s="35">
        <v>1.1233466617103353E-3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3.37996916763618E-2</v>
      </c>
      <c r="I118" s="78">
        <v>9.9230500000000062E-4</v>
      </c>
      <c r="J118" s="78">
        <v>9.9230500000000083E-4</v>
      </c>
      <c r="K118" s="70">
        <v>992305</v>
      </c>
      <c r="L118" s="78">
        <v>9.9219782775163546E-4</v>
      </c>
      <c r="M118" s="78">
        <v>0.37097365071397481</v>
      </c>
      <c r="N118" s="72"/>
      <c r="O118" s="58">
        <v>350</v>
      </c>
      <c r="P118" s="58">
        <v>400</v>
      </c>
      <c r="Q118" s="35">
        <v>9.9219782775163546E-4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3.9953178408790799E-2</v>
      </c>
      <c r="I119" s="78">
        <v>8.9062400000000088E-4</v>
      </c>
      <c r="J119" s="78">
        <v>8.906240000000011E-4</v>
      </c>
      <c r="K119" s="70">
        <v>890624</v>
      </c>
      <c r="L119" s="78">
        <v>8.9052780963864184E-4</v>
      </c>
      <c r="M119" s="78">
        <v>0.37751208210897008</v>
      </c>
      <c r="N119" s="72"/>
      <c r="O119" s="58">
        <v>400</v>
      </c>
      <c r="P119" s="58">
        <v>450</v>
      </c>
      <c r="Q119" s="35">
        <v>8.9052780963864184E-4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4.6588340206177498E-2</v>
      </c>
      <c r="I120" s="78">
        <v>8.087709999999999E-4</v>
      </c>
      <c r="J120" s="78">
        <v>8.0877100000000012E-4</v>
      </c>
      <c r="K120" s="70">
        <v>808771</v>
      </c>
      <c r="L120" s="78">
        <v>8.0868365003554138E-4</v>
      </c>
      <c r="M120" s="78">
        <v>0.38335976568839042</v>
      </c>
      <c r="N120" s="72"/>
      <c r="O120" s="58">
        <v>450</v>
      </c>
      <c r="P120" s="58">
        <v>500</v>
      </c>
      <c r="Q120" s="35">
        <v>8.0868365003554138E-4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5.4132568058604398E-2</v>
      </c>
      <c r="I121" s="78">
        <v>7.414829999999996E-4</v>
      </c>
      <c r="J121" s="78">
        <v>7.4148299999999981E-4</v>
      </c>
      <c r="K121" s="70">
        <v>741483</v>
      </c>
      <c r="L121" s="78">
        <v>7.4140291736388099E-4</v>
      </c>
      <c r="M121" s="78">
        <v>0.38848449451821071</v>
      </c>
      <c r="N121" s="72"/>
      <c r="O121" s="58">
        <v>500</v>
      </c>
      <c r="P121" s="58">
        <v>550</v>
      </c>
      <c r="Q121" s="35">
        <v>7.4140291736388099E-4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6.2859658503104002E-2</v>
      </c>
      <c r="I122" s="35">
        <v>6.844539999999996E-4</v>
      </c>
      <c r="J122" s="35">
        <v>6.8445399999999971E-4</v>
      </c>
      <c r="K122" s="70">
        <v>684454</v>
      </c>
      <c r="L122" s="35">
        <v>6.8438007668601675E-4</v>
      </c>
      <c r="M122" s="35">
        <v>0.3929312137493764</v>
      </c>
      <c r="N122" s="72"/>
      <c r="O122" s="58">
        <v>550</v>
      </c>
      <c r="P122" s="58">
        <v>600</v>
      </c>
      <c r="Q122" s="35">
        <v>6.8438007668601675E-4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7.2832870408786499E-2</v>
      </c>
      <c r="I123" s="35">
        <v>6.3566900000000006E-4</v>
      </c>
      <c r="J123" s="35">
        <v>6.3566900000000016E-4</v>
      </c>
      <c r="K123" s="70">
        <v>635669</v>
      </c>
      <c r="L123" s="35">
        <v>6.3560034562866691E-4</v>
      </c>
      <c r="M123" s="35">
        <v>0.39665763481801425</v>
      </c>
      <c r="N123" s="72"/>
      <c r="O123" s="58">
        <v>600</v>
      </c>
      <c r="P123" s="58">
        <v>650</v>
      </c>
      <c r="Q123" s="35">
        <v>6.3560034562866691E-4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8.38021229314211E-2</v>
      </c>
      <c r="I124" s="35">
        <v>5.9288800000000018E-4</v>
      </c>
      <c r="J124" s="35">
        <v>5.9288800000000029E-4</v>
      </c>
      <c r="K124" s="70">
        <v>592888</v>
      </c>
      <c r="L124" s="35">
        <v>5.928239661192996E-4</v>
      </c>
      <c r="M124" s="35">
        <v>0.39969801838834479</v>
      </c>
      <c r="N124" s="72"/>
      <c r="O124" s="58">
        <v>650</v>
      </c>
      <c r="P124" s="58">
        <v>700</v>
      </c>
      <c r="Q124" s="35">
        <v>5.928239661192996E-4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9.5002678903536697E-2</v>
      </c>
      <c r="I125" s="35">
        <v>5.5511000000000026E-4</v>
      </c>
      <c r="J125" s="35">
        <v>5.5511000000000037E-4</v>
      </c>
      <c r="K125" s="70">
        <v>555110</v>
      </c>
      <c r="L125" s="35">
        <v>5.5505004626925218E-4</v>
      </c>
      <c r="M125" s="35">
        <v>0.40203015126168767</v>
      </c>
      <c r="N125" s="72"/>
      <c r="O125" s="58">
        <v>700</v>
      </c>
      <c r="P125" s="58">
        <v>750</v>
      </c>
      <c r="Q125" s="35">
        <v>5.5505004626925218E-4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0.10776055238813199</v>
      </c>
      <c r="I126" s="35">
        <v>5.2140699999999782E-4</v>
      </c>
      <c r="J126" s="35">
        <v>5.2140699999999793E-4</v>
      </c>
      <c r="K126" s="70">
        <v>521407</v>
      </c>
      <c r="L126" s="35">
        <v>5.2135068630561874E-4</v>
      </c>
      <c r="M126" s="35">
        <v>0.40365784229475316</v>
      </c>
      <c r="N126" s="72"/>
      <c r="O126" s="58">
        <v>750</v>
      </c>
      <c r="P126" s="58">
        <v>800</v>
      </c>
      <c r="Q126" s="35">
        <v>5.2135068630561874E-4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0.121411367025379</v>
      </c>
      <c r="I127" s="35">
        <v>4.9088099999999954E-4</v>
      </c>
      <c r="J127" s="35">
        <v>4.9088099999999965E-4</v>
      </c>
      <c r="K127" s="70">
        <v>490881</v>
      </c>
      <c r="L127" s="35">
        <v>4.9082798321539299E-4</v>
      </c>
      <c r="M127" s="35">
        <v>0.40458682436847787</v>
      </c>
      <c r="N127" s="72"/>
      <c r="O127" s="58">
        <v>800</v>
      </c>
      <c r="P127" s="58">
        <v>850</v>
      </c>
      <c r="Q127" s="35">
        <v>4.9082798321539299E-4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0.137153593835556</v>
      </c>
      <c r="I128" s="35">
        <v>4.6307100000000153E-4</v>
      </c>
      <c r="J128" s="35">
        <v>4.6307100000000164E-4</v>
      </c>
      <c r="K128" s="71">
        <v>463071</v>
      </c>
      <c r="L128" s="35">
        <v>4.6302098678811207E-4</v>
      </c>
      <c r="M128" s="35">
        <v>0.40481044204068078</v>
      </c>
      <c r="N128" s="72"/>
      <c r="O128" s="58">
        <v>850</v>
      </c>
      <c r="P128" s="58">
        <v>900</v>
      </c>
      <c r="Q128" s="35">
        <v>4.6302098678811207E-4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0.15223953879121699</v>
      </c>
      <c r="I129" s="35">
        <v>4.3746499999999995E-4</v>
      </c>
      <c r="J129" s="35">
        <v>4.3746500000000005E-4</v>
      </c>
      <c r="K129" s="71">
        <v>437465</v>
      </c>
      <c r="L129" s="35">
        <v>4.37417752321483E-4</v>
      </c>
      <c r="M129" s="35">
        <v>0.40434172382168398</v>
      </c>
      <c r="N129" s="72"/>
      <c r="O129" s="58">
        <v>900</v>
      </c>
      <c r="P129" s="58">
        <v>950</v>
      </c>
      <c r="Q129" s="35">
        <v>4.37417752321483E-4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0.170329324133874</v>
      </c>
      <c r="I130" s="35">
        <v>4.1383999999999882E-4</v>
      </c>
      <c r="J130" s="35">
        <v>4.1383999999999892E-4</v>
      </c>
      <c r="K130" s="71">
        <v>413840</v>
      </c>
      <c r="L130" s="35">
        <v>4.1379530390024921E-4</v>
      </c>
      <c r="M130" s="35">
        <v>0.40316608763177286</v>
      </c>
      <c r="N130" s="72"/>
      <c r="O130" s="58">
        <v>950</v>
      </c>
      <c r="P130" s="58">
        <v>1000</v>
      </c>
      <c r="Q130" s="35">
        <v>4.1379530390024921E-4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1.83602842198455E-2</v>
      </c>
      <c r="I131" s="35">
        <v>2.8704199999999978E-4</v>
      </c>
      <c r="J131" s="35">
        <v>2.8704199999999983E-4</v>
      </c>
      <c r="K131" s="71">
        <v>287042</v>
      </c>
      <c r="L131" s="35">
        <v>2.8701099850699625E-4</v>
      </c>
      <c r="M131" s="35">
        <v>0.3768146998122936</v>
      </c>
      <c r="N131" s="72"/>
      <c r="O131" s="58">
        <v>1000</v>
      </c>
      <c r="P131" s="58">
        <v>2000</v>
      </c>
      <c r="Q131" s="35">
        <v>2.8701099850699625E-4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8.6370054960603307E-2</v>
      </c>
      <c r="I132" s="35">
        <v>1.6448699999999994E-4</v>
      </c>
      <c r="J132" s="35">
        <v>1.6448699999999997E-4</v>
      </c>
      <c r="K132" s="71">
        <v>307000</v>
      </c>
      <c r="L132" s="35">
        <v>3.0696684297645588E-4</v>
      </c>
      <c r="M132" s="35">
        <v>0.726508567359747</v>
      </c>
      <c r="N132" s="72"/>
      <c r="O132" s="58">
        <v>2000</v>
      </c>
      <c r="P132" s="58">
        <v>3000</v>
      </c>
      <c r="Q132" s="35">
        <v>3.0696684297645588E-4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21.9448520790909</v>
      </c>
      <c r="I139" s="35">
        <v>3.4497999999999987E-5</v>
      </c>
      <c r="J139" s="35">
        <v>3.4497999999999994E-5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1.40796777043221</v>
      </c>
      <c r="I176" s="35">
        <v>3.3624104999999925E-2</v>
      </c>
      <c r="J176" s="35">
        <v>3.3624104999999911E-2</v>
      </c>
      <c r="K176" s="70">
        <v>33624101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5.77273946130226</v>
      </c>
      <c r="I177" s="35">
        <v>0.14249535400000002</v>
      </c>
      <c r="J177" s="35">
        <v>0.14249535399999996</v>
      </c>
      <c r="K177" s="70">
        <v>142495353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2.1855017436272099</v>
      </c>
      <c r="I178" s="35">
        <v>5.3611251999999963E-2</v>
      </c>
      <c r="J178" s="35">
        <v>5.3611251999999943E-2</v>
      </c>
      <c r="K178" s="70">
        <v>53611252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3.8229317384969801</v>
      </c>
      <c r="I179" s="35">
        <v>9.437796400000012E-2</v>
      </c>
      <c r="J179" s="35">
        <v>9.4377964000000078E-2</v>
      </c>
      <c r="K179" s="70">
        <v>94377963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3.3724575994364998</v>
      </c>
      <c r="I180" s="35">
        <v>8.2045784999999885E-2</v>
      </c>
      <c r="J180" s="35">
        <v>8.2045784999999843E-2</v>
      </c>
      <c r="K180" s="70">
        <v>82045785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2.9240328455539601</v>
      </c>
      <c r="I181" s="35">
        <v>7.0222521000000038E-2</v>
      </c>
      <c r="J181" s="35">
        <v>7.022252100000001E-2</v>
      </c>
      <c r="K181" s="70">
        <v>70222520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1.46850592598577</v>
      </c>
      <c r="I182" s="35">
        <v>6.7928091000000163E-2</v>
      </c>
      <c r="J182" s="35">
        <v>6.7928091000000135E-2</v>
      </c>
      <c r="K182" s="70">
        <v>67928092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2.1176754323865201</v>
      </c>
      <c r="I183" s="35">
        <v>9.2830631999999885E-2</v>
      </c>
      <c r="J183" s="35">
        <v>9.2830631999999844E-2</v>
      </c>
      <c r="K183" s="70">
        <v>92830631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1.0670735705251799</v>
      </c>
      <c r="I184" s="35">
        <v>4.4401194000000199E-2</v>
      </c>
      <c r="J184" s="35">
        <v>4.4401194000000178E-2</v>
      </c>
      <c r="K184" s="70">
        <v>44401194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2.1835629909846701</v>
      </c>
      <c r="I185" s="35">
        <v>8.4947917000000123E-2</v>
      </c>
      <c r="J185" s="35">
        <v>8.4947917000000081E-2</v>
      </c>
      <c r="K185" s="70">
        <v>84947917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0.89662897919593998</v>
      </c>
      <c r="I186" s="35">
        <v>3.2505662000000012E-2</v>
      </c>
      <c r="J186" s="35">
        <v>3.2505661999999998E-2</v>
      </c>
      <c r="K186" s="70">
        <v>32505661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1.16513608784401</v>
      </c>
      <c r="I187" s="35">
        <v>7.6061461999999844E-2</v>
      </c>
      <c r="J187" s="35">
        <v>7.6061461999999816E-2</v>
      </c>
      <c r="K187" s="70">
        <v>76061463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0.492131359222853</v>
      </c>
      <c r="I188" s="35">
        <v>2.7838105000000016E-2</v>
      </c>
      <c r="J188" s="35">
        <v>2.7838105000000002E-2</v>
      </c>
      <c r="K188" s="70">
        <v>27838104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0.90821405321525595</v>
      </c>
      <c r="I189" s="35">
        <v>4.4588486000000011E-2</v>
      </c>
      <c r="J189" s="35">
        <v>4.458848599999999E-2</v>
      </c>
      <c r="K189" s="70">
        <v>44588485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0.54626995595036298</v>
      </c>
      <c r="I190" s="35">
        <v>2.3313443E-2</v>
      </c>
      <c r="J190" s="35">
        <v>2.3313442999999989E-2</v>
      </c>
      <c r="K190" s="70">
        <v>23313443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0.72236065804023397</v>
      </c>
      <c r="I191" s="35">
        <v>2.6669155999999992E-2</v>
      </c>
      <c r="J191" s="35">
        <v>2.6669155999999982E-2</v>
      </c>
      <c r="K191" s="70">
        <v>26669156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4.55947189475345E-3</v>
      </c>
      <c r="I192" s="35">
        <v>3.345480000000001E-4</v>
      </c>
      <c r="J192" s="35">
        <v>3.3454799999999994E-4</v>
      </c>
      <c r="K192" s="70">
        <v>334549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5.1598868903890097E-3</v>
      </c>
      <c r="I193" s="35">
        <v>2.7331200000000022E-4</v>
      </c>
      <c r="J193" s="35">
        <v>2.7331200000000011E-4</v>
      </c>
      <c r="K193" s="70">
        <v>273312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5.9002001053081003E-3</v>
      </c>
      <c r="I194" s="35">
        <v>2.3108400000000013E-4</v>
      </c>
      <c r="J194" s="35">
        <v>2.3108400000000003E-4</v>
      </c>
      <c r="K194" s="70">
        <v>231084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6.8163446714452599E-3</v>
      </c>
      <c r="I195" s="35">
        <v>2.0011699999999995E-4</v>
      </c>
      <c r="J195" s="35">
        <v>2.0011699999999987E-4</v>
      </c>
      <c r="K195" s="70">
        <v>200118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7.9177924043479404E-3</v>
      </c>
      <c r="I196" s="35">
        <v>1.7650100000000005E-4</v>
      </c>
      <c r="J196" s="35">
        <v>1.7650099999999997E-4</v>
      </c>
      <c r="K196" s="70">
        <v>176501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9.0919069507215608E-3</v>
      </c>
      <c r="I197" s="35">
        <v>1.5783500000000002E-4</v>
      </c>
      <c r="J197" s="35">
        <v>1.5783499999999994E-4</v>
      </c>
      <c r="K197" s="70">
        <v>157835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1.04247918338793E-2</v>
      </c>
      <c r="I198" s="35">
        <v>1.4279399999999934E-4</v>
      </c>
      <c r="J198" s="35">
        <v>1.4279399999999928E-4</v>
      </c>
      <c r="K198" s="70">
        <v>142794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1.19684751584833E-2</v>
      </c>
      <c r="I199" s="35">
        <v>1.3032000000000015E-4</v>
      </c>
      <c r="J199" s="35">
        <v>1.3032000000000009E-4</v>
      </c>
      <c r="K199" s="70">
        <v>130319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1.37370615285487E-2</v>
      </c>
      <c r="I200" s="35">
        <v>1.1989399999999966E-4</v>
      </c>
      <c r="J200" s="35">
        <v>1.1989399999999961E-4</v>
      </c>
      <c r="K200" s="70">
        <v>119894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1.5685689017473001E-2</v>
      </c>
      <c r="I201" s="35">
        <v>1.1097400000000013E-4</v>
      </c>
      <c r="J201" s="35">
        <v>1.1097400000000008E-4</v>
      </c>
      <c r="K201" s="70">
        <v>110974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1.7679147796678601E-2</v>
      </c>
      <c r="I202" s="35">
        <v>1.033010000000002E-4</v>
      </c>
      <c r="J202" s="35">
        <v>1.0330100000000015E-4</v>
      </c>
      <c r="K202" s="70">
        <v>103301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1.9972428950290898E-2</v>
      </c>
      <c r="I203" s="35">
        <v>9.6637999999999843E-5</v>
      </c>
      <c r="J203" s="35">
        <v>9.6637999999999802E-5</v>
      </c>
      <c r="K203" s="70">
        <v>96638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2.2450223931108799E-2</v>
      </c>
      <c r="I204" s="35">
        <v>9.0768999999999862E-5</v>
      </c>
      <c r="J204" s="35">
        <v>9.0768999999999822E-5</v>
      </c>
      <c r="K204" s="70">
        <v>90771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2.5347606984761899E-2</v>
      </c>
      <c r="I205" s="35">
        <v>8.5580999999999979E-5</v>
      </c>
      <c r="J205" s="35">
        <v>8.5580999999999938E-5</v>
      </c>
      <c r="K205" s="71">
        <v>85581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2.8167786015566701E-2</v>
      </c>
      <c r="I206" s="35">
        <v>8.0940999999999942E-5</v>
      </c>
      <c r="J206" s="35">
        <v>8.0940999999999901E-5</v>
      </c>
      <c r="K206" s="71">
        <v>80942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3.1607482231927497E-2</v>
      </c>
      <c r="I207" s="35">
        <v>7.6794999999999904E-5</v>
      </c>
      <c r="J207" s="35">
        <v>7.6794999999999864E-5</v>
      </c>
      <c r="K207" s="71">
        <v>76795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3.6452304450386198E-3</v>
      </c>
      <c r="I208" s="35">
        <v>5.6988999999999965E-5</v>
      </c>
      <c r="J208" s="35">
        <v>5.6988999999999938E-5</v>
      </c>
      <c r="K208" s="71">
        <v>56990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3.3198652324403402E-2</v>
      </c>
      <c r="I209" s="35">
        <v>6.3224999999999965E-5</v>
      </c>
      <c r="J209" s="35">
        <v>6.3224999999999938E-5</v>
      </c>
      <c r="K209" s="71">
        <v>93220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A55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>
        <f>LOOKUP(2,1/(K86:K149&lt;&gt;0),P15:P78)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733362426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147073504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43093495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19740550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12108868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7862117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6066338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3265440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3661421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2962011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1920529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10160353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4355288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2430625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2344760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107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3590649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3621199650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2026-09-18T08:51:40Z</dcterms:modified>
</cp:coreProperties>
</file>