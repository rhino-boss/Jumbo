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8_雷神爆金\文件\"/>
    </mc:Choice>
  </mc:AlternateContent>
  <xr:revisionPtr revIDLastSave="0" documentId="13_ncr:1_{78AAAB5E-46E7-407F-BA9C-68281FAC0B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腳本表_92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7" i="1" l="1"/>
  <c r="D26" i="1"/>
  <c r="D25" i="1"/>
  <c r="D24" i="1"/>
  <c r="D23" i="1"/>
  <c r="D22" i="1"/>
  <c r="D21" i="1"/>
  <c r="D20" i="1"/>
  <c r="D19" i="1"/>
  <c r="D33" i="1"/>
  <c r="D32" i="1"/>
  <c r="D31" i="1"/>
  <c r="D49" i="1"/>
  <c r="D48" i="1"/>
  <c r="D47" i="1"/>
  <c r="D46" i="1"/>
  <c r="D45" i="1"/>
  <c r="D44" i="1"/>
  <c r="D43" i="1"/>
  <c r="D42" i="1"/>
  <c r="D41" i="1"/>
  <c r="D40" i="1"/>
  <c r="D30" i="1"/>
  <c r="D29" i="1"/>
  <c r="D28" i="1"/>
  <c r="D18" i="1"/>
  <c r="D17" i="1"/>
  <c r="D16" i="1"/>
  <c r="D9" i="1"/>
  <c r="D8" i="1"/>
  <c r="D7" i="1"/>
  <c r="D6" i="1"/>
  <c r="H33" i="1" l="1"/>
  <c r="H30" i="1"/>
  <c r="H48" i="1" a="1"/>
  <c r="H48" i="1" s="1"/>
  <c r="H49" i="1" s="1"/>
  <c r="H1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<sst xmlns="http://schemas.openxmlformats.org/spreadsheetml/2006/main" count="105" uniqueCount="77">
  <si>
    <t>RNG</t>
  </si>
  <si>
    <t>Multi</t>
  </si>
  <si>
    <t>RTP</t>
  </si>
  <si>
    <t>Buy Feature A1</t>
  </si>
  <si>
    <t>Buy Feature A2</t>
  </si>
  <si>
    <t>Buy Feature A3</t>
  </si>
  <si>
    <t>Buy Feature B1</t>
  </si>
  <si>
    <t>Buy Feature B2</t>
  </si>
  <si>
    <t>Buy Feature B3</t>
  </si>
  <si>
    <r>
      <t xml:space="preserve">H028 </t>
    </r>
    <r>
      <rPr>
        <b/>
        <sz val="12"/>
        <rFont val="微軟正黑體"/>
        <family val="2"/>
        <charset val="136"/>
      </rPr>
      <t>雷神爆金</t>
    </r>
    <r>
      <rPr>
        <b/>
        <sz val="12"/>
        <rFont val="Courier New"/>
        <family val="3"/>
      </rPr>
      <t>1000</t>
    </r>
    <r>
      <rPr>
        <b/>
        <sz val="12"/>
        <rFont val="微軟正黑體"/>
        <family val="2"/>
        <charset val="136"/>
      </rPr>
      <t>（</t>
    </r>
    <r>
      <rPr>
        <b/>
        <sz val="12"/>
        <rFont val="Courier New"/>
        <family val="3"/>
      </rPr>
      <t>101016</t>
    </r>
    <r>
      <rPr>
        <b/>
        <sz val="12"/>
        <rFont val="微軟正黑體"/>
        <family val="2"/>
        <charset val="136"/>
      </rPr>
      <t>）表演腳本表</t>
    </r>
    <r>
      <rPr>
        <b/>
        <sz val="12"/>
        <rFont val="Courier New"/>
        <family val="3"/>
      </rPr>
      <t xml:space="preserve"> — 92A </t>
    </r>
    <r>
      <rPr>
        <b/>
        <sz val="12"/>
        <rFont val="微軟正黑體"/>
        <family val="2"/>
        <charset val="136"/>
      </rPr>
      <t>版（待填）</t>
    </r>
  </si>
  <si>
    <r>
      <rPr>
        <sz val="12"/>
        <color rgb="FF7F7F00"/>
        <rFont val="微軟正黑體"/>
        <family val="2"/>
        <charset val="136"/>
      </rPr>
      <t>版本</t>
    </r>
    <r>
      <rPr>
        <sz val="12"/>
        <color rgb="FF7F7F00"/>
        <rFont val="Courier New"/>
        <family val="3"/>
      </rPr>
      <t xml:space="preserve"> 3.5.0.0</t>
    </r>
    <r>
      <rPr>
        <sz val="12"/>
        <color rgb="FF7F7F00"/>
        <rFont val="微軟正黑體"/>
        <family val="2"/>
        <charset val="136"/>
      </rPr>
      <t>｜依《專案需知／腳本規範》｜</t>
    </r>
    <r>
      <rPr>
        <sz val="12"/>
        <color rgb="FF7F7F00"/>
        <rFont val="Courier New"/>
        <family val="3"/>
      </rPr>
      <t xml:space="preserve">RNG </t>
    </r>
    <r>
      <rPr>
        <sz val="12"/>
        <color rgb="FF7F7F00"/>
        <rFont val="微軟正黑體"/>
        <family val="2"/>
        <charset val="136"/>
      </rPr>
      <t>錄好後必須在</t>
    </r>
    <r>
      <rPr>
        <sz val="12"/>
        <color rgb="FF7F7F00"/>
        <rFont val="Courier New"/>
        <family val="3"/>
      </rPr>
      <t xml:space="preserve"> 92A </t>
    </r>
    <r>
      <rPr>
        <sz val="12"/>
        <color rgb="FF7F7F00"/>
        <rFont val="微軟正黑體"/>
        <family val="2"/>
        <charset val="136"/>
      </rPr>
      <t>正式</t>
    </r>
    <r>
      <rPr>
        <sz val="12"/>
        <color rgb="FF7F7F00"/>
        <rFont val="Courier New"/>
        <family val="3"/>
      </rPr>
      <t xml:space="preserve"> Config </t>
    </r>
    <r>
      <rPr>
        <sz val="12"/>
        <color rgb="FF7F7F00"/>
        <rFont val="微軟正黑體"/>
        <family val="2"/>
        <charset val="136"/>
      </rPr>
      <t>重放驗證，得分＝表列</t>
    </r>
    <r>
      <rPr>
        <sz val="12"/>
        <color rgb="FF7F7F00"/>
        <rFont val="Courier New"/>
        <family val="3"/>
      </rPr>
      <t xml:space="preserve"> Multi</t>
    </r>
  </si>
  <si>
    <r>
      <rPr>
        <b/>
        <sz val="12"/>
        <rFont val="微軟正黑體"/>
        <family val="2"/>
        <charset val="136"/>
      </rPr>
      <t>一、新手體驗</t>
    </r>
  </si>
  <si>
    <r>
      <rPr>
        <b/>
        <sz val="12"/>
        <rFont val="微軟正黑體"/>
        <family val="2"/>
        <charset val="136"/>
      </rPr>
      <t>腳本</t>
    </r>
  </si>
  <si>
    <r>
      <rPr>
        <b/>
        <sz val="12"/>
        <rFont val="微軟正黑體"/>
        <family val="2"/>
        <charset val="136"/>
      </rPr>
      <t>抽選權重</t>
    </r>
  </si>
  <si>
    <r>
      <rPr>
        <b/>
        <sz val="12"/>
        <rFont val="微軟正黑體"/>
        <family val="2"/>
        <charset val="136"/>
      </rPr>
      <t>押注</t>
    </r>
  </si>
  <si>
    <r>
      <rPr>
        <sz val="12"/>
        <color theme="1"/>
        <rFont val="微軟正黑體"/>
        <family val="2"/>
        <charset val="136"/>
      </rPr>
      <t>新手體驗</t>
    </r>
    <r>
      <rPr>
        <sz val="12"/>
        <color theme="1"/>
        <rFont val="Courier New"/>
        <family val="3"/>
      </rPr>
      <t xml:space="preserve"> NB Free Game A</t>
    </r>
  </si>
  <si>
    <r>
      <rPr>
        <sz val="12"/>
        <color theme="1"/>
        <rFont val="微軟正黑體"/>
        <family val="2"/>
        <charset val="136"/>
      </rPr>
      <t>新手體驗</t>
    </r>
    <r>
      <rPr>
        <sz val="12"/>
        <color theme="1"/>
        <rFont val="Courier New"/>
        <family val="3"/>
      </rPr>
      <t xml:space="preserve"> NB Free Game B</t>
    </r>
  </si>
  <si>
    <r>
      <rPr>
        <sz val="12"/>
        <color theme="1"/>
        <rFont val="微軟正黑體"/>
        <family val="2"/>
        <charset val="136"/>
      </rPr>
      <t>新手體驗</t>
    </r>
    <r>
      <rPr>
        <sz val="12"/>
        <color theme="1"/>
        <rFont val="Courier New"/>
        <family val="3"/>
      </rPr>
      <t xml:space="preserve"> NB Jackpot Game A</t>
    </r>
  </si>
  <si>
    <r>
      <rPr>
        <sz val="12"/>
        <color theme="1"/>
        <rFont val="微軟正黑體"/>
        <family val="2"/>
        <charset val="136"/>
      </rPr>
      <t>新手體驗</t>
    </r>
    <r>
      <rPr>
        <sz val="12"/>
        <color theme="1"/>
        <rFont val="Courier New"/>
        <family val="3"/>
      </rPr>
      <t xml:space="preserve"> NB Jackpot Game B</t>
    </r>
  </si>
  <si>
    <r>
      <t xml:space="preserve">• </t>
    </r>
    <r>
      <rPr>
        <sz val="12"/>
        <color rgb="FF7F7F00"/>
        <rFont val="微軟正黑體"/>
        <family val="2"/>
        <charset val="136"/>
      </rPr>
      <t>抽選權重與押注固定＝</t>
    </r>
    <r>
      <rPr>
        <sz val="12"/>
        <color rgb="FF7F7F00"/>
        <rFont val="Courier New"/>
        <family val="3"/>
      </rPr>
      <t>1</t>
    </r>
    <r>
      <rPr>
        <sz val="12"/>
        <color rgb="FF7F7F00"/>
        <rFont val="微軟正黑體"/>
        <family val="2"/>
        <charset val="136"/>
      </rPr>
      <t>；</t>
    </r>
    <r>
      <rPr>
        <sz val="12"/>
        <color rgb="FF7F7F00"/>
        <rFont val="Courier New"/>
        <family val="3"/>
      </rPr>
      <t>RTP</t>
    </r>
    <r>
      <rPr>
        <sz val="12"/>
        <color rgb="FF7F7F00"/>
        <rFont val="微軟正黑體"/>
        <family val="2"/>
        <charset val="136"/>
      </rPr>
      <t>＝</t>
    </r>
    <r>
      <rPr>
        <sz val="12"/>
        <color rgb="FF7F7F00"/>
        <rFont val="Courier New"/>
        <family val="3"/>
      </rPr>
      <t>Multi×100%</t>
    </r>
    <r>
      <rPr>
        <sz val="12"/>
        <color rgb="FF7F7F00"/>
        <rFont val="微軟正黑體"/>
        <family val="2"/>
        <charset val="136"/>
      </rPr>
      <t>。</t>
    </r>
  </si>
  <si>
    <r>
      <t xml:space="preserve">• Free Game </t>
    </r>
    <r>
      <rPr>
        <sz val="12"/>
        <color rgb="FF7F7F00"/>
        <rFont val="微軟正黑體"/>
        <family val="2"/>
        <charset val="136"/>
      </rPr>
      <t>體驗＝觸發</t>
    </r>
    <r>
      <rPr>
        <sz val="12"/>
        <color rgb="FF7F7F00"/>
        <rFont val="Courier New"/>
        <family val="3"/>
      </rPr>
      <t xml:space="preserve"> 4 SC </t>
    </r>
    <r>
      <rPr>
        <sz val="12"/>
        <color rgb="FF7F7F00"/>
        <rFont val="微軟正黑體"/>
        <family val="2"/>
        <charset val="136"/>
      </rPr>
      <t>進</t>
    </r>
    <r>
      <rPr>
        <sz val="12"/>
        <color rgb="FF7F7F00"/>
        <rFont val="Courier New"/>
        <family val="3"/>
      </rPr>
      <t xml:space="preserve"> FG</t>
    </r>
    <r>
      <rPr>
        <sz val="12"/>
        <color rgb="FF7F7F00"/>
        <rFont val="微軟正黑體"/>
        <family val="2"/>
        <charset val="136"/>
      </rPr>
      <t>（</t>
    </r>
    <r>
      <rPr>
        <sz val="12"/>
        <color rgb="FF7F7F00"/>
        <rFont val="Courier New"/>
        <family val="3"/>
      </rPr>
      <t xml:space="preserve">10 </t>
    </r>
    <r>
      <rPr>
        <sz val="12"/>
        <color rgb="FF7F7F00"/>
        <rFont val="微軟正黑體"/>
        <family val="2"/>
        <charset val="136"/>
      </rPr>
      <t>把）完整表演；</t>
    </r>
    <r>
      <rPr>
        <sz val="12"/>
        <color rgb="FF7F7F00"/>
        <rFont val="Courier New"/>
        <family val="3"/>
      </rPr>
      <t xml:space="preserve">Jackpot Game </t>
    </r>
    <r>
      <rPr>
        <sz val="12"/>
        <color rgb="FF7F7F00"/>
        <rFont val="微軟正黑體"/>
        <family val="2"/>
        <charset val="136"/>
      </rPr>
      <t>體驗＝</t>
    </r>
    <r>
      <rPr>
        <sz val="12"/>
        <color rgb="FF7F7F00"/>
        <rFont val="Courier New"/>
        <family val="3"/>
      </rPr>
      <t xml:space="preserve">OP JP 12 </t>
    </r>
    <r>
      <rPr>
        <sz val="12"/>
        <color rgb="FF7F7F00"/>
        <rFont val="微軟正黑體"/>
        <family val="2"/>
        <charset val="136"/>
      </rPr>
      <t>選</t>
    </r>
    <r>
      <rPr>
        <sz val="12"/>
        <color rgb="FF7F7F00"/>
        <rFont val="Courier New"/>
        <family val="3"/>
      </rPr>
      <t xml:space="preserve"> 3 </t>
    </r>
    <r>
      <rPr>
        <sz val="12"/>
        <color rgb="FF7F7F00"/>
        <rFont val="微軟正黑體"/>
        <family val="2"/>
        <charset val="136"/>
      </rPr>
      <t>表演。</t>
    </r>
  </si>
  <si>
    <r>
      <t xml:space="preserve">• H028 </t>
    </r>
    <r>
      <rPr>
        <sz val="12"/>
        <color rgb="FF7F7F00"/>
        <rFont val="微軟正黑體"/>
        <family val="2"/>
        <charset val="136"/>
      </rPr>
      <t>無</t>
    </r>
    <r>
      <rPr>
        <sz val="12"/>
        <color rgb="FF7F7F00"/>
        <rFont val="Courier New"/>
        <family val="3"/>
      </rPr>
      <t xml:space="preserve"> Extra Bet</t>
    </r>
    <r>
      <rPr>
        <sz val="12"/>
        <color rgb="FF7F7F00"/>
        <rFont val="微軟正黑體"/>
        <family val="2"/>
        <charset val="136"/>
      </rPr>
      <t>，不建立</t>
    </r>
    <r>
      <rPr>
        <sz val="12"/>
        <color rgb="FF7F7F00"/>
        <rFont val="Courier New"/>
        <family val="3"/>
      </rPr>
      <t xml:space="preserve"> EB </t>
    </r>
    <r>
      <rPr>
        <sz val="12"/>
        <color rgb="FF7F7F00"/>
        <rFont val="微軟正黑體"/>
        <family val="2"/>
        <charset val="136"/>
      </rPr>
      <t>系列；新手體驗不含</t>
    </r>
    <r>
      <rPr>
        <sz val="12"/>
        <color rgb="FF7F7F00"/>
        <rFont val="Courier New"/>
        <family val="3"/>
      </rPr>
      <t xml:space="preserve"> BF</t>
    </r>
    <r>
      <rPr>
        <sz val="12"/>
        <color rgb="FF7F7F00"/>
        <rFont val="微軟正黑體"/>
        <family val="2"/>
        <charset val="136"/>
      </rPr>
      <t>。</t>
    </r>
  </si>
  <si>
    <r>
      <rPr>
        <b/>
        <sz val="12"/>
        <rFont val="微軟正黑體"/>
        <family val="2"/>
        <charset val="136"/>
      </rPr>
      <t>二、</t>
    </r>
    <r>
      <rPr>
        <b/>
        <sz val="12"/>
        <rFont val="Courier New"/>
        <family val="3"/>
      </rPr>
      <t>Buy Feature</t>
    </r>
    <r>
      <rPr>
        <b/>
        <sz val="12"/>
        <rFont val="微軟正黑體"/>
        <family val="2"/>
        <charset val="136"/>
      </rPr>
      <t>（押注</t>
    </r>
    <r>
      <rPr>
        <b/>
        <sz val="12"/>
        <rFont val="Courier New"/>
        <family val="3"/>
      </rPr>
      <t xml:space="preserve"> 75</t>
    </r>
    <r>
      <rPr>
        <b/>
        <sz val="12"/>
        <rFont val="微軟正黑體"/>
        <family val="2"/>
        <charset val="136"/>
      </rPr>
      <t>）</t>
    </r>
  </si>
  <si>
    <r>
      <t xml:space="preserve">• </t>
    </r>
    <r>
      <rPr>
        <sz val="12"/>
        <color rgb="FF7F7F00"/>
        <rFont val="微軟正黑體"/>
        <family val="2"/>
        <charset val="136"/>
      </rPr>
      <t>三檔＝高／中／低</t>
    </r>
    <r>
      <rPr>
        <sz val="12"/>
        <color rgb="FF7F7F00"/>
        <rFont val="Courier New"/>
        <family val="3"/>
      </rPr>
      <t xml:space="preserve"> RTP</t>
    </r>
    <r>
      <rPr>
        <sz val="12"/>
        <color rgb="FF7F7F00"/>
        <rFont val="微軟正黑體"/>
        <family val="2"/>
        <charset val="136"/>
      </rPr>
      <t>；權重必須滿足</t>
    </r>
    <r>
      <rPr>
        <sz val="12"/>
        <color rgb="FF7F7F00"/>
        <rFont val="Courier New"/>
        <family val="3"/>
      </rPr>
      <t xml:space="preserve"> Σ(RTP×</t>
    </r>
    <r>
      <rPr>
        <sz val="12"/>
        <color rgb="FF7F7F00"/>
        <rFont val="微軟正黑體"/>
        <family val="2"/>
        <charset val="136"/>
      </rPr>
      <t>權重</t>
    </r>
    <r>
      <rPr>
        <sz val="12"/>
        <color rgb="FF7F7F00"/>
        <rFont val="Courier New"/>
        <family val="3"/>
      </rPr>
      <t>)÷Σ(</t>
    </r>
    <r>
      <rPr>
        <sz val="12"/>
        <color rgb="FF7F7F00"/>
        <rFont val="微軟正黑體"/>
        <family val="2"/>
        <charset val="136"/>
      </rPr>
      <t>權重</t>
    </r>
    <r>
      <rPr>
        <sz val="12"/>
        <color rgb="FF7F7F00"/>
        <rFont val="Courier New"/>
        <family val="3"/>
      </rPr>
      <t>)</t>
    </r>
    <r>
      <rPr>
        <sz val="12"/>
        <color rgb="FF7F7F00"/>
        <rFont val="微軟正黑體"/>
        <family val="2"/>
        <charset val="136"/>
      </rPr>
      <t>＝</t>
    </r>
    <r>
      <rPr>
        <sz val="12"/>
        <color rgb="FF7F7F00"/>
        <rFont val="Courier New"/>
        <family val="3"/>
      </rPr>
      <t>96.00%</t>
    </r>
    <r>
      <rPr>
        <sz val="12"/>
        <color rgb="FF7F7F00"/>
        <rFont val="微軟正黑體"/>
        <family val="2"/>
        <charset val="136"/>
      </rPr>
      <t>（驗算到小數</t>
    </r>
    <r>
      <rPr>
        <sz val="12"/>
        <color rgb="FF7F7F00"/>
        <rFont val="Courier New"/>
        <family val="3"/>
      </rPr>
      <t xml:space="preserve"> 2 </t>
    </r>
    <r>
      <rPr>
        <sz val="12"/>
        <color rgb="FF7F7F00"/>
        <rFont val="微軟正黑體"/>
        <family val="2"/>
        <charset val="136"/>
      </rPr>
      <t>位）。</t>
    </r>
  </si>
  <si>
    <r>
      <t>• RTP</t>
    </r>
    <r>
      <rPr>
        <sz val="12"/>
        <color rgb="FF7F7F00"/>
        <rFont val="微軟正黑體"/>
        <family val="2"/>
        <charset val="136"/>
      </rPr>
      <t>＝</t>
    </r>
    <r>
      <rPr>
        <sz val="12"/>
        <color rgb="FF7F7F00"/>
        <rFont val="Courier New"/>
        <family val="3"/>
      </rPr>
      <t>Multi÷75×100%</t>
    </r>
    <r>
      <rPr>
        <sz val="12"/>
        <color rgb="FF7F7F00"/>
        <rFont val="微軟正黑體"/>
        <family val="2"/>
        <charset val="136"/>
      </rPr>
      <t>；</t>
    </r>
    <r>
      <rPr>
        <sz val="12"/>
        <color rgb="FF7F7F00"/>
        <rFont val="Courier New"/>
        <family val="3"/>
      </rPr>
      <t>A</t>
    </r>
    <r>
      <rPr>
        <sz val="12"/>
        <color rgb="FF7F7F00"/>
        <rFont val="微軟正黑體"/>
        <family val="2"/>
        <charset val="136"/>
      </rPr>
      <t>／</t>
    </r>
    <r>
      <rPr>
        <sz val="12"/>
        <color rgb="FF7F7F00"/>
        <rFont val="Courier New"/>
        <family val="3"/>
      </rPr>
      <t xml:space="preserve">B </t>
    </r>
    <r>
      <rPr>
        <sz val="12"/>
        <color rgb="FF7F7F00"/>
        <rFont val="微軟正黑體"/>
        <family val="2"/>
        <charset val="136"/>
      </rPr>
      <t>兩組為表演變化：先等權重抽</t>
    </r>
    <r>
      <rPr>
        <sz val="12"/>
        <color rgb="FF7F7F00"/>
        <rFont val="Courier New"/>
        <family val="3"/>
      </rPr>
      <t xml:space="preserve"> A/B</t>
    </r>
    <r>
      <rPr>
        <sz val="12"/>
        <color rgb="FF7F7F00"/>
        <rFont val="微軟正黑體"/>
        <family val="2"/>
        <charset val="136"/>
      </rPr>
      <t>，再依權重抽</t>
    </r>
    <r>
      <rPr>
        <sz val="12"/>
        <color rgb="FF7F7F00"/>
        <rFont val="Courier New"/>
        <family val="3"/>
      </rPr>
      <t xml:space="preserve"> 1</t>
    </r>
    <r>
      <rPr>
        <sz val="12"/>
        <color rgb="FF7F7F00"/>
        <rFont val="微軟正黑體"/>
        <family val="2"/>
        <charset val="136"/>
      </rPr>
      <t>～</t>
    </r>
    <r>
      <rPr>
        <sz val="12"/>
        <color rgb="FF7F7F00"/>
        <rFont val="Courier New"/>
        <family val="3"/>
      </rPr>
      <t>3</t>
    </r>
    <r>
      <rPr>
        <sz val="12"/>
        <color rgb="FF7F7F00"/>
        <rFont val="微軟正黑體"/>
        <family val="2"/>
        <charset val="136"/>
      </rPr>
      <t>。</t>
    </r>
  </si>
  <si>
    <r>
      <t xml:space="preserve">• </t>
    </r>
    <r>
      <rPr>
        <sz val="12"/>
        <color rgb="FF7F7F00"/>
        <rFont val="微軟正黑體"/>
        <family val="2"/>
        <charset val="136"/>
      </rPr>
      <t>前作參考：</t>
    </r>
    <r>
      <rPr>
        <sz val="12"/>
        <color rgb="FF7F7F00"/>
        <rFont val="Courier New"/>
        <family val="3"/>
      </rPr>
      <t>105.67%</t>
    </r>
    <r>
      <rPr>
        <sz val="12"/>
        <color rgb="FF7F7F00"/>
        <rFont val="微軟正黑體"/>
        <family val="2"/>
        <charset val="136"/>
      </rPr>
      <t>／</t>
    </r>
    <r>
      <rPr>
        <sz val="12"/>
        <color rgb="FF7F7F00"/>
        <rFont val="Courier New"/>
        <family val="3"/>
      </rPr>
      <t>88.80%</t>
    </r>
    <r>
      <rPr>
        <sz val="12"/>
        <color rgb="FF7F7F00"/>
        <rFont val="微軟正黑體"/>
        <family val="2"/>
        <charset val="136"/>
      </rPr>
      <t>／</t>
    </r>
    <r>
      <rPr>
        <sz val="12"/>
        <color rgb="FF7F7F00"/>
        <rFont val="Courier New"/>
        <family val="3"/>
      </rPr>
      <t>81.53%</t>
    </r>
    <r>
      <rPr>
        <sz val="12"/>
        <color rgb="FF7F7F00"/>
        <rFont val="微軟正黑體"/>
        <family val="2"/>
        <charset val="136"/>
      </rPr>
      <t>，權重</t>
    </r>
    <r>
      <rPr>
        <sz val="12"/>
        <color rgb="FF7F7F00"/>
        <rFont val="Courier New"/>
        <family val="3"/>
      </rPr>
      <t xml:space="preserve"> 800</t>
    </r>
    <r>
      <rPr>
        <sz val="12"/>
        <color rgb="FF7F7F00"/>
        <rFont val="微軟正黑體"/>
        <family val="2"/>
        <charset val="136"/>
      </rPr>
      <t>／</t>
    </r>
    <r>
      <rPr>
        <sz val="12"/>
        <color rgb="FF7F7F00"/>
        <rFont val="Courier New"/>
        <family val="3"/>
      </rPr>
      <t>200</t>
    </r>
    <r>
      <rPr>
        <sz val="12"/>
        <color rgb="FF7F7F00"/>
        <rFont val="微軟正黑體"/>
        <family val="2"/>
        <charset val="136"/>
      </rPr>
      <t>／</t>
    </r>
    <r>
      <rPr>
        <sz val="12"/>
        <color rgb="FF7F7F00"/>
        <rFont val="Courier New"/>
        <family val="3"/>
      </rPr>
      <t xml:space="preserve">435 </t>
    </r>
    <r>
      <rPr>
        <sz val="12"/>
        <color rgb="FF7F7F00"/>
        <rFont val="微軟正黑體"/>
        <family val="2"/>
        <charset val="136"/>
      </rPr>
      <t>→</t>
    </r>
    <r>
      <rPr>
        <sz val="12"/>
        <color rgb="FF7F7F00"/>
        <rFont val="Courier New"/>
        <family val="3"/>
      </rPr>
      <t xml:space="preserve"> </t>
    </r>
    <r>
      <rPr>
        <sz val="12"/>
        <color rgb="FF7F7F00"/>
        <rFont val="微軟正黑體"/>
        <family val="2"/>
        <charset val="136"/>
      </rPr>
      <t>加權</t>
    </r>
    <r>
      <rPr>
        <sz val="12"/>
        <color rgb="FF7F7F00"/>
        <rFont val="Courier New"/>
        <family val="3"/>
      </rPr>
      <t xml:space="preserve"> 96.00%</t>
    </r>
    <r>
      <rPr>
        <sz val="12"/>
        <color rgb="FF7F7F00"/>
        <rFont val="微軟正黑體"/>
        <family val="2"/>
        <charset val="136"/>
      </rPr>
      <t>。</t>
    </r>
  </si>
  <si>
    <r>
      <rPr>
        <b/>
        <sz val="12"/>
        <rFont val="微軟正黑體"/>
        <family val="2"/>
        <charset val="136"/>
      </rPr>
      <t>三、新手</t>
    </r>
    <r>
      <rPr>
        <b/>
        <sz val="12"/>
        <rFont val="Courier New"/>
        <family val="3"/>
      </rPr>
      <t xml:space="preserve"> NB Free Spin </t>
    </r>
    <r>
      <rPr>
        <b/>
        <sz val="12"/>
        <rFont val="微軟正黑體"/>
        <family val="2"/>
        <charset val="136"/>
      </rPr>
      <t>系統（</t>
    </r>
    <r>
      <rPr>
        <b/>
        <sz val="12"/>
        <rFont val="Courier New"/>
        <family val="3"/>
      </rPr>
      <t xml:space="preserve">FG 10 </t>
    </r>
    <r>
      <rPr>
        <b/>
        <sz val="12"/>
        <rFont val="微軟正黑體"/>
        <family val="2"/>
        <charset val="136"/>
      </rPr>
      <t>把）</t>
    </r>
  </si>
  <si>
    <r>
      <t xml:space="preserve">Free Spin 9x </t>
    </r>
    <r>
      <rPr>
        <sz val="12"/>
        <color theme="1"/>
        <rFont val="微軟正黑體"/>
        <family val="2"/>
        <charset val="136"/>
      </rPr>
      <t>選項</t>
    </r>
    <r>
      <rPr>
        <sz val="12"/>
        <color theme="1"/>
        <rFont val="Courier New"/>
        <family val="3"/>
      </rPr>
      <t>1</t>
    </r>
  </si>
  <si>
    <r>
      <t xml:space="preserve">Free Spin 9x </t>
    </r>
    <r>
      <rPr>
        <sz val="12"/>
        <color theme="1"/>
        <rFont val="微軟正黑體"/>
        <family val="2"/>
        <charset val="136"/>
      </rPr>
      <t>選項</t>
    </r>
    <r>
      <rPr>
        <sz val="12"/>
        <color theme="1"/>
        <rFont val="Courier New"/>
        <family val="3"/>
      </rPr>
      <t>2</t>
    </r>
  </si>
  <si>
    <r>
      <t xml:space="preserve">Free Spin 9x </t>
    </r>
    <r>
      <rPr>
        <sz val="12"/>
        <color theme="1"/>
        <rFont val="微軟正黑體"/>
        <family val="2"/>
        <charset val="136"/>
      </rPr>
      <t>選項</t>
    </r>
    <r>
      <rPr>
        <sz val="12"/>
        <color theme="1"/>
        <rFont val="Courier New"/>
        <family val="3"/>
      </rPr>
      <t>3</t>
    </r>
  </si>
  <si>
    <r>
      <t xml:space="preserve">Free Spin 9x </t>
    </r>
    <r>
      <rPr>
        <sz val="12"/>
        <color theme="1"/>
        <rFont val="微軟正黑體"/>
        <family val="2"/>
        <charset val="136"/>
      </rPr>
      <t>選項</t>
    </r>
    <r>
      <rPr>
        <sz val="12"/>
        <color theme="1"/>
        <rFont val="Courier New"/>
        <family val="3"/>
      </rPr>
      <t>4</t>
    </r>
  </si>
  <si>
    <r>
      <t xml:space="preserve">Free Spin 9x </t>
    </r>
    <r>
      <rPr>
        <sz val="12"/>
        <color theme="1"/>
        <rFont val="微軟正黑體"/>
        <family val="2"/>
        <charset val="136"/>
      </rPr>
      <t>選項</t>
    </r>
    <r>
      <rPr>
        <sz val="12"/>
        <color theme="1"/>
        <rFont val="Courier New"/>
        <family val="3"/>
      </rPr>
      <t>5</t>
    </r>
  </si>
  <si>
    <r>
      <t xml:space="preserve">Free Spin 9x </t>
    </r>
    <r>
      <rPr>
        <sz val="12"/>
        <color theme="1"/>
        <rFont val="微軟正黑體"/>
        <family val="2"/>
        <charset val="136"/>
      </rPr>
      <t>選項</t>
    </r>
    <r>
      <rPr>
        <sz val="12"/>
        <color theme="1"/>
        <rFont val="Courier New"/>
        <family val="3"/>
      </rPr>
      <t>6</t>
    </r>
  </si>
  <si>
    <r>
      <t xml:space="preserve">Free Spin 9x </t>
    </r>
    <r>
      <rPr>
        <sz val="12"/>
        <color theme="1"/>
        <rFont val="微軟正黑體"/>
        <family val="2"/>
        <charset val="136"/>
      </rPr>
      <t>選項</t>
    </r>
    <r>
      <rPr>
        <sz val="12"/>
        <color theme="1"/>
        <rFont val="Courier New"/>
        <family val="3"/>
      </rPr>
      <t>7</t>
    </r>
  </si>
  <si>
    <r>
      <t xml:space="preserve">Free Spin 9x </t>
    </r>
    <r>
      <rPr>
        <sz val="12"/>
        <color theme="1"/>
        <rFont val="微軟正黑體"/>
        <family val="2"/>
        <charset val="136"/>
      </rPr>
      <t>選項</t>
    </r>
    <r>
      <rPr>
        <sz val="12"/>
        <color theme="1"/>
        <rFont val="Courier New"/>
        <family val="3"/>
      </rPr>
      <t>8</t>
    </r>
  </si>
  <si>
    <r>
      <t xml:space="preserve">Free Spin 9x </t>
    </r>
    <r>
      <rPr>
        <sz val="12"/>
        <color theme="1"/>
        <rFont val="微軟正黑體"/>
        <family val="2"/>
        <charset val="136"/>
      </rPr>
      <t>選項</t>
    </r>
    <r>
      <rPr>
        <sz val="12"/>
        <color theme="1"/>
        <rFont val="Courier New"/>
        <family val="3"/>
      </rPr>
      <t>9</t>
    </r>
  </si>
  <si>
    <r>
      <t xml:space="preserve">Free Spin 9x </t>
    </r>
    <r>
      <rPr>
        <sz val="12"/>
        <color theme="1"/>
        <rFont val="微軟正黑體"/>
        <family val="2"/>
        <charset val="136"/>
      </rPr>
      <t>選項</t>
    </r>
    <r>
      <rPr>
        <sz val="12"/>
        <color theme="1"/>
        <rFont val="Courier New"/>
        <family val="3"/>
      </rPr>
      <t>10</t>
    </r>
  </si>
  <si>
    <r>
      <t xml:space="preserve">• </t>
    </r>
    <r>
      <rPr>
        <sz val="12"/>
        <color rgb="FF7F7F00"/>
        <rFont val="微軟正黑體"/>
        <family val="2"/>
        <charset val="136"/>
      </rPr>
      <t>挑法：整段</t>
    </r>
    <r>
      <rPr>
        <sz val="12"/>
        <color rgb="FF7F7F00"/>
        <rFont val="Courier New"/>
        <family val="3"/>
      </rPr>
      <t xml:space="preserve"> FG 10 </t>
    </r>
    <r>
      <rPr>
        <sz val="12"/>
        <color rgb="FF7F7F00"/>
        <rFont val="微軟正黑體"/>
        <family val="2"/>
        <charset val="136"/>
      </rPr>
      <t>把中，挑一把跑</t>
    </r>
    <r>
      <rPr>
        <sz val="12"/>
        <color rgb="FF7F7F00"/>
        <rFont val="Courier New"/>
        <family val="3"/>
      </rPr>
      <t xml:space="preserve"> 0-1x</t>
    </r>
    <r>
      <rPr>
        <sz val="12"/>
        <color rgb="FF7F7F00"/>
        <rFont val="微軟正黑體"/>
        <family val="2"/>
        <charset val="136"/>
      </rPr>
      <t>、挑一把跑</t>
    </r>
    <r>
      <rPr>
        <sz val="12"/>
        <color rgb="FF7F7F00"/>
        <rFont val="Courier New"/>
        <family val="3"/>
      </rPr>
      <t xml:space="preserve"> 9x</t>
    </r>
    <r>
      <rPr>
        <sz val="12"/>
        <color rgb="FF7F7F00"/>
        <rFont val="微軟正黑體"/>
        <family val="2"/>
        <charset val="136"/>
      </rPr>
      <t>（</t>
    </r>
    <r>
      <rPr>
        <sz val="12"/>
        <color rgb="FF7F7F00"/>
        <rFont val="Courier New"/>
        <family val="3"/>
      </rPr>
      <t xml:space="preserve">10 </t>
    </r>
    <r>
      <rPr>
        <sz val="12"/>
        <color rgb="FF7F7F00"/>
        <rFont val="微軟正黑體"/>
        <family val="2"/>
        <charset val="136"/>
      </rPr>
      <t>支等權重抽一支），其餘</t>
    </r>
    <r>
      <rPr>
        <sz val="12"/>
        <color rgb="FF7F7F00"/>
        <rFont val="Courier New"/>
        <family val="3"/>
      </rPr>
      <t xml:space="preserve"> 8 </t>
    </r>
    <r>
      <rPr>
        <sz val="12"/>
        <color rgb="FF7F7F00"/>
        <rFont val="微軟正黑體"/>
        <family val="2"/>
        <charset val="136"/>
      </rPr>
      <t>把不中獎。</t>
    </r>
  </si>
  <si>
    <r>
      <t xml:space="preserve">• 0-1x </t>
    </r>
    <r>
      <rPr>
        <sz val="12"/>
        <color rgb="FF7F7F00"/>
        <rFont val="微軟正黑體"/>
        <family val="2"/>
        <charset val="136"/>
      </rPr>
      <t>腳本</t>
    </r>
    <r>
      <rPr>
        <sz val="12"/>
        <color rgb="FF7F7F00"/>
        <rFont val="Courier New"/>
        <family val="3"/>
      </rPr>
      <t xml:space="preserve"> Multi </t>
    </r>
    <r>
      <rPr>
        <sz val="12"/>
        <color rgb="FF7F7F00"/>
        <rFont val="微軟正黑體"/>
        <family val="2"/>
        <charset val="136"/>
      </rPr>
      <t>落在</t>
    </r>
    <r>
      <rPr>
        <sz val="12"/>
        <color rgb="FF7F7F00"/>
        <rFont val="Courier New"/>
        <family val="3"/>
      </rPr>
      <t xml:space="preserve"> 0</t>
    </r>
    <r>
      <rPr>
        <sz val="12"/>
        <color rgb="FF7F7F00"/>
        <rFont val="微軟正黑體"/>
        <family val="2"/>
        <charset val="136"/>
      </rPr>
      <t>～</t>
    </r>
    <r>
      <rPr>
        <sz val="12"/>
        <color rgb="FF7F7F00"/>
        <rFont val="Courier New"/>
        <family val="3"/>
      </rPr>
      <t>1x</t>
    </r>
    <r>
      <rPr>
        <sz val="12"/>
        <color rgb="FF7F7F00"/>
        <rFont val="微軟正黑體"/>
        <family val="2"/>
        <charset val="136"/>
      </rPr>
      <t>；</t>
    </r>
    <r>
      <rPr>
        <sz val="12"/>
        <color rgb="FF7F7F00"/>
        <rFont val="Courier New"/>
        <family val="3"/>
      </rPr>
      <t xml:space="preserve">9x </t>
    </r>
    <r>
      <rPr>
        <sz val="12"/>
        <color rgb="FF7F7F00"/>
        <rFont val="微軟正黑體"/>
        <family val="2"/>
        <charset val="136"/>
      </rPr>
      <t>腳本</t>
    </r>
    <r>
      <rPr>
        <sz val="12"/>
        <color rgb="FF7F7F00"/>
        <rFont val="Courier New"/>
        <family val="3"/>
      </rPr>
      <t xml:space="preserve"> Multi </t>
    </r>
    <r>
      <rPr>
        <sz val="12"/>
        <color rgb="FF7F7F00"/>
        <rFont val="微軟正黑體"/>
        <family val="2"/>
        <charset val="136"/>
      </rPr>
      <t>落在</t>
    </r>
    <r>
      <rPr>
        <sz val="12"/>
        <color rgb="FF7F7F00"/>
        <rFont val="Courier New"/>
        <family val="3"/>
      </rPr>
      <t xml:space="preserve"> 9x </t>
    </r>
    <r>
      <rPr>
        <sz val="12"/>
        <color rgb="FF7F7F00"/>
        <rFont val="微軟正黑體"/>
        <family val="2"/>
        <charset val="136"/>
      </rPr>
      <t>帶；權重全部鎖死＝</t>
    </r>
    <r>
      <rPr>
        <sz val="12"/>
        <color rgb="FF7F7F00"/>
        <rFont val="Courier New"/>
        <family val="3"/>
      </rPr>
      <t>1</t>
    </r>
    <r>
      <rPr>
        <sz val="12"/>
        <color rgb="FF7F7F00"/>
        <rFont val="微軟正黑體"/>
        <family val="2"/>
        <charset val="136"/>
      </rPr>
      <t>，不得調整。</t>
    </r>
  </si>
  <si>
    <r>
      <t xml:space="preserve">• </t>
    </r>
    <r>
      <rPr>
        <sz val="12"/>
        <color rgb="FF7F7F00"/>
        <rFont val="微軟正黑體"/>
        <family val="2"/>
        <charset val="136"/>
      </rPr>
      <t>整段合計目標</t>
    </r>
    <r>
      <rPr>
        <sz val="12"/>
        <color rgb="FF7F7F00"/>
        <rFont val="Courier New"/>
        <family val="3"/>
      </rPr>
      <t xml:space="preserve"> </t>
    </r>
    <r>
      <rPr>
        <sz val="12"/>
        <color rgb="FF7F7F00"/>
        <rFont val="新細明體"/>
        <family val="1"/>
        <charset val="136"/>
      </rPr>
      <t>≈</t>
    </r>
    <r>
      <rPr>
        <sz val="12"/>
        <color rgb="FF7F7F00"/>
        <rFont val="Courier New"/>
        <family val="3"/>
      </rPr>
      <t>10x</t>
    </r>
    <r>
      <rPr>
        <sz val="12"/>
        <color rgb="FF7F7F00"/>
        <rFont val="微軟正黑體"/>
        <family val="2"/>
        <charset val="136"/>
      </rPr>
      <t>（前作：</t>
    </r>
    <r>
      <rPr>
        <sz val="12"/>
        <color rgb="FF7F7F00"/>
        <rFont val="Courier New"/>
        <family val="3"/>
      </rPr>
      <t>0-1x</t>
    </r>
    <r>
      <rPr>
        <sz val="12"/>
        <color rgb="FF7F7F00"/>
        <rFont val="微軟正黑體"/>
        <family val="2"/>
        <charset val="136"/>
      </rPr>
      <t>＝</t>
    </r>
    <r>
      <rPr>
        <sz val="12"/>
        <color rgb="FF7F7F00"/>
        <rFont val="Courier New"/>
        <family val="3"/>
      </rPr>
      <t>44%</t>
    </r>
    <r>
      <rPr>
        <sz val="12"/>
        <color rgb="FF7F7F00"/>
        <rFont val="微軟正黑體"/>
        <family val="2"/>
        <charset val="136"/>
      </rPr>
      <t>＋</t>
    </r>
    <r>
      <rPr>
        <sz val="12"/>
        <color rgb="FF7F7F00"/>
        <rFont val="Courier New"/>
        <family val="3"/>
      </rPr>
      <t>9x</t>
    </r>
    <r>
      <rPr>
        <sz val="12"/>
        <color rgb="FF7F7F00"/>
        <rFont val="微軟正黑體"/>
        <family val="2"/>
        <charset val="136"/>
      </rPr>
      <t>＝</t>
    </r>
    <r>
      <rPr>
        <sz val="12"/>
        <color rgb="FF7F7F00"/>
        <rFont val="Courier New"/>
        <family val="3"/>
      </rPr>
      <t>955.56%</t>
    </r>
    <r>
      <rPr>
        <sz val="12"/>
        <color rgb="FF7F7F00"/>
        <rFont val="微軟正黑體"/>
        <family val="2"/>
        <charset val="136"/>
      </rPr>
      <t>＝</t>
    </r>
    <r>
      <rPr>
        <sz val="12"/>
        <color rgb="FF7F7F00"/>
        <rFont val="Courier New"/>
        <family val="3"/>
      </rPr>
      <t>999.56%</t>
    </r>
    <r>
      <rPr>
        <sz val="12"/>
        <color rgb="FF7F7F00"/>
        <rFont val="微軟正黑體"/>
        <family val="2"/>
        <charset val="136"/>
      </rPr>
      <t>）。</t>
    </r>
  </si>
  <si>
    <r>
      <rPr>
        <b/>
        <sz val="12"/>
        <rFont val="微軟正黑體"/>
        <family val="2"/>
        <charset val="136"/>
      </rPr>
      <t>合計</t>
    </r>
    <r>
      <rPr>
        <b/>
        <sz val="12"/>
        <rFont val="Courier New"/>
        <family val="3"/>
      </rPr>
      <t xml:space="preserve"> 21 </t>
    </r>
    <r>
      <rPr>
        <b/>
        <sz val="12"/>
        <rFont val="微軟正黑體"/>
        <family val="2"/>
        <charset val="136"/>
      </rPr>
      <t>支：新手體驗</t>
    </r>
    <r>
      <rPr>
        <b/>
        <sz val="12"/>
        <rFont val="Courier New"/>
        <family val="3"/>
      </rPr>
      <t xml:space="preserve"> 4</t>
    </r>
    <r>
      <rPr>
        <b/>
        <sz val="12"/>
        <rFont val="微軟正黑體"/>
        <family val="2"/>
        <charset val="136"/>
      </rPr>
      <t>＋</t>
    </r>
    <r>
      <rPr>
        <b/>
        <sz val="12"/>
        <rFont val="Courier New"/>
        <family val="3"/>
      </rPr>
      <t>Buy Feature 6</t>
    </r>
    <r>
      <rPr>
        <b/>
        <sz val="12"/>
        <rFont val="微軟正黑體"/>
        <family val="2"/>
        <charset val="136"/>
      </rPr>
      <t>＋</t>
    </r>
    <r>
      <rPr>
        <b/>
        <sz val="12"/>
        <rFont val="Courier New"/>
        <family val="3"/>
      </rPr>
      <t xml:space="preserve">Free Spin </t>
    </r>
    <r>
      <rPr>
        <b/>
        <sz val="12"/>
        <rFont val="微軟正黑體"/>
        <family val="2"/>
        <charset val="136"/>
      </rPr>
      <t>系統</t>
    </r>
    <r>
      <rPr>
        <b/>
        <sz val="12"/>
        <rFont val="Courier New"/>
        <family val="3"/>
      </rPr>
      <t xml:space="preserve"> 11</t>
    </r>
  </si>
  <si>
    <r>
      <rPr>
        <sz val="12"/>
        <color theme="1"/>
        <rFont val="微軟正黑體"/>
        <family val="2"/>
        <charset val="136"/>
      </rPr>
      <t>□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每支</t>
    </r>
    <r>
      <rPr>
        <sz val="12"/>
        <color theme="1"/>
        <rFont val="Courier New"/>
        <family val="3"/>
      </rPr>
      <t xml:space="preserve"> RNG </t>
    </r>
    <r>
      <rPr>
        <sz val="12"/>
        <color theme="1"/>
        <rFont val="微軟正黑體"/>
        <family val="2"/>
        <charset val="136"/>
      </rPr>
      <t>已在</t>
    </r>
    <r>
      <rPr>
        <sz val="12"/>
        <color theme="1"/>
        <rFont val="Courier New"/>
        <family val="3"/>
      </rPr>
      <t xml:space="preserve"> 92A </t>
    </r>
    <r>
      <rPr>
        <sz val="12"/>
        <color theme="1"/>
        <rFont val="微軟正黑體"/>
        <family val="2"/>
        <charset val="136"/>
      </rPr>
      <t>正式</t>
    </r>
    <r>
      <rPr>
        <sz val="12"/>
        <color theme="1"/>
        <rFont val="Courier New"/>
        <family val="3"/>
      </rPr>
      <t xml:space="preserve"> Config </t>
    </r>
    <r>
      <rPr>
        <sz val="12"/>
        <color theme="1"/>
        <rFont val="微軟正黑體"/>
        <family val="2"/>
        <charset val="136"/>
      </rPr>
      <t>重放驗證，結果＝表列</t>
    </r>
    <r>
      <rPr>
        <sz val="12"/>
        <color theme="1"/>
        <rFont val="Courier New"/>
        <family val="3"/>
      </rPr>
      <t xml:space="preserve"> Multi</t>
    </r>
  </si>
  <si>
    <r>
      <rPr>
        <sz val="12"/>
        <color theme="1"/>
        <rFont val="微軟正黑體"/>
        <family val="2"/>
        <charset val="136"/>
      </rPr>
      <t>□</t>
    </r>
    <r>
      <rPr>
        <sz val="12"/>
        <color theme="1"/>
        <rFont val="Courier New"/>
        <family val="3"/>
      </rPr>
      <t xml:space="preserve"> BF </t>
    </r>
    <r>
      <rPr>
        <sz val="12"/>
        <color theme="1"/>
        <rFont val="微軟正黑體"/>
        <family val="2"/>
        <charset val="136"/>
      </rPr>
      <t>權重加權整合＝</t>
    </r>
    <r>
      <rPr>
        <sz val="12"/>
        <color theme="1"/>
        <rFont val="Courier New"/>
        <family val="3"/>
      </rPr>
      <t>96.00%</t>
    </r>
    <r>
      <rPr>
        <sz val="12"/>
        <color theme="1"/>
        <rFont val="微軟正黑體"/>
        <family val="2"/>
        <charset val="136"/>
      </rPr>
      <t>（小數</t>
    </r>
    <r>
      <rPr>
        <sz val="12"/>
        <color theme="1"/>
        <rFont val="Courier New"/>
        <family val="3"/>
      </rPr>
      <t xml:space="preserve"> 2 </t>
    </r>
    <r>
      <rPr>
        <sz val="12"/>
        <color theme="1"/>
        <rFont val="微軟正黑體"/>
        <family val="2"/>
        <charset val="136"/>
      </rPr>
      <t>位精確）</t>
    </r>
  </si>
  <si>
    <r>
      <rPr>
        <sz val="12"/>
        <color theme="1"/>
        <rFont val="微軟正黑體"/>
        <family val="2"/>
        <charset val="136"/>
      </rPr>
      <t>□</t>
    </r>
    <r>
      <rPr>
        <sz val="12"/>
        <color theme="1"/>
        <rFont val="Courier New"/>
        <family val="3"/>
      </rPr>
      <t xml:space="preserve"> Free Spin</t>
    </r>
    <r>
      <rPr>
        <sz val="12"/>
        <color theme="1"/>
        <rFont val="微軟正黑體"/>
        <family val="2"/>
        <charset val="136"/>
      </rPr>
      <t>：</t>
    </r>
    <r>
      <rPr>
        <sz val="12"/>
        <color theme="1"/>
        <rFont val="Courier New"/>
        <family val="3"/>
      </rPr>
      <t xml:space="preserve">0-1x </t>
    </r>
    <r>
      <rPr>
        <sz val="12"/>
        <color theme="1"/>
        <rFont val="微軟正黑體"/>
        <family val="2"/>
        <charset val="136"/>
      </rPr>
      <t>與</t>
    </r>
    <r>
      <rPr>
        <sz val="12"/>
        <color theme="1"/>
        <rFont val="Courier New"/>
        <family val="3"/>
      </rPr>
      <t xml:space="preserve"> 9x </t>
    </r>
    <r>
      <rPr>
        <sz val="12"/>
        <color theme="1"/>
        <rFont val="微軟正黑體"/>
        <family val="2"/>
        <charset val="136"/>
      </rPr>
      <t>各佔一把、其餘不中；</t>
    </r>
    <r>
      <rPr>
        <sz val="12"/>
        <color theme="1"/>
        <rFont val="Courier New"/>
        <family val="3"/>
      </rPr>
      <t xml:space="preserve">9x </t>
    </r>
    <r>
      <rPr>
        <sz val="12"/>
        <color theme="1"/>
        <rFont val="微軟正黑體"/>
        <family val="2"/>
        <charset val="136"/>
      </rPr>
      <t>共</t>
    </r>
    <r>
      <rPr>
        <sz val="12"/>
        <color theme="1"/>
        <rFont val="Courier New"/>
        <family val="3"/>
      </rPr>
      <t xml:space="preserve"> 10 </t>
    </r>
    <r>
      <rPr>
        <sz val="12"/>
        <color theme="1"/>
        <rFont val="微軟正黑體"/>
        <family val="2"/>
        <charset val="136"/>
      </rPr>
      <t>支、權重全＝</t>
    </r>
    <r>
      <rPr>
        <sz val="12"/>
        <color theme="1"/>
        <rFont val="Courier New"/>
        <family val="3"/>
      </rPr>
      <t>1</t>
    </r>
  </si>
  <si>
    <r>
      <rPr>
        <sz val="12"/>
        <color theme="1"/>
        <rFont val="微軟正黑體"/>
        <family val="2"/>
        <charset val="136"/>
      </rPr>
      <t>□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微軟正黑體"/>
        <family val="2"/>
        <charset val="136"/>
      </rPr>
      <t>腳本倍率未超上限（</t>
    </r>
    <r>
      <rPr>
        <sz val="12"/>
        <color theme="1"/>
        <rFont val="Courier New"/>
        <family val="3"/>
      </rPr>
      <t xml:space="preserve">92A </t>
    </r>
    <r>
      <rPr>
        <sz val="12"/>
        <color theme="1"/>
        <rFont val="微軟正黑體"/>
        <family val="2"/>
        <charset val="136"/>
      </rPr>
      <t>一般</t>
    </r>
    <r>
      <rPr>
        <sz val="12"/>
        <color theme="1"/>
        <rFont val="Courier New"/>
        <family val="3"/>
      </rPr>
      <t xml:space="preserve"> FG </t>
    </r>
    <r>
      <rPr>
        <sz val="12"/>
        <color theme="1"/>
        <rFont val="微軟正黑體"/>
        <family val="2"/>
        <charset val="136"/>
      </rPr>
      <t>卡</t>
    </r>
    <r>
      <rPr>
        <sz val="12"/>
        <color theme="1"/>
        <rFont val="Courier New"/>
        <family val="3"/>
      </rPr>
      <t xml:space="preserve"> 10,000x</t>
    </r>
    <r>
      <rPr>
        <sz val="12"/>
        <color theme="1"/>
        <rFont val="微軟正黑體"/>
        <family val="2"/>
        <charset val="136"/>
      </rPr>
      <t>；大</t>
    </r>
    <r>
      <rPr>
        <sz val="12"/>
        <color theme="1"/>
        <rFont val="Courier New"/>
        <family val="3"/>
      </rPr>
      <t xml:space="preserve"> Bet </t>
    </r>
    <r>
      <rPr>
        <sz val="12"/>
        <color theme="1"/>
        <rFont val="微軟正黑體"/>
        <family val="2"/>
        <charset val="136"/>
      </rPr>
      <t>腳本另做時</t>
    </r>
    <r>
      <rPr>
        <sz val="12"/>
        <color theme="1"/>
        <rFont val="Courier New"/>
        <family val="3"/>
      </rPr>
      <t xml:space="preserve"> 2,000x</t>
    </r>
    <r>
      <rPr>
        <sz val="12"/>
        <color theme="1"/>
        <rFont val="微軟正黑體"/>
        <family val="2"/>
        <charset val="136"/>
      </rPr>
      <t>）</t>
    </r>
  </si>
  <si>
    <t>681536788,28,24,32,146,26,118,0,64,0,762,7837,1043,8356,0,62067054,674971671,923811372,476514294,6021155,6418270528,3080,86,54,124,63,8,51,28,8,0,4643,6143,656,1469,0,917755,910941735,253708389,154670,516402,904821,917993,293147,492923,90133,293123,677645,833832,446423,340453,5915996854,12533,53,8,153,93,89,61,88,85,0,5555,7864,2133,5504,0,135546,2944,36,111,31,29,175,150,135,7,0,1609,9692,6450,1066,0,284727,11057,64,55,93,134,154,178,39,124,0,1627,6633,2550,5139,0,202987,315978,691469,99069,84189,702717,48393,961480,234984,640886,514999,324570,702527,607704,775333,676053,44443,735156,641038,666116,549807,625808,809612,946544,60799,124720,71567,534244,890658,790103,782085,752120,245005,466067,712936,556147,334072,142743,580868,193928,217703,102689,74438,949027,159180,224277,281042,810238,533020,981763,13604,62,33,194,69,192,165,73,58,0,1325,6920,457,4739,0,780018,13253,79,94,113,194,3,97,14,178,0,9561,7609,7902,2635,0,836893,256551097,446003112,3445705699,5512,84,125,118,47,135,85,127,184,0,1312,3436,9581,9976,0,203307,500837,955459,45597,676465,750742,210101,251011,294127,809470,506459,6357,53,22,178,130,1,19,48,96,0,5604,3168,8679,3468,0,342485,405,84,50,187,31,95,95,1,0,0,131,7883,6964,3099,0,927711,579764017,998915306,921728541,1729,10,37,17,74,128,165,53,41,0,4530,9269,7686,8154,0,311839</t>
    <phoneticPr fontId="1" type="noConversion"/>
  </si>
  <si>
    <t>681536788,47,37,10,31,190,87,143,25,0,4465,2315,6015,6956,0,471600833,40653787,137681442,690819824,185426981,1603768371,12740,23,60,8,53,191,190,29,59,0,8151,2787,9462,1587,0,8215,403246,245603,903176,463826,503661,462073,41817,65000,858206,234552,898956,575722,775155,564369,981310,193715,870593,339361,631203,763114,372119,812376,678661,526417,826154,989623,395,18,192,42,155,102,52,41,110,0,541,5901,3050,5720,0,574259,502293,550377,650373,293613,638982,65804,175181,814161,739257,936253,164898,565673,216012,5740,50,135,98,88,24,14,186,148,0,630,3664,450,1050,0,615757,2049,39,169,86,27,20,82,21,149,0,5345,9106,9097,4587,0,944278,479164085,52276043,732121,268073,80582,262557,197437,138857,420722,245949,280930,478028,7061006261,11558,23,58,115,73,75,8,85,68,0,8559,358,9927,6141,0,496356,12651,8,194,196,2,9,122,27,84,0,9834,4254,4428,3309,0,954270,30802113,812506677,600405922,1589,65,177,156,178,42,124,98,17,0,3782,7932,7056,5941,0,224682,7330,13,184,59,62,150,119,176,65,0,5870,122,9701,2287,0,48002,14565,9,180,191,27,135,47,143,141,0,4781,8390,1568,2580,0,131373,12514,41,120,167,4,39,41,161,149,0,7984,5058,3132,2106,0,31449,538514,153698,895332,861311,609369,461310,289054</t>
    <phoneticPr fontId="1" type="noConversion"/>
  </si>
  <si>
    <t>681536788,52,10,26,84,31,188,133,23,0,4783,3125,1574,8172,0,861111058,50661846,264010702,722348228,200212001,2232525375,14637,84,156,43,135,172,46,64,105,0,1778,6610,4226,9690,0,589641,10979,53,63,173,42,16,91,52,68,0,7503,6963,9228,697,0,222314,595988,798584,540828,3920,24,124,149,120,131,118,17,137,0,6429,3353,6128,1698,0,456617,320919,228403,777075,101144,431486,134350,565535,266374,984653,3467,81,64,124,75,149,171,149,83,0,8099,6436,6713,5675,0,245121,9431,56,171,79,120,118,11,49,55,0,7000,9908,1149,3726,0,242100,319979,259947,554665,750227,349837,437863,326111,720251,188908,916078,130398,326877,710610,66933,373444,930846,921783,555694,200709,10452,152974,396541,75634,335704,890955,5576,79,14,103,195,168,136,20,92,0,2138,872,9667,5100,0,419088,843901,547868,126148,546319,718010,216590,5067,43,66,26,172,129,57,84,81,0,5821,5577,1940,4669,0,567039,3064,4,94,63,11,4,57,55,145,0,5521,7960,6491,2328,0,844739,362827919,135602419,1903478022,12891,3,99,182,187,2,172,57,194,0,2870,7460,9887,1477,0,270730,13516,48,30,34,166,91,190,147,86,0,6971,5081,3229,2773,0,145346</t>
    <phoneticPr fontId="1" type="noConversion"/>
  </si>
  <si>
    <r>
      <rPr>
        <sz val="12"/>
        <color theme="1"/>
        <rFont val="微軟正黑體"/>
        <family val="2"/>
        <charset val="136"/>
      </rPr>
      <t>大中小</t>
    </r>
    <r>
      <rPr>
        <sz val="12"/>
        <color theme="1"/>
        <rFont val="Courier New"/>
        <family val="3"/>
      </rPr>
      <t>Bet</t>
    </r>
    <r>
      <rPr>
        <sz val="12"/>
        <color theme="1"/>
        <rFont val="微軟正黑體"/>
        <family val="2"/>
        <charset val="136"/>
      </rPr>
      <t>一樣</t>
    </r>
    <phoneticPr fontId="1" type="noConversion"/>
  </si>
  <si>
    <t>991276951,2938,87,161,160,89,7,31,51,179,0,4936,2957,6721,7843,0,561375,910852,127204,582486,683826,652560,7633,57572,97962,807957,6297,497718,217263,315374,575573,178176,120817,292862,211992,813070,782354,837791,156891,197714,76788,216922,485840,20185,999308,642984,1022068,466780,572274,342212,363034,192534,316763,823104,168822,57696,66999,1024376,418425,719245,625700,6948541059</t>
    <phoneticPr fontId="1" type="noConversion"/>
  </si>
  <si>
    <t>0-1x</t>
  </si>
  <si>
    <t>9x</t>
  </si>
  <si>
    <t>Total</t>
  </si>
  <si>
    <t>981116598,9136,64,159,91,86,167,104,64,35,0,4204,1790,5266,313,0,646172,795801,898464,857529,268507,835310,971776,286640,477998,640273,886590,570564,799490,7454,411658,387962,416779,65043,661880,374731,764859,434854,304046,332349,774481,2036,321838,31887,327495,510284,699722,608531,1055733,884659,661985,107707,91349,1015176,579411,457947,137179,816469,135077,861713,191251,781484,807,477485,899225,437313</t>
    <phoneticPr fontId="1" type="noConversion"/>
  </si>
  <si>
    <t>981116598,3435,23,133,130,193,102,84,86,100,0,2866,5500,7322,921,0,128033,879302,769169,857685,703977,826930,256832,754157,785736,791216,186328,890367,183393,966515,519301,1059210,683754,572784,816166,406031,321809,814405,475765,865747</t>
  </si>
  <si>
    <t>981116598,3435,23,133,130,193,102,84,86,100,0,2866,5500,7322,921,0,128033,879302,769169,857685,703977,826930,256832,754157,785736,791216,186328,890367,183393,966515,519301,1059210,683754,572784,816166,406031,321809,814405,475765,865747</t>
    <phoneticPr fontId="1" type="noConversion"/>
  </si>
  <si>
    <t>981116598,6259,56,129,2,140,136,29,55,22,0,2331,9876,8176,1990,0,908882,582464539,644927011,203038972,812157,228148,577306,257669,332062,280497,530805,365908,541521,235219,254982,270783,570486,476090,488229,958628,1039150,930048,97811,748380,509521,238927,84139,840172,126895,235886,689421,80980,243899,649737,660345,329569,1021275,685338,865788,750405,919518,344244,1021241,8917926005</t>
  </si>
  <si>
    <t>981116598,4789,23,127,87,101,65,187,5,31,0,3273,7384,3904,140,0,733360,640825435,829659539,746776,27297,619089,177238,83909,453899,583948,487694,406309,295194,331000,587203,736262,551298,126243,854092,581853,247,348046,304339,75873,916560,905635,5148699179</t>
    <phoneticPr fontId="1" type="noConversion"/>
  </si>
  <si>
    <t>981116598,4946,16,53,135,193,10,163,117,49,0,5156,6732,9406,7388,0,459608,404488,878951,110567,862252,188467,955665,477357,1078064,654256,898328,677751,634829,330322,510343,321131,109845,1005610,1015411,729617,618153,643495,504366,12460,915756,173106,86710,420055,549152,945433,575916,75259,610110,828446,928566,230111,367908,173136,822026,974971</t>
  </si>
  <si>
    <t>981116598,4901,17,68,82,136,45,80,159,192,0,3723,8238,4384,1323,0,382635,659802,550688,900575,452193,34849,174278,870725,615792,82588,473024,254864,902948,28873,47016,7335,826228,645412,3821,979818,630929,508884,146753,208730,341204,761768,480004,775211,128635,343114,640269,400720,832665,1078908,139813,372883,539840,889717,4773086914</t>
  </si>
  <si>
    <t>981116598,9562,79,186,95,151,79,43,55,81,0,6443,3006,4413,9984,0,360439,208870,686008,214701,37657,2825,356009,25542,134065,705684,896270,146122,581647</t>
    <phoneticPr fontId="1" type="noConversion"/>
  </si>
  <si>
    <t>981116598,320,88,80,51,82,37,84,74,131,0,386,3525,568,7602,0,145734,301028,993193,1084496,713295,764466,1038859,581747,613152,109518,191048,938102,1058983,371267,391273,367451,232456,414667,1044043,580476,62581,963327,1003816,48647,1043200,601938,454756,203975,246254,403514,748198,7088774469</t>
  </si>
  <si>
    <r>
      <t xml:space="preserve">Buy Feature B1 </t>
    </r>
    <r>
      <rPr>
        <sz val="12"/>
        <color theme="1"/>
        <rFont val="微軟正黑體"/>
        <family val="2"/>
        <charset val="136"/>
      </rPr>
      <t>大</t>
    </r>
    <r>
      <rPr>
        <sz val="12"/>
        <color theme="1"/>
        <rFont val="Courier New"/>
        <family val="3"/>
      </rPr>
      <t>Bet</t>
    </r>
    <phoneticPr fontId="1" type="noConversion"/>
  </si>
  <si>
    <r>
      <t xml:space="preserve">Buy Feature B2 </t>
    </r>
    <r>
      <rPr>
        <sz val="12"/>
        <color theme="1"/>
        <rFont val="微軟正黑體"/>
        <family val="2"/>
        <charset val="136"/>
      </rPr>
      <t>大</t>
    </r>
    <r>
      <rPr>
        <sz val="12"/>
        <color theme="1"/>
        <rFont val="Courier New"/>
        <family val="3"/>
      </rPr>
      <t>Bet</t>
    </r>
    <phoneticPr fontId="1" type="noConversion"/>
  </si>
  <si>
    <r>
      <t xml:space="preserve">Buy Feature B3 </t>
    </r>
    <r>
      <rPr>
        <sz val="12"/>
        <color theme="1"/>
        <rFont val="微軟正黑體"/>
        <family val="2"/>
        <charset val="136"/>
      </rPr>
      <t>大</t>
    </r>
    <r>
      <rPr>
        <sz val="12"/>
        <color theme="1"/>
        <rFont val="Courier New"/>
        <family val="3"/>
      </rPr>
      <t>Bet</t>
    </r>
    <phoneticPr fontId="1" type="noConversion"/>
  </si>
  <si>
    <t>681257678,68,13,9,189,58,78,28,20,0,6653,9773,7466,1992,0,554833294,494142084,478771296,636943801,426148739,1886769840,1216,69,138,101,123,146,63,115,166,0,3696,4787,2900,9068,0,169078,2931,81,43,6,168,131,130,25,106,0,6928,1241,3383,5477,0,716547,9907,55,19,54,50,24,0,49,22,0,2429,6390,3978,7605,0,860299,180640767,919764855,941594,708625,506794,322967,305560,854436,620421,823251,448605,194308,646232,264888,837862,36994,927794,479310,750665,841702,466857,245887,681323,228105,236214,649282,43374,67085,278975,120740,789545,909317,98694,488873,141477,150888,358354,573280,681439,332457,535752,402678,516921,597420,641103,761847,350111,9080221463,5106,0,162,154,121,100,126,183,84,0,2017,2515,3716,9129,0,181137,11003,25,139,94,159,126,83,128,110,0,8840,6212,9296,5137,0,969045,389779094,328061028,621204029,318835,514029,446314,767673,411772,186526,932303,510306,570127,6308219812,1508,22,77,105,56,165,69,120,159,0,2778,4932,7784,2662,0,330550,39883,608316,890909,444573,317747,16240,488069,520678,922664,632194,197606,134183,197070,275202,27449,80234,72216,445441,400333,26593,98962,871812,866731,546525,778327,885870,784459,3527655510,6462,56,106,185,35,4,174,130,171,0,8522,7563,9384,6889,0,928141,447134446,680848904,3954436995,4803,46,161,123,81,101,32,130,133,0,8625,3199,4636,8589,0,607652,5315,55,137,32,89,70,171,141,20,0,4265,195,7465,8995,0,811879,819340037,407413419,701378815,12167,69,195,111,120,99,84,32,37,0,9337,4004,8255,4798,0,742015</t>
    <phoneticPr fontId="1" type="noConversion"/>
  </si>
  <si>
    <t>681257678,45,7,15,76,161,126,128,29,0,9792,1752,6292,2706,0,449011164,420558632,499816336,761429211,570724153,3658510313,11173,70,102,66,38,68,177,94,13,0,3906,7638,1417,1093,0,12535,13689,74,163,63,89,183,129,102,33,0,3158,6146,6658,2954,0,653071,8544,14,59,191,30,50,148,187,187,0,845,3400,4838,2570,0,121550,13018,21,109,15,177,51,162,141,45,0,2974,7313,7926,7994,0,626552,436668,874406,928115,733730,262193,756844,407249,7021,58,99,57,120,69,128,14,165,0,8180,9511,7463,8126,0,105466,559687,243350,633968,693126,77164,575308,796694,602596,6493,226305,810845,900290,181947,420582,619063,417982,743567,868180,227643,979547,299137,795321,796297,406414,198153,812037,988411,356972,3965396280,10470,72,77,136,184,68,151,109,48,0,1235,2387,9766,6928,0,991359,589925180,936227623,680934614,4665941425,13781,18,159,146,158,7,155,40,3,0,3958,1423,3876,3101,0,314007,6982,74,169,130,79,59,62,199,199,0,8079,397,9443,8091,0,13057,10521,59,48,145,93,16,98,24,29,0,4776,773,8060,8329,0,772343,696836,533547,100220,309585,1440,53,148,198,90,197,118,133,37,0,1914,7741,1105,5692,0,375522</t>
    <phoneticPr fontId="1" type="noConversion"/>
  </si>
  <si>
    <t>544082155,25,45,10,196,28,70,138,55,0,637,5553,2813,6221,0,965897622,345609384,875750327,742549356,722005692,7373214885,9014,54,179,18,148,139,131,170,106,0,7360,1009,7409,8358,0,448437,194706,436577,84707,848004,283965,10155,19,117,172,65,89,103,123,86,0,7531,5945,8492,3205,0,462969,79438,783325,141204,2455,50,1,71,114,144,58,71,8,0,8636,5668,4398,9209,0,768067,253800,382147,414472,778155,217127,262917,180977,13202,67,162,119,146,81,173,173,98,0,9983,3061,6186,6735,0,340645,392242,157,48661,42589,220383,281500,861771,870470,767404,78498,21566,609405,608392,794151,923856,254686,3420989812,4583,25,180,173,63,24,39,168,23,0,8114,5527,8970,4402,0,625436,822421,27564,382119,859168,299519,416258,156527,10123,42,120,93,46,163,132,5,174,0,3816,169,8701,9680,0,690669,12016,71,45,199,164,75,118,65,135,0,1559,3936,6090,6308,0,527127,6977,39,198,102,13,159,120,23,162,0,5627,1142,6851,8276,0,801538,9590,54,169,55,166,130,173,34,170,0,5818,4424,6331,5263,0,101768,811214,21367,637836,513173,614958,804852,44822,604735,560116,812319,373054,364117,781481,287543,985435,531941,9094688821,4674,1,75,151,167,43,93,108,75,0,7054,3875,9061,3152,0,700498,67576,71051,937726,815708,527095,651861</t>
    <phoneticPr fontId="1" type="noConversion"/>
  </si>
  <si>
    <r>
      <t xml:space="preserve">Buy Feature A1 </t>
    </r>
    <r>
      <rPr>
        <sz val="12"/>
        <color theme="1"/>
        <rFont val="微軟正黑體"/>
        <family val="2"/>
        <charset val="136"/>
      </rPr>
      <t>中</t>
    </r>
    <r>
      <rPr>
        <sz val="12"/>
        <color theme="1"/>
        <rFont val="Courier New"/>
        <family val="3"/>
      </rPr>
      <t>Bet</t>
    </r>
    <phoneticPr fontId="1" type="noConversion"/>
  </si>
  <si>
    <r>
      <t xml:space="preserve">Buy Feature A2 </t>
    </r>
    <r>
      <rPr>
        <sz val="12"/>
        <color theme="1"/>
        <rFont val="微軟正黑體"/>
        <family val="2"/>
        <charset val="136"/>
      </rPr>
      <t>中</t>
    </r>
    <r>
      <rPr>
        <sz val="12"/>
        <color theme="1"/>
        <rFont val="Courier New"/>
        <family val="3"/>
      </rPr>
      <t>Bet</t>
    </r>
    <phoneticPr fontId="1" type="noConversion"/>
  </si>
  <si>
    <r>
      <t xml:space="preserve">Buy Feature A3 </t>
    </r>
    <r>
      <rPr>
        <sz val="12"/>
        <color theme="1"/>
        <rFont val="微軟正黑體"/>
        <family val="2"/>
        <charset val="136"/>
      </rPr>
      <t>中</t>
    </r>
    <r>
      <rPr>
        <sz val="12"/>
        <color theme="1"/>
        <rFont val="Courier New"/>
        <family val="3"/>
      </rPr>
      <t>Bet</t>
    </r>
    <phoneticPr fontId="1" type="noConversion"/>
  </si>
  <si>
    <r>
      <t xml:space="preserve">Buy Feature A1 </t>
    </r>
    <r>
      <rPr>
        <sz val="12"/>
        <color theme="1"/>
        <rFont val="微軟正黑體"/>
        <family val="2"/>
        <charset val="136"/>
      </rPr>
      <t>大</t>
    </r>
    <r>
      <rPr>
        <sz val="12"/>
        <color theme="1"/>
        <rFont val="Courier New"/>
        <family val="3"/>
      </rPr>
      <t>Bet</t>
    </r>
    <phoneticPr fontId="1" type="noConversion"/>
  </si>
  <si>
    <r>
      <t xml:space="preserve">Buy Feature A2 </t>
    </r>
    <r>
      <rPr>
        <sz val="12"/>
        <color theme="1"/>
        <rFont val="微軟正黑體"/>
        <family val="2"/>
        <charset val="136"/>
      </rPr>
      <t>大</t>
    </r>
    <r>
      <rPr>
        <sz val="12"/>
        <color theme="1"/>
        <rFont val="Courier New"/>
        <family val="3"/>
      </rPr>
      <t>Bet</t>
    </r>
    <phoneticPr fontId="1" type="noConversion"/>
  </si>
  <si>
    <r>
      <t xml:space="preserve">Buy Feature A3 </t>
    </r>
    <r>
      <rPr>
        <sz val="12"/>
        <color theme="1"/>
        <rFont val="微軟正黑體"/>
        <family val="2"/>
        <charset val="136"/>
      </rPr>
      <t>大</t>
    </r>
    <r>
      <rPr>
        <sz val="12"/>
        <color theme="1"/>
        <rFont val="Courier New"/>
        <family val="3"/>
      </rPr>
      <t>Bet</t>
    </r>
    <phoneticPr fontId="1" type="noConversion"/>
  </si>
  <si>
    <r>
      <t xml:space="preserve">Buy Feature B1 </t>
    </r>
    <r>
      <rPr>
        <sz val="12"/>
        <color theme="1"/>
        <rFont val="微軟正黑體"/>
        <family val="2"/>
        <charset val="136"/>
      </rPr>
      <t>中</t>
    </r>
    <r>
      <rPr>
        <sz val="12"/>
        <color theme="1"/>
        <rFont val="Courier New"/>
        <family val="3"/>
      </rPr>
      <t>Bet</t>
    </r>
    <phoneticPr fontId="1" type="noConversion"/>
  </si>
  <si>
    <r>
      <t xml:space="preserve">Buy Feature B2 </t>
    </r>
    <r>
      <rPr>
        <sz val="12"/>
        <color theme="1"/>
        <rFont val="微軟正黑體"/>
        <family val="2"/>
        <charset val="136"/>
      </rPr>
      <t>中</t>
    </r>
    <r>
      <rPr>
        <sz val="12"/>
        <color theme="1"/>
        <rFont val="Courier New"/>
        <family val="3"/>
      </rPr>
      <t>Bet</t>
    </r>
    <phoneticPr fontId="1" type="noConversion"/>
  </si>
  <si>
    <r>
      <t xml:space="preserve">Buy Feature B3 </t>
    </r>
    <r>
      <rPr>
        <sz val="12"/>
        <color theme="1"/>
        <rFont val="微軟正黑體"/>
        <family val="2"/>
        <charset val="136"/>
      </rPr>
      <t>中</t>
    </r>
    <r>
      <rPr>
        <sz val="12"/>
        <color theme="1"/>
        <rFont val="Courier New"/>
        <family val="3"/>
      </rPr>
      <t>Bet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</si>
</sst>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rgb="FF7F7F00"/>
      <name val="微軟正黑體"/>
      <family val="2"/>
      <charset val="136"/>
    </font>
    <font>
      <sz val="12"/>
      <color rgb="FF7F7F00"/>
      <name val="新細明體"/>
      <family val="1"/>
      <charset val="136"/>
    </font>
    <font>
      <b/>
      <sz val="12"/>
      <name val="Courier New"/>
      <family val="3"/>
    </font>
    <font>
      <sz val="12"/>
      <color theme="1"/>
      <name val="Courier New"/>
      <family val="3"/>
    </font>
    <font>
      <sz val="12"/>
      <color rgb="FF7F7F00"/>
      <name val="Courier New"/>
      <family val="3"/>
    </font>
    <font>
      <sz val="12"/>
      <color rgb="FFFF0000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D9D9D9"/>
      </patternFill>
    </fill>
    <fill>
      <patternFill patternType="solid">
        <fgColor rgb="FFF2F2F2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2" borderId="0" xfId="0" applyFont="1" applyFill="1"/>
    <xf numFmtId="0" fontId="7" fillId="2" borderId="0" xfId="0" applyFont="1" applyFill="1"/>
    <xf numFmtId="0" fontId="6" fillId="3" borderId="1" xfId="0" applyFont="1" applyFill="1" applyBorder="1" applyAlignment="1">
      <alignment horizontal="center"/>
    </xf>
    <xf numFmtId="0" fontId="7" fillId="0" borderId="1" xfId="0" applyFont="1" applyBorder="1"/>
    <xf numFmtId="10" fontId="7" fillId="0" borderId="1" xfId="0" applyNumberFormat="1" applyFont="1" applyBorder="1"/>
    <xf numFmtId="0" fontId="7" fillId="4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10" fontId="7" fillId="0" borderId="0" xfId="0" applyNumberFormat="1" applyFont="1"/>
    <xf numFmtId="0" fontId="7" fillId="5" borderId="1" xfId="0" applyFont="1" applyFill="1" applyBorder="1"/>
    <xf numFmtId="10" fontId="7" fillId="5" borderId="1" xfId="0" applyNumberFormat="1" applyFont="1" applyFill="1" applyBorder="1"/>
    <xf numFmtId="0" fontId="7" fillId="5" borderId="1" xfId="0" applyFont="1" applyFill="1" applyBorder="1" applyAlignment="1">
      <alignment horizontal="center"/>
    </xf>
    <xf numFmtId="0" fontId="9" fillId="5" borderId="1" xfId="0" applyFont="1" applyFill="1" applyBorder="1"/>
  </cellXfs>
  <cellStyles count="1">
    <cellStyle name="一般" xfId="0" builtinId="0"/>
  </cellStyles>
  <dxfs count="10"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  <dxf>
      <font>
        <color theme="0" tint="-0.24994659260841701"/>
      </font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workbookViewId="0">
      <pane ySplit="3" topLeftCell="A16" activePane="bottomLeft" state="frozen"/>
      <selection pane="bottomLeft" activeCell="H27" sqref="H27"/>
    </sheetView>
  </sheetViews>
  <sheetFormatPr defaultRowHeight="15.6"/>
  <cols>
    <col min="1" max="1" width="42.5" style="2" customWidth="1"/>
    <col min="2" max="2" width="90" style="2" customWidth="1"/>
    <col min="3" max="3" width="10" style="2" customWidth="1"/>
    <col min="4" max="4" width="15.125" style="2" bestFit="1" customWidth="1"/>
    <col min="5" max="5" width="12.375" style="2" bestFit="1" customWidth="1"/>
    <col min="6" max="6" width="7.125" style="2" bestFit="1" customWidth="1"/>
    <col min="7" max="7" width="13.25" style="2" bestFit="1" customWidth="1"/>
    <col min="8" max="8" width="11.5" style="2" bestFit="1" customWidth="1"/>
    <col min="9" max="9" width="20.25" style="2" bestFit="1" customWidth="1"/>
    <col min="10" max="16384" width="9" style="2"/>
  </cols>
  <sheetData>
    <row r="1" spans="1:6" ht="16.2">
      <c r="A1" s="1" t="s">
        <v>9</v>
      </c>
    </row>
    <row r="2" spans="1:6">
      <c r="A2" s="3" t="s">
        <v>10</v>
      </c>
    </row>
    <row r="4" spans="1:6" ht="16.2">
      <c r="A4" s="4" t="s">
        <v>11</v>
      </c>
      <c r="B4" s="5"/>
      <c r="C4" s="5"/>
      <c r="D4" s="5"/>
      <c r="E4" s="5"/>
      <c r="F4" s="5"/>
    </row>
    <row r="5" spans="1:6" ht="16.2">
      <c r="A5" s="6" t="s">
        <v>12</v>
      </c>
      <c r="B5" s="6" t="s">
        <v>0</v>
      </c>
      <c r="C5" s="6" t="s">
        <v>1</v>
      </c>
      <c r="D5" s="6" t="s">
        <v>2</v>
      </c>
      <c r="E5" s="6" t="s">
        <v>13</v>
      </c>
      <c r="F5" s="6" t="s">
        <v>14</v>
      </c>
    </row>
    <row r="6" spans="1:6">
      <c r="A6" s="7" t="s">
        <v>15</v>
      </c>
      <c r="B6" s="7" t="s">
        <v>49</v>
      </c>
      <c r="C6" s="7">
        <v>13.1</v>
      </c>
      <c r="D6" s="8">
        <f>C6/F6</f>
        <v>13.1</v>
      </c>
      <c r="E6" s="9">
        <v>1</v>
      </c>
      <c r="F6" s="10">
        <v>1</v>
      </c>
    </row>
    <row r="7" spans="1:6">
      <c r="A7" s="7" t="s">
        <v>16</v>
      </c>
      <c r="B7" s="7" t="s">
        <v>49</v>
      </c>
      <c r="C7" s="7">
        <v>13.1</v>
      </c>
      <c r="D7" s="8">
        <f t="shared" ref="D7:D9" si="0">C7/F7</f>
        <v>13.1</v>
      </c>
      <c r="E7" s="9">
        <v>1</v>
      </c>
      <c r="F7" s="10">
        <v>1</v>
      </c>
    </row>
    <row r="8" spans="1:6">
      <c r="A8" s="7" t="s">
        <v>17</v>
      </c>
      <c r="B8" s="7"/>
      <c r="C8" s="7"/>
      <c r="D8" s="8">
        <f t="shared" si="0"/>
        <v>0</v>
      </c>
      <c r="E8" s="9">
        <v>1</v>
      </c>
      <c r="F8" s="10">
        <v>1</v>
      </c>
    </row>
    <row r="9" spans="1:6">
      <c r="A9" s="7" t="s">
        <v>18</v>
      </c>
      <c r="B9" s="7"/>
      <c r="C9" s="7"/>
      <c r="D9" s="8">
        <f t="shared" si="0"/>
        <v>0</v>
      </c>
      <c r="E9" s="9">
        <v>1</v>
      </c>
      <c r="F9" s="10">
        <v>1</v>
      </c>
    </row>
    <row r="10" spans="1:6">
      <c r="A10" s="3" t="s">
        <v>19</v>
      </c>
    </row>
    <row r="11" spans="1:6">
      <c r="A11" s="3" t="s">
        <v>20</v>
      </c>
    </row>
    <row r="12" spans="1:6">
      <c r="A12" s="3" t="s">
        <v>21</v>
      </c>
    </row>
    <row r="14" spans="1:6" ht="16.2">
      <c r="A14" s="4" t="s">
        <v>22</v>
      </c>
      <c r="B14" s="5"/>
      <c r="C14" s="5"/>
      <c r="D14" s="5"/>
      <c r="E14" s="5"/>
      <c r="F14" s="5"/>
    </row>
    <row r="15" spans="1:6" ht="16.2">
      <c r="A15" s="6" t="s">
        <v>12</v>
      </c>
      <c r="B15" s="6" t="s">
        <v>0</v>
      </c>
      <c r="C15" s="6" t="s">
        <v>1</v>
      </c>
      <c r="D15" s="6" t="s">
        <v>2</v>
      </c>
      <c r="E15" s="6" t="s">
        <v>13</v>
      </c>
      <c r="F15" s="6" t="s">
        <v>14</v>
      </c>
    </row>
    <row r="16" spans="1:6">
      <c r="A16" s="7" t="s">
        <v>3</v>
      </c>
      <c r="B16" s="7" t="s">
        <v>45</v>
      </c>
      <c r="C16" s="7">
        <v>79.3</v>
      </c>
      <c r="D16" s="8">
        <f>C16/F16</f>
        <v>1.0573333333333332</v>
      </c>
      <c r="E16" s="10">
        <v>12</v>
      </c>
      <c r="F16" s="10">
        <v>75</v>
      </c>
    </row>
    <row r="17" spans="1:9">
      <c r="A17" s="7" t="s">
        <v>4</v>
      </c>
      <c r="B17" s="7" t="s">
        <v>46</v>
      </c>
      <c r="C17" s="7">
        <v>70.400000000000006</v>
      </c>
      <c r="D17" s="8">
        <f t="shared" ref="D17:D30" si="1">C17/F17</f>
        <v>0.93866666666666676</v>
      </c>
      <c r="E17" s="10">
        <v>100</v>
      </c>
      <c r="F17" s="10">
        <v>75</v>
      </c>
    </row>
    <row r="18" spans="1:9">
      <c r="A18" s="7" t="s">
        <v>5</v>
      </c>
      <c r="B18" s="7" t="s">
        <v>47</v>
      </c>
      <c r="C18" s="7">
        <v>73</v>
      </c>
      <c r="D18" s="8">
        <f t="shared" si="1"/>
        <v>0.97333333333333338</v>
      </c>
      <c r="E18" s="10">
        <v>73</v>
      </c>
      <c r="F18" s="10">
        <v>75</v>
      </c>
      <c r="H18" s="11">
        <f>SUMPRODUCT(D16:D18,E16:E18)/SUM(E16:E18)</f>
        <v>0.9600432432432433</v>
      </c>
      <c r="I18" s="2" t="s">
        <v>48</v>
      </c>
    </row>
    <row r="19" spans="1:9">
      <c r="A19" s="12" t="s">
        <v>68</v>
      </c>
      <c r="B19" s="12" t="s">
        <v>45</v>
      </c>
      <c r="C19" s="12">
        <v>79.3</v>
      </c>
      <c r="D19" s="13">
        <f>C19/F19</f>
        <v>1.0573333333333332</v>
      </c>
      <c r="E19" s="14">
        <v>12</v>
      </c>
      <c r="F19" s="14">
        <v>75</v>
      </c>
      <c r="H19" s="11"/>
    </row>
    <row r="20" spans="1:9">
      <c r="A20" s="12" t="s">
        <v>69</v>
      </c>
      <c r="B20" s="12" t="s">
        <v>46</v>
      </c>
      <c r="C20" s="12">
        <v>70.400000000000006</v>
      </c>
      <c r="D20" s="13">
        <f t="shared" ref="D20:D21" si="2">C20/F20</f>
        <v>0.93866666666666676</v>
      </c>
      <c r="E20" s="14">
        <v>100</v>
      </c>
      <c r="F20" s="14">
        <v>75</v>
      </c>
      <c r="H20" s="11"/>
    </row>
    <row r="21" spans="1:9">
      <c r="A21" s="12" t="s">
        <v>70</v>
      </c>
      <c r="B21" s="12" t="s">
        <v>47</v>
      </c>
      <c r="C21" s="12">
        <v>73</v>
      </c>
      <c r="D21" s="13">
        <f t="shared" si="2"/>
        <v>0.97333333333333338</v>
      </c>
      <c r="E21" s="14">
        <v>73</v>
      </c>
      <c r="F21" s="14">
        <v>75</v>
      </c>
      <c r="H21" s="11"/>
    </row>
    <row r="22" spans="1:9">
      <c r="A22" s="7" t="s">
        <v>71</v>
      </c>
      <c r="B22" s="7" t="s">
        <v>45</v>
      </c>
      <c r="C22" s="7">
        <v>79.3</v>
      </c>
      <c r="D22" s="8">
        <f>C22/F22</f>
        <v>1.0573333333333332</v>
      </c>
      <c r="E22" s="10">
        <v>12</v>
      </c>
      <c r="F22" s="10">
        <v>75</v>
      </c>
      <c r="H22" s="11"/>
    </row>
    <row r="23" spans="1:9">
      <c r="A23" s="7" t="s">
        <v>72</v>
      </c>
      <c r="B23" s="7" t="s">
        <v>46</v>
      </c>
      <c r="C23" s="7">
        <v>70.400000000000006</v>
      </c>
      <c r="D23" s="8">
        <f t="shared" ref="D23:D27" si="3">C23/F23</f>
        <v>0.93866666666666676</v>
      </c>
      <c r="E23" s="10">
        <v>100</v>
      </c>
      <c r="F23" s="10">
        <v>75</v>
      </c>
      <c r="H23" s="11"/>
    </row>
    <row r="24" spans="1:9">
      <c r="A24" s="7" t="s">
        <v>73</v>
      </c>
      <c r="B24" s="7" t="s">
        <v>47</v>
      </c>
      <c r="C24" s="7">
        <v>73</v>
      </c>
      <c r="D24" s="8">
        <f t="shared" si="3"/>
        <v>0.97333333333333338</v>
      </c>
      <c r="E24" s="10">
        <v>73</v>
      </c>
      <c r="F24" s="10">
        <v>75</v>
      </c>
      <c r="H24" s="11"/>
    </row>
    <row r="25" spans="1:9">
      <c r="A25" s="12" t="s">
        <v>6</v>
      </c>
      <c r="B25" s="12" t="s">
        <v>45</v>
      </c>
      <c r="C25" s="12">
        <v>79.3</v>
      </c>
      <c r="D25" s="13">
        <f t="shared" si="3"/>
        <v>1.0573333333333332</v>
      </c>
      <c r="E25" s="14">
        <v>12</v>
      </c>
      <c r="F25" s="14">
        <v>75</v>
      </c>
      <c r="H25" s="11"/>
    </row>
    <row r="26" spans="1:9">
      <c r="A26" s="12" t="s">
        <v>7</v>
      </c>
      <c r="B26" s="12" t="s">
        <v>46</v>
      </c>
      <c r="C26" s="12">
        <v>70.400000000000006</v>
      </c>
      <c r="D26" s="13">
        <f t="shared" si="3"/>
        <v>0.93866666666666676</v>
      </c>
      <c r="E26" s="14">
        <v>100</v>
      </c>
      <c r="F26" s="14">
        <v>75</v>
      </c>
      <c r="H26" s="11"/>
    </row>
    <row r="27" spans="1:9">
      <c r="A27" s="12" t="s">
        <v>8</v>
      </c>
      <c r="B27" s="12" t="s">
        <v>47</v>
      </c>
      <c r="C27" s="12">
        <v>73</v>
      </c>
      <c r="D27" s="13">
        <f t="shared" si="3"/>
        <v>0.97333333333333338</v>
      </c>
      <c r="E27" s="14">
        <v>73</v>
      </c>
      <c r="F27" s="14">
        <v>75</v>
      </c>
      <c r="H27" s="11"/>
    </row>
    <row r="28" spans="1:9">
      <c r="A28" s="7" t="s">
        <v>74</v>
      </c>
      <c r="B28" s="7" t="s">
        <v>45</v>
      </c>
      <c r="C28" s="7">
        <v>79.3</v>
      </c>
      <c r="D28" s="8">
        <f t="shared" si="1"/>
        <v>1.0573333333333332</v>
      </c>
      <c r="E28" s="10">
        <v>12</v>
      </c>
      <c r="F28" s="10">
        <v>75</v>
      </c>
    </row>
    <row r="29" spans="1:9">
      <c r="A29" s="7" t="s">
        <v>75</v>
      </c>
      <c r="B29" s="7" t="s">
        <v>46</v>
      </c>
      <c r="C29" s="7">
        <v>70.400000000000006</v>
      </c>
      <c r="D29" s="8">
        <f t="shared" si="1"/>
        <v>0.93866666666666676</v>
      </c>
      <c r="E29" s="10">
        <v>100</v>
      </c>
      <c r="F29" s="10">
        <v>75</v>
      </c>
    </row>
    <row r="30" spans="1:9">
      <c r="A30" s="7" t="s">
        <v>76</v>
      </c>
      <c r="B30" s="7" t="s">
        <v>47</v>
      </c>
      <c r="C30" s="7">
        <v>73</v>
      </c>
      <c r="D30" s="8">
        <f t="shared" si="1"/>
        <v>0.97333333333333338</v>
      </c>
      <c r="E30" s="10">
        <v>73</v>
      </c>
      <c r="F30" s="10">
        <v>75</v>
      </c>
      <c r="H30" s="11">
        <f>SUMPRODUCT(D28:D30,E28:E30)/SUM(E28:E30)</f>
        <v>0.9600432432432433</v>
      </c>
      <c r="I30" s="2" t="s">
        <v>48</v>
      </c>
    </row>
    <row r="31" spans="1:9">
      <c r="A31" s="12" t="s">
        <v>62</v>
      </c>
      <c r="B31" s="15" t="s">
        <v>65</v>
      </c>
      <c r="C31" s="12">
        <v>73.7</v>
      </c>
      <c r="D31" s="13">
        <f t="shared" ref="D31:D33" si="4">C31/F31</f>
        <v>0.98266666666666669</v>
      </c>
      <c r="E31" s="14">
        <v>100</v>
      </c>
      <c r="F31" s="14">
        <v>75</v>
      </c>
    </row>
    <row r="32" spans="1:9">
      <c r="A32" s="12" t="s">
        <v>63</v>
      </c>
      <c r="B32" s="15" t="s">
        <v>66</v>
      </c>
      <c r="C32" s="12">
        <v>73.2</v>
      </c>
      <c r="D32" s="13">
        <f t="shared" si="4"/>
        <v>0.97600000000000009</v>
      </c>
      <c r="E32" s="14">
        <v>100</v>
      </c>
      <c r="F32" s="14">
        <v>75</v>
      </c>
    </row>
    <row r="33" spans="1:9">
      <c r="A33" s="12" t="s">
        <v>64</v>
      </c>
      <c r="B33" s="15" t="s">
        <v>67</v>
      </c>
      <c r="C33" s="12">
        <v>61.1</v>
      </c>
      <c r="D33" s="13">
        <f t="shared" si="4"/>
        <v>0.81466666666666665</v>
      </c>
      <c r="E33" s="14">
        <v>100</v>
      </c>
      <c r="F33" s="14">
        <v>75</v>
      </c>
      <c r="H33" s="11">
        <f>SUMPRODUCT(D31:D33,E31:E33)/SUM(E31:E33)</f>
        <v>0.92444444444444462</v>
      </c>
      <c r="I33" s="2" t="s">
        <v>48</v>
      </c>
    </row>
    <row r="34" spans="1:9">
      <c r="A34" s="3" t="s">
        <v>23</v>
      </c>
    </row>
    <row r="35" spans="1:9">
      <c r="A35" s="3" t="s">
        <v>24</v>
      </c>
    </row>
    <row r="36" spans="1:9">
      <c r="A36" s="3" t="s">
        <v>25</v>
      </c>
    </row>
    <row r="38" spans="1:9" ht="16.2">
      <c r="A38" s="4" t="s">
        <v>26</v>
      </c>
      <c r="B38" s="5"/>
      <c r="C38" s="5"/>
      <c r="D38" s="5"/>
      <c r="E38" s="5"/>
      <c r="F38" s="5"/>
    </row>
    <row r="39" spans="1:9" ht="16.2">
      <c r="A39" s="6" t="s">
        <v>12</v>
      </c>
      <c r="B39" s="6" t="s">
        <v>0</v>
      </c>
      <c r="C39" s="6" t="s">
        <v>1</v>
      </c>
      <c r="D39" s="6" t="s">
        <v>2</v>
      </c>
      <c r="E39" s="6" t="s">
        <v>13</v>
      </c>
      <c r="F39" s="6" t="s">
        <v>14</v>
      </c>
    </row>
    <row r="40" spans="1:9">
      <c r="A40" s="7" t="s">
        <v>27</v>
      </c>
      <c r="B40" s="7" t="s">
        <v>53</v>
      </c>
      <c r="C40" s="7">
        <v>9.5</v>
      </c>
      <c r="D40" s="8">
        <f t="shared" ref="D40:D49" si="5">C40/F40</f>
        <v>9.5</v>
      </c>
      <c r="E40" s="9">
        <v>1</v>
      </c>
      <c r="F40" s="10">
        <v>1</v>
      </c>
    </row>
    <row r="41" spans="1:9">
      <c r="A41" s="7" t="s">
        <v>28</v>
      </c>
      <c r="B41" s="7" t="s">
        <v>55</v>
      </c>
      <c r="C41" s="7">
        <v>9.1</v>
      </c>
      <c r="D41" s="8">
        <f t="shared" si="5"/>
        <v>9.1</v>
      </c>
      <c r="E41" s="9">
        <v>1</v>
      </c>
      <c r="F41" s="10">
        <v>1</v>
      </c>
    </row>
    <row r="42" spans="1:9">
      <c r="A42" s="7" t="s">
        <v>29</v>
      </c>
      <c r="B42" s="7" t="s">
        <v>54</v>
      </c>
      <c r="C42" s="7">
        <v>9.3000000000000007</v>
      </c>
      <c r="D42" s="8">
        <f t="shared" si="5"/>
        <v>9.3000000000000007</v>
      </c>
      <c r="E42" s="9">
        <v>1</v>
      </c>
      <c r="F42" s="10">
        <v>1</v>
      </c>
    </row>
    <row r="43" spans="1:9">
      <c r="A43" s="7" t="s">
        <v>30</v>
      </c>
      <c r="B43" s="7" t="s">
        <v>58</v>
      </c>
      <c r="C43" s="7">
        <v>9.9499999999999993</v>
      </c>
      <c r="D43" s="8">
        <f t="shared" si="5"/>
        <v>9.9499999999999993</v>
      </c>
      <c r="E43" s="9">
        <v>1</v>
      </c>
      <c r="F43" s="10">
        <v>1</v>
      </c>
    </row>
    <row r="44" spans="1:9">
      <c r="A44" s="7" t="s">
        <v>31</v>
      </c>
      <c r="B44" s="7" t="s">
        <v>56</v>
      </c>
      <c r="C44" s="7">
        <v>9.4</v>
      </c>
      <c r="D44" s="8">
        <f t="shared" si="5"/>
        <v>9.4</v>
      </c>
      <c r="E44" s="9">
        <v>1</v>
      </c>
      <c r="F44" s="10">
        <v>1</v>
      </c>
    </row>
    <row r="45" spans="1:9">
      <c r="A45" s="7" t="s">
        <v>32</v>
      </c>
      <c r="B45" s="7" t="s">
        <v>57</v>
      </c>
      <c r="C45" s="7">
        <v>9.5</v>
      </c>
      <c r="D45" s="8">
        <f t="shared" si="5"/>
        <v>9.5</v>
      </c>
      <c r="E45" s="9">
        <v>1</v>
      </c>
      <c r="F45" s="10">
        <v>1</v>
      </c>
    </row>
    <row r="46" spans="1:9">
      <c r="A46" s="7" t="s">
        <v>33</v>
      </c>
      <c r="B46" s="7" t="s">
        <v>58</v>
      </c>
      <c r="C46" s="7">
        <v>9.9499999999999993</v>
      </c>
      <c r="D46" s="8">
        <f t="shared" si="5"/>
        <v>9.9499999999999993</v>
      </c>
      <c r="E46" s="9">
        <v>1</v>
      </c>
      <c r="F46" s="10">
        <v>1</v>
      </c>
    </row>
    <row r="47" spans="1:9">
      <c r="A47" s="7" t="s">
        <v>34</v>
      </c>
      <c r="B47" s="7" t="s">
        <v>59</v>
      </c>
      <c r="C47" s="7">
        <v>9.5</v>
      </c>
      <c r="D47" s="8">
        <f t="shared" si="5"/>
        <v>9.5</v>
      </c>
      <c r="E47" s="9">
        <v>1</v>
      </c>
      <c r="F47" s="10">
        <v>1</v>
      </c>
      <c r="G47" s="2" t="s">
        <v>50</v>
      </c>
      <c r="H47" s="2">
        <v>0.43</v>
      </c>
    </row>
    <row r="48" spans="1:9">
      <c r="A48" s="7" t="s">
        <v>35</v>
      </c>
      <c r="B48" s="7" t="s">
        <v>60</v>
      </c>
      <c r="C48" s="7">
        <v>9.8000000000000007</v>
      </c>
      <c r="D48" s="8">
        <f t="shared" si="5"/>
        <v>9.8000000000000007</v>
      </c>
      <c r="E48" s="9">
        <v>1</v>
      </c>
      <c r="F48" s="10">
        <v>1</v>
      </c>
      <c r="G48" s="2" t="s">
        <v>51</v>
      </c>
      <c r="H48" s="2" cm="1">
        <f t="array" ref="H48">SUMPRODUCT(D40:D49,E40:E49/SUM(E40:E49))</f>
        <v>9.5500000000000007</v>
      </c>
    </row>
    <row r="49" spans="1:8">
      <c r="A49" s="7" t="s">
        <v>36</v>
      </c>
      <c r="B49" s="7" t="s">
        <v>61</v>
      </c>
      <c r="C49" s="7">
        <v>9.5</v>
      </c>
      <c r="D49" s="8">
        <f t="shared" si="5"/>
        <v>9.5</v>
      </c>
      <c r="E49" s="9">
        <v>1</v>
      </c>
      <c r="F49" s="10">
        <v>1</v>
      </c>
      <c r="G49" s="2" t="s">
        <v>52</v>
      </c>
      <c r="H49" s="2">
        <f>(H47+H48)/10</f>
        <v>0.998</v>
      </c>
    </row>
    <row r="50" spans="1:8">
      <c r="A50" s="3" t="s">
        <v>37</v>
      </c>
    </row>
    <row r="51" spans="1:8">
      <c r="A51" s="3" t="s">
        <v>38</v>
      </c>
    </row>
    <row r="52" spans="1:8" ht="16.2">
      <c r="A52" s="3" t="s">
        <v>39</v>
      </c>
    </row>
    <row r="54" spans="1:8" ht="16.2">
      <c r="A54" s="1" t="s">
        <v>40</v>
      </c>
    </row>
    <row r="56" spans="1:8">
      <c r="A56" s="2" t="s">
        <v>41</v>
      </c>
    </row>
    <row r="57" spans="1:8">
      <c r="A57" s="2" t="s">
        <v>42</v>
      </c>
    </row>
    <row r="58" spans="1:8">
      <c r="A58" s="2" t="s">
        <v>43</v>
      </c>
    </row>
    <row r="59" spans="1:8">
      <c r="A59" s="2" t="s">
        <v>44</v>
      </c>
    </row>
  </sheetData>
  <phoneticPr fontId="1" type="noConversion"/>
  <conditionalFormatting sqref="D6:D9">
    <cfRule type="cellIs" dxfId="9" priority="11" operator="equal">
      <formula>0</formula>
    </cfRule>
  </conditionalFormatting>
  <conditionalFormatting sqref="D16:D18 D28:D30">
    <cfRule type="cellIs" dxfId="8" priority="10" operator="equal">
      <formula>0</formula>
    </cfRule>
  </conditionalFormatting>
  <conditionalFormatting sqref="H18:H27">
    <cfRule type="cellIs" dxfId="7" priority="9" operator="equal">
      <formula>0</formula>
    </cfRule>
  </conditionalFormatting>
  <conditionalFormatting sqref="D40:D49">
    <cfRule type="cellIs" dxfId="6" priority="8" operator="equal">
      <formula>0</formula>
    </cfRule>
  </conditionalFormatting>
  <conditionalFormatting sqref="H30">
    <cfRule type="cellIs" dxfId="5" priority="6" operator="equal">
      <formula>0</formula>
    </cfRule>
  </conditionalFormatting>
  <conditionalFormatting sqref="D31:D33">
    <cfRule type="cellIs" dxfId="4" priority="5" operator="equal">
      <formula>0</formula>
    </cfRule>
  </conditionalFormatting>
  <conditionalFormatting sqref="H33">
    <cfRule type="cellIs" dxfId="3" priority="4" operator="equal">
      <formula>0</formula>
    </cfRule>
  </conditionalFormatting>
  <conditionalFormatting sqref="D19:D21">
    <cfRule type="cellIs" dxfId="2" priority="3" operator="equal">
      <formula>0</formula>
    </cfRule>
  </conditionalFormatting>
  <conditionalFormatting sqref="D22:D24">
    <cfRule type="cellIs" dxfId="1" priority="2" operator="equal">
      <formula>0</formula>
    </cfRule>
  </conditionalFormatting>
  <conditionalFormatting sqref="D25:D27">
    <cfRule type="cellIs" dxfId="0" priority="1" operator="equal">
      <formula>0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腳本表_92A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2026-09-10T02:43:10Z</dcterms:created>
  <dcterms:modified xsi:type="dcterms:W3CDTF">2026-09-10T08:33:22Z</dcterms:modified>
</cp:coreProperties>
</file>