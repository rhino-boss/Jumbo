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8_雷神爆金\文件\101016\PARsheet\"/>
    </mc:Choice>
  </mc:AlternateContent>
  <xr:revisionPtr revIDLastSave="0" documentId="13_ncr:1_{3B21998C-AD9B-424B-B6F0-EDB274508E89}" xr6:coauthVersionLast="47" xr6:coauthVersionMax="47" xr10:uidLastSave="{00000000-0000-0000-0000-000000000000}"/>
  <bookViews>
    <workbookView xWindow="1104" yWindow="1716" windowWidth="17280" windowHeight="8880" tabRatio="840" xr2:uid="{00000000-000D-0000-FFFF-FFFF00000000}"/>
  </bookViews>
  <sheets>
    <sheet name="Overview" sheetId="1" r:id="rId1"/>
    <sheet name="Multiplier_Weight" sheetId="3" r:id="rId2"/>
    <sheet name="Detail" sheetId="5" r:id="rId3"/>
    <sheet name="OP Jackpot" sheetId="4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<sst xmlns="http://schemas.openxmlformats.org/spreadsheetml/2006/main" count="411" uniqueCount="120">
  <si>
    <t>Version:</t>
  </si>
  <si>
    <t>Base Bet</t>
  </si>
  <si>
    <t>Multiway</t>
  </si>
  <si>
    <t>Bet Type</t>
  </si>
  <si>
    <t>Normal Bet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</si>
  <si>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</si>
  <si>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</si>
  <si>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</si>
  <si>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</si>
  <si>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</si>
  <si>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</si>
  <si>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</si>
  <si>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</si>
  <si>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</si>
  <si>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</si>
  <si>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</si>
  <si>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</si>
  <si>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</si>
  <si>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</si>
  <si>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</si>
  <si>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</si>
  <si>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</si>
  <si>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</si>
  <si>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</si>
  <si>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</si>
  <si>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</si>
  <si>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</si>
  <si>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</si>
  <si>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</si>
  <si>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</si>
  <si>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</si>
  <si>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</si>
  <si>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</si>
  <si>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</si>
  <si>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</si>
  <si>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</si>
  <si>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</si>
  <si>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</si>
  <si>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</si>
  <si>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</si>
  <si>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</si>
  <si>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</si>
  <si>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</si>
  <si>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</si>
  <si>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</si>
  <si>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</si>
  <si>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</si>
  <si>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</si>
  <si>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</si>
  <si>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</si>
  <si>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</si>
  <si>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</si>
  <si>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</si>
  <si>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</si>
  <si>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</si>
  <si>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</si>
  <si>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</si>
  <si>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</si>
  <si>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</si>
  <si>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</si>
  <si>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</si>
  <si>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</si>
  <si>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</si>
  <si>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</si>
  <si>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</si>
  <si>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</si>
  <si>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</si>
  <si>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</si>
  <si>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</si>
  <si>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</si>
  <si>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</si>
  <si>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</si>
  <si>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</si>
  <si>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</si>
  <si>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</si>
  <si>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</si>
  <si>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</si>
  <si>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</si>
  <si>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</si>
  <si>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</si>
  <si>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</si>
  <si>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</si>
  <si>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</si>
  <si>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</si>
  <si>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</si>
  <si>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</si>
  <si>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</si>
  <si>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</si>
  <si>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</si>
  <si>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</si>
  <si>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</si>
  <si>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</si>
  <si>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</si>
  <si>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</si>
  <si>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</si>
  <si>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</si>
  <si>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</si>
  <si>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</si>
  <si>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</si>
  <si>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</si>
  <si>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</si>
  <si>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</si>
  <si>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</si>
  <si>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</si>
  <si>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</si>
  <si>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</si>
  <si>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t>Free Game</t>
    <phoneticPr fontId="24" type="noConversion"/>
  </si>
  <si>
    <t>Simulate</t>
    <phoneticPr fontId="20" type="noConversion"/>
  </si>
  <si>
    <t>Model:</t>
    <phoneticPr fontId="20" type="noConversion"/>
  </si>
  <si>
    <t>Weight_NB_BG</t>
    <phoneticPr fontId="20" type="noConversion"/>
  </si>
  <si>
    <t>Weight_NB_FG</t>
    <phoneticPr fontId="20" type="noConversion"/>
  </si>
  <si>
    <t>3.5.0.3</t>
    <phoneticPr fontId="20" type="noConversion"/>
  </si>
  <si>
    <t>H028192</t>
  </si>
  <si>
    <t>Bonus RTP</t>
  </si>
  <si>
    <t>Link RTP</t>
  </si>
  <si>
    <t>Total RTP</t>
  </si>
  <si>
    <t>Hit JP Symbol appear rate</t>
  </si>
  <si>
    <t>Coin in</t>
  </si>
  <si>
    <t>Price(x)</t>
  </si>
  <si>
    <t>Game RTP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</si>
</sst>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rgb="FF000000"/>
      <name val="Courier New"/>
      <family val="3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DE9D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98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0" fontId="23" fillId="38" borderId="0" xfId="0" applyFont="1" applyFill="1" applyAlignment="1">
      <alignment vertical="center"/>
    </xf>
    <xf numFmtId="0" fontId="19" fillId="38" borderId="0" xfId="0" applyFont="1" applyFill="1" applyAlignment="1">
      <alignment vertical="center"/>
    </xf>
    <xf numFmtId="180" fontId="19" fillId="38" borderId="0" xfId="0" applyNumberFormat="1" applyFont="1" applyFill="1" applyAlignment="1">
      <alignment vertical="center"/>
    </xf>
    <xf numFmtId="0" fontId="25" fillId="38" borderId="0" xfId="0" applyFont="1" applyFill="1"/>
    <xf numFmtId="10" fontId="23" fillId="38" borderId="0" xfId="0" applyNumberFormat="1" applyFont="1" applyFill="1" applyAlignment="1">
      <alignment vertical="center"/>
    </xf>
    <xf numFmtId="10" fontId="23" fillId="38" borderId="0" xfId="1" applyNumberFormat="1" applyFont="1" applyFill="1">
      <alignment vertical="center"/>
    </xf>
    <xf numFmtId="0" fontId="23" fillId="38" borderId="0" xfId="0" applyFont="1" applyFill="1"/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58215" applyFont="1" applyFill="1" applyAlignment="1">
      <alignment horizontal="center" vertical="center"/>
    </xf>
    <xf numFmtId="10" fontId="27" fillId="39" borderId="16" xfId="1" applyNumberFormat="1" applyFont="1" applyFill="1" applyBorder="1" applyAlignment="1">
      <alignment horizontal="center" vertical="center"/>
    </xf>
    <xf numFmtId="0" fontId="27" fillId="39" borderId="16" xfId="0" applyFont="1" applyFill="1" applyBorder="1" applyAlignment="1">
      <alignment horizontal="center" vertical="center"/>
    </xf>
    <xf numFmtId="0" fontId="27" fillId="0" borderId="15" xfId="1" applyNumberFormat="1" applyFont="1" applyFill="1" applyBorder="1" applyAlignment="1">
      <alignment horizontal="center" vertical="center" wrapText="1"/>
    </xf>
    <xf numFmtId="0" fontId="27" fillId="40" borderId="15" xfId="1" applyNumberFormat="1" applyFont="1" applyFill="1" applyBorder="1" applyAlignment="1">
      <alignment horizontal="center" vertical="center" wrapText="1"/>
    </xf>
    <xf numFmtId="10" fontId="27" fillId="0" borderId="15" xfId="0" applyNumberFormat="1" applyFont="1" applyFill="1" applyBorder="1" applyAlignment="1">
      <alignment horizontal="center" vertical="center" wrapText="1"/>
    </xf>
    <xf numFmtId="176" fontId="27" fillId="40" borderId="15" xfId="0" applyNumberFormat="1" applyFont="1" applyFill="1" applyBorder="1" applyAlignment="1">
      <alignment horizontal="center" vertical="center" wrapText="1"/>
    </xf>
    <xf numFmtId="10" fontId="27" fillId="40" borderId="15" xfId="1" applyNumberFormat="1" applyFont="1" applyFill="1" applyBorder="1" applyAlignment="1">
      <alignment horizontal="center" vertical="center" wrapText="1"/>
    </xf>
    <xf numFmtId="1" fontId="27" fillId="40" borderId="15" xfId="0" applyNumberFormat="1" applyFont="1" applyFill="1" applyBorder="1" applyAlignment="1">
      <alignment horizontal="center" vertical="center" wrapText="1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19" fillId="0" borderId="0" xfId="0" applyFont="1" applyAlignment="1">
      <alignment vertical="center"/>
    </xf>
    <xf numFmtId="2" fontId="19" fillId="33" borderId="10" xfId="0" applyNumberFormat="1" applyFont="1" applyFill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01"/>
      </font>
      <numFmt numFmtId="1" formatCode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7"/>
  <sheetViews>
    <sheetView tabSelected="1" zoomScale="85" zoomScaleNormal="85" workbookViewId="0">
      <selection activeCell="D29" sqref="D29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3" width="21" style="1" customWidth="1"/>
    <col min="4" max="4" width="37.44140625" style="1" bestFit="1" customWidth="1"/>
    <col min="5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ht="16.2" x14ac:dyDescent="0.3">
      <c r="A2" s="3" t="s">
        <v>108</v>
      </c>
      <c r="B2" t="s">
        <v>112</v>
      </c>
    </row>
    <row r="3" spans="1:10" x14ac:dyDescent="0.3">
      <c r="A3" s="3" t="s">
        <v>0</v>
      </c>
      <c r="B3" s="83" t="s">
        <v>111</v>
      </c>
      <c r="C3" s="21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4"/>
      <c r="F6" s="24"/>
      <c r="G6" s="25"/>
      <c r="H6" s="25"/>
      <c r="I6" s="25"/>
      <c r="J6" s="24"/>
    </row>
    <row r="7" spans="1:10" x14ac:dyDescent="0.3">
      <c r="A7" s="22">
        <v>100</v>
      </c>
      <c r="B7" s="22">
        <v>32400</v>
      </c>
      <c r="H7" s="23"/>
      <c r="I7" s="26"/>
      <c r="J7" s="27"/>
    </row>
    <row r="8" spans="1:10" x14ac:dyDescent="0.3">
      <c r="H8" s="23"/>
      <c r="I8" s="26"/>
      <c r="J8" s="27"/>
    </row>
    <row r="9" spans="1:10" x14ac:dyDescent="0.3">
      <c r="H9" s="23"/>
      <c r="I9" s="26"/>
      <c r="J9" s="27"/>
    </row>
    <row r="10" spans="1:10" ht="16.2" x14ac:dyDescent="0.3">
      <c r="A10" s="84" t="s">
        <v>117</v>
      </c>
      <c r="B10" s="85" t="s">
        <v>118</v>
      </c>
      <c r="C10" s="85" t="s">
        <v>119</v>
      </c>
      <c r="D10" s="85" t="s">
        <v>3</v>
      </c>
      <c r="E10"/>
      <c r="F10"/>
      <c r="G10"/>
      <c r="H10"/>
    </row>
    <row r="11" spans="1:10" ht="16.2" x14ac:dyDescent="0.3">
      <c r="A11" s="86">
        <v>100</v>
      </c>
      <c r="B11" s="87">
        <v>1</v>
      </c>
      <c r="C11" s="88">
        <v>0.92000000079400002</v>
      </c>
      <c r="D11" s="89" t="s">
        <v>4</v>
      </c>
      <c r="E11"/>
      <c r="F11"/>
      <c r="G11"/>
      <c r="H11"/>
    </row>
    <row r="12" spans="1:10" ht="16.2" x14ac:dyDescent="0.3">
      <c r="A12"/>
      <c r="B12"/>
      <c r="C12"/>
      <c r="D12"/>
      <c r="E12"/>
      <c r="F12"/>
      <c r="G12"/>
      <c r="H12"/>
    </row>
    <row r="13" spans="1:10" ht="16.2" x14ac:dyDescent="0.3">
      <c r="A13" s="84" t="s">
        <v>113</v>
      </c>
      <c r="B13" s="85" t="s">
        <v>114</v>
      </c>
      <c r="C13" s="85" t="s">
        <v>115</v>
      </c>
      <c r="D13" s="85" t="s">
        <v>116</v>
      </c>
      <c r="E13"/>
      <c r="F13"/>
      <c r="G13"/>
      <c r="H13"/>
      <c r="I13" s="26"/>
      <c r="J13" s="27"/>
    </row>
    <row r="14" spans="1:10" ht="16.2" x14ac:dyDescent="0.3">
      <c r="A14" s="90">
        <v>0.02</v>
      </c>
      <c r="B14" s="90">
        <v>0.02</v>
      </c>
      <c r="C14" s="88">
        <f>C11+A14+B14</f>
        <v>0.96000000079400005</v>
      </c>
      <c r="D14" s="91">
        <v>3641035800</v>
      </c>
      <c r="E14"/>
      <c r="F14"/>
      <c r="G14"/>
      <c r="H14"/>
      <c r="I14" s="26"/>
      <c r="J14" s="27"/>
    </row>
    <row r="15" spans="1:10" customFormat="1" ht="16.2" x14ac:dyDescent="0.3"/>
    <row r="16" spans="1:10" x14ac:dyDescent="0.3">
      <c r="A16" s="5" t="s">
        <v>5</v>
      </c>
      <c r="B16" s="7"/>
      <c r="C16" s="17"/>
      <c r="D16" s="28"/>
      <c r="E16" s="23"/>
      <c r="H16" s="23"/>
      <c r="I16" s="26"/>
      <c r="J16" s="27"/>
    </row>
    <row r="17" spans="1:10" x14ac:dyDescent="0.3">
      <c r="A17" s="16" t="s">
        <v>3</v>
      </c>
      <c r="B17" s="9" t="s">
        <v>6</v>
      </c>
      <c r="C17" s="9" t="s">
        <v>7</v>
      </c>
      <c r="D17" s="9" t="s">
        <v>8</v>
      </c>
      <c r="E17" s="9" t="s">
        <v>9</v>
      </c>
      <c r="H17" s="23"/>
      <c r="I17" s="26"/>
      <c r="J17" s="27"/>
    </row>
    <row r="18" spans="1:10" x14ac:dyDescent="0.3">
      <c r="A18" s="92" t="s">
        <v>4</v>
      </c>
      <c r="B18" s="18">
        <v>0.71999955330765253</v>
      </c>
      <c r="C18" s="94">
        <v>3.3333327253666674E-3</v>
      </c>
      <c r="D18" s="97">
        <v>300.0000547170099</v>
      </c>
      <c r="E18" s="15" t="s">
        <v>10</v>
      </c>
      <c r="H18" s="23"/>
      <c r="I18" s="26"/>
      <c r="J18" s="27"/>
    </row>
    <row r="19" spans="1:10" ht="15.6" customHeight="1" x14ac:dyDescent="0.3">
      <c r="A19" s="93"/>
      <c r="B19" s="18">
        <v>0.20000044748600931</v>
      </c>
      <c r="C19" s="95"/>
      <c r="D19" s="95"/>
      <c r="E19" s="15" t="s">
        <v>11</v>
      </c>
      <c r="H19" s="23"/>
      <c r="I19" s="26"/>
      <c r="J19" s="27"/>
    </row>
    <row r="22" spans="1:10" x14ac:dyDescent="0.3">
      <c r="A22" s="96"/>
      <c r="C22" s="96"/>
      <c r="D22" s="96"/>
    </row>
    <row r="23" spans="1:10" x14ac:dyDescent="0.3">
      <c r="A23" s="96"/>
      <c r="C23" s="96"/>
      <c r="D23" s="96"/>
    </row>
    <row r="25" spans="1:10" ht="16.2" x14ac:dyDescent="0.3">
      <c r="A25"/>
      <c r="B25"/>
      <c r="C25"/>
      <c r="D25"/>
      <c r="E25"/>
      <c r="F25"/>
      <c r="G25"/>
      <c r="H25"/>
    </row>
    <row r="26" spans="1:10" ht="16.2" x14ac:dyDescent="0.3">
      <c r="A26"/>
      <c r="B26"/>
      <c r="C26"/>
      <c r="D26"/>
      <c r="E26"/>
      <c r="F26"/>
      <c r="G26"/>
      <c r="H26"/>
    </row>
    <row r="27" spans="1:10" ht="16.2" x14ac:dyDescent="0.3">
      <c r="A27"/>
      <c r="B27"/>
      <c r="C27"/>
      <c r="D27"/>
      <c r="E27"/>
      <c r="F27"/>
      <c r="G27"/>
      <c r="H27"/>
    </row>
    <row r="28" spans="1:10" ht="16.2" x14ac:dyDescent="0.3">
      <c r="A28"/>
      <c r="B28"/>
      <c r="C28"/>
      <c r="D28"/>
      <c r="E28"/>
      <c r="F28"/>
      <c r="G28"/>
      <c r="H28"/>
    </row>
    <row r="29" spans="1:10" ht="16.2" x14ac:dyDescent="0.3">
      <c r="A29"/>
      <c r="B29"/>
      <c r="C29"/>
      <c r="D29"/>
      <c r="E29"/>
      <c r="F29"/>
      <c r="G29"/>
      <c r="H29"/>
    </row>
    <row r="30" spans="1:10" ht="16.2" x14ac:dyDescent="0.3">
      <c r="A30"/>
      <c r="B30"/>
      <c r="C30"/>
      <c r="D30"/>
      <c r="E30"/>
      <c r="F30"/>
      <c r="G30"/>
      <c r="H30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">
      <c r="B37" s="2"/>
      <c r="C37" s="2"/>
      <c r="D37" s="2"/>
    </row>
  </sheetData>
  <mergeCells count="6">
    <mergeCell ref="A18:A19"/>
    <mergeCell ref="C18:C19"/>
    <mergeCell ref="D22:D23"/>
    <mergeCell ref="C22:C23"/>
    <mergeCell ref="D18:D19"/>
    <mergeCell ref="A22:A23"/>
  </mergeCells>
  <phoneticPr fontId="20" type="noConversion"/>
  <conditionalFormatting sqref="C11">
    <cfRule type="cellIs" dxfId="3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68"/>
  <sheetViews>
    <sheetView zoomScale="85" zoomScaleNormal="85" workbookViewId="0">
      <selection activeCell="G20" sqref="G20"/>
    </sheetView>
  </sheetViews>
  <sheetFormatPr defaultRowHeight="16.2" x14ac:dyDescent="0.3"/>
  <cols>
    <col min="1" max="1" width="27.109375" style="19" bestFit="1" customWidth="1"/>
    <col min="2" max="3" width="18.33203125" bestFit="1" customWidth="1"/>
    <col min="4" max="4" width="13.88671875" bestFit="1" customWidth="1"/>
  </cols>
  <sheetData>
    <row r="2" spans="1:3" x14ac:dyDescent="0.3">
      <c r="A2" s="9" t="s">
        <v>12</v>
      </c>
      <c r="B2" s="9" t="s">
        <v>109</v>
      </c>
      <c r="C2" s="9" t="s">
        <v>110</v>
      </c>
    </row>
    <row r="3" spans="1:3" x14ac:dyDescent="0.3">
      <c r="A3" s="13" t="s">
        <v>13</v>
      </c>
      <c r="B3" s="10">
        <v>722872717</v>
      </c>
      <c r="C3" s="10">
        <v>0</v>
      </c>
    </row>
    <row r="4" spans="1:3" x14ac:dyDescent="0.3">
      <c r="A4" s="13" t="s">
        <v>14</v>
      </c>
      <c r="B4" s="10">
        <v>153904517</v>
      </c>
      <c r="C4" s="10">
        <v>0</v>
      </c>
    </row>
    <row r="5" spans="1:3" x14ac:dyDescent="0.3">
      <c r="A5" s="13" t="s">
        <v>15</v>
      </c>
      <c r="B5" s="10">
        <v>45202206</v>
      </c>
      <c r="C5" s="10">
        <v>0</v>
      </c>
    </row>
    <row r="6" spans="1:3" x14ac:dyDescent="0.3">
      <c r="A6" s="13" t="s">
        <v>16</v>
      </c>
      <c r="B6" s="10">
        <v>20753630</v>
      </c>
      <c r="C6" s="10">
        <v>0</v>
      </c>
    </row>
    <row r="7" spans="1:3" x14ac:dyDescent="0.3">
      <c r="A7" s="13" t="s">
        <v>17</v>
      </c>
      <c r="B7" s="10">
        <v>12758388</v>
      </c>
      <c r="C7" s="10">
        <v>0</v>
      </c>
    </row>
    <row r="8" spans="1:3" x14ac:dyDescent="0.3">
      <c r="A8" s="13" t="s">
        <v>18</v>
      </c>
      <c r="B8" s="10">
        <v>8302264</v>
      </c>
      <c r="C8" s="10">
        <v>0</v>
      </c>
    </row>
    <row r="9" spans="1:3" x14ac:dyDescent="0.3">
      <c r="A9" s="13" t="s">
        <v>19</v>
      </c>
      <c r="B9" s="10">
        <v>6420440</v>
      </c>
      <c r="C9" s="10">
        <v>0</v>
      </c>
    </row>
    <row r="10" spans="1:3" x14ac:dyDescent="0.3">
      <c r="A10" s="13" t="s">
        <v>20</v>
      </c>
      <c r="B10" s="10">
        <v>3463496</v>
      </c>
      <c r="C10" s="10">
        <v>0</v>
      </c>
    </row>
    <row r="11" spans="1:3" x14ac:dyDescent="0.3">
      <c r="A11" s="13" t="s">
        <v>21</v>
      </c>
      <c r="B11" s="10">
        <v>3892175</v>
      </c>
      <c r="C11" s="10">
        <v>0</v>
      </c>
    </row>
    <row r="12" spans="1:3" x14ac:dyDescent="0.3">
      <c r="A12" s="13" t="s">
        <v>22</v>
      </c>
      <c r="B12" s="10">
        <v>3155808</v>
      </c>
      <c r="C12" s="10">
        <v>0</v>
      </c>
    </row>
    <row r="13" spans="1:3" x14ac:dyDescent="0.3">
      <c r="A13" s="13" t="s">
        <v>23</v>
      </c>
      <c r="B13" s="10">
        <v>2050656</v>
      </c>
      <c r="C13" s="10">
        <v>0</v>
      </c>
    </row>
    <row r="14" spans="1:3" x14ac:dyDescent="0.3">
      <c r="A14" s="13" t="s">
        <v>24</v>
      </c>
      <c r="B14" s="10">
        <v>6232794</v>
      </c>
      <c r="C14" s="10">
        <v>0</v>
      </c>
    </row>
    <row r="15" spans="1:3" x14ac:dyDescent="0.3">
      <c r="A15" s="13" t="s">
        <v>25</v>
      </c>
      <c r="B15" s="10">
        <v>2701790</v>
      </c>
      <c r="C15" s="10">
        <v>0</v>
      </c>
    </row>
    <row r="16" spans="1:3" x14ac:dyDescent="0.3">
      <c r="A16" s="13" t="s">
        <v>26</v>
      </c>
      <c r="B16" s="10">
        <v>1524740</v>
      </c>
      <c r="C16" s="10">
        <v>48298597</v>
      </c>
    </row>
    <row r="17" spans="1:3" x14ac:dyDescent="0.3">
      <c r="A17" s="13" t="s">
        <v>27</v>
      </c>
      <c r="B17" s="10">
        <v>1228709</v>
      </c>
      <c r="C17" s="10">
        <v>194978751</v>
      </c>
    </row>
    <row r="18" spans="1:3" x14ac:dyDescent="0.3">
      <c r="A18" s="13" t="s">
        <v>28</v>
      </c>
      <c r="B18" s="10">
        <v>587504</v>
      </c>
      <c r="C18" s="10">
        <v>69910226</v>
      </c>
    </row>
    <row r="19" spans="1:3" x14ac:dyDescent="0.3">
      <c r="A19" s="13" t="s">
        <v>29</v>
      </c>
      <c r="B19" s="10">
        <v>406258</v>
      </c>
      <c r="C19" s="10">
        <v>117240867</v>
      </c>
    </row>
    <row r="20" spans="1:3" x14ac:dyDescent="0.3">
      <c r="A20" s="13" t="s">
        <v>30</v>
      </c>
      <c r="B20" s="10">
        <v>248336</v>
      </c>
      <c r="C20" s="10">
        <v>97091288</v>
      </c>
    </row>
    <row r="21" spans="1:3" x14ac:dyDescent="0.3">
      <c r="A21" s="13" t="s">
        <v>31</v>
      </c>
      <c r="B21" s="10">
        <v>207985</v>
      </c>
      <c r="C21" s="10">
        <v>79188369</v>
      </c>
    </row>
    <row r="22" spans="1:3" x14ac:dyDescent="0.3">
      <c r="A22" s="13" t="s">
        <v>32</v>
      </c>
      <c r="B22" s="10">
        <v>444389</v>
      </c>
      <c r="C22" s="10">
        <v>71242518</v>
      </c>
    </row>
    <row r="23" spans="1:3" x14ac:dyDescent="0.3">
      <c r="A23" s="13" t="s">
        <v>33</v>
      </c>
      <c r="B23" s="10">
        <v>307865</v>
      </c>
      <c r="C23" s="10">
        <v>88375940</v>
      </c>
    </row>
    <row r="24" spans="1:3" x14ac:dyDescent="0.3">
      <c r="A24" s="13" t="s">
        <v>34</v>
      </c>
      <c r="B24" s="10">
        <v>0</v>
      </c>
      <c r="C24" s="10">
        <v>38368824</v>
      </c>
    </row>
    <row r="25" spans="1:3" x14ac:dyDescent="0.3">
      <c r="A25" s="13" t="s">
        <v>35</v>
      </c>
      <c r="B25" s="10">
        <v>0</v>
      </c>
      <c r="C25" s="10">
        <v>66629554</v>
      </c>
    </row>
    <row r="26" spans="1:3" x14ac:dyDescent="0.3">
      <c r="A26" s="13" t="s">
        <v>36</v>
      </c>
      <c r="B26" s="10">
        <v>0</v>
      </c>
      <c r="C26" s="10">
        <v>23145002</v>
      </c>
    </row>
    <row r="27" spans="1:3" x14ac:dyDescent="0.3">
      <c r="A27" s="13" t="s">
        <v>37</v>
      </c>
      <c r="B27" s="10">
        <v>0</v>
      </c>
      <c r="C27" s="10">
        <v>46872896</v>
      </c>
    </row>
    <row r="28" spans="1:3" x14ac:dyDescent="0.3">
      <c r="A28" s="13" t="s">
        <v>38</v>
      </c>
      <c r="B28" s="10">
        <v>0</v>
      </c>
      <c r="C28" s="10">
        <v>14131224</v>
      </c>
    </row>
    <row r="29" spans="1:3" x14ac:dyDescent="0.3">
      <c r="A29" s="13" t="s">
        <v>39</v>
      </c>
      <c r="B29" s="10">
        <v>0</v>
      </c>
      <c r="C29" s="10">
        <v>18655517</v>
      </c>
    </row>
    <row r="30" spans="1:3" x14ac:dyDescent="0.3">
      <c r="A30" s="13" t="s">
        <v>40</v>
      </c>
      <c r="B30" s="10">
        <v>0</v>
      </c>
      <c r="C30" s="10">
        <v>8035036</v>
      </c>
    </row>
    <row r="31" spans="1:3" x14ac:dyDescent="0.3">
      <c r="A31" s="13" t="s">
        <v>41</v>
      </c>
      <c r="B31" s="10">
        <v>0</v>
      </c>
      <c r="C31" s="10">
        <v>7573841</v>
      </c>
    </row>
    <row r="32" spans="1:3" x14ac:dyDescent="0.3">
      <c r="A32" s="13" t="s">
        <v>42</v>
      </c>
      <c r="B32" s="10">
        <v>0</v>
      </c>
      <c r="C32" s="10">
        <v>1340323</v>
      </c>
    </row>
    <row r="33" spans="1:3" x14ac:dyDescent="0.3">
      <c r="A33" s="13" t="s">
        <v>43</v>
      </c>
      <c r="B33" s="10">
        <v>0</v>
      </c>
      <c r="C33" s="10">
        <v>1094984</v>
      </c>
    </row>
    <row r="34" spans="1:3" x14ac:dyDescent="0.3">
      <c r="A34" s="13" t="s">
        <v>44</v>
      </c>
      <c r="B34" s="10">
        <v>0</v>
      </c>
      <c r="C34" s="10">
        <v>925806</v>
      </c>
    </row>
    <row r="35" spans="1:3" x14ac:dyDescent="0.3">
      <c r="A35" s="13" t="s">
        <v>45</v>
      </c>
      <c r="B35" s="10">
        <v>0</v>
      </c>
      <c r="C35" s="10">
        <v>801742</v>
      </c>
    </row>
    <row r="36" spans="1:3" x14ac:dyDescent="0.3">
      <c r="A36" s="13" t="s">
        <v>46</v>
      </c>
      <c r="B36" s="10">
        <v>0</v>
      </c>
      <c r="C36" s="10">
        <v>707124</v>
      </c>
    </row>
    <row r="37" spans="1:3" x14ac:dyDescent="0.3">
      <c r="A37" s="13" t="s">
        <v>47</v>
      </c>
      <c r="B37" s="10">
        <v>0</v>
      </c>
      <c r="C37" s="10">
        <v>632342</v>
      </c>
    </row>
    <row r="38" spans="1:3" x14ac:dyDescent="0.3">
      <c r="A38" s="13" t="s">
        <v>48</v>
      </c>
      <c r="B38" s="10">
        <v>0</v>
      </c>
      <c r="C38" s="10">
        <v>572084</v>
      </c>
    </row>
    <row r="39" spans="1:3" x14ac:dyDescent="0.3">
      <c r="A39" s="13" t="s">
        <v>49</v>
      </c>
      <c r="B39" s="10">
        <v>0</v>
      </c>
      <c r="C39" s="10">
        <v>522107</v>
      </c>
    </row>
    <row r="40" spans="1:3" x14ac:dyDescent="0.3">
      <c r="A40" s="13" t="s">
        <v>50</v>
      </c>
      <c r="B40" s="10">
        <v>0</v>
      </c>
      <c r="C40" s="10">
        <v>480339</v>
      </c>
    </row>
    <row r="41" spans="1:3" x14ac:dyDescent="0.3">
      <c r="A41" s="13" t="s">
        <v>51</v>
      </c>
      <c r="B41" s="10">
        <v>0</v>
      </c>
      <c r="C41" s="10">
        <v>444603</v>
      </c>
    </row>
    <row r="42" spans="1:3" x14ac:dyDescent="0.3">
      <c r="A42" s="13" t="s">
        <v>52</v>
      </c>
      <c r="B42" s="10">
        <v>0</v>
      </c>
      <c r="C42" s="10">
        <v>413860</v>
      </c>
    </row>
    <row r="43" spans="1:3" x14ac:dyDescent="0.3">
      <c r="A43" s="13" t="s">
        <v>53</v>
      </c>
      <c r="B43" s="10">
        <v>0</v>
      </c>
      <c r="C43" s="10">
        <v>387165</v>
      </c>
    </row>
    <row r="44" spans="1:3" x14ac:dyDescent="0.3">
      <c r="A44" s="13" t="s">
        <v>54</v>
      </c>
      <c r="B44" s="10">
        <v>0</v>
      </c>
      <c r="C44" s="10">
        <v>363661</v>
      </c>
    </row>
    <row r="45" spans="1:3" x14ac:dyDescent="0.3">
      <c r="A45" s="13" t="s">
        <v>55</v>
      </c>
      <c r="B45" s="10">
        <v>0</v>
      </c>
      <c r="C45" s="10">
        <v>342869</v>
      </c>
    </row>
    <row r="46" spans="1:3" x14ac:dyDescent="0.3">
      <c r="A46" s="13" t="s">
        <v>56</v>
      </c>
      <c r="B46" s="10">
        <v>0</v>
      </c>
      <c r="C46" s="10">
        <v>324286</v>
      </c>
    </row>
    <row r="47" spans="1:3" x14ac:dyDescent="0.3">
      <c r="A47" s="13" t="s">
        <v>57</v>
      </c>
      <c r="B47" s="10">
        <v>0</v>
      </c>
      <c r="C47" s="10">
        <v>307667</v>
      </c>
    </row>
    <row r="48" spans="1:3" x14ac:dyDescent="0.3">
      <c r="A48" s="13" t="s">
        <v>58</v>
      </c>
      <c r="B48" s="10">
        <v>0</v>
      </c>
      <c r="C48" s="10">
        <v>228322</v>
      </c>
    </row>
    <row r="49" spans="1:3" x14ac:dyDescent="0.3">
      <c r="A49" s="13" t="s">
        <v>59</v>
      </c>
      <c r="B49" s="10">
        <v>0</v>
      </c>
      <c r="C49" s="10">
        <v>372266</v>
      </c>
    </row>
    <row r="50" spans="1:3" x14ac:dyDescent="0.3">
      <c r="A50" s="13" t="s">
        <v>60</v>
      </c>
      <c r="B50" s="10">
        <v>0</v>
      </c>
      <c r="C50" s="10">
        <v>0</v>
      </c>
    </row>
    <row r="51" spans="1:3" x14ac:dyDescent="0.3">
      <c r="A51" s="13" t="s">
        <v>61</v>
      </c>
      <c r="B51" s="10">
        <v>0</v>
      </c>
      <c r="C51" s="10">
        <v>0</v>
      </c>
    </row>
    <row r="52" spans="1:3" x14ac:dyDescent="0.3">
      <c r="A52" s="13" t="s">
        <v>62</v>
      </c>
      <c r="B52" s="10">
        <v>0</v>
      </c>
      <c r="C52" s="10">
        <v>0</v>
      </c>
    </row>
    <row r="53" spans="1:3" x14ac:dyDescent="0.3">
      <c r="A53" s="13" t="s">
        <v>63</v>
      </c>
      <c r="B53" s="10">
        <v>0</v>
      </c>
      <c r="C53" s="10">
        <v>0</v>
      </c>
    </row>
    <row r="54" spans="1:3" x14ac:dyDescent="0.3">
      <c r="A54" s="13" t="s">
        <v>64</v>
      </c>
      <c r="B54" s="10">
        <v>0</v>
      </c>
      <c r="C54" s="10">
        <v>0</v>
      </c>
    </row>
    <row r="55" spans="1:3" x14ac:dyDescent="0.3">
      <c r="A55" s="13" t="s">
        <v>65</v>
      </c>
      <c r="B55" s="10">
        <v>0</v>
      </c>
      <c r="C55" s="10">
        <v>0</v>
      </c>
    </row>
    <row r="56" spans="1:3" x14ac:dyDescent="0.3">
      <c r="A56" s="13" t="s">
        <v>66</v>
      </c>
      <c r="B56" s="10">
        <v>0</v>
      </c>
      <c r="C56" s="10">
        <v>0</v>
      </c>
    </row>
    <row r="57" spans="1:3" x14ac:dyDescent="0.3">
      <c r="A57" s="13" t="s">
        <v>67</v>
      </c>
      <c r="B57" s="10">
        <v>0</v>
      </c>
      <c r="C57" s="10">
        <v>0</v>
      </c>
    </row>
    <row r="58" spans="1:3" x14ac:dyDescent="0.3">
      <c r="A58" s="13" t="s">
        <v>68</v>
      </c>
      <c r="B58" s="10">
        <v>0</v>
      </c>
      <c r="C58" s="10">
        <v>0</v>
      </c>
    </row>
    <row r="59" spans="1:3" x14ac:dyDescent="0.3">
      <c r="A59" s="13" t="s">
        <v>69</v>
      </c>
      <c r="B59" s="10">
        <v>0</v>
      </c>
      <c r="C59" s="10">
        <v>0</v>
      </c>
    </row>
    <row r="60" spans="1:3" x14ac:dyDescent="0.3">
      <c r="A60" s="13" t="s">
        <v>70</v>
      </c>
      <c r="B60" s="10">
        <v>0</v>
      </c>
      <c r="C60" s="10">
        <v>0</v>
      </c>
    </row>
    <row r="61" spans="1:3" x14ac:dyDescent="0.3">
      <c r="A61" s="13" t="s">
        <v>71</v>
      </c>
      <c r="B61" s="10">
        <v>0</v>
      </c>
      <c r="C61" s="10">
        <v>0</v>
      </c>
    </row>
    <row r="62" spans="1:3" x14ac:dyDescent="0.3">
      <c r="A62" s="13" t="s">
        <v>72</v>
      </c>
      <c r="B62" s="10">
        <v>0</v>
      </c>
      <c r="C62" s="10">
        <v>0</v>
      </c>
    </row>
    <row r="63" spans="1:3" x14ac:dyDescent="0.3">
      <c r="A63" s="13" t="s">
        <v>73</v>
      </c>
      <c r="B63" s="10">
        <v>0</v>
      </c>
      <c r="C63" s="10">
        <v>0</v>
      </c>
    </row>
    <row r="64" spans="1:3" x14ac:dyDescent="0.3">
      <c r="A64" s="13" t="s">
        <v>74</v>
      </c>
      <c r="B64" s="10">
        <v>0</v>
      </c>
      <c r="C64" s="10">
        <v>0</v>
      </c>
    </row>
    <row r="65" spans="1:3" x14ac:dyDescent="0.3">
      <c r="A65" s="13" t="s">
        <v>75</v>
      </c>
      <c r="B65" s="10">
        <v>0</v>
      </c>
      <c r="C65" s="10">
        <v>0</v>
      </c>
    </row>
    <row r="66" spans="1:3" x14ac:dyDescent="0.3">
      <c r="A66" s="13" t="s">
        <v>76</v>
      </c>
      <c r="B66" s="10">
        <v>0</v>
      </c>
      <c r="C66" s="10">
        <v>0</v>
      </c>
    </row>
    <row r="67" spans="1:3" x14ac:dyDescent="0.3">
      <c r="A67" s="13" t="s">
        <v>11</v>
      </c>
      <c r="B67" s="29">
        <v>3333333</v>
      </c>
      <c r="C67" s="31">
        <v>0</v>
      </c>
    </row>
    <row r="68" spans="1:3" x14ac:dyDescent="0.3">
      <c r="B68" s="19"/>
      <c r="C68" s="19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topLeftCell="C1" workbookViewId="0">
      <selection activeCell="G1" sqref="A1:XFD1048576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5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5" customWidth="1"/>
    <col min="15" max="15" width="17.88671875" style="35" bestFit="1" customWidth="1"/>
    <col min="16" max="16" width="14.6640625" style="35" bestFit="1" customWidth="1"/>
    <col min="17" max="17" width="11.6640625" bestFit="1" customWidth="1"/>
    <col min="18" max="18" width="10.21875" bestFit="1" customWidth="1"/>
    <col min="20" max="20" width="9.6640625" customWidth="1"/>
    <col min="22" max="16384" width="8.88671875" style="4"/>
  </cols>
  <sheetData>
    <row r="1" spans="1:21" x14ac:dyDescent="0.3">
      <c r="A1" s="34"/>
      <c r="B1" s="1"/>
      <c r="E1" s="1"/>
      <c r="G1" s="41"/>
      <c r="H1" s="34"/>
      <c r="I1" s="34"/>
      <c r="J1" s="34"/>
      <c r="K1" s="34"/>
      <c r="L1" s="34"/>
      <c r="M1" s="34"/>
    </row>
    <row r="2" spans="1:21" x14ac:dyDescent="0.3">
      <c r="A2" s="54" t="s">
        <v>77</v>
      </c>
      <c r="B2" s="82">
        <v>1000000000</v>
      </c>
      <c r="C2" s="1"/>
      <c r="F2" s="43"/>
      <c r="G2" s="43"/>
      <c r="K2" s="34"/>
      <c r="L2" s="34"/>
      <c r="M2" s="34"/>
    </row>
    <row r="3" spans="1:21" x14ac:dyDescent="0.3">
      <c r="A3" s="54" t="s">
        <v>89</v>
      </c>
      <c r="B3" s="82">
        <v>100</v>
      </c>
      <c r="C3" s="1"/>
      <c r="F3" s="43"/>
      <c r="G3" s="44"/>
    </row>
    <row r="4" spans="1:21" x14ac:dyDescent="0.3">
      <c r="F4" s="43"/>
      <c r="G4" s="43"/>
      <c r="I4" s="1"/>
      <c r="K4" s="45"/>
      <c r="L4" s="46"/>
      <c r="M4" s="47"/>
      <c r="N4" s="48"/>
      <c r="O4" s="48"/>
      <c r="P4" s="48"/>
    </row>
    <row r="5" spans="1:21" x14ac:dyDescent="0.3">
      <c r="A5" s="34"/>
      <c r="B5" s="34"/>
      <c r="C5" s="1" t="s">
        <v>90</v>
      </c>
      <c r="F5" s="4"/>
      <c r="G5" s="35"/>
      <c r="I5" s="43"/>
      <c r="K5" s="49"/>
      <c r="L5" s="46"/>
      <c r="M5" s="47"/>
      <c r="N5" s="48"/>
      <c r="O5" s="48"/>
      <c r="P5" s="48"/>
    </row>
    <row r="6" spans="1:21" x14ac:dyDescent="0.3">
      <c r="A6" s="50"/>
      <c r="B6" s="11" t="s">
        <v>82</v>
      </c>
      <c r="C6" s="11" t="s">
        <v>83</v>
      </c>
      <c r="D6" s="11" t="s">
        <v>84</v>
      </c>
      <c r="E6" s="11" t="s">
        <v>91</v>
      </c>
      <c r="F6" s="11" t="s">
        <v>85</v>
      </c>
      <c r="G6" s="11" t="s">
        <v>86</v>
      </c>
      <c r="H6" s="11" t="s">
        <v>87</v>
      </c>
      <c r="I6" s="51" t="s">
        <v>92</v>
      </c>
      <c r="J6" s="52" t="s">
        <v>93</v>
      </c>
      <c r="K6" s="44"/>
      <c r="L6" s="44"/>
      <c r="M6" s="53"/>
    </row>
    <row r="7" spans="1:21" x14ac:dyDescent="0.3">
      <c r="A7" s="54" t="s">
        <v>88</v>
      </c>
      <c r="B7" s="54" cm="1">
        <v>1</v>
      </c>
      <c r="C7" s="36">
        <v>0.71999955330765253</v>
      </c>
      <c r="D7" s="36">
        <v>0.20000044748600931</v>
      </c>
      <c r="E7" s="37">
        <v>0.92000000079366184</v>
      </c>
      <c r="F7" s="38">
        <v>3.3333327253666674E-3</v>
      </c>
      <c r="G7" s="39">
        <v>300.0000547170099</v>
      </c>
      <c r="H7" s="40">
        <v>60.000145189229258</v>
      </c>
      <c r="I7" s="55" cm="1">
        <v>70</v>
      </c>
      <c r="J7" s="55" cm="1">
        <v>3000</v>
      </c>
      <c r="K7" s="43"/>
      <c r="L7" s="44"/>
      <c r="M7" s="53"/>
    </row>
    <row r="8" spans="1:21" customFormat="1" x14ac:dyDescent="0.3"/>
    <row r="9" spans="1:21" x14ac:dyDescent="0.3">
      <c r="A9" s="34"/>
      <c r="B9" s="1"/>
      <c r="C9" s="56"/>
      <c r="D9" s="34"/>
      <c r="E9" s="1"/>
      <c r="G9" s="41"/>
      <c r="H9" s="34"/>
      <c r="I9" s="34"/>
      <c r="J9" s="34"/>
      <c r="K9" s="57"/>
      <c r="L9" s="43"/>
      <c r="M9" s="43"/>
    </row>
    <row r="10" spans="1:21" x14ac:dyDescent="0.3">
      <c r="A10" s="34"/>
      <c r="B10" s="1"/>
      <c r="C10" s="1"/>
      <c r="D10" s="56"/>
      <c r="E10" s="1"/>
      <c r="G10" s="41"/>
      <c r="H10" s="34"/>
      <c r="I10" s="34"/>
      <c r="J10" s="34"/>
      <c r="K10" s="57"/>
      <c r="L10" s="43"/>
      <c r="M10" s="43"/>
    </row>
    <row r="11" spans="1:21" s="80" customFormat="1" x14ac:dyDescent="0.3">
      <c r="A11" s="81" t="s">
        <v>88</v>
      </c>
      <c r="B11" s="81" t="s">
        <v>83</v>
      </c>
      <c r="C11" s="81"/>
      <c r="D11" s="76"/>
      <c r="E11" s="75"/>
      <c r="F11" s="77"/>
      <c r="G11" s="81" t="s">
        <v>88</v>
      </c>
      <c r="H11" s="81" t="s">
        <v>83</v>
      </c>
      <c r="I11" s="74"/>
      <c r="J11" s="74"/>
      <c r="K11" s="78"/>
      <c r="L11" s="79"/>
      <c r="M11" s="79"/>
      <c r="N11" s="77"/>
      <c r="O11" s="81" t="s">
        <v>88</v>
      </c>
      <c r="P11" s="81" t="s">
        <v>83</v>
      </c>
      <c r="Q11"/>
      <c r="R11"/>
      <c r="S11"/>
      <c r="T11"/>
      <c r="U11"/>
    </row>
    <row r="12" spans="1:21" x14ac:dyDescent="0.3">
      <c r="A12" s="34"/>
      <c r="B12" s="1"/>
      <c r="C12" s="1"/>
      <c r="D12" s="56"/>
      <c r="E12" s="1"/>
      <c r="G12" s="41"/>
      <c r="H12" s="34"/>
      <c r="I12" s="34"/>
      <c r="J12" s="34"/>
      <c r="K12" s="57"/>
      <c r="L12" s="43"/>
      <c r="M12" s="43"/>
    </row>
    <row r="13" spans="1:21" x14ac:dyDescent="0.3">
      <c r="A13" s="58" t="s">
        <v>107</v>
      </c>
      <c r="B13" s="42">
        <v>1000000000</v>
      </c>
      <c r="C13" s="1"/>
      <c r="D13" s="1"/>
      <c r="E13" s="1"/>
      <c r="G13" s="58" t="s">
        <v>94</v>
      </c>
      <c r="H13" s="34"/>
      <c r="I13" s="34"/>
      <c r="J13" s="34"/>
      <c r="K13" s="34"/>
      <c r="L13" s="34"/>
      <c r="M13" s="34"/>
    </row>
    <row r="14" spans="1:21" x14ac:dyDescent="0.3">
      <c r="A14" s="9" t="s">
        <v>100</v>
      </c>
      <c r="B14" s="9" t="s">
        <v>97</v>
      </c>
      <c r="C14" s="9" t="s">
        <v>98</v>
      </c>
      <c r="D14" s="9" t="s">
        <v>99</v>
      </c>
      <c r="E14" s="9" t="s">
        <v>80</v>
      </c>
      <c r="G14" s="9" t="s">
        <v>100</v>
      </c>
      <c r="H14" s="9" t="s">
        <v>101</v>
      </c>
      <c r="I14" s="9" t="s">
        <v>102</v>
      </c>
      <c r="J14" s="9" t="s">
        <v>103</v>
      </c>
      <c r="K14" s="9" t="s">
        <v>104</v>
      </c>
      <c r="L14" s="9" t="s">
        <v>81</v>
      </c>
      <c r="M14" s="9" t="s">
        <v>105</v>
      </c>
      <c r="O14" s="9" t="s">
        <v>95</v>
      </c>
      <c r="P14" s="9" t="s">
        <v>96</v>
      </c>
    </row>
    <row r="15" spans="1:21" x14ac:dyDescent="0.3">
      <c r="A15" s="13" t="s">
        <v>13</v>
      </c>
      <c r="B15" s="60">
        <v>624769021</v>
      </c>
      <c r="C15" s="60">
        <v>0</v>
      </c>
      <c r="D15" s="33" cm="1">
        <v>0.62476902099999998</v>
      </c>
      <c r="E15" s="61" cm="1">
        <v>0</v>
      </c>
      <c r="G15" s="13" t="s">
        <v>13</v>
      </c>
      <c r="H15" s="63">
        <v>1.16095751008756</v>
      </c>
      <c r="I15" s="32" cm="1">
        <v>0.72533028700000246</v>
      </c>
      <c r="J15" s="32" cm="1">
        <v>0.7252903534922297</v>
      </c>
      <c r="K15" s="64" cm="1">
        <v>725290353</v>
      </c>
      <c r="L15" s="32" cm="1">
        <v>0.72287271748520687</v>
      </c>
      <c r="M15" s="32" cm="1">
        <v>0</v>
      </c>
      <c r="N15" s="66"/>
      <c r="O15" s="59">
        <v>-1</v>
      </c>
      <c r="P15" s="59">
        <v>0</v>
      </c>
    </row>
    <row r="16" spans="1:21" x14ac:dyDescent="0.3">
      <c r="A16" s="13" t="s">
        <v>14</v>
      </c>
      <c r="B16" s="67">
        <v>143263411</v>
      </c>
      <c r="C16" s="67">
        <v>6213982290</v>
      </c>
      <c r="D16" s="32">
        <v>0.14326341100000001</v>
      </c>
      <c r="E16" s="62">
        <v>0.43374524218189947</v>
      </c>
      <c r="G16" s="13" t="s">
        <v>14</v>
      </c>
      <c r="H16" s="63">
        <v>1.0779287532110999</v>
      </c>
      <c r="I16" s="32">
        <v>0.15442774999999939</v>
      </c>
      <c r="J16" s="32">
        <v>0.15441924788466591</v>
      </c>
      <c r="K16" s="64">
        <v>154419248</v>
      </c>
      <c r="L16" s="32">
        <v>0.15390451695940605</v>
      </c>
      <c r="M16" s="32">
        <v>6.6755351981445832E-2</v>
      </c>
      <c r="N16" s="66"/>
      <c r="O16" s="54">
        <v>0</v>
      </c>
      <c r="P16" s="54">
        <v>1</v>
      </c>
    </row>
    <row r="17" spans="1:16" x14ac:dyDescent="0.3">
      <c r="A17" s="13" t="s">
        <v>15</v>
      </c>
      <c r="B17" s="67">
        <v>54932044</v>
      </c>
      <c r="C17" s="67">
        <v>8270002480</v>
      </c>
      <c r="D17" s="32">
        <v>5.4932043999999999E-2</v>
      </c>
      <c r="E17" s="62">
        <v>1.5054969518337966</v>
      </c>
      <c r="F17" s="68"/>
      <c r="G17" s="13" t="s">
        <v>15</v>
      </c>
      <c r="H17" s="63">
        <v>0.82567255279996499</v>
      </c>
      <c r="I17" s="32">
        <v>4.5355881000000001E-2</v>
      </c>
      <c r="J17" s="32">
        <v>4.53533839039061E-2</v>
      </c>
      <c r="K17" s="64">
        <v>45353384</v>
      </c>
      <c r="L17" s="32">
        <v>4.5202205990502266E-2</v>
      </c>
      <c r="M17" s="32">
        <v>6.8051783334864543E-2</v>
      </c>
      <c r="N17" s="66"/>
      <c r="O17" s="54">
        <v>1</v>
      </c>
      <c r="P17" s="54">
        <v>2</v>
      </c>
    </row>
    <row r="18" spans="1:16" x14ac:dyDescent="0.3">
      <c r="A18" s="13" t="s">
        <v>16</v>
      </c>
      <c r="B18" s="67">
        <v>33042473</v>
      </c>
      <c r="C18" s="67">
        <v>8364971370</v>
      </c>
      <c r="D18" s="32">
        <v>3.3042473000000003E-2</v>
      </c>
      <c r="E18" s="62">
        <v>2.5315815102580244</v>
      </c>
      <c r="F18" s="68"/>
      <c r="G18" s="13" t="s">
        <v>16</v>
      </c>
      <c r="H18" s="63">
        <v>0.63022480187847896</v>
      </c>
      <c r="I18" s="32">
        <v>2.0824185999999991E-2</v>
      </c>
      <c r="J18" s="32">
        <v>2.082303951155411E-2</v>
      </c>
      <c r="K18" s="64">
        <v>20823040</v>
      </c>
      <c r="L18" s="32">
        <v>2.0753629837819122E-2</v>
      </c>
      <c r="M18" s="32">
        <v>5.2539505568162129E-2</v>
      </c>
      <c r="N18" s="66"/>
      <c r="O18" s="54">
        <v>2</v>
      </c>
      <c r="P18" s="54">
        <v>3</v>
      </c>
    </row>
    <row r="19" spans="1:16" x14ac:dyDescent="0.3">
      <c r="A19" s="13" t="s">
        <v>17</v>
      </c>
      <c r="B19" s="67">
        <v>22877263</v>
      </c>
      <c r="C19" s="67">
        <v>8071800230</v>
      </c>
      <c r="D19" s="32">
        <v>2.2877262999999998E-2</v>
      </c>
      <c r="E19" s="62">
        <v>3.5283067865242446</v>
      </c>
      <c r="F19" s="69"/>
      <c r="G19" s="13" t="s">
        <v>17</v>
      </c>
      <c r="H19" s="63">
        <v>0.55958455344942304</v>
      </c>
      <c r="I19" s="32">
        <v>1.2801763000000008E-2</v>
      </c>
      <c r="J19" s="32">
        <v>1.2801058191016531E-2</v>
      </c>
      <c r="K19" s="64">
        <v>12801058</v>
      </c>
      <c r="L19" s="32">
        <v>1.2758387788932507E-2</v>
      </c>
      <c r="M19" s="32">
        <v>4.5015506220798619E-2</v>
      </c>
      <c r="N19" s="66"/>
      <c r="O19" s="54">
        <v>3</v>
      </c>
      <c r="P19" s="54">
        <v>4</v>
      </c>
    </row>
    <row r="20" spans="1:16" x14ac:dyDescent="0.3">
      <c r="A20" s="13" t="s">
        <v>18</v>
      </c>
      <c r="B20" s="67">
        <v>16969191</v>
      </c>
      <c r="C20" s="67">
        <v>7691363560</v>
      </c>
      <c r="D20" s="32">
        <v>1.6969191000000002E-2</v>
      </c>
      <c r="E20" s="62">
        <v>4.5325458119953979</v>
      </c>
      <c r="F20" s="69"/>
      <c r="G20" s="13" t="s">
        <v>18</v>
      </c>
      <c r="H20" s="63">
        <v>0.49091851226142702</v>
      </c>
      <c r="I20" s="32">
        <v>8.3304899999999977E-3</v>
      </c>
      <c r="J20" s="32">
        <v>8.3300313597182828E-3</v>
      </c>
      <c r="K20" s="64">
        <v>8330031</v>
      </c>
      <c r="L20" s="32">
        <v>8.3022642184598528E-3</v>
      </c>
      <c r="M20" s="32">
        <v>3.7630392913459453E-2</v>
      </c>
      <c r="N20" s="66"/>
      <c r="O20" s="54">
        <v>4</v>
      </c>
      <c r="P20" s="54">
        <v>5</v>
      </c>
    </row>
    <row r="21" spans="1:16" x14ac:dyDescent="0.3">
      <c r="A21" s="13" t="s">
        <v>19</v>
      </c>
      <c r="B21" s="67">
        <v>13473297</v>
      </c>
      <c r="C21" s="67">
        <v>7480889915</v>
      </c>
      <c r="D21" s="32">
        <v>1.3473297E-2</v>
      </c>
      <c r="E21" s="62">
        <v>5.5523825497203836</v>
      </c>
      <c r="F21" s="69"/>
      <c r="G21" s="13" t="s">
        <v>19</v>
      </c>
      <c r="H21" s="63">
        <v>0.47815081935772702</v>
      </c>
      <c r="I21" s="32">
        <v>6.4422680000000053E-3</v>
      </c>
      <c r="J21" s="32">
        <v>6.4419133169488999E-3</v>
      </c>
      <c r="K21" s="64">
        <v>6441913</v>
      </c>
      <c r="L21" s="32">
        <v>6.4204399477422553E-3</v>
      </c>
      <c r="M21" s="32">
        <v>3.5648738727371752E-2</v>
      </c>
      <c r="N21" s="66"/>
      <c r="O21" s="54">
        <v>5</v>
      </c>
      <c r="P21" s="54">
        <v>6</v>
      </c>
    </row>
    <row r="22" spans="1:16" x14ac:dyDescent="0.3">
      <c r="A22" s="13" t="s">
        <v>20</v>
      </c>
      <c r="B22" s="67">
        <v>10639718</v>
      </c>
      <c r="C22" s="67">
        <v>6941964595</v>
      </c>
      <c r="D22" s="32">
        <v>1.0639717999999999E-2</v>
      </c>
      <c r="E22" s="62">
        <v>6.5245757406352309</v>
      </c>
      <c r="F22" s="69"/>
      <c r="G22" s="13" t="s">
        <v>20</v>
      </c>
      <c r="H22" s="63">
        <v>0.326631871258242</v>
      </c>
      <c r="I22" s="32">
        <v>3.4752709999999998E-3</v>
      </c>
      <c r="J22" s="32">
        <v>3.4750796668046565E-3</v>
      </c>
      <c r="K22" s="64">
        <v>3475080</v>
      </c>
      <c r="L22" s="32">
        <v>3.46349639518574E-3</v>
      </c>
      <c r="M22" s="32">
        <v>2.2597844557806453E-2</v>
      </c>
      <c r="N22" s="66"/>
      <c r="O22" s="54">
        <v>6</v>
      </c>
      <c r="P22" s="54">
        <v>7</v>
      </c>
    </row>
    <row r="23" spans="1:16" x14ac:dyDescent="0.3">
      <c r="A23" s="13" t="s">
        <v>21</v>
      </c>
      <c r="B23" s="67">
        <v>8953686</v>
      </c>
      <c r="C23" s="67">
        <v>6744293590</v>
      </c>
      <c r="D23" s="32">
        <v>8.9536860000000006E-3</v>
      </c>
      <c r="E23" s="62">
        <v>7.5324213848910935</v>
      </c>
      <c r="F23" s="69"/>
      <c r="G23" s="13" t="s">
        <v>21</v>
      </c>
      <c r="H23" s="63">
        <v>0.43617868663252202</v>
      </c>
      <c r="I23" s="32">
        <v>3.9054069999999996E-3</v>
      </c>
      <c r="J23" s="32">
        <v>3.9051919854010157E-3</v>
      </c>
      <c r="K23" s="64">
        <v>3905192</v>
      </c>
      <c r="L23" s="32">
        <v>3.8921746879232106E-3</v>
      </c>
      <c r="M23" s="32">
        <v>2.9317499853044611E-2</v>
      </c>
      <c r="N23" s="66"/>
      <c r="O23" s="54">
        <v>7</v>
      </c>
      <c r="P23" s="54">
        <v>8</v>
      </c>
    </row>
    <row r="24" spans="1:16" x14ac:dyDescent="0.3">
      <c r="A24" s="13" t="s">
        <v>22</v>
      </c>
      <c r="B24" s="67">
        <v>7527858</v>
      </c>
      <c r="C24" s="67">
        <v>6438090340</v>
      </c>
      <c r="D24" s="32">
        <v>7.5278580000000001E-3</v>
      </c>
      <c r="E24" s="62">
        <v>8.5523535911543505</v>
      </c>
      <c r="F24" s="69"/>
      <c r="G24" s="13" t="s">
        <v>22</v>
      </c>
      <c r="H24" s="63">
        <v>0.42064249883565802</v>
      </c>
      <c r="I24" s="32">
        <v>3.1665369999999988E-3</v>
      </c>
      <c r="J24" s="32">
        <v>3.166362664346065E-3</v>
      </c>
      <c r="K24" s="64">
        <v>3166363</v>
      </c>
      <c r="L24" s="32">
        <v>3.1558084522800931E-3</v>
      </c>
      <c r="M24" s="32">
        <v>2.6989589749852907E-2</v>
      </c>
      <c r="N24" s="66"/>
      <c r="O24" s="54">
        <v>8</v>
      </c>
      <c r="P24" s="54">
        <v>9</v>
      </c>
    </row>
    <row r="25" spans="1:16" x14ac:dyDescent="0.3">
      <c r="A25" s="13" t="s">
        <v>23</v>
      </c>
      <c r="B25" s="67">
        <v>6225071</v>
      </c>
      <c r="C25" s="67">
        <v>5937388995</v>
      </c>
      <c r="D25" s="32">
        <v>6.2250710000000004E-3</v>
      </c>
      <c r="E25" s="62">
        <v>9.5378655038633298</v>
      </c>
      <c r="F25" s="69"/>
      <c r="G25" s="13" t="s">
        <v>23</v>
      </c>
      <c r="H25" s="63">
        <v>0.33053871995998102</v>
      </c>
      <c r="I25" s="32">
        <v>2.0576269999999989E-3</v>
      </c>
      <c r="J25" s="32">
        <v>2.0575137160722895E-3</v>
      </c>
      <c r="K25" s="64">
        <v>2057514</v>
      </c>
      <c r="L25" s="32">
        <v>2.0506556171495886E-3</v>
      </c>
      <c r="M25" s="32">
        <v>1.9558877471114629E-2</v>
      </c>
      <c r="N25" s="66"/>
      <c r="O25" s="54">
        <v>9</v>
      </c>
      <c r="P25" s="54">
        <v>10</v>
      </c>
    </row>
    <row r="26" spans="1:16" x14ac:dyDescent="0.3">
      <c r="A26" s="13" t="s">
        <v>24</v>
      </c>
      <c r="B26" s="67">
        <v>20709880</v>
      </c>
      <c r="C26" s="67">
        <v>25432216970</v>
      </c>
      <c r="D26" s="32">
        <v>2.070988E-2</v>
      </c>
      <c r="E26" s="62">
        <v>12.280233864223259</v>
      </c>
      <c r="F26" s="69"/>
      <c r="G26" s="13" t="s">
        <v>24</v>
      </c>
      <c r="H26" s="63">
        <v>0.30198064884972797</v>
      </c>
      <c r="I26" s="32">
        <v>6.2539830000000046E-3</v>
      </c>
      <c r="J26" s="32">
        <v>6.253638683096082E-3</v>
      </c>
      <c r="K26" s="64">
        <v>6253639</v>
      </c>
      <c r="L26" s="32">
        <v>6.2327935280030835E-3</v>
      </c>
      <c r="M26" s="32">
        <v>7.6540162151295027E-2</v>
      </c>
      <c r="N26" s="66"/>
      <c r="O26" s="54">
        <v>10</v>
      </c>
      <c r="P26" s="54">
        <v>15</v>
      </c>
    </row>
    <row r="27" spans="1:16" x14ac:dyDescent="0.3">
      <c r="A27" s="13" t="s">
        <v>25</v>
      </c>
      <c r="B27" s="67">
        <v>11154375</v>
      </c>
      <c r="C27" s="67">
        <v>19338114770</v>
      </c>
      <c r="D27" s="32">
        <v>1.1154374999999999E-2</v>
      </c>
      <c r="E27" s="62">
        <v>17.336798135260828</v>
      </c>
      <c r="F27" s="69"/>
      <c r="G27" s="13" t="s">
        <v>25</v>
      </c>
      <c r="H27" s="63">
        <v>0.24304140751947101</v>
      </c>
      <c r="I27" s="32">
        <v>2.7109749999999991E-3</v>
      </c>
      <c r="J27" s="32">
        <v>2.7108257455938692E-3</v>
      </c>
      <c r="K27" s="64">
        <v>2710826</v>
      </c>
      <c r="L27" s="32">
        <v>2.7017899095778453E-3</v>
      </c>
      <c r="M27" s="32">
        <v>4.6840386266235712E-2</v>
      </c>
      <c r="N27" s="66"/>
      <c r="O27" s="54">
        <v>15</v>
      </c>
      <c r="P27" s="54">
        <v>20</v>
      </c>
    </row>
    <row r="28" spans="1:16" x14ac:dyDescent="0.3">
      <c r="A28" s="13" t="s">
        <v>26</v>
      </c>
      <c r="B28" s="67">
        <v>6742750</v>
      </c>
      <c r="C28" s="67">
        <v>15082378485</v>
      </c>
      <c r="D28" s="32">
        <v>6.7427499999999996E-3</v>
      </c>
      <c r="E28" s="62">
        <v>22.368289622186794</v>
      </c>
      <c r="F28" s="69"/>
      <c r="G28" s="13" t="s">
        <v>26</v>
      </c>
      <c r="H28" s="63">
        <v>0.22689896555559699</v>
      </c>
      <c r="I28" s="32">
        <v>1.5299230000000016E-3</v>
      </c>
      <c r="J28" s="32">
        <v>1.5298387691425465E-3</v>
      </c>
      <c r="K28" s="64">
        <v>1529839</v>
      </c>
      <c r="L28" s="32">
        <v>1.5247395345472786E-3</v>
      </c>
      <c r="M28" s="32">
        <v>3.4105815507151811E-2</v>
      </c>
      <c r="N28" s="66"/>
      <c r="O28" s="54">
        <v>20</v>
      </c>
      <c r="P28" s="54">
        <v>25</v>
      </c>
    </row>
    <row r="29" spans="1:16" x14ac:dyDescent="0.3">
      <c r="A29" s="13" t="s">
        <v>27</v>
      </c>
      <c r="B29" s="67">
        <v>4478938</v>
      </c>
      <c r="C29" s="67">
        <v>12270573635</v>
      </c>
      <c r="D29" s="32">
        <v>4.478938E-3</v>
      </c>
      <c r="E29" s="62">
        <v>27.396167651796027</v>
      </c>
      <c r="F29" s="69"/>
      <c r="G29" s="13" t="s">
        <v>27</v>
      </c>
      <c r="H29" s="63">
        <v>0.27526301993910202</v>
      </c>
      <c r="I29" s="32">
        <v>1.2328860000000016E-3</v>
      </c>
      <c r="J29" s="32">
        <v>1.2328181226983828E-3</v>
      </c>
      <c r="K29" s="64">
        <v>1232818</v>
      </c>
      <c r="L29" s="32">
        <v>1.2287086049587617E-3</v>
      </c>
      <c r="M29" s="32">
        <v>3.3661906936654648E-2</v>
      </c>
      <c r="N29" s="66"/>
      <c r="O29" s="54">
        <v>25</v>
      </c>
      <c r="P29" s="54">
        <v>30</v>
      </c>
    </row>
    <row r="30" spans="1:16" x14ac:dyDescent="0.3">
      <c r="A30" s="13" t="s">
        <v>28</v>
      </c>
      <c r="B30" s="67">
        <v>3019117</v>
      </c>
      <c r="C30" s="67">
        <v>9781437025</v>
      </c>
      <c r="D30" s="32">
        <v>3.019117E-3</v>
      </c>
      <c r="E30" s="62">
        <v>32.398337080013796</v>
      </c>
      <c r="F30" s="69"/>
      <c r="G30" s="13" t="s">
        <v>28</v>
      </c>
      <c r="H30" s="63">
        <v>0.195256096401696</v>
      </c>
      <c r="I30" s="32">
        <v>5.8950099999999922E-4</v>
      </c>
      <c r="J30" s="32">
        <v>5.8946854465767107E-4</v>
      </c>
      <c r="K30" s="64">
        <v>589469</v>
      </c>
      <c r="L30" s="32">
        <v>5.8750410251670268E-4</v>
      </c>
      <c r="M30" s="32">
        <v>1.9034155949227114E-2</v>
      </c>
      <c r="N30" s="66"/>
      <c r="O30" s="54">
        <v>30</v>
      </c>
      <c r="P30" s="54">
        <v>35</v>
      </c>
    </row>
    <row r="31" spans="1:16" x14ac:dyDescent="0.3">
      <c r="A31" s="13" t="s">
        <v>29</v>
      </c>
      <c r="B31" s="67">
        <v>2207678</v>
      </c>
      <c r="C31" s="67">
        <v>8265177240</v>
      </c>
      <c r="D31" s="32">
        <v>2.2076779999999998E-3</v>
      </c>
      <c r="E31" s="62">
        <v>37.438327690904195</v>
      </c>
      <c r="F31" s="69"/>
      <c r="G31" s="13" t="s">
        <v>29</v>
      </c>
      <c r="H31" s="63">
        <v>0.184646039866321</v>
      </c>
      <c r="I31" s="32">
        <v>4.0763899999999979E-4</v>
      </c>
      <c r="J31" s="32">
        <v>4.0761655718261474E-4</v>
      </c>
      <c r="K31" s="64">
        <v>407617</v>
      </c>
      <c r="L31" s="32">
        <v>4.0625827610196768E-4</v>
      </c>
      <c r="M31" s="32">
        <v>1.5209630467847299E-2</v>
      </c>
      <c r="N31" s="66"/>
      <c r="O31" s="54">
        <v>35</v>
      </c>
      <c r="P31" s="54">
        <v>40</v>
      </c>
    </row>
    <row r="32" spans="1:16" x14ac:dyDescent="0.3">
      <c r="A32" s="13" t="s">
        <v>30</v>
      </c>
      <c r="B32" s="67">
        <v>1647354</v>
      </c>
      <c r="C32" s="67">
        <v>6990921545</v>
      </c>
      <c r="D32" s="32">
        <v>1.647354E-3</v>
      </c>
      <c r="E32" s="62">
        <v>42.437275442922413</v>
      </c>
      <c r="F32" s="69"/>
      <c r="G32" s="13" t="s">
        <v>30</v>
      </c>
      <c r="H32" s="63">
        <v>0.15126135608982599</v>
      </c>
      <c r="I32" s="32">
        <v>2.491809999999992E-4</v>
      </c>
      <c r="J32" s="32">
        <v>2.4916728118585526E-4</v>
      </c>
      <c r="K32" s="64">
        <v>249167</v>
      </c>
      <c r="L32" s="32">
        <v>2.4833644298814567E-4</v>
      </c>
      <c r="M32" s="32">
        <v>1.0538722033603535E-2</v>
      </c>
      <c r="N32" s="66"/>
      <c r="O32" s="54">
        <v>40</v>
      </c>
      <c r="P32" s="54">
        <v>45</v>
      </c>
    </row>
    <row r="33" spans="1:16" x14ac:dyDescent="0.3">
      <c r="A33" s="13" t="s">
        <v>31</v>
      </c>
      <c r="B33" s="67">
        <v>1231801</v>
      </c>
      <c r="C33" s="67">
        <v>5846172855</v>
      </c>
      <c r="D33" s="32">
        <v>1.231801E-3</v>
      </c>
      <c r="E33" s="62">
        <v>47.460367827270801</v>
      </c>
      <c r="F33" s="69"/>
      <c r="G33" s="13" t="s">
        <v>31</v>
      </c>
      <c r="H33" s="63">
        <v>0.169420222909382</v>
      </c>
      <c r="I33" s="32">
        <v>2.0869199999999966E-4</v>
      </c>
      <c r="J33" s="32">
        <v>2.0868051033280462E-4</v>
      </c>
      <c r="K33" s="64">
        <v>208681</v>
      </c>
      <c r="L33" s="32">
        <v>2.0798539637756697E-4</v>
      </c>
      <c r="M33" s="32">
        <v>9.8710634147800447E-3</v>
      </c>
      <c r="N33" s="66"/>
      <c r="O33" s="54">
        <v>45</v>
      </c>
      <c r="P33" s="54">
        <v>50</v>
      </c>
    </row>
    <row r="34" spans="1:16" x14ac:dyDescent="0.3">
      <c r="A34" s="13" t="s">
        <v>32</v>
      </c>
      <c r="B34" s="67">
        <v>1762183</v>
      </c>
      <c r="C34" s="67">
        <v>9639446010</v>
      </c>
      <c r="D34" s="32">
        <v>1.7621830000000001E-3</v>
      </c>
      <c r="E34" s="62">
        <v>54.70173080775379</v>
      </c>
      <c r="F34" s="69"/>
      <c r="G34" s="13" t="s">
        <v>32</v>
      </c>
      <c r="H34" s="63">
        <v>0.25303841882483302</v>
      </c>
      <c r="I34" s="32">
        <v>4.4590000000000076E-4</v>
      </c>
      <c r="J34" s="32">
        <v>4.4587545069958549E-4</v>
      </c>
      <c r="K34" s="64">
        <v>445875</v>
      </c>
      <c r="L34" s="32">
        <v>4.4438874938229964E-4</v>
      </c>
      <c r="M34" s="32">
        <v>2.4308833742704917E-2</v>
      </c>
      <c r="N34" s="66"/>
      <c r="O34" s="54">
        <v>50</v>
      </c>
      <c r="P34" s="54">
        <v>60</v>
      </c>
    </row>
    <row r="35" spans="1:16" x14ac:dyDescent="0.3">
      <c r="A35" s="13" t="s">
        <v>33</v>
      </c>
      <c r="B35" s="67">
        <v>1115555</v>
      </c>
      <c r="C35" s="67">
        <v>7215914750</v>
      </c>
      <c r="D35" s="32">
        <v>1.1155550000000001E-3</v>
      </c>
      <c r="E35" s="62">
        <v>64.684526984326183</v>
      </c>
      <c r="F35" s="69"/>
      <c r="G35" s="13" t="s">
        <v>33</v>
      </c>
      <c r="H35" s="63">
        <v>0.27691297163221401</v>
      </c>
      <c r="I35" s="32">
        <v>3.0891165006917453E-4</v>
      </c>
      <c r="J35" s="32">
        <v>3.0889464274713073E-4</v>
      </c>
      <c r="K35" s="64">
        <v>308895</v>
      </c>
      <c r="L35" s="32">
        <v>3.0786534957206714E-4</v>
      </c>
      <c r="M35" s="32">
        <v>1.991412451193339E-2</v>
      </c>
      <c r="N35" s="66"/>
      <c r="O35" s="54">
        <v>60</v>
      </c>
      <c r="P35" s="54">
        <v>70</v>
      </c>
    </row>
    <row r="36" spans="1:16" x14ac:dyDescent="0.3">
      <c r="A36" s="13" t="s">
        <v>34</v>
      </c>
      <c r="B36" s="67">
        <v>765767</v>
      </c>
      <c r="C36" s="67">
        <v>5730365795</v>
      </c>
      <c r="D36" s="32">
        <v>7.6576699999999999E-4</v>
      </c>
      <c r="E36" s="62">
        <v>74.831715064765135</v>
      </c>
      <c r="F36" s="69"/>
      <c r="G36" s="13" t="s">
        <v>34</v>
      </c>
      <c r="H36" s="63">
        <v>0</v>
      </c>
      <c r="I36" s="32">
        <v>0</v>
      </c>
      <c r="J36" s="32">
        <v>0</v>
      </c>
      <c r="K36" s="64">
        <v>0</v>
      </c>
      <c r="L36" s="32">
        <v>0</v>
      </c>
      <c r="M36" s="32">
        <v>0</v>
      </c>
      <c r="N36" s="66"/>
      <c r="O36" s="54">
        <v>70</v>
      </c>
      <c r="P36" s="54">
        <v>80</v>
      </c>
    </row>
    <row r="37" spans="1:16" x14ac:dyDescent="0.3">
      <c r="A37" s="13" t="s">
        <v>35</v>
      </c>
      <c r="B37" s="67">
        <v>552109</v>
      </c>
      <c r="C37" s="67">
        <v>4680160810</v>
      </c>
      <c r="D37" s="32">
        <v>5.5210899999999995E-4</v>
      </c>
      <c r="E37" s="62">
        <v>84.768783156949084</v>
      </c>
      <c r="F37" s="69"/>
      <c r="G37" s="13" t="s">
        <v>35</v>
      </c>
      <c r="H37" s="63">
        <v>0</v>
      </c>
      <c r="I37" s="32">
        <v>0</v>
      </c>
      <c r="J37" s="32">
        <v>0</v>
      </c>
      <c r="K37" s="64">
        <v>0</v>
      </c>
      <c r="L37" s="32">
        <v>0</v>
      </c>
      <c r="M37" s="32">
        <v>0</v>
      </c>
      <c r="N37" s="66"/>
      <c r="O37" s="54">
        <v>80</v>
      </c>
      <c r="P37" s="54">
        <v>90</v>
      </c>
    </row>
    <row r="38" spans="1:16" x14ac:dyDescent="0.3">
      <c r="A38" s="13" t="s">
        <v>36</v>
      </c>
      <c r="B38" s="67">
        <v>384983</v>
      </c>
      <c r="C38" s="67">
        <v>3650434755</v>
      </c>
      <c r="D38" s="32">
        <v>3.8498299999999998E-4</v>
      </c>
      <c r="E38" s="62">
        <v>94.820674029762358</v>
      </c>
      <c r="F38" s="69"/>
      <c r="G38" s="13" t="s">
        <v>36</v>
      </c>
      <c r="H38" s="63">
        <v>0</v>
      </c>
      <c r="I38" s="32">
        <v>0</v>
      </c>
      <c r="J38" s="32">
        <v>0</v>
      </c>
      <c r="K38" s="64">
        <v>0</v>
      </c>
      <c r="L38" s="32">
        <v>0</v>
      </c>
      <c r="M38" s="32">
        <v>0</v>
      </c>
      <c r="N38" s="66"/>
      <c r="O38" s="54">
        <v>90</v>
      </c>
      <c r="P38" s="54">
        <v>100</v>
      </c>
    </row>
    <row r="39" spans="1:16" x14ac:dyDescent="0.3">
      <c r="A39" s="13" t="s">
        <v>37</v>
      </c>
      <c r="B39" s="67">
        <v>525979</v>
      </c>
      <c r="C39" s="67">
        <v>5748049055</v>
      </c>
      <c r="D39" s="32">
        <v>5.2597899999999999E-4</v>
      </c>
      <c r="E39" s="62">
        <v>109.28286214848882</v>
      </c>
      <c r="F39" s="69"/>
      <c r="G39" s="13" t="s">
        <v>37</v>
      </c>
      <c r="H39" s="63">
        <v>0</v>
      </c>
      <c r="I39" s="32">
        <v>0</v>
      </c>
      <c r="J39" s="32">
        <v>0</v>
      </c>
      <c r="K39" s="64">
        <v>0</v>
      </c>
      <c r="L39" s="32">
        <v>0</v>
      </c>
      <c r="M39" s="32">
        <v>0</v>
      </c>
      <c r="N39" s="66"/>
      <c r="O39" s="54">
        <v>100</v>
      </c>
      <c r="P39" s="54">
        <v>120</v>
      </c>
    </row>
    <row r="40" spans="1:16" x14ac:dyDescent="0.3">
      <c r="A40" s="13" t="s">
        <v>38</v>
      </c>
      <c r="B40" s="67">
        <v>310338</v>
      </c>
      <c r="C40" s="67">
        <v>4007533360</v>
      </c>
      <c r="D40" s="32">
        <v>3.1033800000000001E-4</v>
      </c>
      <c r="E40" s="62">
        <v>129.13447144726072</v>
      </c>
      <c r="F40" s="69"/>
      <c r="G40" s="13" t="s">
        <v>38</v>
      </c>
      <c r="H40" s="63">
        <v>0</v>
      </c>
      <c r="I40" s="32">
        <v>0</v>
      </c>
      <c r="J40" s="32">
        <v>0</v>
      </c>
      <c r="K40" s="64">
        <v>0</v>
      </c>
      <c r="L40" s="32">
        <v>0</v>
      </c>
      <c r="M40" s="32">
        <v>0</v>
      </c>
      <c r="N40" s="66"/>
      <c r="O40" s="54">
        <v>120</v>
      </c>
      <c r="P40" s="54">
        <v>140</v>
      </c>
    </row>
    <row r="41" spans="1:16" x14ac:dyDescent="0.3">
      <c r="A41" s="13" t="s">
        <v>39</v>
      </c>
      <c r="B41" s="67">
        <v>199653</v>
      </c>
      <c r="C41" s="67">
        <v>2986647385</v>
      </c>
      <c r="D41" s="32">
        <v>1.9965299999999999E-4</v>
      </c>
      <c r="E41" s="62">
        <v>149.5919112159597</v>
      </c>
      <c r="F41" s="69"/>
      <c r="G41" s="13" t="s">
        <v>39</v>
      </c>
      <c r="H41" s="63">
        <v>0</v>
      </c>
      <c r="I41" s="32">
        <v>0</v>
      </c>
      <c r="J41" s="32">
        <v>0</v>
      </c>
      <c r="K41" s="64">
        <v>0</v>
      </c>
      <c r="L41" s="32">
        <v>0</v>
      </c>
      <c r="M41" s="32">
        <v>0</v>
      </c>
      <c r="N41" s="66"/>
      <c r="O41" s="54">
        <v>140</v>
      </c>
      <c r="P41" s="54">
        <v>160</v>
      </c>
    </row>
    <row r="42" spans="1:16" x14ac:dyDescent="0.3">
      <c r="A42" s="13" t="s">
        <v>40</v>
      </c>
      <c r="B42" s="67">
        <v>136239</v>
      </c>
      <c r="C42" s="67">
        <v>2307122600</v>
      </c>
      <c r="D42" s="32">
        <v>1.3623899999999999E-4</v>
      </c>
      <c r="E42" s="62">
        <v>169.34377087324484</v>
      </c>
      <c r="F42" s="69"/>
      <c r="G42" s="13" t="s">
        <v>40</v>
      </c>
      <c r="H42" s="63">
        <v>0</v>
      </c>
      <c r="I42" s="32">
        <v>0</v>
      </c>
      <c r="J42" s="32">
        <v>0</v>
      </c>
      <c r="K42" s="64">
        <v>0</v>
      </c>
      <c r="L42" s="32">
        <v>0</v>
      </c>
      <c r="M42" s="32">
        <v>0</v>
      </c>
      <c r="N42" s="66"/>
      <c r="O42" s="54">
        <v>160</v>
      </c>
      <c r="P42" s="54">
        <v>180</v>
      </c>
    </row>
    <row r="43" spans="1:16" x14ac:dyDescent="0.3">
      <c r="A43" s="13" t="s">
        <v>41</v>
      </c>
      <c r="B43" s="67">
        <v>89017</v>
      </c>
      <c r="C43" s="67">
        <v>1686108905</v>
      </c>
      <c r="D43" s="32">
        <v>8.9017000000000005E-5</v>
      </c>
      <c r="E43" s="62">
        <v>189.41425851241897</v>
      </c>
      <c r="F43" s="69"/>
      <c r="G43" s="13" t="s">
        <v>41</v>
      </c>
      <c r="H43" s="63">
        <v>0</v>
      </c>
      <c r="I43" s="32">
        <v>0</v>
      </c>
      <c r="J43" s="32">
        <v>0</v>
      </c>
      <c r="K43" s="64">
        <v>0</v>
      </c>
      <c r="L43" s="32">
        <v>0</v>
      </c>
      <c r="M43" s="32">
        <v>0</v>
      </c>
      <c r="N43" s="66"/>
      <c r="O43" s="54">
        <v>180</v>
      </c>
      <c r="P43" s="54">
        <v>200</v>
      </c>
    </row>
    <row r="44" spans="1:16" x14ac:dyDescent="0.3">
      <c r="A44" s="13" t="s">
        <v>42</v>
      </c>
      <c r="B44" s="67">
        <v>134278</v>
      </c>
      <c r="C44" s="67">
        <v>2985370485</v>
      </c>
      <c r="D44" s="32">
        <v>1.3427799999999999E-4</v>
      </c>
      <c r="E44" s="62">
        <v>222.3275953618612</v>
      </c>
      <c r="F44" s="69"/>
      <c r="G44" s="13" t="s">
        <v>42</v>
      </c>
      <c r="H44" s="63">
        <v>0</v>
      </c>
      <c r="I44" s="32">
        <v>0</v>
      </c>
      <c r="J44" s="32">
        <v>0</v>
      </c>
      <c r="K44" s="64">
        <v>0</v>
      </c>
      <c r="L44" s="32">
        <v>0</v>
      </c>
      <c r="M44" s="32">
        <v>0</v>
      </c>
      <c r="N44" s="66"/>
      <c r="O44" s="54">
        <v>200</v>
      </c>
      <c r="P44" s="54">
        <v>250</v>
      </c>
    </row>
    <row r="45" spans="1:16" x14ac:dyDescent="0.3">
      <c r="A45" s="13" t="s">
        <v>43</v>
      </c>
      <c r="B45" s="67">
        <v>62285</v>
      </c>
      <c r="C45" s="67">
        <v>1695782195</v>
      </c>
      <c r="D45" s="32">
        <v>6.2285000000000004E-5</v>
      </c>
      <c r="E45" s="62">
        <v>272.26173155655454</v>
      </c>
      <c r="F45" s="69"/>
      <c r="G45" s="13" t="s">
        <v>43</v>
      </c>
      <c r="H45" s="63">
        <v>0</v>
      </c>
      <c r="I45" s="32">
        <v>0</v>
      </c>
      <c r="J45" s="32">
        <v>0</v>
      </c>
      <c r="K45" s="64">
        <v>0</v>
      </c>
      <c r="L45" s="32">
        <v>0</v>
      </c>
      <c r="M45" s="32">
        <v>0</v>
      </c>
      <c r="N45" s="66"/>
      <c r="O45" s="54">
        <v>250</v>
      </c>
      <c r="P45" s="54">
        <v>300</v>
      </c>
    </row>
    <row r="46" spans="1:16" x14ac:dyDescent="0.3">
      <c r="A46" s="13" t="s">
        <v>44</v>
      </c>
      <c r="B46" s="67">
        <v>36357</v>
      </c>
      <c r="C46" s="67">
        <v>1173301035</v>
      </c>
      <c r="D46" s="32">
        <v>3.6356999999999998E-5</v>
      </c>
      <c r="E46" s="62">
        <v>322.7166804191765</v>
      </c>
      <c r="F46" s="69"/>
      <c r="G46" s="13" t="s">
        <v>44</v>
      </c>
      <c r="H46" s="63">
        <v>0</v>
      </c>
      <c r="I46" s="32">
        <v>0</v>
      </c>
      <c r="J46" s="32">
        <v>0</v>
      </c>
      <c r="K46" s="64">
        <v>0</v>
      </c>
      <c r="L46" s="32">
        <v>0</v>
      </c>
      <c r="M46" s="32">
        <v>0</v>
      </c>
      <c r="N46" s="66"/>
      <c r="O46" s="54">
        <v>300</v>
      </c>
      <c r="P46" s="54">
        <v>350</v>
      </c>
    </row>
    <row r="47" spans="1:16" x14ac:dyDescent="0.3">
      <c r="A47" s="13" t="s">
        <v>45</v>
      </c>
      <c r="B47" s="67">
        <v>19620</v>
      </c>
      <c r="C47" s="67">
        <v>731097560</v>
      </c>
      <c r="D47" s="32">
        <v>1.9619999999999998E-5</v>
      </c>
      <c r="E47" s="62">
        <v>372.62872579001021</v>
      </c>
      <c r="F47" s="69"/>
      <c r="G47" s="13" t="s">
        <v>45</v>
      </c>
      <c r="H47" s="63">
        <v>0</v>
      </c>
      <c r="I47" s="32">
        <v>0</v>
      </c>
      <c r="J47" s="32">
        <v>0</v>
      </c>
      <c r="K47" s="64">
        <v>0</v>
      </c>
      <c r="L47" s="32">
        <v>0</v>
      </c>
      <c r="M47" s="32">
        <v>0</v>
      </c>
      <c r="N47" s="66"/>
      <c r="O47" s="54">
        <v>350</v>
      </c>
      <c r="P47" s="54">
        <v>400</v>
      </c>
    </row>
    <row r="48" spans="1:16" x14ac:dyDescent="0.3">
      <c r="A48" s="13" t="s">
        <v>46</v>
      </c>
      <c r="B48" s="67">
        <v>11946</v>
      </c>
      <c r="C48" s="67">
        <v>506548265</v>
      </c>
      <c r="D48" s="32">
        <v>1.1946E-5</v>
      </c>
      <c r="E48" s="62">
        <v>424.03169680227694</v>
      </c>
      <c r="F48" s="69"/>
      <c r="G48" s="13" t="s">
        <v>46</v>
      </c>
      <c r="H48" s="63">
        <v>0</v>
      </c>
      <c r="I48" s="32">
        <v>0</v>
      </c>
      <c r="J48" s="32">
        <v>0</v>
      </c>
      <c r="K48" s="64">
        <v>0</v>
      </c>
      <c r="L48" s="32">
        <v>0</v>
      </c>
      <c r="M48" s="32">
        <v>0</v>
      </c>
      <c r="N48" s="66"/>
      <c r="O48" s="54">
        <v>400</v>
      </c>
      <c r="P48" s="54">
        <v>450</v>
      </c>
    </row>
    <row r="49" spans="1:16" x14ac:dyDescent="0.3">
      <c r="A49" s="13" t="s">
        <v>47</v>
      </c>
      <c r="B49" s="67">
        <v>8650</v>
      </c>
      <c r="C49" s="67">
        <v>409037710</v>
      </c>
      <c r="D49" s="32">
        <v>8.6500000000000002E-6</v>
      </c>
      <c r="E49" s="62">
        <v>472.87596531791911</v>
      </c>
      <c r="F49" s="69"/>
      <c r="G49" s="13" t="s">
        <v>47</v>
      </c>
      <c r="H49" s="63">
        <v>0</v>
      </c>
      <c r="I49" s="32">
        <v>0</v>
      </c>
      <c r="J49" s="32">
        <v>0</v>
      </c>
      <c r="K49" s="64">
        <v>0</v>
      </c>
      <c r="L49" s="32">
        <v>0</v>
      </c>
      <c r="M49" s="32">
        <v>0</v>
      </c>
      <c r="N49" s="66"/>
      <c r="O49" s="54">
        <v>450</v>
      </c>
      <c r="P49" s="54">
        <v>500</v>
      </c>
    </row>
    <row r="50" spans="1:16" x14ac:dyDescent="0.3">
      <c r="A50" s="13" t="s">
        <v>48</v>
      </c>
      <c r="B50" s="67">
        <v>5172</v>
      </c>
      <c r="C50" s="67">
        <v>270458450</v>
      </c>
      <c r="D50" s="32">
        <v>5.1719999999999998E-6</v>
      </c>
      <c r="E50" s="62">
        <v>522.92817092034022</v>
      </c>
      <c r="F50" s="69"/>
      <c r="G50" s="13" t="s">
        <v>48</v>
      </c>
      <c r="H50" s="63">
        <v>0</v>
      </c>
      <c r="I50" s="32">
        <v>0</v>
      </c>
      <c r="J50" s="32">
        <v>0</v>
      </c>
      <c r="K50" s="64">
        <v>0</v>
      </c>
      <c r="L50" s="32">
        <v>0</v>
      </c>
      <c r="M50" s="32">
        <v>0</v>
      </c>
      <c r="N50" s="66"/>
      <c r="O50" s="54">
        <v>500</v>
      </c>
      <c r="P50" s="54">
        <v>550</v>
      </c>
    </row>
    <row r="51" spans="1:16" x14ac:dyDescent="0.3">
      <c r="A51" s="13" t="s">
        <v>49</v>
      </c>
      <c r="B51" s="67">
        <v>3564</v>
      </c>
      <c r="C51" s="67">
        <v>204673175</v>
      </c>
      <c r="D51" s="32">
        <v>3.5640000000000001E-6</v>
      </c>
      <c r="E51" s="62">
        <v>574.27939113355785</v>
      </c>
      <c r="F51" s="69"/>
      <c r="G51" s="13" t="s">
        <v>49</v>
      </c>
      <c r="H51" s="63">
        <v>0</v>
      </c>
      <c r="I51" s="32">
        <v>0</v>
      </c>
      <c r="J51" s="32">
        <v>0</v>
      </c>
      <c r="K51" s="64">
        <v>0</v>
      </c>
      <c r="L51" s="32">
        <v>0</v>
      </c>
      <c r="M51" s="32">
        <v>0</v>
      </c>
      <c r="N51" s="66"/>
      <c r="O51" s="54">
        <v>550</v>
      </c>
      <c r="P51" s="54">
        <v>600</v>
      </c>
    </row>
    <row r="52" spans="1:16" x14ac:dyDescent="0.3">
      <c r="A52" s="13" t="s">
        <v>50</v>
      </c>
      <c r="B52" s="67">
        <v>2635</v>
      </c>
      <c r="C52" s="67">
        <v>164043780</v>
      </c>
      <c r="D52" s="32">
        <v>2.6350000000000002E-6</v>
      </c>
      <c r="E52" s="62">
        <v>622.55703984819729</v>
      </c>
      <c r="F52" s="69"/>
      <c r="G52" s="13" t="s">
        <v>50</v>
      </c>
      <c r="H52" s="63">
        <v>0</v>
      </c>
      <c r="I52" s="32">
        <v>0</v>
      </c>
      <c r="J52" s="32">
        <v>0</v>
      </c>
      <c r="K52" s="64">
        <v>0</v>
      </c>
      <c r="L52" s="32">
        <v>0</v>
      </c>
      <c r="M52" s="32">
        <v>0</v>
      </c>
      <c r="N52" s="66"/>
      <c r="O52" s="54">
        <v>600</v>
      </c>
      <c r="P52" s="54">
        <v>650</v>
      </c>
    </row>
    <row r="53" spans="1:16" x14ac:dyDescent="0.3">
      <c r="A53" s="13" t="s">
        <v>51</v>
      </c>
      <c r="B53" s="67">
        <v>2071</v>
      </c>
      <c r="C53" s="67">
        <v>139558440</v>
      </c>
      <c r="D53" s="32">
        <v>2.0710000000000002E-6</v>
      </c>
      <c r="E53" s="62">
        <v>673.86982134234665</v>
      </c>
      <c r="F53" s="69"/>
      <c r="G53" s="13" t="s">
        <v>51</v>
      </c>
      <c r="H53" s="63">
        <v>0</v>
      </c>
      <c r="I53" s="32">
        <v>0</v>
      </c>
      <c r="J53" s="32">
        <v>0</v>
      </c>
      <c r="K53" s="64">
        <v>0</v>
      </c>
      <c r="L53" s="32">
        <v>0</v>
      </c>
      <c r="M53" s="32">
        <v>0</v>
      </c>
      <c r="N53" s="66"/>
      <c r="O53" s="54">
        <v>650</v>
      </c>
      <c r="P53" s="54">
        <v>700</v>
      </c>
    </row>
    <row r="54" spans="1:16" x14ac:dyDescent="0.3">
      <c r="A54" s="13" t="s">
        <v>52</v>
      </c>
      <c r="B54" s="67">
        <v>1406</v>
      </c>
      <c r="C54" s="67">
        <v>101672315</v>
      </c>
      <c r="D54" s="32">
        <v>1.406E-6</v>
      </c>
      <c r="E54" s="62">
        <v>723.13168563300144</v>
      </c>
      <c r="F54" s="69"/>
      <c r="G54" s="13" t="s">
        <v>52</v>
      </c>
      <c r="H54" s="63">
        <v>0</v>
      </c>
      <c r="I54" s="32">
        <v>0</v>
      </c>
      <c r="J54" s="32">
        <v>0</v>
      </c>
      <c r="K54" s="64">
        <v>0</v>
      </c>
      <c r="L54" s="32">
        <v>0</v>
      </c>
      <c r="M54" s="32">
        <v>0</v>
      </c>
      <c r="N54" s="66"/>
      <c r="O54" s="54">
        <v>700</v>
      </c>
      <c r="P54" s="54">
        <v>750</v>
      </c>
    </row>
    <row r="55" spans="1:16" x14ac:dyDescent="0.3">
      <c r="A55" s="13" t="s">
        <v>53</v>
      </c>
      <c r="B55" s="67">
        <v>1052</v>
      </c>
      <c r="C55" s="67">
        <v>81420500</v>
      </c>
      <c r="D55" s="32">
        <v>1.052E-6</v>
      </c>
      <c r="E55" s="62">
        <v>773.95912547528508</v>
      </c>
      <c r="F55" s="69"/>
      <c r="G55" s="13" t="s">
        <v>53</v>
      </c>
      <c r="H55" s="63">
        <v>0</v>
      </c>
      <c r="I55" s="32">
        <v>0</v>
      </c>
      <c r="J55" s="32">
        <v>0</v>
      </c>
      <c r="K55" s="64">
        <v>0</v>
      </c>
      <c r="L55" s="32">
        <v>0</v>
      </c>
      <c r="M55" s="32">
        <v>0</v>
      </c>
      <c r="N55" s="66"/>
      <c r="O55" s="54">
        <v>750</v>
      </c>
      <c r="P55" s="54">
        <v>800</v>
      </c>
    </row>
    <row r="56" spans="1:16" x14ac:dyDescent="0.3">
      <c r="A56" s="13" t="s">
        <v>54</v>
      </c>
      <c r="B56" s="67">
        <v>670</v>
      </c>
      <c r="C56" s="67">
        <v>55139855</v>
      </c>
      <c r="D56" s="32">
        <v>6.7000000000000004E-7</v>
      </c>
      <c r="E56" s="62">
        <v>822.98291044776124</v>
      </c>
      <c r="F56" s="69"/>
      <c r="G56" s="13" t="s">
        <v>54</v>
      </c>
      <c r="H56" s="63">
        <v>0</v>
      </c>
      <c r="I56" s="32">
        <v>0</v>
      </c>
      <c r="J56" s="32">
        <v>0</v>
      </c>
      <c r="K56" s="64">
        <v>0</v>
      </c>
      <c r="L56" s="32">
        <v>0</v>
      </c>
      <c r="M56" s="32">
        <v>0</v>
      </c>
      <c r="N56" s="66"/>
      <c r="O56" s="54">
        <v>800</v>
      </c>
      <c r="P56" s="54">
        <v>850</v>
      </c>
    </row>
    <row r="57" spans="1:16" x14ac:dyDescent="0.3">
      <c r="A57" s="13" t="s">
        <v>55</v>
      </c>
      <c r="B57" s="67">
        <v>615</v>
      </c>
      <c r="C57" s="67">
        <v>53945030</v>
      </c>
      <c r="D57" s="32">
        <v>6.1500000000000004E-7</v>
      </c>
      <c r="E57" s="62">
        <v>877.15495934959358</v>
      </c>
      <c r="F57" s="69"/>
      <c r="G57" s="13" t="s">
        <v>55</v>
      </c>
      <c r="H57" s="63">
        <v>0</v>
      </c>
      <c r="I57" s="32">
        <v>0</v>
      </c>
      <c r="J57" s="32">
        <v>0</v>
      </c>
      <c r="K57" s="65">
        <v>0</v>
      </c>
      <c r="L57" s="32">
        <v>0</v>
      </c>
      <c r="M57" s="32">
        <v>0</v>
      </c>
      <c r="N57" s="66"/>
      <c r="O57" s="54">
        <v>850</v>
      </c>
      <c r="P57" s="54">
        <v>900</v>
      </c>
    </row>
    <row r="58" spans="1:16" x14ac:dyDescent="0.3">
      <c r="A58" s="13" t="s">
        <v>56</v>
      </c>
      <c r="B58" s="67">
        <v>529</v>
      </c>
      <c r="C58" s="67">
        <v>48772985</v>
      </c>
      <c r="D58" s="32">
        <v>5.2900000000000004E-7</v>
      </c>
      <c r="E58" s="62">
        <v>921.98459357277886</v>
      </c>
      <c r="F58" s="69"/>
      <c r="G58" s="13" t="s">
        <v>56</v>
      </c>
      <c r="H58" s="63">
        <v>0</v>
      </c>
      <c r="I58" s="32">
        <v>0</v>
      </c>
      <c r="J58" s="32">
        <v>0</v>
      </c>
      <c r="K58" s="65">
        <v>0</v>
      </c>
      <c r="L58" s="32">
        <v>0</v>
      </c>
      <c r="M58" s="32">
        <v>0</v>
      </c>
      <c r="N58" s="66"/>
      <c r="O58" s="54">
        <v>900</v>
      </c>
      <c r="P58" s="54">
        <v>950</v>
      </c>
    </row>
    <row r="59" spans="1:16" x14ac:dyDescent="0.3">
      <c r="A59" s="13" t="s">
        <v>57</v>
      </c>
      <c r="B59" s="67">
        <v>388</v>
      </c>
      <c r="C59" s="67">
        <v>37807435</v>
      </c>
      <c r="D59" s="32">
        <v>3.8799999999999998E-7</v>
      </c>
      <c r="E59" s="62">
        <v>974.4184278350516</v>
      </c>
      <c r="F59" s="69"/>
      <c r="G59" s="13" t="s">
        <v>57</v>
      </c>
      <c r="H59" s="63">
        <v>0</v>
      </c>
      <c r="I59" s="32">
        <v>0</v>
      </c>
      <c r="J59" s="32">
        <v>0</v>
      </c>
      <c r="K59" s="65">
        <v>0</v>
      </c>
      <c r="L59" s="32">
        <v>0</v>
      </c>
      <c r="M59" s="32">
        <v>0</v>
      </c>
      <c r="N59" s="66"/>
      <c r="O59" s="54">
        <v>950</v>
      </c>
      <c r="P59" s="54">
        <v>1000</v>
      </c>
    </row>
    <row r="60" spans="1:16" x14ac:dyDescent="0.3">
      <c r="A60" s="13" t="s">
        <v>58</v>
      </c>
      <c r="B60" s="67">
        <v>1842</v>
      </c>
      <c r="C60" s="67">
        <v>234716490</v>
      </c>
      <c r="D60" s="32">
        <v>1.8419999999999999E-6</v>
      </c>
      <c r="E60" s="62">
        <v>1274.2480456026058</v>
      </c>
      <c r="F60" s="69"/>
      <c r="G60" s="13" t="s">
        <v>58</v>
      </c>
      <c r="H60" s="63">
        <v>0</v>
      </c>
      <c r="I60" s="32">
        <v>0</v>
      </c>
      <c r="J60" s="32">
        <v>0</v>
      </c>
      <c r="K60" s="65">
        <v>0</v>
      </c>
      <c r="L60" s="32">
        <v>0</v>
      </c>
      <c r="M60" s="32">
        <v>0</v>
      </c>
      <c r="N60" s="66"/>
      <c r="O60" s="54">
        <v>1000</v>
      </c>
      <c r="P60" s="54">
        <v>2000</v>
      </c>
    </row>
    <row r="61" spans="1:16" x14ac:dyDescent="0.3">
      <c r="A61" s="13" t="s">
        <v>59</v>
      </c>
      <c r="B61" s="67">
        <v>135</v>
      </c>
      <c r="C61" s="67">
        <v>31885450</v>
      </c>
      <c r="D61" s="32">
        <v>1.35E-7</v>
      </c>
      <c r="E61" s="62">
        <v>2361.885185185185</v>
      </c>
      <c r="F61" s="69"/>
      <c r="G61" s="13" t="s">
        <v>59</v>
      </c>
      <c r="H61" s="63">
        <v>0</v>
      </c>
      <c r="I61" s="32">
        <v>0</v>
      </c>
      <c r="J61" s="32">
        <v>0</v>
      </c>
      <c r="K61" s="65">
        <v>0</v>
      </c>
      <c r="L61" s="32">
        <v>0</v>
      </c>
      <c r="M61" s="32">
        <v>0</v>
      </c>
      <c r="N61" s="66"/>
      <c r="O61" s="54">
        <v>2000</v>
      </c>
      <c r="P61" s="54">
        <v>3000</v>
      </c>
    </row>
    <row r="62" spans="1:16" x14ac:dyDescent="0.3">
      <c r="A62" s="13" t="s">
        <v>60</v>
      </c>
      <c r="B62" s="67">
        <v>30</v>
      </c>
      <c r="C62" s="67">
        <v>10026250</v>
      </c>
      <c r="D62" s="32">
        <v>2.9999999999999997E-8</v>
      </c>
      <c r="E62" s="62">
        <v>3342.083333333333</v>
      </c>
      <c r="F62" s="69"/>
      <c r="G62" s="13" t="s">
        <v>60</v>
      </c>
      <c r="H62" s="63">
        <v>0</v>
      </c>
      <c r="I62" s="32">
        <v>0</v>
      </c>
      <c r="J62" s="32">
        <v>0</v>
      </c>
      <c r="K62" s="65">
        <v>0</v>
      </c>
      <c r="L62" s="32">
        <v>0</v>
      </c>
      <c r="M62" s="32">
        <v>0</v>
      </c>
      <c r="N62" s="66"/>
      <c r="O62" s="54">
        <v>3000</v>
      </c>
      <c r="P62" s="54">
        <v>4000</v>
      </c>
    </row>
    <row r="63" spans="1:16" x14ac:dyDescent="0.3">
      <c r="A63" s="13" t="s">
        <v>61</v>
      </c>
      <c r="B63" s="67">
        <v>5</v>
      </c>
      <c r="C63" s="67">
        <v>2164270</v>
      </c>
      <c r="D63" s="32">
        <v>5.0000000000000001E-9</v>
      </c>
      <c r="E63" s="62">
        <v>4328.54</v>
      </c>
      <c r="F63" s="69"/>
      <c r="G63" s="13" t="s">
        <v>61</v>
      </c>
      <c r="H63" s="63">
        <v>0</v>
      </c>
      <c r="I63" s="32">
        <v>0</v>
      </c>
      <c r="J63" s="32">
        <v>0</v>
      </c>
      <c r="K63" s="65">
        <v>0</v>
      </c>
      <c r="L63" s="32">
        <v>0</v>
      </c>
      <c r="M63" s="32">
        <v>0</v>
      </c>
      <c r="N63" s="66"/>
      <c r="O63" s="54">
        <v>4000</v>
      </c>
      <c r="P63" s="54">
        <v>5000</v>
      </c>
    </row>
    <row r="64" spans="1:16" x14ac:dyDescent="0.3">
      <c r="A64" s="13" t="s">
        <v>62</v>
      </c>
      <c r="B64" s="67">
        <v>0</v>
      </c>
      <c r="C64" s="67">
        <v>0</v>
      </c>
      <c r="D64" s="32">
        <v>0</v>
      </c>
      <c r="E64" s="62">
        <v>0</v>
      </c>
      <c r="F64" s="69"/>
      <c r="G64" s="13" t="s">
        <v>62</v>
      </c>
      <c r="H64" s="63">
        <v>0</v>
      </c>
      <c r="I64" s="32">
        <v>0</v>
      </c>
      <c r="J64" s="32">
        <v>0</v>
      </c>
      <c r="K64" s="65">
        <v>0</v>
      </c>
      <c r="L64" s="32">
        <v>0</v>
      </c>
      <c r="M64" s="32">
        <v>0</v>
      </c>
      <c r="N64" s="66"/>
      <c r="O64" s="54">
        <v>5000</v>
      </c>
      <c r="P64" s="54">
        <v>6000</v>
      </c>
    </row>
    <row r="65" spans="1:16" x14ac:dyDescent="0.3">
      <c r="A65" s="13" t="s">
        <v>63</v>
      </c>
      <c r="B65" s="67">
        <v>0</v>
      </c>
      <c r="C65" s="67">
        <v>0</v>
      </c>
      <c r="D65" s="32">
        <v>0</v>
      </c>
      <c r="E65" s="62">
        <v>0</v>
      </c>
      <c r="F65" s="69"/>
      <c r="G65" s="13" t="s">
        <v>63</v>
      </c>
      <c r="H65" s="63">
        <v>0</v>
      </c>
      <c r="I65" s="32">
        <v>0</v>
      </c>
      <c r="J65" s="32">
        <v>0</v>
      </c>
      <c r="K65" s="65">
        <v>0</v>
      </c>
      <c r="L65" s="32">
        <v>0</v>
      </c>
      <c r="M65" s="32">
        <v>0</v>
      </c>
      <c r="N65" s="66"/>
      <c r="O65" s="54">
        <v>6000</v>
      </c>
      <c r="P65" s="54">
        <v>7000</v>
      </c>
    </row>
    <row r="66" spans="1:16" x14ac:dyDescent="0.3">
      <c r="A66" s="13" t="s">
        <v>64</v>
      </c>
      <c r="B66" s="67">
        <v>0</v>
      </c>
      <c r="C66" s="67">
        <v>0</v>
      </c>
      <c r="D66" s="32">
        <v>0</v>
      </c>
      <c r="E66" s="62">
        <v>0</v>
      </c>
      <c r="F66" s="69"/>
      <c r="G66" s="13" t="s">
        <v>64</v>
      </c>
      <c r="H66" s="63">
        <v>0</v>
      </c>
      <c r="I66" s="32">
        <v>0</v>
      </c>
      <c r="J66" s="32">
        <v>0</v>
      </c>
      <c r="K66" s="65">
        <v>0</v>
      </c>
      <c r="L66" s="32">
        <v>0</v>
      </c>
      <c r="M66" s="32">
        <v>0</v>
      </c>
      <c r="N66" s="66"/>
      <c r="O66" s="54">
        <v>7000</v>
      </c>
      <c r="P66" s="54">
        <v>8000</v>
      </c>
    </row>
    <row r="67" spans="1:16" x14ac:dyDescent="0.3">
      <c r="A67" s="13" t="s">
        <v>65</v>
      </c>
      <c r="B67" s="67">
        <v>0</v>
      </c>
      <c r="C67" s="67">
        <v>0</v>
      </c>
      <c r="D67" s="32">
        <v>0</v>
      </c>
      <c r="E67" s="62">
        <v>0</v>
      </c>
      <c r="F67" s="69"/>
      <c r="G67" s="13" t="s">
        <v>65</v>
      </c>
      <c r="H67" s="63">
        <v>0</v>
      </c>
      <c r="I67" s="32">
        <v>0</v>
      </c>
      <c r="J67" s="32">
        <v>0</v>
      </c>
      <c r="K67" s="65">
        <v>0</v>
      </c>
      <c r="L67" s="32">
        <v>0</v>
      </c>
      <c r="M67" s="32">
        <v>0</v>
      </c>
      <c r="N67" s="66"/>
      <c r="O67" s="54">
        <v>8000</v>
      </c>
      <c r="P67" s="54">
        <v>9000</v>
      </c>
    </row>
    <row r="68" spans="1:16" x14ac:dyDescent="0.3">
      <c r="A68" s="13" t="s">
        <v>66</v>
      </c>
      <c r="B68" s="67">
        <v>1</v>
      </c>
      <c r="C68" s="67">
        <v>946050</v>
      </c>
      <c r="D68" s="32">
        <v>1.0000000000000001E-9</v>
      </c>
      <c r="E68" s="62">
        <v>9460.5</v>
      </c>
      <c r="F68" s="69"/>
      <c r="G68" s="13" t="s">
        <v>66</v>
      </c>
      <c r="H68" s="63">
        <v>0</v>
      </c>
      <c r="I68" s="32">
        <v>0</v>
      </c>
      <c r="J68" s="32">
        <v>0</v>
      </c>
      <c r="K68" s="65">
        <v>0</v>
      </c>
      <c r="L68" s="32">
        <v>0</v>
      </c>
      <c r="M68" s="32">
        <v>0</v>
      </c>
      <c r="N68" s="66"/>
      <c r="O68" s="54">
        <v>9000</v>
      </c>
      <c r="P68" s="54">
        <v>10000</v>
      </c>
    </row>
    <row r="69" spans="1:16" x14ac:dyDescent="0.3">
      <c r="A69" s="13" t="s">
        <v>67</v>
      </c>
      <c r="B69" s="67">
        <v>0</v>
      </c>
      <c r="C69" s="67">
        <v>0</v>
      </c>
      <c r="D69" s="32">
        <v>0</v>
      </c>
      <c r="E69" s="62">
        <v>0</v>
      </c>
      <c r="F69" s="69"/>
      <c r="G69" s="13" t="s">
        <v>67</v>
      </c>
      <c r="H69" s="63">
        <v>0</v>
      </c>
      <c r="I69" s="32">
        <v>0</v>
      </c>
      <c r="J69" s="32">
        <v>0</v>
      </c>
      <c r="K69" s="65">
        <v>0</v>
      </c>
      <c r="L69" s="32">
        <v>0</v>
      </c>
      <c r="M69" s="32">
        <v>0</v>
      </c>
      <c r="N69" s="66"/>
      <c r="O69" s="54">
        <v>10000</v>
      </c>
      <c r="P69" s="54">
        <v>20000</v>
      </c>
    </row>
    <row r="70" spans="1:16" x14ac:dyDescent="0.3">
      <c r="A70" s="13" t="s">
        <v>68</v>
      </c>
      <c r="B70" s="67">
        <v>0</v>
      </c>
      <c r="C70" s="67">
        <v>0</v>
      </c>
      <c r="D70" s="32">
        <v>0</v>
      </c>
      <c r="E70" s="62">
        <v>0</v>
      </c>
      <c r="F70" s="69"/>
      <c r="G70" s="13" t="s">
        <v>68</v>
      </c>
      <c r="H70" s="63">
        <v>0</v>
      </c>
      <c r="I70" s="32">
        <v>0</v>
      </c>
      <c r="J70" s="32">
        <v>0</v>
      </c>
      <c r="K70" s="65">
        <v>0</v>
      </c>
      <c r="L70" s="32">
        <v>0</v>
      </c>
      <c r="M70" s="32">
        <v>0</v>
      </c>
      <c r="N70" s="66"/>
      <c r="O70" s="54">
        <v>20000</v>
      </c>
      <c r="P70" s="54">
        <v>30000</v>
      </c>
    </row>
    <row r="71" spans="1:16" x14ac:dyDescent="0.3">
      <c r="A71" s="13" t="s">
        <v>69</v>
      </c>
      <c r="B71" s="67">
        <v>0</v>
      </c>
      <c r="C71" s="67">
        <v>0</v>
      </c>
      <c r="D71" s="32">
        <v>0</v>
      </c>
      <c r="E71" s="62">
        <v>0</v>
      </c>
      <c r="F71" s="69"/>
      <c r="G71" s="13" t="s">
        <v>69</v>
      </c>
      <c r="H71" s="63">
        <v>0</v>
      </c>
      <c r="I71" s="32">
        <v>0</v>
      </c>
      <c r="J71" s="32">
        <v>0</v>
      </c>
      <c r="K71" s="65">
        <v>0</v>
      </c>
      <c r="L71" s="32">
        <v>0</v>
      </c>
      <c r="M71" s="32">
        <v>0</v>
      </c>
      <c r="N71" s="66"/>
      <c r="O71" s="54">
        <v>30000</v>
      </c>
      <c r="P71" s="54">
        <v>40000</v>
      </c>
    </row>
    <row r="72" spans="1:16" x14ac:dyDescent="0.3">
      <c r="A72" s="13" t="s">
        <v>70</v>
      </c>
      <c r="B72" s="67">
        <v>0</v>
      </c>
      <c r="C72" s="67">
        <v>0</v>
      </c>
      <c r="D72" s="32">
        <v>0</v>
      </c>
      <c r="E72" s="62">
        <v>0</v>
      </c>
      <c r="F72" s="69"/>
      <c r="G72" s="13" t="s">
        <v>70</v>
      </c>
      <c r="H72" s="63">
        <v>0</v>
      </c>
      <c r="I72" s="32">
        <v>0</v>
      </c>
      <c r="J72" s="32">
        <v>0</v>
      </c>
      <c r="K72" s="65">
        <v>0</v>
      </c>
      <c r="L72" s="32">
        <v>0</v>
      </c>
      <c r="M72" s="32">
        <v>0</v>
      </c>
      <c r="N72" s="66"/>
      <c r="O72" s="54">
        <v>40000</v>
      </c>
      <c r="P72" s="54">
        <v>50000</v>
      </c>
    </row>
    <row r="73" spans="1:16" x14ac:dyDescent="0.3">
      <c r="A73" s="13" t="s">
        <v>71</v>
      </c>
      <c r="B73" s="67">
        <v>0</v>
      </c>
      <c r="C73" s="67">
        <v>0</v>
      </c>
      <c r="D73" s="32">
        <v>0</v>
      </c>
      <c r="E73" s="62">
        <v>0</v>
      </c>
      <c r="F73" s="69"/>
      <c r="G73" s="13" t="s">
        <v>71</v>
      </c>
      <c r="H73" s="63">
        <v>0</v>
      </c>
      <c r="I73" s="32">
        <v>0</v>
      </c>
      <c r="J73" s="32">
        <v>0</v>
      </c>
      <c r="K73" s="65">
        <v>0</v>
      </c>
      <c r="L73" s="32">
        <v>0</v>
      </c>
      <c r="M73" s="32">
        <v>0</v>
      </c>
      <c r="N73" s="66"/>
      <c r="O73" s="54">
        <v>50000</v>
      </c>
      <c r="P73" s="54">
        <v>60000</v>
      </c>
    </row>
    <row r="74" spans="1:16" x14ac:dyDescent="0.3">
      <c r="A74" s="13" t="s">
        <v>72</v>
      </c>
      <c r="B74" s="67">
        <v>0</v>
      </c>
      <c r="C74" s="67">
        <v>0</v>
      </c>
      <c r="D74" s="32">
        <v>0</v>
      </c>
      <c r="E74" s="62">
        <v>0</v>
      </c>
      <c r="F74" s="69"/>
      <c r="G74" s="13" t="s">
        <v>72</v>
      </c>
      <c r="H74" s="63">
        <v>0</v>
      </c>
      <c r="I74" s="32">
        <v>0</v>
      </c>
      <c r="J74" s="32">
        <v>0</v>
      </c>
      <c r="K74" s="65">
        <v>0</v>
      </c>
      <c r="L74" s="32">
        <v>0</v>
      </c>
      <c r="M74" s="32">
        <v>0</v>
      </c>
      <c r="N74" s="66"/>
      <c r="O74" s="54">
        <v>60000</v>
      </c>
      <c r="P74" s="54">
        <v>70000</v>
      </c>
    </row>
    <row r="75" spans="1:16" x14ac:dyDescent="0.3">
      <c r="A75" s="13" t="s">
        <v>73</v>
      </c>
      <c r="B75" s="67">
        <v>0</v>
      </c>
      <c r="C75" s="67">
        <v>0</v>
      </c>
      <c r="D75" s="32">
        <v>0</v>
      </c>
      <c r="E75" s="62">
        <v>0</v>
      </c>
      <c r="F75" s="69"/>
      <c r="G75" s="13" t="s">
        <v>73</v>
      </c>
      <c r="H75" s="63">
        <v>0</v>
      </c>
      <c r="I75" s="32">
        <v>0</v>
      </c>
      <c r="J75" s="32">
        <v>0</v>
      </c>
      <c r="K75" s="65">
        <v>0</v>
      </c>
      <c r="L75" s="32">
        <v>0</v>
      </c>
      <c r="M75" s="32">
        <v>0</v>
      </c>
      <c r="N75" s="66"/>
      <c r="O75" s="54">
        <v>70000</v>
      </c>
      <c r="P75" s="54">
        <v>80000</v>
      </c>
    </row>
    <row r="76" spans="1:16" x14ac:dyDescent="0.3">
      <c r="A76" s="13" t="s">
        <v>74</v>
      </c>
      <c r="B76" s="67">
        <v>0</v>
      </c>
      <c r="C76" s="67">
        <v>0</v>
      </c>
      <c r="D76" s="32">
        <v>0</v>
      </c>
      <c r="E76" s="62">
        <v>0</v>
      </c>
      <c r="F76" s="69"/>
      <c r="G76" s="13" t="s">
        <v>74</v>
      </c>
      <c r="H76" s="63">
        <v>0</v>
      </c>
      <c r="I76" s="32">
        <v>0</v>
      </c>
      <c r="J76" s="32">
        <v>0</v>
      </c>
      <c r="K76" s="65">
        <v>0</v>
      </c>
      <c r="L76" s="32">
        <v>0</v>
      </c>
      <c r="M76" s="32">
        <v>0</v>
      </c>
      <c r="N76" s="66"/>
      <c r="O76" s="54">
        <v>80000</v>
      </c>
      <c r="P76" s="54">
        <v>90000</v>
      </c>
    </row>
    <row r="77" spans="1:16" x14ac:dyDescent="0.3">
      <c r="A77" s="13" t="s">
        <v>75</v>
      </c>
      <c r="B77" s="67">
        <v>0</v>
      </c>
      <c r="C77" s="67">
        <v>0</v>
      </c>
      <c r="D77" s="32">
        <v>0</v>
      </c>
      <c r="E77" s="62">
        <v>0</v>
      </c>
      <c r="F77" s="69"/>
      <c r="G77" s="13" t="s">
        <v>75</v>
      </c>
      <c r="H77" s="63">
        <v>0</v>
      </c>
      <c r="I77" s="32">
        <v>0</v>
      </c>
      <c r="J77" s="32">
        <v>0</v>
      </c>
      <c r="K77" s="65">
        <v>0</v>
      </c>
      <c r="L77" s="32">
        <v>0</v>
      </c>
      <c r="M77" s="32">
        <v>0</v>
      </c>
      <c r="N77" s="66"/>
      <c r="O77" s="54">
        <v>90000</v>
      </c>
      <c r="P77" s="54">
        <v>100000</v>
      </c>
    </row>
    <row r="78" spans="1:16" x14ac:dyDescent="0.3">
      <c r="A78" s="13" t="s">
        <v>76</v>
      </c>
      <c r="B78" s="67">
        <v>0</v>
      </c>
      <c r="C78" s="67">
        <v>0</v>
      </c>
      <c r="D78" s="32">
        <v>0</v>
      </c>
      <c r="E78" s="62">
        <v>0</v>
      </c>
      <c r="F78" s="69"/>
      <c r="G78" s="13" t="s">
        <v>76</v>
      </c>
      <c r="H78" s="63">
        <v>0</v>
      </c>
      <c r="I78" s="32">
        <v>0</v>
      </c>
      <c r="J78" s="32">
        <v>0</v>
      </c>
      <c r="K78" s="65">
        <v>0</v>
      </c>
      <c r="L78" s="32">
        <v>0</v>
      </c>
      <c r="M78" s="32">
        <v>0</v>
      </c>
      <c r="N78" s="66"/>
      <c r="O78" s="54">
        <v>100000</v>
      </c>
      <c r="P78" s="54">
        <v>9999999</v>
      </c>
    </row>
    <row r="79" spans="1:16" x14ac:dyDescent="0.3">
      <c r="A79" s="13" t="s">
        <v>106</v>
      </c>
      <c r="B79" s="67">
        <v>6997315</v>
      </c>
      <c r="C79" s="67">
        <v>6167760230</v>
      </c>
      <c r="D79" s="32">
        <v>6.9973149999999996E-3</v>
      </c>
      <c r="E79" s="62">
        <v>7.7609000000000004</v>
      </c>
      <c r="F79" s="69"/>
      <c r="G79" s="13" t="s">
        <v>106</v>
      </c>
      <c r="H79" s="63">
        <v>0.47796633422962997</v>
      </c>
      <c r="I79" s="32">
        <v>3.3444810000000029E-3</v>
      </c>
      <c r="J79" s="32">
        <v>3.3444810000000029E-3</v>
      </c>
      <c r="K79" s="65">
        <v>3344481</v>
      </c>
      <c r="L79" s="32">
        <v>3.3333327253666674E-3</v>
      </c>
      <c r="M79" s="32">
        <v>2.5869661948298171E-2</v>
      </c>
    </row>
    <row r="81" spans="1:21" x14ac:dyDescent="0.3">
      <c r="A81" s="34"/>
      <c r="B81" s="1"/>
      <c r="C81" s="70"/>
      <c r="D81" s="1"/>
      <c r="E81" s="1"/>
      <c r="G81" s="41"/>
      <c r="H81" s="34"/>
      <c r="I81" s="34"/>
      <c r="J81" s="34"/>
      <c r="K81" s="42"/>
      <c r="L81" s="34"/>
      <c r="M81" s="34"/>
    </row>
    <row r="82" spans="1:21" s="80" customFormat="1" x14ac:dyDescent="0.3">
      <c r="A82" s="81" t="s">
        <v>88</v>
      </c>
      <c r="B82" s="81" t="s">
        <v>84</v>
      </c>
      <c r="C82" s="81"/>
      <c r="D82" s="76"/>
      <c r="E82" s="75"/>
      <c r="F82" s="77"/>
      <c r="G82" s="81" t="s">
        <v>88</v>
      </c>
      <c r="H82" s="81" t="s">
        <v>84</v>
      </c>
      <c r="I82" s="74"/>
      <c r="J82" s="74"/>
      <c r="K82" s="78"/>
      <c r="L82" s="79"/>
      <c r="M82" s="79"/>
      <c r="N82" s="77"/>
      <c r="O82" s="81" t="s">
        <v>88</v>
      </c>
      <c r="P82" s="81" t="s">
        <v>84</v>
      </c>
      <c r="Q82"/>
      <c r="R82"/>
      <c r="S82"/>
      <c r="T82"/>
      <c r="U82"/>
    </row>
    <row r="83" spans="1:21" x14ac:dyDescent="0.3">
      <c r="A83" s="34"/>
      <c r="B83" s="1"/>
      <c r="C83" s="1"/>
      <c r="D83" s="1"/>
      <c r="E83" s="1"/>
      <c r="G83" s="41"/>
      <c r="H83" s="34"/>
      <c r="I83" s="34"/>
      <c r="J83" s="34"/>
      <c r="K83" s="34"/>
      <c r="L83" s="34"/>
      <c r="M83" s="34"/>
    </row>
    <row r="84" spans="1:21" x14ac:dyDescent="0.3">
      <c r="A84" s="58" t="s">
        <v>107</v>
      </c>
      <c r="B84" s="58"/>
      <c r="C84" s="1"/>
      <c r="D84" s="1"/>
      <c r="E84" s="1"/>
      <c r="G84" s="58" t="s">
        <v>94</v>
      </c>
      <c r="H84" s="34"/>
      <c r="I84" s="34"/>
      <c r="J84" s="34"/>
      <c r="K84" s="34"/>
      <c r="L84" s="34"/>
      <c r="M84" s="34"/>
    </row>
    <row r="85" spans="1:21" x14ac:dyDescent="0.3">
      <c r="A85" s="9" t="s">
        <v>100</v>
      </c>
      <c r="B85" s="9" t="s">
        <v>97</v>
      </c>
      <c r="C85" s="9" t="s">
        <v>98</v>
      </c>
      <c r="D85" s="9" t="s">
        <v>99</v>
      </c>
      <c r="E85" s="9" t="s">
        <v>80</v>
      </c>
      <c r="G85" s="9" t="s">
        <v>100</v>
      </c>
      <c r="H85" s="9" t="s">
        <v>101</v>
      </c>
      <c r="I85" s="9" t="s">
        <v>102</v>
      </c>
      <c r="J85" s="9" t="s">
        <v>103</v>
      </c>
      <c r="K85" s="9" t="s">
        <v>104</v>
      </c>
      <c r="L85" s="9" t="s">
        <v>81</v>
      </c>
      <c r="M85" s="9" t="s">
        <v>105</v>
      </c>
      <c r="O85" s="9" t="s">
        <v>95</v>
      </c>
      <c r="P85" s="9" t="s">
        <v>96</v>
      </c>
    </row>
    <row r="86" spans="1:21" x14ac:dyDescent="0.3">
      <c r="A86" s="13" t="s">
        <v>13</v>
      </c>
      <c r="B86" s="60">
        <v>25321</v>
      </c>
      <c r="C86" s="60">
        <v>0</v>
      </c>
      <c r="D86" s="32" cm="1">
        <v>3.6186737341394521E-3</v>
      </c>
      <c r="E86" s="61" cm="1">
        <v>0</v>
      </c>
      <c r="G86" s="13" t="s">
        <v>13</v>
      </c>
      <c r="H86" s="63">
        <v>0</v>
      </c>
      <c r="I86" s="32" cm="1">
        <v>0</v>
      </c>
      <c r="J86" s="32" cm="1">
        <v>0</v>
      </c>
      <c r="K86" s="64">
        <v>0</v>
      </c>
      <c r="L86" s="32" cm="1">
        <v>0</v>
      </c>
      <c r="M86" s="72" cm="1">
        <v>0</v>
      </c>
      <c r="N86" s="66"/>
      <c r="O86" s="59">
        <v>-1</v>
      </c>
      <c r="P86" s="59">
        <v>0</v>
      </c>
    </row>
    <row r="87" spans="1:21" x14ac:dyDescent="0.3">
      <c r="A87" s="13" t="s">
        <v>14</v>
      </c>
      <c r="B87" s="67">
        <v>13519</v>
      </c>
      <c r="C87" s="67">
        <v>830135</v>
      </c>
      <c r="D87" s="32">
        <v>1.932026784559506E-3</v>
      </c>
      <c r="E87" s="62">
        <v>0.61405059545824392</v>
      </c>
      <c r="G87" s="13" t="s">
        <v>14</v>
      </c>
      <c r="H87" s="63">
        <v>0</v>
      </c>
      <c r="I87" s="32">
        <v>0</v>
      </c>
      <c r="J87" s="32">
        <v>0</v>
      </c>
      <c r="K87" s="64">
        <v>0</v>
      </c>
      <c r="L87" s="32">
        <v>0</v>
      </c>
      <c r="M87" s="32">
        <v>0</v>
      </c>
      <c r="N87" s="66"/>
      <c r="O87" s="54">
        <v>0</v>
      </c>
      <c r="P87" s="54">
        <v>1</v>
      </c>
    </row>
    <row r="88" spans="1:21" x14ac:dyDescent="0.3">
      <c r="A88" s="13" t="s">
        <v>15</v>
      </c>
      <c r="B88" s="67">
        <v>18233</v>
      </c>
      <c r="C88" s="67">
        <v>2846325</v>
      </c>
      <c r="D88" s="32">
        <v>2.6057137630648326E-3</v>
      </c>
      <c r="E88" s="62">
        <v>1.561084297701969</v>
      </c>
      <c r="F88" s="68"/>
      <c r="G88" s="13" t="s">
        <v>15</v>
      </c>
      <c r="H88" s="63">
        <v>0</v>
      </c>
      <c r="I88" s="32">
        <v>0</v>
      </c>
      <c r="J88" s="32">
        <v>0</v>
      </c>
      <c r="K88" s="64">
        <v>0</v>
      </c>
      <c r="L88" s="32">
        <v>0</v>
      </c>
      <c r="M88" s="32">
        <v>0</v>
      </c>
      <c r="N88" s="66"/>
      <c r="O88" s="54">
        <v>1</v>
      </c>
      <c r="P88" s="54">
        <v>2</v>
      </c>
    </row>
    <row r="89" spans="1:21" x14ac:dyDescent="0.3">
      <c r="A89" s="13" t="s">
        <v>16</v>
      </c>
      <c r="B89" s="67">
        <v>19401</v>
      </c>
      <c r="C89" s="67">
        <v>5010400</v>
      </c>
      <c r="D89" s="32">
        <v>2.7726349321132463E-3</v>
      </c>
      <c r="E89" s="62">
        <v>2.5825472913767333</v>
      </c>
      <c r="F89" s="66"/>
      <c r="G89" s="13" t="s">
        <v>16</v>
      </c>
      <c r="H89" s="63">
        <v>0</v>
      </c>
      <c r="I89" s="32">
        <v>0</v>
      </c>
      <c r="J89" s="32">
        <v>0</v>
      </c>
      <c r="K89" s="64">
        <v>0</v>
      </c>
      <c r="L89" s="32">
        <v>0</v>
      </c>
      <c r="M89" s="32">
        <v>0</v>
      </c>
      <c r="N89" s="66"/>
      <c r="O89" s="54">
        <v>2</v>
      </c>
      <c r="P89" s="54">
        <v>3</v>
      </c>
    </row>
    <row r="90" spans="1:21" x14ac:dyDescent="0.3">
      <c r="A90" s="13" t="s">
        <v>17</v>
      </c>
      <c r="B90" s="67">
        <v>21192</v>
      </c>
      <c r="C90" s="67">
        <v>7594100</v>
      </c>
      <c r="D90" s="32">
        <v>3.0285902521181339E-3</v>
      </c>
      <c r="E90" s="62">
        <v>3.5834748961872407</v>
      </c>
      <c r="F90" s="66"/>
      <c r="G90" s="13" t="s">
        <v>17</v>
      </c>
      <c r="H90" s="63">
        <v>0</v>
      </c>
      <c r="I90" s="32">
        <v>0</v>
      </c>
      <c r="J90" s="32">
        <v>0</v>
      </c>
      <c r="K90" s="64">
        <v>0</v>
      </c>
      <c r="L90" s="32">
        <v>0</v>
      </c>
      <c r="M90" s="32">
        <v>0</v>
      </c>
      <c r="N90" s="66"/>
      <c r="O90" s="54">
        <v>3</v>
      </c>
      <c r="P90" s="54">
        <v>4</v>
      </c>
    </row>
    <row r="91" spans="1:21" x14ac:dyDescent="0.3">
      <c r="A91" s="13" t="s">
        <v>18</v>
      </c>
      <c r="B91" s="67">
        <v>22042</v>
      </c>
      <c r="C91" s="67">
        <v>10092500</v>
      </c>
      <c r="D91" s="32">
        <v>3.150065417949599E-3</v>
      </c>
      <c r="E91" s="62">
        <v>4.5787587333272839</v>
      </c>
      <c r="F91" s="66"/>
      <c r="G91" s="13" t="s">
        <v>18</v>
      </c>
      <c r="H91" s="63">
        <v>0</v>
      </c>
      <c r="I91" s="32">
        <v>0</v>
      </c>
      <c r="J91" s="32">
        <v>0</v>
      </c>
      <c r="K91" s="64">
        <v>0</v>
      </c>
      <c r="L91" s="32">
        <v>0</v>
      </c>
      <c r="M91" s="32">
        <v>0</v>
      </c>
      <c r="N91" s="66"/>
      <c r="O91" s="54">
        <v>4</v>
      </c>
      <c r="P91" s="54">
        <v>5</v>
      </c>
    </row>
    <row r="92" spans="1:21" x14ac:dyDescent="0.3">
      <c r="A92" s="13" t="s">
        <v>19</v>
      </c>
      <c r="B92" s="67">
        <v>24704</v>
      </c>
      <c r="C92" s="67">
        <v>13812490</v>
      </c>
      <c r="D92" s="32">
        <v>3.5304970549417886E-3</v>
      </c>
      <c r="E92" s="62">
        <v>5.5911957577720202</v>
      </c>
      <c r="F92" s="66"/>
      <c r="G92" s="13" t="s">
        <v>19</v>
      </c>
      <c r="H92" s="63">
        <v>0</v>
      </c>
      <c r="I92" s="32">
        <v>0</v>
      </c>
      <c r="J92" s="32">
        <v>0</v>
      </c>
      <c r="K92" s="64">
        <v>0</v>
      </c>
      <c r="L92" s="32">
        <v>0</v>
      </c>
      <c r="M92" s="32">
        <v>0</v>
      </c>
      <c r="N92" s="66"/>
      <c r="O92" s="54">
        <v>5</v>
      </c>
      <c r="P92" s="54">
        <v>6</v>
      </c>
    </row>
    <row r="93" spans="1:21" x14ac:dyDescent="0.3">
      <c r="A93" s="13" t="s">
        <v>20</v>
      </c>
      <c r="B93" s="67">
        <v>23371</v>
      </c>
      <c r="C93" s="67">
        <v>15361185</v>
      </c>
      <c r="D93" s="32">
        <v>3.3399954125260902E-3</v>
      </c>
      <c r="E93" s="62">
        <v>6.5727546959907581</v>
      </c>
      <c r="F93" s="66"/>
      <c r="G93" s="13" t="s">
        <v>20</v>
      </c>
      <c r="H93" s="63">
        <v>0</v>
      </c>
      <c r="I93" s="32">
        <v>0</v>
      </c>
      <c r="J93" s="32">
        <v>0</v>
      </c>
      <c r="K93" s="64">
        <v>0</v>
      </c>
      <c r="L93" s="32">
        <v>0</v>
      </c>
      <c r="M93" s="32">
        <v>0</v>
      </c>
      <c r="N93" s="66"/>
      <c r="O93" s="54">
        <v>6</v>
      </c>
      <c r="P93" s="54">
        <v>7</v>
      </c>
    </row>
    <row r="94" spans="1:21" x14ac:dyDescent="0.3">
      <c r="A94" s="13" t="s">
        <v>21</v>
      </c>
      <c r="B94" s="67">
        <v>26882</v>
      </c>
      <c r="C94" s="67">
        <v>20329515</v>
      </c>
      <c r="D94" s="32">
        <v>3.8417593033899431E-3</v>
      </c>
      <c r="E94" s="62">
        <v>7.5625009299903283</v>
      </c>
      <c r="F94" s="66"/>
      <c r="G94" s="13" t="s">
        <v>21</v>
      </c>
      <c r="H94" s="63">
        <v>0</v>
      </c>
      <c r="I94" s="32">
        <v>0</v>
      </c>
      <c r="J94" s="32">
        <v>0</v>
      </c>
      <c r="K94" s="64">
        <v>0</v>
      </c>
      <c r="L94" s="32">
        <v>0</v>
      </c>
      <c r="M94" s="32">
        <v>0</v>
      </c>
      <c r="N94" s="66"/>
      <c r="O94" s="54">
        <v>7</v>
      </c>
      <c r="P94" s="54">
        <v>8</v>
      </c>
    </row>
    <row r="95" spans="1:21" x14ac:dyDescent="0.3">
      <c r="A95" s="13" t="s">
        <v>22</v>
      </c>
      <c r="B95" s="67">
        <v>27171</v>
      </c>
      <c r="C95" s="67">
        <v>23310120</v>
      </c>
      <c r="D95" s="32">
        <v>3.8830608597726413E-3</v>
      </c>
      <c r="E95" s="62">
        <v>8.5790438334989503</v>
      </c>
      <c r="F95" s="66"/>
      <c r="G95" s="13" t="s">
        <v>22</v>
      </c>
      <c r="H95" s="63">
        <v>0</v>
      </c>
      <c r="I95" s="32">
        <v>0</v>
      </c>
      <c r="J95" s="32">
        <v>0</v>
      </c>
      <c r="K95" s="64">
        <v>0</v>
      </c>
      <c r="L95" s="32">
        <v>0</v>
      </c>
      <c r="M95" s="32">
        <v>0</v>
      </c>
      <c r="N95" s="66"/>
      <c r="O95" s="54">
        <v>8</v>
      </c>
      <c r="P95" s="54">
        <v>9</v>
      </c>
    </row>
    <row r="96" spans="1:21" x14ac:dyDescent="0.3">
      <c r="A96" s="13" t="s">
        <v>23</v>
      </c>
      <c r="B96" s="67">
        <v>27734</v>
      </c>
      <c r="C96" s="67">
        <v>26563225</v>
      </c>
      <c r="D96" s="32">
        <v>3.9635202931410122E-3</v>
      </c>
      <c r="E96" s="62">
        <v>9.5778557005841201</v>
      </c>
      <c r="F96" s="66"/>
      <c r="G96" s="13" t="s">
        <v>23</v>
      </c>
      <c r="H96" s="63">
        <v>0</v>
      </c>
      <c r="I96" s="32">
        <v>0</v>
      </c>
      <c r="J96" s="32">
        <v>0</v>
      </c>
      <c r="K96" s="64">
        <v>0</v>
      </c>
      <c r="L96" s="32">
        <v>0</v>
      </c>
      <c r="M96" s="32">
        <v>0</v>
      </c>
      <c r="N96" s="66"/>
      <c r="O96" s="54">
        <v>9</v>
      </c>
      <c r="P96" s="54">
        <v>10</v>
      </c>
    </row>
    <row r="97" spans="1:16" x14ac:dyDescent="0.3">
      <c r="A97" s="13" t="s">
        <v>24</v>
      </c>
      <c r="B97" s="67">
        <v>148515</v>
      </c>
      <c r="C97" s="67">
        <v>187358865</v>
      </c>
      <c r="D97" s="32">
        <v>2.1224569709953033E-2</v>
      </c>
      <c r="E97" s="62">
        <v>12.615484294515706</v>
      </c>
      <c r="F97" s="66"/>
      <c r="G97" s="13" t="s">
        <v>24</v>
      </c>
      <c r="H97" s="63">
        <v>0</v>
      </c>
      <c r="I97" s="32">
        <v>0</v>
      </c>
      <c r="J97" s="32">
        <v>0</v>
      </c>
      <c r="K97" s="64">
        <v>0</v>
      </c>
      <c r="L97" s="32">
        <v>0</v>
      </c>
      <c r="M97" s="32">
        <v>0</v>
      </c>
      <c r="N97" s="66"/>
      <c r="O97" s="54">
        <v>10</v>
      </c>
      <c r="P97" s="54">
        <v>15</v>
      </c>
    </row>
    <row r="98" spans="1:16" x14ac:dyDescent="0.3">
      <c r="A98" s="13" t="s">
        <v>25</v>
      </c>
      <c r="B98" s="67">
        <v>161740</v>
      </c>
      <c r="C98" s="67">
        <v>284486210</v>
      </c>
      <c r="D98" s="32">
        <v>2.3114580378330831E-2</v>
      </c>
      <c r="E98" s="62">
        <v>17.58910659082478</v>
      </c>
      <c r="F98" s="66"/>
      <c r="G98" s="13" t="s">
        <v>25</v>
      </c>
      <c r="H98" s="63">
        <v>0</v>
      </c>
      <c r="I98" s="32">
        <v>0</v>
      </c>
      <c r="J98" s="32">
        <v>0</v>
      </c>
      <c r="K98" s="64">
        <v>0</v>
      </c>
      <c r="L98" s="32">
        <v>0</v>
      </c>
      <c r="M98" s="32">
        <v>0</v>
      </c>
      <c r="N98" s="66"/>
      <c r="O98" s="54">
        <v>15</v>
      </c>
      <c r="P98" s="54">
        <v>20</v>
      </c>
    </row>
    <row r="99" spans="1:16" x14ac:dyDescent="0.3">
      <c r="A99" s="13" t="s">
        <v>26</v>
      </c>
      <c r="B99" s="67">
        <v>167105</v>
      </c>
      <c r="C99" s="67">
        <v>377115540</v>
      </c>
      <c r="D99" s="32">
        <v>2.3881303042667081E-2</v>
      </c>
      <c r="E99" s="62">
        <v>22.567579665479787</v>
      </c>
      <c r="F99" s="66"/>
      <c r="G99" s="13" t="s">
        <v>26</v>
      </c>
      <c r="H99" s="63">
        <v>2.0226261906102998</v>
      </c>
      <c r="I99" s="32">
        <v>4.830294899999988E-2</v>
      </c>
      <c r="J99" s="32">
        <v>4.8302948999999866E-2</v>
      </c>
      <c r="K99" s="64">
        <v>48302949</v>
      </c>
      <c r="L99" s="32">
        <v>4.8298596861735384E-2</v>
      </c>
      <c r="M99" s="32">
        <v>1.0899824324081053</v>
      </c>
      <c r="N99" s="66"/>
      <c r="O99" s="54">
        <v>20</v>
      </c>
      <c r="P99" s="54">
        <v>25</v>
      </c>
    </row>
    <row r="100" spans="1:16" x14ac:dyDescent="0.3">
      <c r="A100" s="13" t="s">
        <v>27</v>
      </c>
      <c r="B100" s="67">
        <v>172723</v>
      </c>
      <c r="C100" s="67">
        <v>476161855</v>
      </c>
      <c r="D100" s="32">
        <v>2.4684182432833164E-2</v>
      </c>
      <c r="E100" s="62">
        <v>27.567947233431564</v>
      </c>
      <c r="F100" s="66"/>
      <c r="G100" s="13" t="s">
        <v>27</v>
      </c>
      <c r="H100" s="63">
        <v>7.8996466879384899</v>
      </c>
      <c r="I100" s="32">
        <v>0.19499631999999997</v>
      </c>
      <c r="J100" s="32">
        <v>0.19499631999999992</v>
      </c>
      <c r="K100" s="64">
        <v>194996320</v>
      </c>
      <c r="L100" s="32">
        <v>0.19497875065975681</v>
      </c>
      <c r="M100" s="32">
        <v>5.3751639098285855</v>
      </c>
      <c r="N100" s="66"/>
      <c r="O100" s="54">
        <v>25</v>
      </c>
      <c r="P100" s="54">
        <v>30</v>
      </c>
    </row>
    <row r="101" spans="1:16" x14ac:dyDescent="0.3">
      <c r="A101" s="13" t="s">
        <v>28</v>
      </c>
      <c r="B101" s="67">
        <v>171647</v>
      </c>
      <c r="C101" s="67">
        <v>558840920</v>
      </c>
      <c r="D101" s="32">
        <v>2.4530409164086511E-2</v>
      </c>
      <c r="E101" s="62">
        <v>32.557569896357059</v>
      </c>
      <c r="F101" s="66"/>
      <c r="G101" s="13" t="s">
        <v>28</v>
      </c>
      <c r="H101" s="63">
        <v>2.8501980758788399</v>
      </c>
      <c r="I101" s="32">
        <v>6.9916525000000035E-2</v>
      </c>
      <c r="J101" s="32">
        <v>6.9916525000000021E-2</v>
      </c>
      <c r="K101" s="64">
        <v>69916525</v>
      </c>
      <c r="L101" s="32">
        <v>6.9910225459494074E-2</v>
      </c>
      <c r="M101" s="32">
        <v>2.2761070518675592</v>
      </c>
      <c r="N101" s="66"/>
      <c r="O101" s="54">
        <v>30</v>
      </c>
      <c r="P101" s="54">
        <v>35</v>
      </c>
    </row>
    <row r="102" spans="1:16" x14ac:dyDescent="0.3">
      <c r="A102" s="13" t="s">
        <v>29</v>
      </c>
      <c r="B102" s="67">
        <v>172745</v>
      </c>
      <c r="C102" s="67">
        <v>648716530</v>
      </c>
      <c r="D102" s="32">
        <v>2.4687326495948802E-2</v>
      </c>
      <c r="E102" s="62">
        <v>37.553418622825554</v>
      </c>
      <c r="F102" s="66"/>
      <c r="G102" s="13" t="s">
        <v>29</v>
      </c>
      <c r="H102" s="63">
        <v>4.74945843241637</v>
      </c>
      <c r="I102" s="32">
        <v>0.11725143100000011</v>
      </c>
      <c r="J102" s="32">
        <v>0.11725143100000009</v>
      </c>
      <c r="K102" s="64">
        <v>117251431</v>
      </c>
      <c r="L102" s="32">
        <v>0.1172408665427567</v>
      </c>
      <c r="M102" s="32">
        <v>4.4027953409829648</v>
      </c>
      <c r="N102" s="66"/>
      <c r="O102" s="54">
        <v>35</v>
      </c>
      <c r="P102" s="54">
        <v>40</v>
      </c>
    </row>
    <row r="103" spans="1:16" x14ac:dyDescent="0.3">
      <c r="A103" s="13" t="s">
        <v>30</v>
      </c>
      <c r="B103" s="67">
        <v>170232</v>
      </c>
      <c r="C103" s="67">
        <v>724358025</v>
      </c>
      <c r="D103" s="32">
        <v>2.432818874096707E-2</v>
      </c>
      <c r="E103" s="62">
        <v>42.551225680248137</v>
      </c>
      <c r="F103" s="66"/>
      <c r="G103" s="13" t="s">
        <v>30</v>
      </c>
      <c r="H103" s="63">
        <v>3.991256317265</v>
      </c>
      <c r="I103" s="32">
        <v>9.7100037000000056E-2</v>
      </c>
      <c r="J103" s="32">
        <v>9.7100037000000028E-2</v>
      </c>
      <c r="K103" s="64">
        <v>97100037</v>
      </c>
      <c r="L103" s="32">
        <v>9.7091288201111486E-2</v>
      </c>
      <c r="M103" s="32">
        <v>4.1313533158315083</v>
      </c>
      <c r="N103" s="66"/>
      <c r="O103" s="54">
        <v>40</v>
      </c>
      <c r="P103" s="54">
        <v>45</v>
      </c>
    </row>
    <row r="104" spans="1:16" x14ac:dyDescent="0.3">
      <c r="A104" s="13" t="s">
        <v>31</v>
      </c>
      <c r="B104" s="67">
        <v>168045</v>
      </c>
      <c r="C104" s="67">
        <v>798977350</v>
      </c>
      <c r="D104" s="32">
        <v>2.40156402848807E-2</v>
      </c>
      <c r="E104" s="62">
        <v>47.545440209467706</v>
      </c>
      <c r="F104" s="66"/>
      <c r="G104" s="13" t="s">
        <v>31</v>
      </c>
      <c r="H104" s="63">
        <v>3.2976636916842201</v>
      </c>
      <c r="I104" s="32">
        <v>7.9195504999999972E-2</v>
      </c>
      <c r="J104" s="32">
        <v>7.9195504999999958E-2</v>
      </c>
      <c r="K104" s="64">
        <v>79195505</v>
      </c>
      <c r="L104" s="32">
        <v>7.9188369415220367E-2</v>
      </c>
      <c r="M104" s="32">
        <v>3.7650458833166009</v>
      </c>
      <c r="N104" s="66"/>
      <c r="O104" s="54">
        <v>45</v>
      </c>
      <c r="P104" s="54">
        <v>50</v>
      </c>
    </row>
    <row r="105" spans="1:16" x14ac:dyDescent="0.3">
      <c r="A105" s="13" t="s">
        <v>32</v>
      </c>
      <c r="B105" s="67">
        <v>323672</v>
      </c>
      <c r="C105" s="67">
        <v>1780620765</v>
      </c>
      <c r="D105" s="32">
        <v>4.6256599852943593E-2</v>
      </c>
      <c r="E105" s="62">
        <v>55.013123316196641</v>
      </c>
      <c r="F105" s="66"/>
      <c r="G105" s="13" t="s">
        <v>32</v>
      </c>
      <c r="H105" s="63">
        <v>1.5402977786199299</v>
      </c>
      <c r="I105" s="32">
        <v>7.1248937999999998E-2</v>
      </c>
      <c r="J105" s="32">
        <v>7.1248937999999984E-2</v>
      </c>
      <c r="K105" s="64">
        <v>71248938</v>
      </c>
      <c r="L105" s="32">
        <v>7.1242518407908781E-2</v>
      </c>
      <c r="M105" s="32">
        <v>3.919273450530695</v>
      </c>
      <c r="N105" s="66"/>
      <c r="O105" s="54">
        <v>50</v>
      </c>
      <c r="P105" s="54">
        <v>60</v>
      </c>
    </row>
    <row r="106" spans="1:16" x14ac:dyDescent="0.3">
      <c r="A106" s="13" t="s">
        <v>33</v>
      </c>
      <c r="B106" s="67">
        <v>306735</v>
      </c>
      <c r="C106" s="67">
        <v>1993992090</v>
      </c>
      <c r="D106" s="32">
        <v>4.3836099989781795E-2</v>
      </c>
      <c r="E106" s="62">
        <v>65.006995941121815</v>
      </c>
      <c r="F106" s="66"/>
      <c r="G106" s="13" t="s">
        <v>33</v>
      </c>
      <c r="H106" s="63">
        <v>2.0162355460591201</v>
      </c>
      <c r="I106" s="32">
        <v>8.8383902999999889E-2</v>
      </c>
      <c r="J106" s="32">
        <v>8.8383902999999875E-2</v>
      </c>
      <c r="K106" s="64">
        <v>88383903</v>
      </c>
      <c r="L106" s="32">
        <v>8.837593953246467E-2</v>
      </c>
      <c r="M106" s="32">
        <v>5.745054342479758</v>
      </c>
      <c r="N106" s="66"/>
      <c r="O106" s="54">
        <v>60</v>
      </c>
      <c r="P106" s="54">
        <v>70</v>
      </c>
    </row>
    <row r="107" spans="1:16" x14ac:dyDescent="0.3">
      <c r="A107" s="13" t="s">
        <v>34</v>
      </c>
      <c r="B107" s="67">
        <v>291160</v>
      </c>
      <c r="C107" s="67">
        <v>2183653920</v>
      </c>
      <c r="D107" s="32">
        <v>4.1610246215869943E-2</v>
      </c>
      <c r="E107" s="62">
        <v>74.998417365022675</v>
      </c>
      <c r="F107" s="66"/>
      <c r="G107" s="13" t="s">
        <v>34</v>
      </c>
      <c r="H107" s="63">
        <v>0.92218346416236796</v>
      </c>
      <c r="I107" s="32">
        <v>3.8372281000000008E-2</v>
      </c>
      <c r="J107" s="32">
        <v>3.8372281000000001E-2</v>
      </c>
      <c r="K107" s="64">
        <v>38372281</v>
      </c>
      <c r="L107" s="32">
        <v>3.8368823623672096E-2</v>
      </c>
      <c r="M107" s="32">
        <v>2.8776010479331018</v>
      </c>
      <c r="N107" s="66"/>
      <c r="O107" s="54">
        <v>70</v>
      </c>
      <c r="P107" s="54">
        <v>80</v>
      </c>
    </row>
    <row r="108" spans="1:16" x14ac:dyDescent="0.3">
      <c r="A108" s="13" t="s">
        <v>35</v>
      </c>
      <c r="B108" s="67">
        <v>272219</v>
      </c>
      <c r="C108" s="67">
        <v>2313514660</v>
      </c>
      <c r="D108" s="32">
        <v>3.8903350785265488E-2</v>
      </c>
      <c r="E108" s="62">
        <v>84.987258787961167</v>
      </c>
      <c r="F108" s="66"/>
      <c r="G108" s="13" t="s">
        <v>35</v>
      </c>
      <c r="H108" s="63">
        <v>1.71284880749239</v>
      </c>
      <c r="I108" s="32">
        <v>6.6635558000000122E-2</v>
      </c>
      <c r="J108" s="32">
        <v>6.6635558000000109E-2</v>
      </c>
      <c r="K108" s="64">
        <v>66635558</v>
      </c>
      <c r="L108" s="32">
        <v>6.662955407751163E-2</v>
      </c>
      <c r="M108" s="32">
        <v>5.6626631553119342</v>
      </c>
      <c r="N108" s="66"/>
      <c r="O108" s="54">
        <v>80</v>
      </c>
      <c r="P108" s="54">
        <v>90</v>
      </c>
    </row>
    <row r="109" spans="1:16" x14ac:dyDescent="0.3">
      <c r="A109" s="13" t="s">
        <v>36</v>
      </c>
      <c r="B109" s="67">
        <v>253675</v>
      </c>
      <c r="C109" s="67">
        <v>2409933070</v>
      </c>
      <c r="D109" s="32">
        <v>3.625319140270232E-2</v>
      </c>
      <c r="E109" s="62">
        <v>95.000810880063071</v>
      </c>
      <c r="F109" s="66"/>
      <c r="G109" s="13" t="s">
        <v>36</v>
      </c>
      <c r="H109" s="73">
        <v>0.63848414730943104</v>
      </c>
      <c r="I109" s="71">
        <v>2.3147087999999986E-2</v>
      </c>
      <c r="J109" s="71">
        <v>2.3147087999999982E-2</v>
      </c>
      <c r="K109" s="64">
        <v>23147088</v>
      </c>
      <c r="L109" s="71">
        <v>2.3145002426976306E-2</v>
      </c>
      <c r="M109" s="71">
        <v>2.1987939983837768</v>
      </c>
      <c r="N109" s="66"/>
      <c r="O109" s="54">
        <v>90</v>
      </c>
      <c r="P109" s="54">
        <v>100</v>
      </c>
    </row>
    <row r="110" spans="1:16" x14ac:dyDescent="0.3">
      <c r="A110" s="13" t="s">
        <v>37</v>
      </c>
      <c r="B110" s="67">
        <v>456793</v>
      </c>
      <c r="C110" s="67">
        <v>5017102950</v>
      </c>
      <c r="D110" s="32">
        <v>6.5281182853708888E-2</v>
      </c>
      <c r="E110" s="62">
        <v>109.83318373968078</v>
      </c>
      <c r="F110" s="66"/>
      <c r="G110" s="13" t="s">
        <v>37</v>
      </c>
      <c r="H110" s="73">
        <v>0.71808012586182401</v>
      </c>
      <c r="I110" s="71">
        <v>4.6877120000000029E-2</v>
      </c>
      <c r="J110" s="71">
        <v>4.6877120000000022E-2</v>
      </c>
      <c r="K110" s="64">
        <v>46877120</v>
      </c>
      <c r="L110" s="71">
        <v>4.6872896330184585E-2</v>
      </c>
      <c r="M110" s="71">
        <v>5.1481994350441722</v>
      </c>
      <c r="N110" s="66"/>
      <c r="O110" s="54">
        <v>100</v>
      </c>
      <c r="P110" s="54">
        <v>120</v>
      </c>
    </row>
    <row r="111" spans="1:16" x14ac:dyDescent="0.3">
      <c r="A111" s="13" t="s">
        <v>38</v>
      </c>
      <c r="B111" s="67">
        <v>395813</v>
      </c>
      <c r="C111" s="67">
        <v>5138166890</v>
      </c>
      <c r="D111" s="32">
        <v>5.6566411544999758E-2</v>
      </c>
      <c r="E111" s="62">
        <v>129.81298971989298</v>
      </c>
      <c r="F111" s="66"/>
      <c r="G111" s="13" t="s">
        <v>38</v>
      </c>
      <c r="H111" s="73">
        <v>0.249839023088062</v>
      </c>
      <c r="I111" s="71">
        <v>1.4132497000000011E-2</v>
      </c>
      <c r="J111" s="71">
        <v>1.4132497000000008E-2</v>
      </c>
      <c r="K111" s="64">
        <v>14132497</v>
      </c>
      <c r="L111" s="71">
        <v>1.4131223649568161E-2</v>
      </c>
      <c r="M111" s="71">
        <v>1.8344163903509003</v>
      </c>
      <c r="N111" s="66"/>
      <c r="O111" s="54">
        <v>120</v>
      </c>
      <c r="P111" s="54">
        <v>140</v>
      </c>
    </row>
    <row r="112" spans="1:16" x14ac:dyDescent="0.3">
      <c r="A112" s="13" t="s">
        <v>39</v>
      </c>
      <c r="B112" s="67">
        <v>343531</v>
      </c>
      <c r="C112" s="67">
        <v>5146233665</v>
      </c>
      <c r="D112" s="32">
        <v>4.909468846264603E-2</v>
      </c>
      <c r="E112" s="62">
        <v>149.80405451036441</v>
      </c>
      <c r="F112" s="66"/>
      <c r="G112" s="13" t="s">
        <v>39</v>
      </c>
      <c r="H112" s="73">
        <v>0.38002477628909798</v>
      </c>
      <c r="I112" s="71">
        <v>1.8657198000000017E-2</v>
      </c>
      <c r="J112" s="71">
        <v>1.8657198000000014E-2</v>
      </c>
      <c r="K112" s="64">
        <v>18657198</v>
      </c>
      <c r="L112" s="71">
        <v>1.8655516970021348E-2</v>
      </c>
      <c r="M112" s="71">
        <v>2.7946720810961065</v>
      </c>
      <c r="N112" s="66"/>
      <c r="O112" s="54">
        <v>140</v>
      </c>
      <c r="P112" s="54">
        <v>160</v>
      </c>
    </row>
    <row r="113" spans="1:16" x14ac:dyDescent="0.3">
      <c r="A113" s="13" t="s">
        <v>40</v>
      </c>
      <c r="B113" s="67">
        <v>298628</v>
      </c>
      <c r="C113" s="67">
        <v>5070946225</v>
      </c>
      <c r="D113" s="32">
        <v>4.2677512731669219E-2</v>
      </c>
      <c r="E113" s="62">
        <v>169.8081300146001</v>
      </c>
      <c r="F113" s="66"/>
      <c r="G113" s="13" t="s">
        <v>40</v>
      </c>
      <c r="H113" s="73">
        <v>0.18829026074045299</v>
      </c>
      <c r="I113" s="71">
        <v>8.0357599999999994E-3</v>
      </c>
      <c r="J113" s="71">
        <v>8.0357599999999977E-3</v>
      </c>
      <c r="K113" s="64">
        <v>8035760</v>
      </c>
      <c r="L113" s="71">
        <v>8.0350359709436946E-3</v>
      </c>
      <c r="M113" s="71">
        <v>1.3644144328259955</v>
      </c>
      <c r="N113" s="66"/>
      <c r="O113" s="54">
        <v>160</v>
      </c>
      <c r="P113" s="54">
        <v>180</v>
      </c>
    </row>
    <row r="114" spans="1:16" x14ac:dyDescent="0.3">
      <c r="A114" s="13" t="s">
        <v>41</v>
      </c>
      <c r="B114" s="67">
        <v>258337</v>
      </c>
      <c r="C114" s="67">
        <v>4903415715</v>
      </c>
      <c r="D114" s="32">
        <v>3.6919446959297962E-2</v>
      </c>
      <c r="E114" s="62">
        <v>189.80694654656517</v>
      </c>
      <c r="F114" s="66"/>
      <c r="G114" s="13" t="s">
        <v>41</v>
      </c>
      <c r="H114" s="73">
        <v>0.20516350118544799</v>
      </c>
      <c r="I114" s="71">
        <v>7.5745230000000118E-3</v>
      </c>
      <c r="J114" s="71">
        <v>7.5745230000000101E-3</v>
      </c>
      <c r="K114" s="64">
        <v>7574523</v>
      </c>
      <c r="L114" s="71">
        <v>7.5738405288037899E-3</v>
      </c>
      <c r="M114" s="71">
        <v>1.4375675444028699</v>
      </c>
      <c r="N114" s="66"/>
      <c r="O114" s="54">
        <v>180</v>
      </c>
      <c r="P114" s="54">
        <v>200</v>
      </c>
    </row>
    <row r="115" spans="1:16" x14ac:dyDescent="0.3">
      <c r="A115" s="13" t="s">
        <v>42</v>
      </c>
      <c r="B115" s="67">
        <v>513423</v>
      </c>
      <c r="C115" s="67">
        <v>11482735530</v>
      </c>
      <c r="D115" s="32">
        <v>7.3374287137280517E-2</v>
      </c>
      <c r="E115" s="62">
        <v>223.65058694293009</v>
      </c>
      <c r="F115" s="66"/>
      <c r="G115" s="13" t="s">
        <v>42</v>
      </c>
      <c r="H115" s="73">
        <v>1.8268579529666599E-2</v>
      </c>
      <c r="I115" s="71">
        <v>1.340444000000002E-3</v>
      </c>
      <c r="J115" s="71">
        <v>1.3404440000000018E-3</v>
      </c>
      <c r="K115" s="64">
        <v>1340444</v>
      </c>
      <c r="L115" s="71">
        <v>1.3403232248145351E-3</v>
      </c>
      <c r="M115" s="71">
        <v>0.29976407592301163</v>
      </c>
      <c r="N115" s="66"/>
      <c r="O115" s="54">
        <v>200</v>
      </c>
      <c r="P115" s="54">
        <v>250</v>
      </c>
    </row>
    <row r="116" spans="1:16" x14ac:dyDescent="0.3">
      <c r="A116" s="13" t="s">
        <v>43</v>
      </c>
      <c r="B116" s="67">
        <v>370638</v>
      </c>
      <c r="C116" s="67">
        <v>10146620445</v>
      </c>
      <c r="D116" s="32">
        <v>5.2968602956991358E-2</v>
      </c>
      <c r="E116" s="62">
        <v>273.76093236527288</v>
      </c>
      <c r="F116" s="66"/>
      <c r="G116" s="13" t="s">
        <v>43</v>
      </c>
      <c r="H116" s="73">
        <v>2.0674190725573201E-2</v>
      </c>
      <c r="I116" s="71">
        <v>1.095083E-3</v>
      </c>
      <c r="J116" s="71">
        <v>1.0950829999999997E-3</v>
      </c>
      <c r="K116" s="64">
        <v>1095083</v>
      </c>
      <c r="L116" s="71">
        <v>1.0949843320568226E-3</v>
      </c>
      <c r="M116" s="71">
        <v>0.29976393166924131</v>
      </c>
      <c r="N116" s="66"/>
      <c r="O116" s="54">
        <v>250</v>
      </c>
      <c r="P116" s="54">
        <v>300</v>
      </c>
    </row>
    <row r="117" spans="1:16" x14ac:dyDescent="0.3">
      <c r="A117" s="13" t="s">
        <v>44</v>
      </c>
      <c r="B117" s="67">
        <v>274053</v>
      </c>
      <c r="C117" s="67">
        <v>8873479165</v>
      </c>
      <c r="D117" s="32">
        <v>3.9165451319541855E-2</v>
      </c>
      <c r="E117" s="62">
        <v>323.78697423491076</v>
      </c>
      <c r="F117" s="66"/>
      <c r="G117" s="13" t="s">
        <v>44</v>
      </c>
      <c r="H117" s="73">
        <v>2.3640452715478402E-2</v>
      </c>
      <c r="I117" s="71">
        <v>9.2588900000000038E-4</v>
      </c>
      <c r="J117" s="71">
        <v>9.2588900000000016E-4</v>
      </c>
      <c r="K117" s="64">
        <v>925889</v>
      </c>
      <c r="L117" s="71">
        <v>9.258055765852995E-4</v>
      </c>
      <c r="M117" s="71">
        <v>0.29976378637236106</v>
      </c>
      <c r="N117" s="66"/>
      <c r="O117" s="54">
        <v>300</v>
      </c>
      <c r="P117" s="54">
        <v>350</v>
      </c>
    </row>
    <row r="118" spans="1:16" x14ac:dyDescent="0.3">
      <c r="A118" s="13" t="s">
        <v>45</v>
      </c>
      <c r="B118" s="67">
        <v>205430</v>
      </c>
      <c r="C118" s="67">
        <v>7680838935</v>
      </c>
      <c r="D118" s="32">
        <v>2.9358403902068151E-2</v>
      </c>
      <c r="E118" s="62">
        <v>373.89081122523487</v>
      </c>
      <c r="F118" s="66"/>
      <c r="G118" s="13" t="s">
        <v>45</v>
      </c>
      <c r="H118" s="73">
        <v>2.7311225864820099E-2</v>
      </c>
      <c r="I118" s="71">
        <v>8.01813999999999E-4</v>
      </c>
      <c r="J118" s="71">
        <v>8.0181399999999878E-4</v>
      </c>
      <c r="K118" s="64">
        <v>801814</v>
      </c>
      <c r="L118" s="71">
        <v>8.0174175585212191E-4</v>
      </c>
      <c r="M118" s="71">
        <v>0.29976387548869404</v>
      </c>
      <c r="N118" s="66"/>
      <c r="O118" s="54">
        <v>350</v>
      </c>
      <c r="P118" s="54">
        <v>400</v>
      </c>
    </row>
    <row r="119" spans="1:16" x14ac:dyDescent="0.3">
      <c r="A119" s="13" t="s">
        <v>46</v>
      </c>
      <c r="B119" s="67">
        <v>155982</v>
      </c>
      <c r="C119" s="67">
        <v>6612380765</v>
      </c>
      <c r="D119" s="32">
        <v>2.2291693313792504E-2</v>
      </c>
      <c r="E119" s="62">
        <v>423.91947564462566</v>
      </c>
      <c r="F119" s="66"/>
      <c r="G119" s="13" t="s">
        <v>46</v>
      </c>
      <c r="H119" s="73">
        <v>3.1724283572591702E-2</v>
      </c>
      <c r="I119" s="71">
        <v>7.0718799999999976E-4</v>
      </c>
      <c r="J119" s="71">
        <v>7.0718799999999965E-4</v>
      </c>
      <c r="K119" s="64">
        <v>707188</v>
      </c>
      <c r="L119" s="71">
        <v>7.0712428173809688E-4</v>
      </c>
      <c r="M119" s="71">
        <v>0.29976375472999656</v>
      </c>
      <c r="N119" s="66"/>
      <c r="O119" s="54">
        <v>400</v>
      </c>
      <c r="P119" s="54">
        <v>450</v>
      </c>
    </row>
    <row r="120" spans="1:16" x14ac:dyDescent="0.3">
      <c r="A120" s="13" t="s">
        <v>47</v>
      </c>
      <c r="B120" s="67">
        <v>121473</v>
      </c>
      <c r="C120" s="67">
        <v>5758476855</v>
      </c>
      <c r="D120" s="32">
        <v>1.7359944492994814E-2</v>
      </c>
      <c r="E120" s="62">
        <v>474.05405769183278</v>
      </c>
      <c r="F120" s="66"/>
      <c r="G120" s="13" t="s">
        <v>47</v>
      </c>
      <c r="H120" s="73">
        <v>3.6428630302083598E-2</v>
      </c>
      <c r="I120" s="71">
        <v>6.3239900000000018E-4</v>
      </c>
      <c r="J120" s="71">
        <v>6.3239900000000007E-4</v>
      </c>
      <c r="K120" s="64">
        <v>632399</v>
      </c>
      <c r="L120" s="71">
        <v>6.3234202029289338E-4</v>
      </c>
      <c r="M120" s="71">
        <v>0.29976430056889736</v>
      </c>
      <c r="N120" s="66"/>
      <c r="O120" s="54">
        <v>450</v>
      </c>
      <c r="P120" s="54">
        <v>500</v>
      </c>
    </row>
    <row r="121" spans="1:16" x14ac:dyDescent="0.3">
      <c r="A121" s="13" t="s">
        <v>48</v>
      </c>
      <c r="B121" s="67">
        <v>95846</v>
      </c>
      <c r="C121" s="67">
        <v>5022192925</v>
      </c>
      <c r="D121" s="32">
        <v>1.3697539699156033E-2</v>
      </c>
      <c r="E121" s="62">
        <v>523.98565667842161</v>
      </c>
      <c r="F121" s="66"/>
      <c r="G121" s="13" t="s">
        <v>48</v>
      </c>
      <c r="H121" s="73">
        <v>4.1769252914467002E-2</v>
      </c>
      <c r="I121" s="71">
        <v>5.7213600000000065E-4</v>
      </c>
      <c r="J121" s="71">
        <v>5.7213600000000054E-4</v>
      </c>
      <c r="K121" s="64">
        <v>572136</v>
      </c>
      <c r="L121" s="71">
        <v>5.7208445004229113E-4</v>
      </c>
      <c r="M121" s="71">
        <v>0.29976404623092362</v>
      </c>
      <c r="N121" s="66"/>
      <c r="O121" s="54">
        <v>500</v>
      </c>
      <c r="P121" s="54">
        <v>550</v>
      </c>
    </row>
    <row r="122" spans="1:16" x14ac:dyDescent="0.3">
      <c r="A122" s="13" t="s">
        <v>49</v>
      </c>
      <c r="B122" s="67">
        <v>76191</v>
      </c>
      <c r="C122" s="67">
        <v>4374443840</v>
      </c>
      <c r="D122" s="32">
        <v>1.0888605129253149E-2</v>
      </c>
      <c r="E122" s="62">
        <v>574.14180677507841</v>
      </c>
      <c r="F122" s="66"/>
      <c r="G122" s="13" t="s">
        <v>49</v>
      </c>
      <c r="H122" s="63">
        <v>4.7954168031788501E-2</v>
      </c>
      <c r="I122" s="32">
        <v>5.2215399999999961E-4</v>
      </c>
      <c r="J122" s="32">
        <v>5.221539999999995E-4</v>
      </c>
      <c r="K122" s="64">
        <v>522154</v>
      </c>
      <c r="L122" s="32">
        <v>5.2210695346453025E-4</v>
      </c>
      <c r="M122" s="32">
        <v>0.29976342959195718</v>
      </c>
      <c r="N122" s="66"/>
      <c r="O122" s="54">
        <v>550</v>
      </c>
      <c r="P122" s="54">
        <v>600</v>
      </c>
    </row>
    <row r="123" spans="1:16" x14ac:dyDescent="0.3">
      <c r="A123" s="13" t="s">
        <v>50</v>
      </c>
      <c r="B123" s="67">
        <v>61071</v>
      </c>
      <c r="C123" s="67">
        <v>3811243745</v>
      </c>
      <c r="D123" s="32">
        <v>8.727776297051083E-3</v>
      </c>
      <c r="E123" s="62">
        <v>624.0676826971885</v>
      </c>
      <c r="F123" s="66"/>
      <c r="G123" s="13" t="s">
        <v>50</v>
      </c>
      <c r="H123" s="63">
        <v>5.50405949522687E-2</v>
      </c>
      <c r="I123" s="32">
        <v>4.8038200000000023E-4</v>
      </c>
      <c r="J123" s="32">
        <v>4.8038200000000012E-4</v>
      </c>
      <c r="K123" s="64">
        <v>480382</v>
      </c>
      <c r="L123" s="32">
        <v>4.8033871715853554E-4</v>
      </c>
      <c r="M123" s="32">
        <v>0.29976387012686756</v>
      </c>
      <c r="N123" s="66"/>
      <c r="O123" s="54">
        <v>600</v>
      </c>
      <c r="P123" s="54">
        <v>650</v>
      </c>
    </row>
    <row r="124" spans="1:16" x14ac:dyDescent="0.3">
      <c r="A124" s="13" t="s">
        <v>51</v>
      </c>
      <c r="B124" s="67">
        <v>49505</v>
      </c>
      <c r="C124" s="67">
        <v>3337761550</v>
      </c>
      <c r="D124" s="32">
        <v>7.0748565699843436E-3</v>
      </c>
      <c r="E124" s="62">
        <v>674.22715887284107</v>
      </c>
      <c r="F124" s="66"/>
      <c r="G124" s="13" t="s">
        <v>51</v>
      </c>
      <c r="H124" s="63">
        <v>6.2848341249267706E-2</v>
      </c>
      <c r="I124" s="32">
        <v>4.4464299999999967E-4</v>
      </c>
      <c r="J124" s="32">
        <v>4.4464299999999956E-4</v>
      </c>
      <c r="K124" s="64">
        <v>444643</v>
      </c>
      <c r="L124" s="32">
        <v>4.4460293727392519E-4</v>
      </c>
      <c r="M124" s="32">
        <v>0.29976337522471858</v>
      </c>
      <c r="N124" s="66"/>
      <c r="O124" s="54">
        <v>650</v>
      </c>
      <c r="P124" s="54">
        <v>700</v>
      </c>
    </row>
    <row r="125" spans="1:16" x14ac:dyDescent="0.3">
      <c r="A125" s="13" t="s">
        <v>52</v>
      </c>
      <c r="B125" s="67">
        <v>40886</v>
      </c>
      <c r="C125" s="67">
        <v>2961427510</v>
      </c>
      <c r="D125" s="32">
        <v>5.8430983884532857E-3</v>
      </c>
      <c r="E125" s="62">
        <v>724.3133370835983</v>
      </c>
      <c r="F125" s="66"/>
      <c r="G125" s="13" t="s">
        <v>52</v>
      </c>
      <c r="H125" s="63">
        <v>7.0835192646749506E-2</v>
      </c>
      <c r="I125" s="32">
        <v>4.1389700000000009E-4</v>
      </c>
      <c r="J125" s="32">
        <v>4.1389699999999998E-4</v>
      </c>
      <c r="K125" s="64">
        <v>413897</v>
      </c>
      <c r="L125" s="32">
        <v>4.1385970751561547E-4</v>
      </c>
      <c r="M125" s="32">
        <v>0.2997641058350774</v>
      </c>
      <c r="N125" s="66"/>
      <c r="O125" s="54">
        <v>700</v>
      </c>
      <c r="P125" s="54">
        <v>750</v>
      </c>
    </row>
    <row r="126" spans="1:16" x14ac:dyDescent="0.3">
      <c r="A126" s="13" t="s">
        <v>53</v>
      </c>
      <c r="B126" s="67">
        <v>33857</v>
      </c>
      <c r="C126" s="67">
        <v>2621391690</v>
      </c>
      <c r="D126" s="32">
        <v>4.8385702230069674E-3</v>
      </c>
      <c r="E126" s="62">
        <v>774.25397702100008</v>
      </c>
      <c r="F126" s="66"/>
      <c r="G126" s="13" t="s">
        <v>53</v>
      </c>
      <c r="H126" s="63">
        <v>8.0023639660926807E-2</v>
      </c>
      <c r="I126" s="32">
        <v>3.8719999999999982E-4</v>
      </c>
      <c r="J126" s="32">
        <v>3.8719999999999971E-4</v>
      </c>
      <c r="K126" s="64">
        <v>387200</v>
      </c>
      <c r="L126" s="32">
        <v>3.8716511293883821E-4</v>
      </c>
      <c r="M126" s="32">
        <v>0.29976412845668016</v>
      </c>
      <c r="N126" s="66"/>
      <c r="O126" s="54">
        <v>750</v>
      </c>
      <c r="P126" s="54">
        <v>800</v>
      </c>
    </row>
    <row r="127" spans="1:16" x14ac:dyDescent="0.3">
      <c r="A127" s="13" t="s">
        <v>54</v>
      </c>
      <c r="B127" s="67">
        <v>28291</v>
      </c>
      <c r="C127" s="67">
        <v>2332011670</v>
      </c>
      <c r="D127" s="32">
        <v>4.0431222547505719E-3</v>
      </c>
      <c r="E127" s="62">
        <v>824.29453536460369</v>
      </c>
      <c r="F127" s="66"/>
      <c r="G127" s="13" t="s">
        <v>54</v>
      </c>
      <c r="H127" s="63">
        <v>8.9953747891909103E-2</v>
      </c>
      <c r="I127" s="32">
        <v>3.6369400000000002E-4</v>
      </c>
      <c r="J127" s="32">
        <v>3.6369399999999996E-4</v>
      </c>
      <c r="K127" s="64">
        <v>363694</v>
      </c>
      <c r="L127" s="32">
        <v>3.6366123085014931E-4</v>
      </c>
      <c r="M127" s="32">
        <v>0.29976396531374372</v>
      </c>
      <c r="N127" s="66"/>
      <c r="O127" s="54">
        <v>800</v>
      </c>
      <c r="P127" s="54">
        <v>850</v>
      </c>
    </row>
    <row r="128" spans="1:16" x14ac:dyDescent="0.3">
      <c r="A128" s="13" t="s">
        <v>55</v>
      </c>
      <c r="B128" s="67">
        <v>23625</v>
      </c>
      <c r="C128" s="67">
        <v>2065488815</v>
      </c>
      <c r="D128" s="32">
        <v>3.3762950503157282E-3</v>
      </c>
      <c r="E128" s="62">
        <v>874.28097989417995</v>
      </c>
      <c r="F128" s="66"/>
      <c r="G128" s="13" t="s">
        <v>55</v>
      </c>
      <c r="H128" s="63">
        <v>0.101561029142857</v>
      </c>
      <c r="I128" s="32">
        <v>3.428999999999995E-4</v>
      </c>
      <c r="J128" s="32">
        <v>3.4289999999999944E-4</v>
      </c>
      <c r="K128" s="65">
        <v>342900</v>
      </c>
      <c r="L128" s="32">
        <v>3.428691044078709E-4</v>
      </c>
      <c r="M128" s="32">
        <v>0.29976393657715328</v>
      </c>
      <c r="N128" s="66"/>
      <c r="O128" s="54">
        <v>850</v>
      </c>
      <c r="P128" s="54">
        <v>900</v>
      </c>
    </row>
    <row r="129" spans="1:16" x14ac:dyDescent="0.3">
      <c r="A129" s="13" t="s">
        <v>56</v>
      </c>
      <c r="B129" s="67">
        <v>20107</v>
      </c>
      <c r="C129" s="67">
        <v>1858657770</v>
      </c>
      <c r="D129" s="32">
        <v>2.8735307757332632E-3</v>
      </c>
      <c r="E129" s="62">
        <v>924.38343363007914</v>
      </c>
      <c r="F129" s="66"/>
      <c r="G129" s="13" t="s">
        <v>56</v>
      </c>
      <c r="H129" s="63">
        <v>0.112862894227135</v>
      </c>
      <c r="I129" s="32">
        <v>3.2431500000000048E-4</v>
      </c>
      <c r="J129" s="32">
        <v>3.2431500000000042E-4</v>
      </c>
      <c r="K129" s="65">
        <v>324315</v>
      </c>
      <c r="L129" s="32">
        <v>3.2428577893274616E-4</v>
      </c>
      <c r="M129" s="32">
        <v>0.29976440180725666</v>
      </c>
      <c r="N129" s="66"/>
      <c r="O129" s="54">
        <v>900</v>
      </c>
      <c r="P129" s="54">
        <v>950</v>
      </c>
    </row>
    <row r="130" spans="1:16" x14ac:dyDescent="0.3">
      <c r="A130" s="13" t="s">
        <v>57</v>
      </c>
      <c r="B130" s="67">
        <v>17001</v>
      </c>
      <c r="C130" s="67">
        <v>1656429300</v>
      </c>
      <c r="D130" s="32">
        <v>2.4296462285891087E-3</v>
      </c>
      <c r="E130" s="62">
        <v>974.31286394917947</v>
      </c>
      <c r="F130" s="66"/>
      <c r="G130" s="13" t="s">
        <v>57</v>
      </c>
      <c r="H130" s="63">
        <v>0.12664189394300299</v>
      </c>
      <c r="I130" s="32">
        <v>3.0769499999999911E-4</v>
      </c>
      <c r="J130" s="32">
        <v>3.0769499999999905E-4</v>
      </c>
      <c r="K130" s="65">
        <v>307695</v>
      </c>
      <c r="L130" s="32">
        <v>3.0766727640939003E-4</v>
      </c>
      <c r="M130" s="32">
        <v>0.29976418522187664</v>
      </c>
      <c r="N130" s="66"/>
      <c r="O130" s="54">
        <v>950</v>
      </c>
      <c r="P130" s="54">
        <v>1000</v>
      </c>
    </row>
    <row r="131" spans="1:16" x14ac:dyDescent="0.3">
      <c r="A131" s="13" t="s">
        <v>58</v>
      </c>
      <c r="B131" s="67">
        <v>109395</v>
      </c>
      <c r="C131" s="67">
        <v>14362391790</v>
      </c>
      <c r="D131" s="32">
        <v>1.563385384250959E-2</v>
      </c>
      <c r="E131" s="62">
        <v>1312.8928918140684</v>
      </c>
      <c r="F131" s="66"/>
      <c r="G131" s="13" t="s">
        <v>58</v>
      </c>
      <c r="H131" s="63">
        <v>1.46056757534165E-2</v>
      </c>
      <c r="I131" s="32">
        <v>2.2834299999999969E-4</v>
      </c>
      <c r="J131" s="32">
        <v>2.2834299999999964E-4</v>
      </c>
      <c r="K131" s="65">
        <v>228343</v>
      </c>
      <c r="L131" s="32">
        <v>2.2832242609450705E-4</v>
      </c>
      <c r="M131" s="32">
        <v>0.29976289026122127</v>
      </c>
      <c r="N131" s="66"/>
      <c r="O131" s="54">
        <v>1000</v>
      </c>
      <c r="P131" s="54">
        <v>2000</v>
      </c>
    </row>
    <row r="132" spans="1:16" x14ac:dyDescent="0.3">
      <c r="A132" s="13" t="s">
        <v>59</v>
      </c>
      <c r="B132" s="67">
        <v>13326</v>
      </c>
      <c r="C132" s="67">
        <v>3153908440</v>
      </c>
      <c r="D132" s="32">
        <v>1.9044447763177732E-3</v>
      </c>
      <c r="E132" s="62">
        <v>2366.7330331682424</v>
      </c>
      <c r="F132" s="66"/>
      <c r="G132" s="13" t="s">
        <v>59</v>
      </c>
      <c r="H132" s="63">
        <v>0.13302459758892399</v>
      </c>
      <c r="I132" s="32">
        <v>2.5333800000000014E-4</v>
      </c>
      <c r="J132" s="32">
        <v>2.5333800000000009E-4</v>
      </c>
      <c r="K132" s="65">
        <v>372300</v>
      </c>
      <c r="L132" s="32">
        <v>3.7226645544196659E-4</v>
      </c>
      <c r="M132" s="32">
        <v>0.88105531723495589</v>
      </c>
      <c r="N132" s="66"/>
      <c r="O132" s="54">
        <v>2000</v>
      </c>
      <c r="P132" s="54">
        <v>3000</v>
      </c>
    </row>
    <row r="133" spans="1:16" x14ac:dyDescent="0.3">
      <c r="A133" s="13" t="s">
        <v>60</v>
      </c>
      <c r="B133" s="67">
        <v>2933</v>
      </c>
      <c r="C133" s="67">
        <v>994750330</v>
      </c>
      <c r="D133" s="32">
        <v>4.1916077809845634E-4</v>
      </c>
      <c r="E133" s="62">
        <v>3391.5797136038186</v>
      </c>
      <c r="F133" s="66"/>
      <c r="G133" s="13" t="s">
        <v>60</v>
      </c>
      <c r="H133" s="63">
        <v>0</v>
      </c>
      <c r="I133" s="32">
        <v>0</v>
      </c>
      <c r="J133" s="32">
        <v>0</v>
      </c>
      <c r="K133" s="65">
        <v>0</v>
      </c>
      <c r="L133" s="32">
        <v>0</v>
      </c>
      <c r="M133" s="32">
        <v>0</v>
      </c>
      <c r="N133" s="66"/>
      <c r="O133" s="54">
        <v>3000</v>
      </c>
      <c r="P133" s="54">
        <v>4000</v>
      </c>
    </row>
    <row r="134" spans="1:16" x14ac:dyDescent="0.3">
      <c r="A134" s="13" t="s">
        <v>61</v>
      </c>
      <c r="B134" s="67">
        <v>882</v>
      </c>
      <c r="C134" s="67">
        <v>389171095</v>
      </c>
      <c r="D134" s="32">
        <v>1.2604834854512052E-4</v>
      </c>
      <c r="E134" s="62">
        <v>4412.3706916099773</v>
      </c>
      <c r="F134" s="66"/>
      <c r="G134" s="13" t="s">
        <v>61</v>
      </c>
      <c r="H134" s="63">
        <v>0</v>
      </c>
      <c r="I134" s="32">
        <v>0</v>
      </c>
      <c r="J134" s="32">
        <v>0</v>
      </c>
      <c r="K134" s="65">
        <v>0</v>
      </c>
      <c r="L134" s="32">
        <v>0</v>
      </c>
      <c r="M134" s="32">
        <v>0</v>
      </c>
      <c r="N134" s="66"/>
      <c r="O134" s="54">
        <v>4000</v>
      </c>
      <c r="P134" s="54">
        <v>5000</v>
      </c>
    </row>
    <row r="135" spans="1:16" x14ac:dyDescent="0.3">
      <c r="A135" s="13" t="s">
        <v>62</v>
      </c>
      <c r="B135" s="67">
        <v>298</v>
      </c>
      <c r="C135" s="67">
        <v>162368765</v>
      </c>
      <c r="D135" s="32">
        <v>4.2587764020913739E-5</v>
      </c>
      <c r="E135" s="62">
        <v>5448.6162751677857</v>
      </c>
      <c r="F135" s="66"/>
      <c r="G135" s="13" t="s">
        <v>62</v>
      </c>
      <c r="H135" s="63">
        <v>0</v>
      </c>
      <c r="I135" s="32">
        <v>0</v>
      </c>
      <c r="J135" s="32">
        <v>0</v>
      </c>
      <c r="K135" s="65">
        <v>0</v>
      </c>
      <c r="L135" s="32">
        <v>0</v>
      </c>
      <c r="M135" s="32">
        <v>0</v>
      </c>
      <c r="N135" s="66"/>
      <c r="O135" s="54">
        <v>5000</v>
      </c>
      <c r="P135" s="54">
        <v>6000</v>
      </c>
    </row>
    <row r="136" spans="1:16" x14ac:dyDescent="0.3">
      <c r="A136" s="13" t="s">
        <v>63</v>
      </c>
      <c r="B136" s="67">
        <v>116</v>
      </c>
      <c r="C136" s="67">
        <v>74801250</v>
      </c>
      <c r="D136" s="32">
        <v>1.6577787336999976E-5</v>
      </c>
      <c r="E136" s="62">
        <v>6448.3836206896558</v>
      </c>
      <c r="F136" s="66"/>
      <c r="G136" s="13" t="s">
        <v>63</v>
      </c>
      <c r="H136" s="63">
        <v>0</v>
      </c>
      <c r="I136" s="32">
        <v>0</v>
      </c>
      <c r="J136" s="32">
        <v>0</v>
      </c>
      <c r="K136" s="65">
        <v>0</v>
      </c>
      <c r="L136" s="32">
        <v>0</v>
      </c>
      <c r="M136" s="32">
        <v>0</v>
      </c>
      <c r="N136" s="66"/>
      <c r="O136" s="54">
        <v>6000</v>
      </c>
      <c r="P136" s="54">
        <v>7000</v>
      </c>
    </row>
    <row r="137" spans="1:16" x14ac:dyDescent="0.3">
      <c r="A137" s="13" t="s">
        <v>64</v>
      </c>
      <c r="B137" s="67">
        <v>55</v>
      </c>
      <c r="C137" s="67">
        <v>40605295</v>
      </c>
      <c r="D137" s="32">
        <v>7.8601577890948167E-6</v>
      </c>
      <c r="E137" s="62">
        <v>7382.7809090909095</v>
      </c>
      <c r="F137" s="66"/>
      <c r="G137" s="13" t="s">
        <v>64</v>
      </c>
      <c r="H137" s="63">
        <v>0</v>
      </c>
      <c r="I137" s="32">
        <v>0</v>
      </c>
      <c r="J137" s="32">
        <v>0</v>
      </c>
      <c r="K137" s="65">
        <v>0</v>
      </c>
      <c r="L137" s="32">
        <v>0</v>
      </c>
      <c r="M137" s="32">
        <v>0</v>
      </c>
      <c r="N137" s="66"/>
      <c r="O137" s="54">
        <v>7000</v>
      </c>
      <c r="P137" s="54">
        <v>8000</v>
      </c>
    </row>
    <row r="138" spans="1:16" x14ac:dyDescent="0.3">
      <c r="A138" s="13" t="s">
        <v>65</v>
      </c>
      <c r="B138" s="67">
        <v>22</v>
      </c>
      <c r="C138" s="67">
        <v>18835895</v>
      </c>
      <c r="D138" s="32">
        <v>3.144063115637927E-6</v>
      </c>
      <c r="E138" s="62">
        <v>8561.7704545454544</v>
      </c>
      <c r="F138" s="66"/>
      <c r="G138" s="13" t="s">
        <v>65</v>
      </c>
      <c r="H138" s="63">
        <v>0</v>
      </c>
      <c r="I138" s="32">
        <v>0</v>
      </c>
      <c r="J138" s="32">
        <v>0</v>
      </c>
      <c r="K138" s="65">
        <v>0</v>
      </c>
      <c r="L138" s="32">
        <v>0</v>
      </c>
      <c r="M138" s="32">
        <v>0</v>
      </c>
      <c r="N138" s="66"/>
      <c r="O138" s="54">
        <v>8000</v>
      </c>
      <c r="P138" s="54">
        <v>9000</v>
      </c>
    </row>
    <row r="139" spans="1:16" x14ac:dyDescent="0.3">
      <c r="A139" s="13" t="s">
        <v>66</v>
      </c>
      <c r="B139" s="67">
        <v>11</v>
      </c>
      <c r="C139" s="67">
        <v>10522285</v>
      </c>
      <c r="D139" s="32">
        <v>1.5720315578189635E-6</v>
      </c>
      <c r="E139" s="62">
        <v>9565.7136363636364</v>
      </c>
      <c r="F139" s="66"/>
      <c r="G139" s="13" t="s">
        <v>66</v>
      </c>
      <c r="H139" s="63">
        <v>18.353957245</v>
      </c>
      <c r="I139" s="32">
        <v>2.8853000000000003E-5</v>
      </c>
      <c r="J139" s="32">
        <v>2.8852999999999996E-5</v>
      </c>
      <c r="K139" s="65">
        <v>0</v>
      </c>
      <c r="L139" s="32">
        <v>0</v>
      </c>
      <c r="M139" s="32">
        <v>0</v>
      </c>
      <c r="N139" s="66"/>
      <c r="O139" s="54">
        <v>9000</v>
      </c>
      <c r="P139" s="54">
        <v>10000</v>
      </c>
    </row>
    <row r="140" spans="1:16" x14ac:dyDescent="0.3">
      <c r="A140" s="13" t="s">
        <v>67</v>
      </c>
      <c r="B140" s="67">
        <v>13</v>
      </c>
      <c r="C140" s="67">
        <v>14889020</v>
      </c>
      <c r="D140" s="32">
        <v>1.8578554774224113E-6</v>
      </c>
      <c r="E140" s="62">
        <v>11453.092307692308</v>
      </c>
      <c r="F140" s="66"/>
      <c r="G140" s="13" t="s">
        <v>67</v>
      </c>
      <c r="H140" s="63">
        <v>0</v>
      </c>
      <c r="I140" s="32">
        <v>0</v>
      </c>
      <c r="J140" s="32">
        <v>0</v>
      </c>
      <c r="K140" s="65">
        <v>0</v>
      </c>
      <c r="L140" s="32">
        <v>0</v>
      </c>
      <c r="M140" s="32">
        <v>0</v>
      </c>
      <c r="N140" s="66"/>
      <c r="O140" s="54">
        <v>10000</v>
      </c>
      <c r="P140" s="54">
        <v>20000</v>
      </c>
    </row>
    <row r="141" spans="1:16" x14ac:dyDescent="0.3">
      <c r="A141" s="13" t="s">
        <v>68</v>
      </c>
      <c r="B141" s="67">
        <v>0</v>
      </c>
      <c r="C141" s="67">
        <v>0</v>
      </c>
      <c r="D141" s="32">
        <v>0</v>
      </c>
      <c r="E141" s="62">
        <v>0</v>
      </c>
      <c r="F141" s="66"/>
      <c r="G141" s="13" t="s">
        <v>68</v>
      </c>
      <c r="H141" s="63">
        <v>0</v>
      </c>
      <c r="I141" s="32">
        <v>0</v>
      </c>
      <c r="J141" s="32">
        <v>0</v>
      </c>
      <c r="K141" s="65">
        <v>0</v>
      </c>
      <c r="L141" s="32">
        <v>0</v>
      </c>
      <c r="M141" s="32">
        <v>0</v>
      </c>
      <c r="N141" s="66"/>
      <c r="O141" s="54">
        <v>20000</v>
      </c>
      <c r="P141" s="54">
        <v>30000</v>
      </c>
    </row>
    <row r="142" spans="1:16" x14ac:dyDescent="0.3">
      <c r="A142" s="13" t="s">
        <v>69</v>
      </c>
      <c r="B142" s="67">
        <v>0</v>
      </c>
      <c r="C142" s="67">
        <v>0</v>
      </c>
      <c r="D142" s="32">
        <v>0</v>
      </c>
      <c r="E142" s="62">
        <v>0</v>
      </c>
      <c r="F142" s="66"/>
      <c r="G142" s="13" t="s">
        <v>69</v>
      </c>
      <c r="H142" s="63">
        <v>0</v>
      </c>
      <c r="I142" s="32">
        <v>0</v>
      </c>
      <c r="J142" s="32">
        <v>0</v>
      </c>
      <c r="K142" s="65">
        <v>0</v>
      </c>
      <c r="L142" s="32">
        <v>0</v>
      </c>
      <c r="M142" s="32">
        <v>0</v>
      </c>
      <c r="N142" s="66"/>
      <c r="O142" s="54">
        <v>30000</v>
      </c>
      <c r="P142" s="54">
        <v>40000</v>
      </c>
    </row>
    <row r="143" spans="1:16" x14ac:dyDescent="0.3">
      <c r="A143" s="13" t="s">
        <v>70</v>
      </c>
      <c r="B143" s="67">
        <v>0</v>
      </c>
      <c r="C143" s="67">
        <v>0</v>
      </c>
      <c r="D143" s="32">
        <v>0</v>
      </c>
      <c r="E143" s="62">
        <v>0</v>
      </c>
      <c r="F143" s="66"/>
      <c r="G143" s="13" t="s">
        <v>70</v>
      </c>
      <c r="H143" s="63">
        <v>0</v>
      </c>
      <c r="I143" s="32">
        <v>0</v>
      </c>
      <c r="J143" s="32">
        <v>0</v>
      </c>
      <c r="K143" s="65">
        <v>0</v>
      </c>
      <c r="L143" s="32">
        <v>0</v>
      </c>
      <c r="M143" s="32">
        <v>0</v>
      </c>
      <c r="N143" s="66"/>
      <c r="O143" s="54">
        <v>40000</v>
      </c>
      <c r="P143" s="54">
        <v>50000</v>
      </c>
    </row>
    <row r="144" spans="1:16" x14ac:dyDescent="0.3">
      <c r="A144" s="13" t="s">
        <v>71</v>
      </c>
      <c r="B144" s="67">
        <v>0</v>
      </c>
      <c r="C144" s="67">
        <v>0</v>
      </c>
      <c r="D144" s="32">
        <v>0</v>
      </c>
      <c r="E144" s="62">
        <v>0</v>
      </c>
      <c r="F144" s="66"/>
      <c r="G144" s="13" t="s">
        <v>71</v>
      </c>
      <c r="H144" s="63">
        <v>0</v>
      </c>
      <c r="I144" s="32">
        <v>0</v>
      </c>
      <c r="J144" s="32">
        <v>0</v>
      </c>
      <c r="K144" s="65">
        <v>0</v>
      </c>
      <c r="L144" s="32">
        <v>0</v>
      </c>
      <c r="M144" s="32">
        <v>0</v>
      </c>
      <c r="N144" s="66"/>
      <c r="O144" s="54">
        <v>50000</v>
      </c>
      <c r="P144" s="54">
        <v>60000</v>
      </c>
    </row>
    <row r="145" spans="1:16" x14ac:dyDescent="0.3">
      <c r="A145" s="13" t="s">
        <v>72</v>
      </c>
      <c r="B145" s="67">
        <v>0</v>
      </c>
      <c r="C145" s="67">
        <v>0</v>
      </c>
      <c r="D145" s="32">
        <v>0</v>
      </c>
      <c r="E145" s="62">
        <v>0</v>
      </c>
      <c r="F145" s="66"/>
      <c r="G145" s="13" t="s">
        <v>72</v>
      </c>
      <c r="H145" s="63">
        <v>0</v>
      </c>
      <c r="I145" s="32">
        <v>0</v>
      </c>
      <c r="J145" s="32">
        <v>0</v>
      </c>
      <c r="K145" s="65">
        <v>0</v>
      </c>
      <c r="L145" s="32">
        <v>0</v>
      </c>
      <c r="M145" s="32">
        <v>0</v>
      </c>
      <c r="N145" s="66"/>
      <c r="O145" s="54">
        <v>60000</v>
      </c>
      <c r="P145" s="54">
        <v>70000</v>
      </c>
    </row>
    <row r="146" spans="1:16" x14ac:dyDescent="0.3">
      <c r="A146" s="13" t="s">
        <v>73</v>
      </c>
      <c r="B146" s="67">
        <v>0</v>
      </c>
      <c r="C146" s="67">
        <v>0</v>
      </c>
      <c r="D146" s="32">
        <v>0</v>
      </c>
      <c r="E146" s="62">
        <v>0</v>
      </c>
      <c r="F146" s="66"/>
      <c r="G146" s="13" t="s">
        <v>73</v>
      </c>
      <c r="H146" s="63">
        <v>0</v>
      </c>
      <c r="I146" s="32">
        <v>0</v>
      </c>
      <c r="J146" s="32">
        <v>0</v>
      </c>
      <c r="K146" s="65">
        <v>0</v>
      </c>
      <c r="L146" s="32">
        <v>0</v>
      </c>
      <c r="M146" s="32">
        <v>0</v>
      </c>
      <c r="N146" s="66"/>
      <c r="O146" s="54">
        <v>70000</v>
      </c>
      <c r="P146" s="54">
        <v>80000</v>
      </c>
    </row>
    <row r="147" spans="1:16" x14ac:dyDescent="0.3">
      <c r="A147" s="13" t="s">
        <v>74</v>
      </c>
      <c r="B147" s="67">
        <v>0</v>
      </c>
      <c r="C147" s="67">
        <v>0</v>
      </c>
      <c r="D147" s="32">
        <v>0</v>
      </c>
      <c r="E147" s="62">
        <v>0</v>
      </c>
      <c r="F147" s="66"/>
      <c r="G147" s="13" t="s">
        <v>74</v>
      </c>
      <c r="H147" s="63">
        <v>0</v>
      </c>
      <c r="I147" s="32">
        <v>0</v>
      </c>
      <c r="J147" s="32">
        <v>0</v>
      </c>
      <c r="K147" s="65">
        <v>0</v>
      </c>
      <c r="L147" s="32">
        <v>0</v>
      </c>
      <c r="M147" s="32">
        <v>0</v>
      </c>
      <c r="N147" s="66"/>
      <c r="O147" s="54">
        <v>80000</v>
      </c>
      <c r="P147" s="54">
        <v>90000</v>
      </c>
    </row>
    <row r="148" spans="1:16" x14ac:dyDescent="0.3">
      <c r="A148" s="13" t="s">
        <v>75</v>
      </c>
      <c r="B148" s="67">
        <v>0</v>
      </c>
      <c r="C148" s="67">
        <v>0</v>
      </c>
      <c r="D148" s="32">
        <v>0</v>
      </c>
      <c r="E148" s="62">
        <v>0</v>
      </c>
      <c r="F148" s="66"/>
      <c r="G148" s="13" t="s">
        <v>75</v>
      </c>
      <c r="H148" s="63">
        <v>0</v>
      </c>
      <c r="I148" s="32">
        <v>0</v>
      </c>
      <c r="J148" s="32">
        <v>0</v>
      </c>
      <c r="K148" s="65">
        <v>0</v>
      </c>
      <c r="L148" s="32">
        <v>0</v>
      </c>
      <c r="M148" s="32">
        <v>0</v>
      </c>
      <c r="N148" s="66"/>
      <c r="O148" s="54">
        <v>90000</v>
      </c>
      <c r="P148" s="54">
        <v>100000</v>
      </c>
    </row>
    <row r="149" spans="1:16" x14ac:dyDescent="0.3">
      <c r="A149" s="13" t="s">
        <v>76</v>
      </c>
      <c r="B149" s="67">
        <v>0</v>
      </c>
      <c r="C149" s="67">
        <v>0</v>
      </c>
      <c r="D149" s="32">
        <v>0</v>
      </c>
      <c r="E149" s="62">
        <v>0</v>
      </c>
      <c r="F149" s="66"/>
      <c r="G149" s="13" t="s">
        <v>76</v>
      </c>
      <c r="H149" s="63">
        <v>0</v>
      </c>
      <c r="I149" s="32">
        <v>0</v>
      </c>
      <c r="J149" s="32">
        <v>0</v>
      </c>
      <c r="K149" s="65">
        <v>0</v>
      </c>
      <c r="L149" s="32">
        <v>0</v>
      </c>
      <c r="M149" s="32">
        <v>0</v>
      </c>
      <c r="N149" s="66"/>
      <c r="O149" s="54">
        <v>100000</v>
      </c>
      <c r="P149" s="54">
        <v>9999999</v>
      </c>
    </row>
    <row r="150" spans="1:16" customFormat="1" x14ac:dyDescent="0.3"/>
    <row r="151" spans="1:16" customFormat="1" x14ac:dyDescent="0.3"/>
    <row r="152" spans="1:16" customFormat="1" collapsed="1" x14ac:dyDescent="0.3"/>
    <row r="153" spans="1:16" customFormat="1" x14ac:dyDescent="0.3"/>
    <row r="154" spans="1:16" customFormat="1" x14ac:dyDescent="0.3"/>
    <row r="155" spans="1:16" customFormat="1" x14ac:dyDescent="0.3"/>
    <row r="156" spans="1:16" customFormat="1" x14ac:dyDescent="0.3"/>
    <row r="157" spans="1:16" customFormat="1" x14ac:dyDescent="0.3"/>
    <row r="158" spans="1:16" customFormat="1" x14ac:dyDescent="0.3"/>
    <row r="159" spans="1:16" customFormat="1" x14ac:dyDescent="0.3"/>
    <row r="160" spans="1:16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7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77</v>
      </c>
      <c r="C2" s="30">
        <v>10000000000</v>
      </c>
    </row>
    <row r="4" spans="1:3" x14ac:dyDescent="0.3">
      <c r="B4" s="11" t="s">
        <v>3</v>
      </c>
      <c r="C4" s="11" t="s">
        <v>78</v>
      </c>
    </row>
    <row r="5" spans="1:3" x14ac:dyDescent="0.3">
      <c r="A5" s="19"/>
      <c r="B5" s="14" t="s">
        <v>79</v>
      </c>
      <c r="C5" s="20">
        <v>3641035800</v>
      </c>
    </row>
    <row r="7" spans="1:3" x14ac:dyDescent="0.3">
      <c r="B7" s="12"/>
      <c r="C7" s="12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Multiplier_Weight</vt:lpstr>
      <vt:lpstr>Detail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2026-09-24T04:09:29Z</dcterms:modified>
</cp:coreProperties>
</file>