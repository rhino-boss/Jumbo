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F30" i="3" s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/>
  <c r="I15" i="5" s="1" a="1"/>
  <c r="A15" i="5"/>
  <c r="F8" i="5"/>
  <c r="G8" i="5" s="1"/>
  <c r="B7" i="5" a="1"/>
  <c r="B7" i="5" s="1"/>
  <c r="B3" i="5"/>
  <c r="E156" i="5" s="1"/>
  <c r="C21" i="1"/>
  <c r="A21" i="1"/>
  <c r="A17" i="1"/>
  <c r="A11" i="1" a="1"/>
  <c r="A12" i="1" s="1"/>
  <c r="A11" i="1" l="1"/>
  <c r="C37" i="3"/>
  <c r="C17" i="3"/>
  <c r="E30" i="3"/>
  <c r="E50" i="3"/>
  <c r="E43" i="3"/>
  <c r="E23" i="3"/>
  <c r="M156" i="5"/>
  <c r="C8" i="5" s="1"/>
  <c r="B21" i="1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63" i="3"/>
  <c r="C43" i="3"/>
  <c r="C23" i="3"/>
  <c r="C51" i="3"/>
  <c r="C49" i="3"/>
  <c r="C29" i="3"/>
  <c r="C9" i="3"/>
  <c r="C61" i="3"/>
  <c r="C47" i="3"/>
  <c r="C27" i="3"/>
  <c r="C55" i="3"/>
  <c r="C35" i="3"/>
  <c r="C15" i="3"/>
  <c r="C8" i="3"/>
  <c r="C41" i="3"/>
  <c r="C21" i="3"/>
  <c r="C31" i="3"/>
  <c r="C11" i="3"/>
  <c r="C65" i="3"/>
  <c r="C25" i="3"/>
  <c r="C53" i="3"/>
  <c r="C33" i="3"/>
  <c r="C13" i="3"/>
  <c r="C7" i="3"/>
  <c r="K86" i="6"/>
  <c r="C59" i="3"/>
  <c r="C39" i="3"/>
  <c r="C19" i="3"/>
  <c r="C12" i="3"/>
  <c r="C45" i="3"/>
  <c r="C5" i="3"/>
  <c r="C57" i="3"/>
  <c r="I15" i="5"/>
  <c r="J15" i="5" s="1" a="1"/>
  <c r="J15" i="5" s="1"/>
  <c r="J79" i="5"/>
  <c r="F41" i="3"/>
  <c r="F13" i="3"/>
  <c r="K163" i="5"/>
  <c r="F65" i="3"/>
  <c r="F61" i="3"/>
  <c r="F57" i="3"/>
  <c r="F53" i="3"/>
  <c r="F49" i="3"/>
  <c r="F45" i="3"/>
  <c r="F37" i="3"/>
  <c r="F33" i="3"/>
  <c r="F29" i="3"/>
  <c r="F25" i="3"/>
  <c r="F21" i="3"/>
  <c r="F17" i="3"/>
  <c r="F9" i="3"/>
  <c r="F5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F12" i="3"/>
  <c r="F8" i="3"/>
  <c r="F4" i="3"/>
  <c r="F55" i="3"/>
  <c r="F35" i="3"/>
  <c r="F15" i="3"/>
  <c r="F63" i="3"/>
  <c r="F62" i="3"/>
  <c r="F42" i="3"/>
  <c r="F22" i="3"/>
  <c r="F14" i="3"/>
  <c r="F7" i="3"/>
  <c r="F47" i="3"/>
  <c r="F27" i="3"/>
  <c r="F34" i="3"/>
  <c r="F18" i="3"/>
  <c r="F23" i="3"/>
  <c r="F54" i="3"/>
  <c r="F59" i="3"/>
  <c r="F39" i="3"/>
  <c r="F19" i="3"/>
  <c r="F66" i="3"/>
  <c r="F46" i="3"/>
  <c r="F26" i="3"/>
  <c r="F6" i="3"/>
  <c r="F51" i="3"/>
  <c r="F31" i="3"/>
  <c r="F58" i="3"/>
  <c r="F38" i="3"/>
  <c r="F11" i="3"/>
  <c r="F43" i="3"/>
  <c r="F50" i="3"/>
  <c r="E61" i="3"/>
  <c r="E49" i="3"/>
  <c r="E41" i="3"/>
  <c r="E33" i="3"/>
  <c r="E29" i="3"/>
  <c r="E25" i="3"/>
  <c r="E17" i="3"/>
  <c r="E13" i="3"/>
  <c r="E5" i="3"/>
  <c r="E65" i="3"/>
  <c r="E57" i="3"/>
  <c r="E53" i="3"/>
  <c r="E45" i="3"/>
  <c r="E37" i="3"/>
  <c r="E21" i="3"/>
  <c r="E9" i="3"/>
  <c r="E64" i="3"/>
  <c r="E60" i="3"/>
  <c r="E56" i="3"/>
  <c r="E52" i="3"/>
  <c r="E48" i="3"/>
  <c r="E44" i="3"/>
  <c r="E40" i="3"/>
  <c r="E36" i="3"/>
  <c r="E32" i="3"/>
  <c r="E28" i="3"/>
  <c r="E24" i="3"/>
  <c r="E20" i="3"/>
  <c r="E16" i="3"/>
  <c r="E12" i="3"/>
  <c r="E8" i="3"/>
  <c r="E4" i="3"/>
  <c r="E10" i="3"/>
  <c r="E18" i="3"/>
  <c r="E55" i="3"/>
  <c r="E35" i="3"/>
  <c r="E15" i="3"/>
  <c r="E62" i="3"/>
  <c r="E42" i="3"/>
  <c r="E22" i="3"/>
  <c r="E34" i="3"/>
  <c r="E7" i="3"/>
  <c r="K86" i="5"/>
  <c r="E47" i="3"/>
  <c r="E51" i="3"/>
  <c r="E27" i="3"/>
  <c r="E54" i="3"/>
  <c r="E14" i="3"/>
  <c r="E58" i="3"/>
  <c r="E59" i="3"/>
  <c r="E39" i="3"/>
  <c r="E19" i="3"/>
  <c r="E66" i="3"/>
  <c r="E46" i="3"/>
  <c r="E26" i="3"/>
  <c r="E6" i="3"/>
  <c r="E31" i="3"/>
  <c r="E38" i="3"/>
  <c r="E11" i="3"/>
  <c r="E63" i="3"/>
  <c r="C4" i="3"/>
  <c r="F10" i="3"/>
  <c r="I15" i="6"/>
  <c r="J15" i="6" s="1" a="1"/>
  <c r="J15" i="6" s="1"/>
  <c r="J79" i="6"/>
  <c r="E86" i="5" a="1"/>
  <c r="E86" i="5" s="1"/>
  <c r="E15" i="5" a="1"/>
  <c r="E15" i="5" s="1"/>
  <c r="E86" i="6" a="1"/>
  <c r="E86" i="6" s="1"/>
  <c r="E15" i="6" a="1"/>
  <c r="E15" i="6" s="1"/>
  <c r="E163" i="5" a="1"/>
  <c r="E163" i="5" s="1"/>
  <c r="K15" i="5" l="1" a="1"/>
  <c r="D50" i="3" s="1"/>
  <c r="K15" i="6" a="1"/>
  <c r="J7" i="5" a="1"/>
  <c r="J7" i="5" s="1"/>
  <c r="E3" i="3"/>
  <c r="L86" i="5" a="1"/>
  <c r="L86" i="5" s="1"/>
  <c r="D64" i="3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D29" i="3"/>
  <c r="D10" i="3"/>
  <c r="D9" i="3"/>
  <c r="D55" i="3"/>
  <c r="D35" i="3"/>
  <c r="D15" i="3"/>
  <c r="D67" i="3"/>
  <c r="D54" i="3"/>
  <c r="D34" i="3"/>
  <c r="D14" i="3"/>
  <c r="D6" i="3"/>
  <c r="D57" i="3"/>
  <c r="D62" i="3"/>
  <c r="D42" i="3"/>
  <c r="D22" i="3"/>
  <c r="D61" i="3"/>
  <c r="D41" i="3"/>
  <c r="D21" i="3"/>
  <c r="D37" i="3"/>
  <c r="D17" i="3"/>
  <c r="D27" i="3"/>
  <c r="D31" i="3"/>
  <c r="D5" i="3"/>
  <c r="D53" i="3"/>
  <c r="D33" i="3"/>
  <c r="D13" i="3"/>
  <c r="D7" i="3"/>
  <c r="D59" i="3"/>
  <c r="D39" i="3"/>
  <c r="D19" i="3"/>
  <c r="D66" i="3"/>
  <c r="D46" i="3"/>
  <c r="D26" i="3"/>
  <c r="D65" i="3"/>
  <c r="D45" i="3"/>
  <c r="D25" i="3"/>
  <c r="D38" i="3"/>
  <c r="D18" i="3"/>
  <c r="D43" i="3"/>
  <c r="D23" i="3"/>
  <c r="D63" i="3"/>
  <c r="J7" i="6" a="1"/>
  <c r="J7" i="6" s="1"/>
  <c r="C3" i="3"/>
  <c r="L86" i="6" a="1"/>
  <c r="L86" i="6" s="1"/>
  <c r="L163" i="5" a="1"/>
  <c r="L163" i="5" s="1"/>
  <c r="F3" i="3"/>
  <c r="J8" i="5" a="1"/>
  <c r="J8" i="5" s="1"/>
  <c r="K15" i="5" l="1"/>
  <c r="D58" i="3"/>
  <c r="D11" i="3"/>
  <c r="D49" i="3"/>
  <c r="D51" i="3"/>
  <c r="D47" i="3"/>
  <c r="D30" i="3"/>
  <c r="U163" i="5" a="1"/>
  <c r="U163" i="5" s="1"/>
  <c r="M163" i="5" a="1"/>
  <c r="M163" i="5" s="1"/>
  <c r="D8" i="5" s="1"/>
  <c r="Q163" i="5" a="1"/>
  <c r="Q163" i="5" s="1"/>
  <c r="Q86" i="6" a="1"/>
  <c r="Q86" i="6" s="1"/>
  <c r="M86" i="6" a="1"/>
  <c r="M86" i="6" s="1"/>
  <c r="U86" i="6" a="1"/>
  <c r="U86" i="6" s="1"/>
  <c r="L15" i="5" a="1"/>
  <c r="I7" i="5" a="1"/>
  <c r="I7" i="5" s="1"/>
  <c r="D3" i="3"/>
  <c r="Q86" i="5" a="1"/>
  <c r="Q86" i="5" s="1"/>
  <c r="M86" i="5" a="1"/>
  <c r="M86" i="5" s="1"/>
  <c r="U86" i="5" a="1"/>
  <c r="U86" i="5" s="1"/>
  <c r="B62" i="3"/>
  <c r="B54" i="3"/>
  <c r="B30" i="3"/>
  <c r="B66" i="3"/>
  <c r="B58" i="3"/>
  <c r="B50" i="3"/>
  <c r="B46" i="3"/>
  <c r="B42" i="3"/>
  <c r="B38" i="3"/>
  <c r="B34" i="3"/>
  <c r="B26" i="3"/>
  <c r="B22" i="3"/>
  <c r="B18" i="3"/>
  <c r="B14" i="3"/>
  <c r="B10" i="3"/>
  <c r="B6" i="3"/>
  <c r="K15" i="6"/>
  <c r="B56" i="3"/>
  <c r="B36" i="3"/>
  <c r="B16" i="3"/>
  <c r="B63" i="3"/>
  <c r="B43" i="3"/>
  <c r="B23" i="3"/>
  <c r="B5" i="3"/>
  <c r="B49" i="3"/>
  <c r="B29" i="3"/>
  <c r="B61" i="3"/>
  <c r="B60" i="3"/>
  <c r="B40" i="3"/>
  <c r="B65" i="3"/>
  <c r="B25" i="3"/>
  <c r="B24" i="3"/>
  <c r="B48" i="3"/>
  <c r="B28" i="3"/>
  <c r="B9" i="3"/>
  <c r="B55" i="3"/>
  <c r="B35" i="3"/>
  <c r="B15" i="3"/>
  <c r="B8" i="3"/>
  <c r="B21" i="3"/>
  <c r="B20" i="3"/>
  <c r="B64" i="3"/>
  <c r="B44" i="3"/>
  <c r="B51" i="3"/>
  <c r="B41" i="3"/>
  <c r="B45" i="3"/>
  <c r="B31" i="3"/>
  <c r="B67" i="3"/>
  <c r="B47" i="3"/>
  <c r="B27" i="3"/>
  <c r="B53" i="3"/>
  <c r="B33" i="3"/>
  <c r="B13" i="3"/>
  <c r="B7" i="3"/>
  <c r="B52" i="3"/>
  <c r="B32" i="3"/>
  <c r="B59" i="3"/>
  <c r="B39" i="3"/>
  <c r="B19" i="3"/>
  <c r="B12" i="3"/>
  <c r="B11" i="3"/>
  <c r="B4" i="3"/>
  <c r="B17" i="3"/>
  <c r="B57" i="3"/>
  <c r="B37" i="3"/>
  <c r="L15" i="5" l="1"/>
  <c r="F7" i="5"/>
  <c r="L15" i="6" a="1"/>
  <c r="I7" i="6" a="1"/>
  <c r="I7" i="6" s="1"/>
  <c r="B3" i="3"/>
  <c r="B22" i="1"/>
  <c r="C12" i="1" s="1"/>
  <c r="H8" i="5"/>
  <c r="E8" i="5"/>
  <c r="F7" i="6" l="1"/>
  <c r="L15" i="6"/>
  <c r="G7" i="5"/>
  <c r="D17" i="1" s="1"/>
  <c r="C17" i="1" s="1"/>
  <c r="D7" i="5"/>
  <c r="U15" i="5" a="1"/>
  <c r="U15" i="5" s="1"/>
  <c r="Q15" i="5" a="1"/>
  <c r="Q15" i="5" s="1"/>
  <c r="M15" i="5" a="1"/>
  <c r="M15" i="5" s="1"/>
  <c r="C7" i="5" s="1"/>
  <c r="E7" i="5" l="1"/>
  <c r="B17" i="1"/>
  <c r="B18" i="1"/>
  <c r="H7" i="5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C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<sst xmlns="http://schemas.openxmlformats.org/spreadsheetml/2006/main" count="289" uniqueCount="129">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</sst>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725030703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154403733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20846902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12823318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56769001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86719319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76307893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91821308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61644389</v>
      </c>
      <c r="D26" s="10">
        <f>Detail!K38</f>
        <v>0</v>
      </c>
      <c r="E26" s="10">
        <f>Detail!K109</f>
        <v>21816256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41947638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14298830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1542322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1344351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1193870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554587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0.71999975321048371</v>
      </c>
      <c r="D7" s="40">
        <f>SUM(_xlfn.ANCHORARRAY(M86))*F7</f>
        <v>0.160000014131815</v>
      </c>
      <c r="E7" s="41">
        <f>SUM(C7:D7)</f>
        <v>0.87999976734229868</v>
      </c>
      <c r="F7" s="42">
        <f>L79</f>
        <v>2.6666669113457812E-3</v>
      </c>
      <c r="G7" s="43">
        <f>1/F7</f>
        <v>374.9999655920027</v>
      </c>
      <c r="H7" s="44">
        <f>D7*G7</f>
        <v>59.999999794150568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1.1604779984761799</v>
      </c>
      <c r="I15" s="36" cm="1">
        <f t="array" ref="I15:I79">D15:D79*H15:H79</f>
        <v>0.72503070300000239</v>
      </c>
      <c r="J15" s="36" cm="1">
        <f t="array" ref="J15:J78">I15:I78/SUM(I15:I78)</f>
        <v>0.72503070300000072</v>
      </c>
      <c r="K15" s="71" cm="1">
        <f t="array" ref="K15:K79">INT(J15:J79*$B$2)</f>
        <v>725030703</v>
      </c>
      <c r="L15" s="36" cm="1">
        <f t="array" ref="L15:L79">_xlfn.LET(_xlpm.x, K15:K79, _xlpm.x/SUM(_xlpm.x))</f>
        <v>0.72309729773796227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1.07776111794518</v>
      </c>
      <c r="I16" s="36">
        <v>0.15440373399999982</v>
      </c>
      <c r="J16" s="36">
        <v>0.15440373399999949</v>
      </c>
      <c r="K16" s="71">
        <v>154403733</v>
      </c>
      <c r="L16" s="36">
        <v>0.1539919918301085</v>
      </c>
      <c r="M16" s="36">
        <v>6.6793293790423494E-2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0.82606975265657301</v>
      </c>
      <c r="I17" s="36">
        <v>4.5377699999999986E-2</v>
      </c>
      <c r="J17" s="36">
        <v>4.5377699999999882E-2</v>
      </c>
      <c r="K17" s="71">
        <v>45377699</v>
      </c>
      <c r="L17" s="36">
        <v>4.5256692425157383E-2</v>
      </c>
      <c r="M17" s="36">
        <v>6.8133812496154106E-2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0.63091231095202804</v>
      </c>
      <c r="I18" s="36">
        <v>2.0846902999999993E-2</v>
      </c>
      <c r="J18" s="36">
        <v>2.0846902999999948E-2</v>
      </c>
      <c r="K18" s="71">
        <v>20846902</v>
      </c>
      <c r="L18" s="36">
        <v>2.0791310547310881E-2</v>
      </c>
      <c r="M18" s="36">
        <v>5.2634897355604872E-2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0.56052675532033702</v>
      </c>
      <c r="I19" s="36">
        <v>1.2823317999999998E-2</v>
      </c>
      <c r="J19" s="36">
        <v>1.2823317999999971E-2</v>
      </c>
      <c r="K19" s="71">
        <v>12823318</v>
      </c>
      <c r="L19" s="36">
        <v>1.2789122661243452E-2</v>
      </c>
      <c r="M19" s="36">
        <v>4.5123948279356278E-2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0.492038424224231</v>
      </c>
      <c r="I20" s="36">
        <v>8.3494940000000042E-3</v>
      </c>
      <c r="J20" s="36">
        <v>8.3494939999999851E-3</v>
      </c>
      <c r="K20" s="71">
        <v>8349493</v>
      </c>
      <c r="L20" s="36">
        <v>8.3272277998715765E-3</v>
      </c>
      <c r="M20" s="36">
        <v>3.7743541489839563E-2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0.47953162466469801</v>
      </c>
      <c r="I21" s="36">
        <v>6.4608720000000021E-3</v>
      </c>
      <c r="J21" s="36">
        <v>6.4608719999999873E-3</v>
      </c>
      <c r="K21" s="71">
        <v>6460871</v>
      </c>
      <c r="L21" s="36">
        <v>6.4436420992968159E-3</v>
      </c>
      <c r="M21" s="36">
        <v>3.5777565948779261E-2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0.32776498399675602</v>
      </c>
      <c r="I22" s="36">
        <v>3.4873269999999967E-3</v>
      </c>
      <c r="J22" s="36">
        <v>3.4873269999999889E-3</v>
      </c>
      <c r="K22" s="71">
        <v>3487326</v>
      </c>
      <c r="L22" s="36">
        <v>3.4780265118390954E-3</v>
      </c>
      <c r="M22" s="36">
        <v>2.2692647404431533E-2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0.43795326304719601</v>
      </c>
      <c r="I23" s="36">
        <v>3.9212959999999969E-3</v>
      </c>
      <c r="J23" s="36">
        <v>3.9212959999999882E-3</v>
      </c>
      <c r="K23" s="71">
        <v>3921295</v>
      </c>
      <c r="L23" s="36">
        <v>3.9108382671256105E-3</v>
      </c>
      <c r="M23" s="36">
        <v>2.9458081796147374E-2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0.42260985794365402</v>
      </c>
      <c r="I24" s="36">
        <v>3.1813469999999997E-3</v>
      </c>
      <c r="J24" s="36">
        <v>3.1813469999999928E-3</v>
      </c>
      <c r="K24" s="71">
        <v>3181346</v>
      </c>
      <c r="L24" s="36">
        <v>3.1728624543083321E-3</v>
      </c>
      <c r="M24" s="36">
        <v>2.7135441605342672E-2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0.33227894107553102</v>
      </c>
      <c r="I25" s="36">
        <v>2.0684599999999972E-3</v>
      </c>
      <c r="J25" s="36">
        <v>2.0684599999999925E-3</v>
      </c>
      <c r="K25" s="71">
        <v>2068459</v>
      </c>
      <c r="L25" s="36">
        <v>2.0629431377084287E-3</v>
      </c>
      <c r="M25" s="36">
        <v>1.9676074189580801E-2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0.30406530602784798</v>
      </c>
      <c r="I26" s="36">
        <v>6.2971560000000086E-3</v>
      </c>
      <c r="J26" s="36">
        <v>6.2971559999999947E-3</v>
      </c>
      <c r="K26" s="71">
        <v>6297155</v>
      </c>
      <c r="L26" s="36">
        <v>6.2803626730509616E-3</v>
      </c>
      <c r="M26" s="36">
        <v>7.7124322377204124E-2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0.24545516893595601</v>
      </c>
      <c r="I27" s="36">
        <v>2.7378990000000041E-3</v>
      </c>
      <c r="J27" s="36">
        <v>2.7378989999999981E-3</v>
      </c>
      <c r="K27" s="71">
        <v>2737899</v>
      </c>
      <c r="L27" s="36">
        <v>2.7305979735584647E-3</v>
      </c>
      <c r="M27" s="36">
        <v>4.7339825856135387E-2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1.5497419999999989E-3</v>
      </c>
      <c r="J28" s="36">
        <v>1.5497419999999954E-3</v>
      </c>
      <c r="K28" s="71">
        <v>1549742</v>
      </c>
      <c r="L28" s="36">
        <v>1.5456093759260085E-3</v>
      </c>
      <c r="M28" s="36">
        <v>3.4572638163480343E-2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0.27966250035164603</v>
      </c>
      <c r="I29" s="36">
        <v>1.2525910000000008E-3</v>
      </c>
      <c r="J29" s="36">
        <v>1.252590999999998E-3</v>
      </c>
      <c r="K29" s="71">
        <v>1252591</v>
      </c>
      <c r="L29" s="36">
        <v>1.2492507745163613E-3</v>
      </c>
      <c r="M29" s="36">
        <v>3.4224683657786269E-2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0.19896711521945001</v>
      </c>
      <c r="I30" s="36">
        <v>6.0070500000000031E-4</v>
      </c>
      <c r="J30" s="36">
        <v>6.0070499999999901E-4</v>
      </c>
      <c r="K30" s="71">
        <v>600704</v>
      </c>
      <c r="L30" s="36">
        <v>5.9910213090711676E-4</v>
      </c>
      <c r="M30" s="36">
        <v>1.9409912782483319E-2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0.18871909762202599</v>
      </c>
      <c r="I31" s="36">
        <v>4.1663099999999907E-4</v>
      </c>
      <c r="J31" s="36">
        <v>4.1663099999999815E-4</v>
      </c>
      <c r="K31" s="71">
        <v>416630</v>
      </c>
      <c r="L31" s="36">
        <v>4.1551899238199188E-4</v>
      </c>
      <c r="M31" s="36">
        <v>1.5556336198591337E-2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0.15505774715088599</v>
      </c>
      <c r="I32" s="36">
        <v>2.5543500000000063E-4</v>
      </c>
      <c r="J32" s="36">
        <v>2.5543500000000009E-4</v>
      </c>
      <c r="K32" s="71">
        <v>255435</v>
      </c>
      <c r="L32" s="36">
        <v>2.5475384350405418E-4</v>
      </c>
      <c r="M32" s="36">
        <v>1.0811059026924698E-2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2.1456900000000023E-4</v>
      </c>
      <c r="J33" s="36">
        <v>2.1456899999999974E-4</v>
      </c>
      <c r="K33" s="71">
        <v>214569</v>
      </c>
      <c r="L33" s="36">
        <v>2.1399681894345492E-4</v>
      </c>
      <c r="M33" s="36">
        <v>1.0156367740922243E-2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0.261285575902162</v>
      </c>
      <c r="I34" s="36">
        <v>4.6043299999999957E-4</v>
      </c>
      <c r="J34" s="36">
        <v>4.6043299999999854E-4</v>
      </c>
      <c r="K34" s="71">
        <v>460432</v>
      </c>
      <c r="L34" s="36">
        <v>4.5920418764953388E-4</v>
      </c>
      <c r="M34" s="36">
        <v>2.511926385859806E-2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0.23637113365096299</v>
      </c>
      <c r="I35" s="36">
        <v>2.6368500000000005E-4</v>
      </c>
      <c r="J35" s="36">
        <v>2.6368499999999945E-4</v>
      </c>
      <c r="K35" s="71">
        <v>263684</v>
      </c>
      <c r="L35" s="36">
        <v>2.6298084628388054E-4</v>
      </c>
      <c r="M35" s="36">
        <v>1.7010791647810608E-2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2.6737969999999995E-3</v>
      </c>
      <c r="J79" s="36">
        <f>I79</f>
        <v>2.6737969999999995E-3</v>
      </c>
      <c r="K79" s="72">
        <v>2673797</v>
      </c>
      <c r="L79" s="36">
        <v>2.6666669113457812E-3</v>
      </c>
      <c r="M79" s="36">
        <v>2.3505247544887493E-2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2.3771316371880853</v>
      </c>
      <c r="I99" s="36">
        <v>5.6769000999999999E-2</v>
      </c>
      <c r="J99" s="36">
        <v>5.6769001000000006E-2</v>
      </c>
      <c r="K99" s="71">
        <v>56769001</v>
      </c>
      <c r="L99" s="36">
        <v>5.6769000999999999E-2</v>
      </c>
      <c r="M99" s="36">
        <v>1.2811389525972017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0.14999900000000002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3.2582452850813008</v>
      </c>
      <c r="I101" s="36">
        <v>7.9926090000000005E-2</v>
      </c>
      <c r="J101" s="36">
        <v>7.9926090000000019E-2</v>
      </c>
      <c r="K101" s="71">
        <v>79926090</v>
      </c>
      <c r="L101" s="36">
        <v>7.9926090000000005E-2</v>
      </c>
      <c r="M101" s="36">
        <v>2.6021992617175251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5.3531687613758718</v>
      </c>
      <c r="I102" s="36">
        <v>0.13215542499999999</v>
      </c>
      <c r="J102" s="36">
        <v>0.13215542500000002</v>
      </c>
      <c r="K102" s="71">
        <v>132155425</v>
      </c>
      <c r="L102" s="36">
        <v>0.13215542499999999</v>
      </c>
      <c r="M102" s="36">
        <v>4.9628879983024259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4.4344868887971129</v>
      </c>
      <c r="I103" s="36">
        <v>0.10788303400000002</v>
      </c>
      <c r="J103" s="36">
        <v>0.10788303400000003</v>
      </c>
      <c r="K103" s="71">
        <v>107883034</v>
      </c>
      <c r="L103" s="36">
        <v>0.107883034</v>
      </c>
      <c r="M103" s="36">
        <v>4.5905553268038828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3.610951778562201</v>
      </c>
      <c r="I104" s="36">
        <v>8.6719319000000003E-2</v>
      </c>
      <c r="J104" s="36">
        <v>8.6719319000000017E-2</v>
      </c>
      <c r="K104" s="71">
        <v>86719319</v>
      </c>
      <c r="L104" s="36">
        <v>8.6719319000000003E-2</v>
      </c>
      <c r="M104" s="36">
        <v>4.1231081965202572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1.6496649827828636</v>
      </c>
      <c r="I105" s="36">
        <v>7.6307893000000002E-2</v>
      </c>
      <c r="J105" s="36">
        <v>7.6307893000000016E-2</v>
      </c>
      <c r="K105" s="71">
        <v>76307893</v>
      </c>
      <c r="L105" s="36">
        <v>7.6307893000000002E-2</v>
      </c>
      <c r="M105" s="36">
        <v>4.1979355276081387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2.0946504826251324</v>
      </c>
      <c r="I106" s="36">
        <v>9.1821308000000004E-2</v>
      </c>
      <c r="J106" s="36">
        <v>9.1821308000000018E-2</v>
      </c>
      <c r="K106" s="71">
        <v>91821308</v>
      </c>
      <c r="L106" s="36">
        <v>9.1821308000000004E-2</v>
      </c>
      <c r="M106" s="36">
        <v>5.9690273964644964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0.92843747666327792</v>
      </c>
      <c r="I107" s="36">
        <v>3.8632512000000001E-2</v>
      </c>
      <c r="J107" s="36">
        <v>3.8632512000000008E-2</v>
      </c>
      <c r="K107" s="71">
        <v>38632512</v>
      </c>
      <c r="L107" s="36">
        <v>3.8632512000000001E-2</v>
      </c>
      <c r="M107" s="36">
        <v>2.8973772588352471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1.6694872212549638</v>
      </c>
      <c r="I108" s="36">
        <v>6.4948646999999998E-2</v>
      </c>
      <c r="J108" s="36">
        <v>6.4948647000000012E-2</v>
      </c>
      <c r="K108" s="71">
        <v>64948647</v>
      </c>
      <c r="L108" s="36">
        <v>6.4948646999999998E-2</v>
      </c>
      <c r="M108" s="36">
        <v>5.5198074705169375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0.60177477225836207</v>
      </c>
      <c r="I109" s="79">
        <v>2.1816255999999999E-2</v>
      </c>
      <c r="J109" s="79">
        <v>2.1816256000000003E-2</v>
      </c>
      <c r="K109" s="71">
        <v>21816256</v>
      </c>
      <c r="L109" s="79">
        <v>2.1816255999999999E-2</v>
      </c>
      <c r="M109" s="79">
        <v>2.072562010367041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0.64256859582342551</v>
      </c>
      <c r="I110" s="79">
        <v>4.1947638000000002E-2</v>
      </c>
      <c r="J110" s="79">
        <v>4.1947638000000009E-2</v>
      </c>
      <c r="K110" s="71">
        <v>41947638</v>
      </c>
      <c r="L110" s="79">
        <v>4.1947638000000002E-2</v>
      </c>
      <c r="M110" s="79">
        <v>4.6072426318996156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0.207525573558107</v>
      </c>
      <c r="I111" s="79">
        <v>1.1738976999999999E-2</v>
      </c>
      <c r="J111" s="79">
        <v>1.1738977000000001E-2</v>
      </c>
      <c r="K111" s="71">
        <v>11738977</v>
      </c>
      <c r="L111" s="79">
        <v>1.1738976999999999E-2</v>
      </c>
      <c r="M111" s="79">
        <v>1.52387170062306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0.29125004043725311</v>
      </c>
      <c r="I112" s="79">
        <v>1.429883E-2</v>
      </c>
      <c r="J112" s="79">
        <v>1.4298830000000002E-2</v>
      </c>
      <c r="K112" s="71">
        <v>14298830</v>
      </c>
      <c r="L112" s="79">
        <v>1.429883E-2</v>
      </c>
      <c r="M112" s="79">
        <v>2.1420227087544341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0.13220144846476217</v>
      </c>
      <c r="I113" s="79">
        <v>5.6420289999999998E-3</v>
      </c>
      <c r="J113" s="79">
        <v>5.6420290000000007E-3</v>
      </c>
      <c r="K113" s="71">
        <v>5642029</v>
      </c>
      <c r="L113" s="79">
        <v>5.6420289999999998E-3</v>
      </c>
      <c r="M113" s="79">
        <v>0.95806239397814408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0.13086357998066478</v>
      </c>
      <c r="I114" s="79">
        <v>4.8314109999999999E-3</v>
      </c>
      <c r="J114" s="79">
        <v>4.8314110000000007E-3</v>
      </c>
      <c r="K114" s="71">
        <v>4831411</v>
      </c>
      <c r="L114" s="79">
        <v>4.8314109999999999E-3</v>
      </c>
      <c r="M114" s="79">
        <v>0.917035369421487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2.4811784496029589E-2</v>
      </c>
      <c r="I115" s="79">
        <v>1.8205470000000001E-3</v>
      </c>
      <c r="J115" s="79">
        <v>1.8205470000000003E-3</v>
      </c>
      <c r="K115" s="71">
        <v>1820547</v>
      </c>
      <c r="L115" s="79">
        <v>1.8205470000000001E-3</v>
      </c>
      <c r="M115" s="79">
        <v>0.40716640510719054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2.9117664312428841E-2</v>
      </c>
      <c r="I116" s="79">
        <v>1.5423220000000001E-3</v>
      </c>
      <c r="J116" s="79">
        <v>1.5423220000000003E-3</v>
      </c>
      <c r="K116" s="71">
        <v>1542322</v>
      </c>
      <c r="L116" s="79">
        <v>1.5423220000000001E-3</v>
      </c>
      <c r="M116" s="79">
        <v>0.42222750872747239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3.4324920426213171E-2</v>
      </c>
      <c r="I117" s="79">
        <v>1.3443509999999997E-3</v>
      </c>
      <c r="J117" s="79">
        <v>1.3443509999999999E-3</v>
      </c>
      <c r="K117" s="71">
        <v>1344351</v>
      </c>
      <c r="L117" s="79">
        <v>1.3443509999999999E-3</v>
      </c>
      <c r="M117" s="79">
        <v>0.43528334259967649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4.0665357830161127E-2</v>
      </c>
      <c r="I118" s="79">
        <v>1.1938700000000001E-3</v>
      </c>
      <c r="J118" s="79">
        <v>1.1938700000000003E-3</v>
      </c>
      <c r="K118" s="71">
        <v>1193870</v>
      </c>
      <c r="L118" s="79">
        <v>1.1938700000000001E-3</v>
      </c>
      <c r="M118" s="79">
        <v>0.44637702279747121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4.8199658270697908E-2</v>
      </c>
      <c r="I119" s="79">
        <v>1.074452E-3</v>
      </c>
      <c r="J119" s="79">
        <v>1.0744520000000003E-3</v>
      </c>
      <c r="K119" s="71">
        <v>1074452</v>
      </c>
      <c r="L119" s="79">
        <v>1.074452E-3</v>
      </c>
      <c r="M119" s="79">
        <v>0.45548112844531935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5.6214407851003928E-2</v>
      </c>
      <c r="I120" s="79">
        <v>9.7587900000000003E-4</v>
      </c>
      <c r="J120" s="79">
        <v>9.7587900000000013E-4</v>
      </c>
      <c r="K120" s="71">
        <v>975879</v>
      </c>
      <c r="L120" s="79">
        <v>9.7587900000000003E-4</v>
      </c>
      <c r="M120" s="79">
        <v>0.46261939976624811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6.5171338766406531E-2</v>
      </c>
      <c r="I121" s="79">
        <v>8.9268700000000008E-4</v>
      </c>
      <c r="J121" s="79">
        <v>8.9268700000000019E-4</v>
      </c>
      <c r="K121" s="71">
        <v>892687</v>
      </c>
      <c r="L121" s="79">
        <v>8.9268699999999997E-4</v>
      </c>
      <c r="M121" s="79">
        <v>0.46775518390329013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7.5330218174259431E-2</v>
      </c>
      <c r="I122" s="36">
        <v>8.2024099999999998E-4</v>
      </c>
      <c r="J122" s="36">
        <v>8.2024100000000009E-4</v>
      </c>
      <c r="K122" s="71">
        <v>820241</v>
      </c>
      <c r="L122" s="36">
        <v>8.2024099999999998E-4</v>
      </c>
      <c r="M122" s="36">
        <v>0.47093464973099708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8.6680842204401434E-2</v>
      </c>
      <c r="I123" s="36">
        <v>7.5653099999999996E-4</v>
      </c>
      <c r="J123" s="36">
        <v>7.5653100000000007E-4</v>
      </c>
      <c r="K123" s="71">
        <v>756531</v>
      </c>
      <c r="L123" s="36">
        <v>7.5653099999999996E-4</v>
      </c>
      <c r="M123" s="36">
        <v>0.47212654805858667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9.8813451987981013E-2</v>
      </c>
      <c r="I124" s="36">
        <v>6.9909099999999999E-4</v>
      </c>
      <c r="J124" s="36">
        <v>6.990910000000001E-4</v>
      </c>
      <c r="K124" s="71">
        <v>699091</v>
      </c>
      <c r="L124" s="36">
        <v>6.9909099999999999E-4</v>
      </c>
      <c r="M124" s="36">
        <v>0.47134613872357334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0.11071625993469647</v>
      </c>
      <c r="I125" s="36">
        <v>6.4692600000000003E-4</v>
      </c>
      <c r="J125" s="36">
        <v>6.4692600000000014E-4</v>
      </c>
      <c r="K125" s="71">
        <v>646926</v>
      </c>
      <c r="L125" s="36">
        <v>6.4692600000000003E-4</v>
      </c>
      <c r="M125" s="36">
        <v>0.46857712990614392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0.12381612178559825</v>
      </c>
      <c r="I126" s="36">
        <v>5.9909299999999998E-4</v>
      </c>
      <c r="J126" s="36">
        <v>5.9909300000000009E-4</v>
      </c>
      <c r="K126" s="71">
        <v>599093</v>
      </c>
      <c r="L126" s="36">
        <v>5.9909299999999998E-4</v>
      </c>
      <c r="M126" s="36">
        <v>0.46385013785544199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0.13716800162260084</v>
      </c>
      <c r="I127" s="36">
        <v>5.5458700000000005E-4</v>
      </c>
      <c r="J127" s="36">
        <v>5.5458700000000016E-4</v>
      </c>
      <c r="K127" s="71">
        <v>554587</v>
      </c>
      <c r="L127" s="36">
        <v>5.5458700000000005E-4</v>
      </c>
      <c r="M127" s="36">
        <v>0.45714303348424951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0.15192451854941796</v>
      </c>
      <c r="I128" s="36">
        <v>5.1294199999999996E-4</v>
      </c>
      <c r="J128" s="36">
        <v>5.1294200000000006E-4</v>
      </c>
      <c r="K128" s="72">
        <v>512942</v>
      </c>
      <c r="L128" s="36">
        <v>5.1294199999999996E-4</v>
      </c>
      <c r="M128" s="36">
        <v>0.44845543438888041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0.16481152872954694</v>
      </c>
      <c r="I129" s="36">
        <v>4.7359099999999999E-4</v>
      </c>
      <c r="J129" s="36">
        <v>4.7359100000000004E-4</v>
      </c>
      <c r="K129" s="72">
        <v>473591</v>
      </c>
      <c r="L129" s="36">
        <v>4.7359099999999999E-4</v>
      </c>
      <c r="M129" s="36">
        <v>0.4377796747163028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0.17960598331774602</v>
      </c>
      <c r="I130" s="36">
        <v>4.3637899999999998E-4</v>
      </c>
      <c r="J130" s="36">
        <v>4.3637900000000003E-4</v>
      </c>
      <c r="K130" s="72">
        <v>436379</v>
      </c>
      <c r="L130" s="36">
        <v>4.3637899999999998E-4</v>
      </c>
      <c r="M130" s="36">
        <v>0.42516967325727895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1.4017081278074868E-2</v>
      </c>
      <c r="I131" s="36">
        <v>2.1914100000000001E-4</v>
      </c>
      <c r="J131" s="36">
        <v>2.1914100000000004E-4</v>
      </c>
      <c r="K131" s="72">
        <v>219141</v>
      </c>
      <c r="L131" s="36">
        <v>2.1914100000000001E-4</v>
      </c>
      <c r="M131" s="36">
        <v>0.28770866120502681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0.72000000443934908</v>
      </c>
      <c r="D7" s="40">
        <f>SUM(_xlfn.ANCHORARRAY(M86))*F7</f>
        <v>0.20999996282570188</v>
      </c>
      <c r="E7" s="41">
        <f>SUM(C7:D7)</f>
        <v>0.92999996726505096</v>
      </c>
      <c r="F7" s="42">
        <f>L79</f>
        <v>3.5778023710719155E-3</v>
      </c>
      <c r="G7" s="43">
        <f>1/F7</f>
        <v>279.5011843262875</v>
      </c>
      <c r="H7" s="44">
        <f>D7*G7</f>
        <v>58.695238318260024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0.7307385999077185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0.7307385999077185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0.14654730421521425</v>
      </c>
      <c r="M16" s="36">
        <v>6.3564195957932598E-2</v>
      </c>
      <c r="N16" s="73"/>
      <c r="O16" s="59">
        <v>0</v>
      </c>
      <c r="P16" s="59">
        <v>1</v>
      </c>
      <c r="Q16" s="36">
        <v>0.14654730421521425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4.2939315034350542E-2</v>
      </c>
      <c r="M17" s="36">
        <v>6.464500789804585E-2</v>
      </c>
      <c r="N17" s="73"/>
      <c r="O17" s="59">
        <v>1</v>
      </c>
      <c r="P17" s="59">
        <v>2</v>
      </c>
      <c r="Q17" s="36">
        <v>4.2939315034350542E-2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1.9669922233073657E-2</v>
      </c>
      <c r="M18" s="36">
        <v>4.9796011433462496E-2</v>
      </c>
      <c r="N18" s="73"/>
      <c r="O18" s="59">
        <v>2</v>
      </c>
      <c r="P18" s="59">
        <v>3</v>
      </c>
      <c r="Q18" s="36">
        <v>1.9669922233073657E-2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1.2065544875424147E-2</v>
      </c>
      <c r="M19" s="36">
        <v>4.2570943867071838E-2</v>
      </c>
      <c r="N19" s="73"/>
      <c r="O19" s="59">
        <v>3</v>
      </c>
      <c r="P19" s="59">
        <v>4</v>
      </c>
      <c r="Q19" s="36">
        <v>1.2065544875424147E-2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7.8339879069897426E-3</v>
      </c>
      <c r="M20" s="36">
        <v>3.5507909079048952E-2</v>
      </c>
      <c r="N20" s="73"/>
      <c r="O20" s="59">
        <v>4</v>
      </c>
      <c r="P20" s="59">
        <v>5</v>
      </c>
      <c r="Q20" s="36">
        <v>7.8339879069897426E-3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6.0446338475645105E-3</v>
      </c>
      <c r="M21" s="36">
        <v>3.3562119494666372E-2</v>
      </c>
      <c r="N21" s="73"/>
      <c r="O21" s="59">
        <v>5</v>
      </c>
      <c r="P21" s="59">
        <v>6</v>
      </c>
      <c r="Q21" s="36">
        <v>6.0446338475645105E-3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3.2537569042791637E-3</v>
      </c>
      <c r="M22" s="36">
        <v>2.1229383363584219E-2</v>
      </c>
      <c r="N22" s="73"/>
      <c r="O22" s="59">
        <v>6</v>
      </c>
      <c r="P22" s="59">
        <v>7</v>
      </c>
      <c r="Q22" s="36">
        <v>3.2537569042791637E-3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3.6483211629130285E-3</v>
      </c>
      <c r="M23" s="36">
        <v>2.7480692346476838E-2</v>
      </c>
      <c r="N23" s="73"/>
      <c r="O23" s="59">
        <v>7</v>
      </c>
      <c r="P23" s="59">
        <v>8</v>
      </c>
      <c r="Q23" s="36">
        <v>3.6483211629130285E-3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2.9514135129724726E-3</v>
      </c>
      <c r="M24" s="36">
        <v>2.5241531956651603E-2</v>
      </c>
      <c r="N24" s="73"/>
      <c r="O24" s="59">
        <v>8</v>
      </c>
      <c r="P24" s="59">
        <v>9</v>
      </c>
      <c r="Q24" s="36">
        <v>2.9514135129724726E-3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1.9136577287037454E-3</v>
      </c>
      <c r="M25" s="36">
        <v>1.8252210036804904E-2</v>
      </c>
      <c r="N25" s="73"/>
      <c r="O25" s="59">
        <v>9</v>
      </c>
      <c r="P25" s="59">
        <v>10</v>
      </c>
      <c r="Q25" s="36">
        <v>1.9136577287037454E-3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1.0124001275069674E-2</v>
      </c>
      <c r="M26" s="36">
        <v>0.12432510329955007</v>
      </c>
      <c r="N26" s="73"/>
      <c r="O26" s="59">
        <v>10</v>
      </c>
      <c r="P26" s="59">
        <v>15</v>
      </c>
      <c r="Q26" s="36">
        <v>1.0124001275069674E-2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4.3397056446066043E-3</v>
      </c>
      <c r="M27" s="36">
        <v>7.5236600726996672E-2</v>
      </c>
      <c r="N27" s="73"/>
      <c r="O27" s="59">
        <v>15</v>
      </c>
      <c r="P27" s="59">
        <v>20</v>
      </c>
      <c r="Q27" s="36">
        <v>4.3397056446066043E-3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2.4219287065337419E-3</v>
      </c>
      <c r="M28" s="36">
        <v>5.4174402752034986E-2</v>
      </c>
      <c r="N28" s="73"/>
      <c r="O28" s="59">
        <v>20</v>
      </c>
      <c r="P28" s="59">
        <v>25</v>
      </c>
      <c r="Q28" s="36">
        <v>2.4219287065337419E-3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1937035</v>
      </c>
      <c r="L29" s="36">
        <v>1.9301046735142554E-3</v>
      </c>
      <c r="M29" s="36">
        <v>5.2877471221111576E-2</v>
      </c>
      <c r="N29" s="73"/>
      <c r="O29" s="59">
        <v>25</v>
      </c>
      <c r="P29" s="59">
        <v>30</v>
      </c>
      <c r="Q29" s="36">
        <v>1.9301046735142554E-3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3.5778023710719155E-3</v>
      </c>
      <c r="M79" s="36">
        <v>3.1536421005910212E-2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7.6827719076827714E-2</v>
      </c>
      <c r="M101" s="36">
        <v>2.5013238338215027</v>
      </c>
      <c r="N101" s="73"/>
      <c r="O101" s="59">
        <v>30</v>
      </c>
      <c r="P101" s="59">
        <v>35</v>
      </c>
      <c r="Q101" s="36">
        <v>7.6827719076827714E-2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0.13832187713832186</v>
      </c>
      <c r="M102" s="36">
        <v>5.1944593568704445</v>
      </c>
      <c r="N102" s="73"/>
      <c r="O102" s="59">
        <v>35</v>
      </c>
      <c r="P102" s="59">
        <v>40</v>
      </c>
      <c r="Q102" s="36">
        <v>0.13832187713832186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0.12298113612298113</v>
      </c>
      <c r="M103" s="36">
        <v>5.2329980775822866</v>
      </c>
      <c r="N103" s="73"/>
      <c r="O103" s="59">
        <v>40</v>
      </c>
      <c r="P103" s="59">
        <v>45</v>
      </c>
      <c r="Q103" s="36">
        <v>0.12298113612298113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0.10763513510763513</v>
      </c>
      <c r="M104" s="36">
        <v>5.1175598806980442</v>
      </c>
      <c r="N104" s="73"/>
      <c r="O104" s="59">
        <v>45</v>
      </c>
      <c r="P104" s="59">
        <v>50</v>
      </c>
      <c r="Q104" s="36">
        <v>0.10763513510763513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0.10767357810767358</v>
      </c>
      <c r="M105" s="36">
        <v>5.9234598303335781</v>
      </c>
      <c r="N105" s="73"/>
      <c r="O105" s="59">
        <v>50</v>
      </c>
      <c r="P105" s="59">
        <v>60</v>
      </c>
      <c r="Q105" s="36">
        <v>0.10767357810767358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0.15389316415389317</v>
      </c>
      <c r="M106" s="36">
        <v>10.004132297518527</v>
      </c>
      <c r="N106" s="73"/>
      <c r="O106" s="59">
        <v>60</v>
      </c>
      <c r="P106" s="59">
        <v>70</v>
      </c>
      <c r="Q106" s="36">
        <v>0.15389316415389317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7.6983252076983255E-2</v>
      </c>
      <c r="M107" s="36">
        <v>5.7736220693863389</v>
      </c>
      <c r="N107" s="73"/>
      <c r="O107" s="59">
        <v>70</v>
      </c>
      <c r="P107" s="59">
        <v>80</v>
      </c>
      <c r="Q107" s="36">
        <v>7.6983252076983255E-2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0.15403974915403976</v>
      </c>
      <c r="M108" s="36">
        <v>13.091416024987</v>
      </c>
      <c r="N108" s="73"/>
      <c r="O108" s="59">
        <v>80</v>
      </c>
      <c r="P108" s="59">
        <v>90</v>
      </c>
      <c r="Q108" s="36">
        <v>0.15403974915403976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61644389</v>
      </c>
      <c r="L109" s="79">
        <v>6.1644389061644392E-2</v>
      </c>
      <c r="M109" s="79">
        <v>5.8562669470623074</v>
      </c>
      <c r="N109" s="73"/>
      <c r="O109" s="59">
        <v>90</v>
      </c>
      <c r="P109" s="59">
        <v>100</v>
      </c>
      <c r="Q109" s="36">
        <v>6.1644389061644392E-2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