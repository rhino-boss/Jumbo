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E29C74BC-4A6E-4C0F-9CE4-E414983D9937}" xr6:coauthVersionLast="47" xr6:coauthVersionMax="47" xr10:uidLastSave="{00000000-0000-0000-0000-000000000000}"/>
  <bookViews>
    <workbookView xWindow="-24990" yWindow="1590" windowWidth="21600" windowHeight="11235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/>
  <c r="I86" i="6" s="1" a="1"/>
  <c r="I86" i="6" s="1"/>
  <c r="J86" i="6" s="1" a="1"/>
  <c r="J86" i="6" s="1"/>
  <c r="K86" i="6" s="1" a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A15" i="6"/>
  <c r="B7" i="6"/>
  <c r="B3" i="6"/>
  <c r="E86" i="6" s="1" a="1"/>
  <c r="E86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A163" i="5"/>
  <c r="I156" i="5"/>
  <c r="J156" i="5" s="1"/>
  <c r="K156" i="5" s="1"/>
  <c r="L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K86" i="5" s="1" a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A15" i="5"/>
  <c r="F8" i="5"/>
  <c r="G8" i="5" s="1"/>
  <c r="B7" i="5" a="1"/>
  <c r="B3" i="5"/>
  <c r="E86" i="5" s="1" a="1"/>
  <c r="E86" i="5" s="1"/>
  <c r="C21" i="1"/>
  <c r="A21" i="1"/>
  <c r="A17" i="1"/>
  <c r="A11" i="1" a="1"/>
  <c r="A12" i="1" s="1"/>
  <c r="A11" i="1" l="1"/>
  <c r="I15" i="6" a="1"/>
  <c r="J79" i="6" s="1"/>
  <c r="E156" i="5"/>
  <c r="B163" i="5"/>
  <c r="D163" i="5" s="1" a="1"/>
  <c r="D163" i="5" s="1"/>
  <c r="I163" i="5" s="1" a="1"/>
  <c r="I163" i="5" s="1"/>
  <c r="J163" i="5" s="1" a="1"/>
  <c r="J163" i="5" s="1"/>
  <c r="K163" i="5" s="1" a="1"/>
  <c r="F23" i="3" s="1"/>
  <c r="M156" i="5"/>
  <c r="C8" i="5" s="1"/>
  <c r="B21" i="1" s="1"/>
  <c r="I15" i="5" a="1"/>
  <c r="I15" i="5" s="1"/>
  <c r="J15" i="5" s="1" a="1"/>
  <c r="J15" i="5" s="1"/>
  <c r="E65" i="3"/>
  <c r="E57" i="3"/>
  <c r="E49" i="3"/>
  <c r="E37" i="3"/>
  <c r="E29" i="3"/>
  <c r="E21" i="3"/>
  <c r="E13" i="3"/>
  <c r="E5" i="3"/>
  <c r="E61" i="3"/>
  <c r="E53" i="3"/>
  <c r="E45" i="3"/>
  <c r="E41" i="3"/>
  <c r="E33" i="3"/>
  <c r="E25" i="3"/>
  <c r="E17" i="3"/>
  <c r="E9" i="3"/>
  <c r="E63" i="3"/>
  <c r="E59" i="3"/>
  <c r="E55" i="3"/>
  <c r="E51" i="3"/>
  <c r="E47" i="3"/>
  <c r="E43" i="3"/>
  <c r="E39" i="3"/>
  <c r="E35" i="3"/>
  <c r="E31" i="3"/>
  <c r="E27" i="3"/>
  <c r="E23" i="3"/>
  <c r="E19" i="3"/>
  <c r="E15" i="3"/>
  <c r="E11" i="3"/>
  <c r="E7" i="3"/>
  <c r="K86" i="5"/>
  <c r="E26" i="3"/>
  <c r="E16" i="3"/>
  <c r="E6" i="3"/>
  <c r="E62" i="3"/>
  <c r="E4" i="3"/>
  <c r="E56" i="3"/>
  <c r="E38" i="3"/>
  <c r="E36" i="3"/>
  <c r="E46" i="3"/>
  <c r="E30" i="3"/>
  <c r="E66" i="3"/>
  <c r="E50" i="3"/>
  <c r="E48" i="3"/>
  <c r="E60" i="3"/>
  <c r="E58" i="3"/>
  <c r="E44" i="3"/>
  <c r="E42" i="3"/>
  <c r="E20" i="3"/>
  <c r="E28" i="3"/>
  <c r="E8" i="3"/>
  <c r="E34" i="3"/>
  <c r="E24" i="3"/>
  <c r="E14" i="3"/>
  <c r="E22" i="3"/>
  <c r="E12" i="3"/>
  <c r="E52" i="3"/>
  <c r="E18" i="3"/>
  <c r="E32" i="3"/>
  <c r="E10" i="3"/>
  <c r="E40" i="3"/>
  <c r="E64" i="3"/>
  <c r="E54" i="3"/>
  <c r="C66" i="3"/>
  <c r="C62" i="3"/>
  <c r="C58" i="3"/>
  <c r="C54" i="3"/>
  <c r="C50" i="3"/>
  <c r="C46" i="3"/>
  <c r="C42" i="3"/>
  <c r="C38" i="3"/>
  <c r="C34" i="3"/>
  <c r="C30" i="3"/>
  <c r="C26" i="3"/>
  <c r="C22" i="3"/>
  <c r="C18" i="3"/>
  <c r="C14" i="3"/>
  <c r="C10" i="3"/>
  <c r="C6" i="3"/>
  <c r="C65" i="3"/>
  <c r="C57" i="3"/>
  <c r="C49" i="3"/>
  <c r="C37" i="3"/>
  <c r="C21" i="3"/>
  <c r="C61" i="3"/>
  <c r="C53" i="3"/>
  <c r="C45" i="3"/>
  <c r="C41" i="3"/>
  <c r="C33" i="3"/>
  <c r="C29" i="3"/>
  <c r="C25" i="3"/>
  <c r="C17" i="3"/>
  <c r="C13" i="3"/>
  <c r="C9" i="3"/>
  <c r="C5" i="3"/>
  <c r="C64" i="3"/>
  <c r="C60" i="3"/>
  <c r="C56" i="3"/>
  <c r="C52" i="3"/>
  <c r="C48" i="3"/>
  <c r="C44" i="3"/>
  <c r="C40" i="3"/>
  <c r="C36" i="3"/>
  <c r="C32" i="3"/>
  <c r="C28" i="3"/>
  <c r="C24" i="3"/>
  <c r="C20" i="3"/>
  <c r="C16" i="3"/>
  <c r="C12" i="3"/>
  <c r="C8" i="3"/>
  <c r="C4" i="3"/>
  <c r="K86" i="6"/>
  <c r="C63" i="3"/>
  <c r="C59" i="3"/>
  <c r="C55" i="3"/>
  <c r="C51" i="3"/>
  <c r="C47" i="3"/>
  <c r="C43" i="3"/>
  <c r="C39" i="3"/>
  <c r="C35" i="3"/>
  <c r="C31" i="3"/>
  <c r="C27" i="3"/>
  <c r="C23" i="3"/>
  <c r="C19" i="3"/>
  <c r="C15" i="3"/>
  <c r="C11" i="3"/>
  <c r="C7" i="3"/>
  <c r="B7" i="5"/>
  <c r="E15" i="5" a="1"/>
  <c r="E15" i="5" s="1"/>
  <c r="E15" i="6" a="1"/>
  <c r="E15" i="6" s="1"/>
  <c r="F40" i="3" l="1"/>
  <c r="J79" i="5"/>
  <c r="K15" i="5" s="1" a="1"/>
  <c r="F56" i="3"/>
  <c r="F19" i="3"/>
  <c r="F66" i="3"/>
  <c r="F47" i="3"/>
  <c r="F12" i="3"/>
  <c r="F44" i="3"/>
  <c r="F42" i="3"/>
  <c r="I15" i="6"/>
  <c r="J15" i="6" s="1" a="1"/>
  <c r="J15" i="6" s="1"/>
  <c r="K15" i="6" s="1" a="1"/>
  <c r="B64" i="3" s="1"/>
  <c r="F32" i="3"/>
  <c r="F39" i="3"/>
  <c r="F63" i="3"/>
  <c r="F43" i="3"/>
  <c r="F57" i="3"/>
  <c r="F61" i="3"/>
  <c r="F35" i="3"/>
  <c r="F53" i="3"/>
  <c r="F65" i="3"/>
  <c r="K163" i="5"/>
  <c r="F3" i="3" s="1"/>
  <c r="F5" i="3"/>
  <c r="F13" i="3"/>
  <c r="F25" i="3"/>
  <c r="F45" i="3"/>
  <c r="F34" i="3"/>
  <c r="F24" i="3"/>
  <c r="F9" i="3"/>
  <c r="F55" i="3"/>
  <c r="F14" i="3"/>
  <c r="F31" i="3"/>
  <c r="F29" i="3"/>
  <c r="F60" i="3"/>
  <c r="F51" i="3"/>
  <c r="F17" i="3"/>
  <c r="F21" i="3"/>
  <c r="F46" i="3"/>
  <c r="F33" i="3"/>
  <c r="F62" i="3"/>
  <c r="F37" i="3"/>
  <c r="F48" i="3"/>
  <c r="F64" i="3"/>
  <c r="F8" i="3"/>
  <c r="F54" i="3"/>
  <c r="F28" i="3"/>
  <c r="F7" i="3"/>
  <c r="F52" i="3"/>
  <c r="F30" i="3"/>
  <c r="F16" i="3"/>
  <c r="F6" i="3"/>
  <c r="F20" i="3"/>
  <c r="F10" i="3"/>
  <c r="F50" i="3"/>
  <c r="F38" i="3"/>
  <c r="F27" i="3"/>
  <c r="F26" i="3"/>
  <c r="F18" i="3"/>
  <c r="F59" i="3"/>
  <c r="F4" i="3"/>
  <c r="F11" i="3"/>
  <c r="F36" i="3"/>
  <c r="F41" i="3"/>
  <c r="F58" i="3"/>
  <c r="F15" i="3"/>
  <c r="F49" i="3"/>
  <c r="F22" i="3"/>
  <c r="E163" i="5" a="1"/>
  <c r="E163" i="5" s="1"/>
  <c r="J8" i="5" a="1"/>
  <c r="J8" i="5" s="1"/>
  <c r="L86" i="6" a="1"/>
  <c r="L86" i="6" s="1"/>
  <c r="J7" i="6" a="1"/>
  <c r="J7" i="6" s="1"/>
  <c r="C3" i="3"/>
  <c r="J7" i="5" a="1"/>
  <c r="J7" i="5" s="1"/>
  <c r="L86" i="5" a="1"/>
  <c r="L86" i="5" s="1"/>
  <c r="E3" i="3"/>
  <c r="B61" i="3" l="1"/>
  <c r="B5" i="3"/>
  <c r="B6" i="3"/>
  <c r="B10" i="3"/>
  <c r="B14" i="3"/>
  <c r="B18" i="3"/>
  <c r="B22" i="3"/>
  <c r="B26" i="3"/>
  <c r="B30" i="3"/>
  <c r="B34" i="3"/>
  <c r="D21" i="3"/>
  <c r="D63" i="3"/>
  <c r="D14" i="3"/>
  <c r="D39" i="3"/>
  <c r="K15" i="5"/>
  <c r="L15" i="5" s="1" a="1"/>
  <c r="D35" i="3"/>
  <c r="D17" i="3"/>
  <c r="D31" i="3"/>
  <c r="D40" i="3"/>
  <c r="D10" i="3"/>
  <c r="D36" i="3"/>
  <c r="D54" i="3"/>
  <c r="D53" i="3"/>
  <c r="D15" i="3"/>
  <c r="D29" i="3"/>
  <c r="D8" i="3"/>
  <c r="D6" i="3"/>
  <c r="D25" i="3"/>
  <c r="D4" i="3"/>
  <c r="D34" i="3"/>
  <c r="D13" i="3"/>
  <c r="D59" i="3"/>
  <c r="D18" i="3"/>
  <c r="D46" i="3"/>
  <c r="D64" i="3"/>
  <c r="D66" i="3"/>
  <c r="D43" i="3"/>
  <c r="D33" i="3"/>
  <c r="D12" i="3"/>
  <c r="D26" i="3"/>
  <c r="D9" i="3"/>
  <c r="D55" i="3"/>
  <c r="D62" i="3"/>
  <c r="D5" i="3"/>
  <c r="D51" i="3"/>
  <c r="D47" i="3"/>
  <c r="D60" i="3"/>
  <c r="D38" i="3"/>
  <c r="D56" i="3"/>
  <c r="D58" i="3"/>
  <c r="D52" i="3"/>
  <c r="D22" i="3"/>
  <c r="D48" i="3"/>
  <c r="D42" i="3"/>
  <c r="D61" i="3"/>
  <c r="D23" i="3"/>
  <c r="D57" i="3"/>
  <c r="D19" i="3"/>
  <c r="D32" i="3"/>
  <c r="D28" i="3"/>
  <c r="D45" i="3"/>
  <c r="D24" i="3"/>
  <c r="D7" i="3"/>
  <c r="D65" i="3"/>
  <c r="D44" i="3"/>
  <c r="D27" i="3"/>
  <c r="D30" i="3"/>
  <c r="D49" i="3"/>
  <c r="D11" i="3"/>
  <c r="D41" i="3"/>
  <c r="D20" i="3"/>
  <c r="D67" i="3"/>
  <c r="D37" i="3"/>
  <c r="D16" i="3"/>
  <c r="D50" i="3"/>
  <c r="B15" i="3"/>
  <c r="B11" i="3"/>
  <c r="B55" i="3"/>
  <c r="B59" i="3"/>
  <c r="B23" i="3"/>
  <c r="B36" i="3"/>
  <c r="B25" i="3"/>
  <c r="B35" i="3"/>
  <c r="B7" i="3"/>
  <c r="K15" i="6"/>
  <c r="B3" i="3" s="1"/>
  <c r="B12" i="3"/>
  <c r="B57" i="3"/>
  <c r="B33" i="3"/>
  <c r="B63" i="3"/>
  <c r="B38" i="3"/>
  <c r="B67" i="3"/>
  <c r="B42" i="3"/>
  <c r="B4" i="3"/>
  <c r="B27" i="3"/>
  <c r="B8" i="3"/>
  <c r="B9" i="3"/>
  <c r="B16" i="3"/>
  <c r="B24" i="3"/>
  <c r="B20" i="3"/>
  <c r="B17" i="3"/>
  <c r="B21" i="3"/>
  <c r="B28" i="3"/>
  <c r="B46" i="3"/>
  <c r="B50" i="3"/>
  <c r="B13" i="3"/>
  <c r="B32" i="3"/>
  <c r="B65" i="3"/>
  <c r="B54" i="3"/>
  <c r="B45" i="3"/>
  <c r="B29" i="3"/>
  <c r="B62" i="3"/>
  <c r="B52" i="3"/>
  <c r="B40" i="3"/>
  <c r="B44" i="3"/>
  <c r="B49" i="3"/>
  <c r="B39" i="3"/>
  <c r="B37" i="3"/>
  <c r="B43" i="3"/>
  <c r="B56" i="3"/>
  <c r="B19" i="3"/>
  <c r="B58" i="3"/>
  <c r="B48" i="3"/>
  <c r="B41" i="3"/>
  <c r="B66" i="3"/>
  <c r="B53" i="3"/>
  <c r="B47" i="3"/>
  <c r="B60" i="3"/>
  <c r="B31" i="3"/>
  <c r="B51" i="3"/>
  <c r="L163" i="5" a="1"/>
  <c r="L163" i="5" s="1"/>
  <c r="M163" i="5" s="1" a="1"/>
  <c r="M163" i="5" s="1"/>
  <c r="D8" i="5" s="1"/>
  <c r="M86" i="5" a="1"/>
  <c r="M86" i="5" s="1"/>
  <c r="Q86" i="5" a="1"/>
  <c r="Q86" i="5" s="1"/>
  <c r="U86" i="5" a="1"/>
  <c r="U86" i="5" s="1"/>
  <c r="U86" i="6" a="1"/>
  <c r="U86" i="6" s="1"/>
  <c r="M86" i="6" a="1"/>
  <c r="M86" i="6" s="1"/>
  <c r="Q86" i="6" a="1"/>
  <c r="Q86" i="6" s="1"/>
  <c r="L15" i="6" a="1"/>
  <c r="I7" i="6" a="1"/>
  <c r="I7" i="6" s="1"/>
  <c r="I7" i="5" a="1"/>
  <c r="I7" i="5" s="1"/>
  <c r="D3" i="3"/>
  <c r="U163" i="5" l="1" a="1"/>
  <c r="U163" i="5" s="1"/>
  <c r="Q163" i="5" a="1"/>
  <c r="Q163" i="5" s="1"/>
  <c r="F7" i="6"/>
  <c r="L15" i="6"/>
  <c r="H8" i="5"/>
  <c r="B22" i="1"/>
  <c r="C12" i="1" s="1"/>
  <c r="E8" i="5"/>
  <c r="L15" i="5"/>
  <c r="F7" i="5"/>
  <c r="D7" i="5" l="1"/>
  <c r="G7" i="5"/>
  <c r="D17" i="1" s="1"/>
  <c r="C17" i="1" s="1"/>
  <c r="U15" i="5" a="1"/>
  <c r="U15" i="5" s="1"/>
  <c r="Q15" i="5" a="1"/>
  <c r="Q15" i="5" s="1"/>
  <c r="M15" i="5" a="1"/>
  <c r="M15" i="5" s="1"/>
  <c r="C7" i="5" s="1"/>
  <c r="U15" i="6" a="1"/>
  <c r="U15" i="6" s="1"/>
  <c r="Q15" i="6" a="1"/>
  <c r="Q15" i="6" s="1"/>
  <c r="M15" i="6" a="1"/>
  <c r="M15" i="6" s="1"/>
  <c r="C7" i="6" s="1"/>
  <c r="D7" i="6"/>
  <c r="G7" i="6"/>
  <c r="E7" i="6" l="1"/>
  <c r="H7" i="6"/>
  <c r="B17" i="1"/>
  <c r="E7" i="5"/>
  <c r="B18" i="1"/>
  <c r="H7" i="5"/>
  <c r="C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<sst xmlns="http://schemas.openxmlformats.org/spreadsheetml/2006/main" count="289" uniqueCount="129">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</sst>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s">
        <v>128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0.89999996318274089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0.92499992067200099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0.71999996615917716</v>
      </c>
      <c r="C17" s="101">
        <f>1/D17</f>
        <v>2.7272726483975203E-3</v>
      </c>
      <c r="D17" s="104">
        <f>Detail!G7</f>
        <v>366.66667727100037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0.17999999702356367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0.92499992067200099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725057783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154405918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45375770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20844829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12821375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8347782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6459198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3486235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3919863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3180010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2067482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6293255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2735463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1547946</v>
      </c>
      <c r="E16" s="10">
        <f>Detail!K99</f>
        <v>44232945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1250803</v>
      </c>
      <c r="E17" s="10">
        <f>Detail!K100</f>
        <v>149999000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599685</v>
      </c>
      <c r="E18" s="10">
        <f>Detail!K101</f>
        <v>66304689</v>
      </c>
      <c r="F18" s="10">
        <f>Detail!K178</f>
        <v>53604139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415813</v>
      </c>
      <c r="E19" s="10">
        <f>Detail!K102</f>
        <v>113156844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254865</v>
      </c>
      <c r="E20" s="10">
        <f>Detail!K103</f>
        <v>95358171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214033</v>
      </c>
      <c r="E21" s="10">
        <f>Detail!K104</f>
        <v>79125778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459105</v>
      </c>
      <c r="E22" s="10">
        <f>Detail!K105</f>
        <v>73050746</v>
      </c>
      <c r="F22" s="10">
        <f>Detail!K182</f>
        <v>67919079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262785</v>
      </c>
      <c r="E23" s="10">
        <f>Detail!K106</f>
        <v>93778512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42124050</v>
      </c>
      <c r="F24" s="10">
        <f>Detail!K184</f>
        <v>44395303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75665226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27177093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57837142</v>
      </c>
      <c r="F27" s="10">
        <f>Detail!K187</f>
        <v>76051371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18615917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26196852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12014408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12039667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1634207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1368365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1182767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1044681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937633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851461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780620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720581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669221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624182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584410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548928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516791</v>
      </c>
      <c r="F44" s="10">
        <f>Detail!K204</f>
        <v>95775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487513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460555</v>
      </c>
      <c r="F46" s="10">
        <f>Detail!K206</f>
        <v>85404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435684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302193</v>
      </c>
      <c r="F48" s="10">
        <f>Detail!K208</f>
        <v>60131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173168</v>
      </c>
      <c r="F49" s="10">
        <f>Detail!K209</f>
        <v>66713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2734731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0.71999996615917716</v>
      </c>
      <c r="D7" s="40">
        <f>SUM(_xlfn.ANCHORARRAY(M86))*F7</f>
        <v>0.17999999702356367</v>
      </c>
      <c r="E7" s="41">
        <f>SUM(C7:D7)</f>
        <v>0.89999996318274089</v>
      </c>
      <c r="F7" s="42">
        <f>L79</f>
        <v>2.7272726483975203E-3</v>
      </c>
      <c r="G7" s="43">
        <f>1/F7</f>
        <v>366.66667727100037</v>
      </c>
      <c r="H7" s="44">
        <f>D7*G7</f>
        <v>66.000000817420045</v>
      </c>
      <c r="I7" s="60" cm="1">
        <f t="array" ref="I7">LOOKUP(2,1/(K15:K78&lt;&gt;0),P15:P78)</f>
        <v>70</v>
      </c>
      <c r="J7" s="60" cm="1">
        <f t="array" ref="J7">LOOKUP(2,1/(_xlfn.ANCHORARRAY(K86)&lt;&gt;0),P15:P78)</f>
        <v>3000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0.92499992067200099</v>
      </c>
      <c r="E8" s="41">
        <f>SUM(C8:D8)</f>
        <v>0.92499992067200099</v>
      </c>
      <c r="F8" s="45">
        <f>D156</f>
        <v>1</v>
      </c>
      <c r="G8" s="43">
        <f>1/F8</f>
        <v>1</v>
      </c>
      <c r="H8" s="44">
        <f>D8*G8*B8</f>
        <v>69.374994050400076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1.1605213424946701</v>
      </c>
      <c r="I15" s="36" cm="1">
        <f t="array" ref="I15:I79">D15:D79*H15:H79</f>
        <v>0.72505778300000068</v>
      </c>
      <c r="J15" s="36" cm="1">
        <f t="array" ref="J15:J78">I15:I78/SUM(I15:I78)</f>
        <v>0.72505778300000034</v>
      </c>
      <c r="K15" s="71" cm="1">
        <f t="array" ref="K15:K79">INT(J15:J79*$B$2)</f>
        <v>725057783</v>
      </c>
      <c r="L15" s="36" cm="1">
        <f t="array" ref="L15:L79">_xlfn.LET(_xlpm.x, K15:K79, _xlpm.x/SUM(_xlpm.x))</f>
        <v>0.72308035418607708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0.72308035418607708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1.07777636259128</v>
      </c>
      <c r="I16" s="36">
        <v>0.15440591799999959</v>
      </c>
      <c r="J16" s="36">
        <v>0.15440591799999953</v>
      </c>
      <c r="K16" s="71">
        <v>154405918</v>
      </c>
      <c r="L16" s="36">
        <v>0.15398481127105751</v>
      </c>
      <c r="M16" s="36">
        <v>6.6790179257098917E-2</v>
      </c>
      <c r="N16" s="73"/>
      <c r="O16" s="59">
        <v>0</v>
      </c>
      <c r="P16" s="59">
        <v>1</v>
      </c>
      <c r="Q16" s="36">
        <v>0.15398481127105751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0.82603461833679404</v>
      </c>
      <c r="I17" s="36">
        <v>4.5375769999999975E-2</v>
      </c>
      <c r="J17" s="36">
        <v>4.5375769999999954E-2</v>
      </c>
      <c r="K17" s="71">
        <v>45375770</v>
      </c>
      <c r="L17" s="36">
        <v>4.5252017994083057E-2</v>
      </c>
      <c r="M17" s="36">
        <v>6.8126775154420158E-2</v>
      </c>
      <c r="N17" s="73"/>
      <c r="O17" s="59">
        <v>1</v>
      </c>
      <c r="P17" s="59">
        <v>2</v>
      </c>
      <c r="Q17" s="36">
        <v>4.5252017994083057E-2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0.63084954325301201</v>
      </c>
      <c r="I18" s="36">
        <v>2.0844828999999985E-2</v>
      </c>
      <c r="J18" s="36">
        <v>2.0844828999999974E-2</v>
      </c>
      <c r="K18" s="71">
        <v>20844829</v>
      </c>
      <c r="L18" s="36">
        <v>2.0787979509583734E-2</v>
      </c>
      <c r="M18" s="36">
        <v>5.2626464562084856E-2</v>
      </c>
      <c r="N18" s="73"/>
      <c r="O18" s="59">
        <v>2</v>
      </c>
      <c r="P18" s="59">
        <v>3</v>
      </c>
      <c r="Q18" s="36">
        <v>2.0787979509583734E-2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0.56044182383181096</v>
      </c>
      <c r="I19" s="36">
        <v>1.2821375000000006E-2</v>
      </c>
      <c r="J19" s="36">
        <v>1.2821375000000001E-2</v>
      </c>
      <c r="K19" s="71">
        <v>12821375</v>
      </c>
      <c r="L19" s="36">
        <v>1.2786407640220468E-2</v>
      </c>
      <c r="M19" s="36">
        <v>4.5114368852255331E-2</v>
      </c>
      <c r="N19" s="73"/>
      <c r="O19" s="59">
        <v>3</v>
      </c>
      <c r="P19" s="59">
        <v>4</v>
      </c>
      <c r="Q19" s="36">
        <v>1.2786407640220468E-2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0.49193753550184</v>
      </c>
      <c r="I20" s="36">
        <v>8.347782000000005E-3</v>
      </c>
      <c r="J20" s="36">
        <v>8.3477820000000015E-3</v>
      </c>
      <c r="K20" s="71">
        <v>8347782</v>
      </c>
      <c r="L20" s="36">
        <v>8.325015339126645E-3</v>
      </c>
      <c r="M20" s="36">
        <v>3.7733513410155919E-2</v>
      </c>
      <c r="N20" s="73"/>
      <c r="O20" s="59">
        <v>4</v>
      </c>
      <c r="P20" s="59">
        <v>5</v>
      </c>
      <c r="Q20" s="36">
        <v>8.325015339126645E-3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0.47940745312747102</v>
      </c>
      <c r="I21" s="36">
        <v>6.4591989999999962E-3</v>
      </c>
      <c r="J21" s="36">
        <v>6.4591989999999936E-3</v>
      </c>
      <c r="K21" s="71">
        <v>6459198</v>
      </c>
      <c r="L21" s="36">
        <v>6.4415820188471803E-3</v>
      </c>
      <c r="M21" s="36">
        <v>3.576612759403968E-2</v>
      </c>
      <c r="N21" s="73"/>
      <c r="O21" s="59">
        <v>5</v>
      </c>
      <c r="P21" s="59">
        <v>6</v>
      </c>
      <c r="Q21" s="36">
        <v>6.4415820188471803E-3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0.32766234969761399</v>
      </c>
      <c r="I22" s="36">
        <v>3.4862349999999977E-3</v>
      </c>
      <c r="J22" s="36">
        <v>3.486234999999996E-3</v>
      </c>
      <c r="K22" s="71">
        <v>3486235</v>
      </c>
      <c r="L22" s="36">
        <v>3.4767270935920679E-3</v>
      </c>
      <c r="M22" s="36">
        <v>2.2684169251660041E-2</v>
      </c>
      <c r="N22" s="73"/>
      <c r="O22" s="59">
        <v>6</v>
      </c>
      <c r="P22" s="59">
        <v>7</v>
      </c>
      <c r="Q22" s="36">
        <v>3.4767270935920679E-3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0.43779321722919501</v>
      </c>
      <c r="I23" s="36">
        <v>3.9198630000000026E-3</v>
      </c>
      <c r="J23" s="36">
        <v>3.9198630000000009E-3</v>
      </c>
      <c r="K23" s="71">
        <v>3919863</v>
      </c>
      <c r="L23" s="36">
        <v>3.9091724726729796E-3</v>
      </c>
      <c r="M23" s="36">
        <v>2.9445534330389544E-2</v>
      </c>
      <c r="N23" s="73"/>
      <c r="O23" s="59">
        <v>7</v>
      </c>
      <c r="P23" s="59">
        <v>8</v>
      </c>
      <c r="Q23" s="36">
        <v>3.9091724726729796E-3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0.42243225098029202</v>
      </c>
      <c r="I24" s="36">
        <v>3.1800099999999992E-3</v>
      </c>
      <c r="J24" s="36">
        <v>3.1800099999999979E-3</v>
      </c>
      <c r="K24" s="71">
        <v>3180010</v>
      </c>
      <c r="L24" s="36">
        <v>3.1713372520480441E-3</v>
      </c>
      <c r="M24" s="36">
        <v>2.7122397536314659E-2</v>
      </c>
      <c r="N24" s="73"/>
      <c r="O24" s="59">
        <v>8</v>
      </c>
      <c r="P24" s="59">
        <v>9</v>
      </c>
      <c r="Q24" s="36">
        <v>3.1713372520480441E-3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0.33212183443369597</v>
      </c>
      <c r="I25" s="36">
        <v>2.0674820000000024E-3</v>
      </c>
      <c r="J25" s="36">
        <v>2.0674820000000016E-3</v>
      </c>
      <c r="K25" s="71">
        <v>2067482</v>
      </c>
      <c r="L25" s="36">
        <v>2.0618434170140325E-3</v>
      </c>
      <c r="M25" s="36">
        <v>1.9665585201505836E-2</v>
      </c>
      <c r="N25" s="73"/>
      <c r="O25" s="59">
        <v>9</v>
      </c>
      <c r="P25" s="59">
        <v>10</v>
      </c>
      <c r="Q25" s="36">
        <v>2.0618434170140325E-3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0.30387694182679997</v>
      </c>
      <c r="I26" s="36">
        <v>6.293255000000008E-3</v>
      </c>
      <c r="J26" s="36">
        <v>6.2932550000000054E-3</v>
      </c>
      <c r="K26" s="71">
        <v>6293255</v>
      </c>
      <c r="L26" s="36">
        <v>6.276091590321292E-3</v>
      </c>
      <c r="M26" s="36">
        <v>7.7071872482430345E-2</v>
      </c>
      <c r="N26" s="73"/>
      <c r="O26" s="59">
        <v>10</v>
      </c>
      <c r="P26" s="59">
        <v>15</v>
      </c>
      <c r="Q26" s="36">
        <v>6.276091590321292E-3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0.245236779290637</v>
      </c>
      <c r="I27" s="36">
        <v>2.7354629999999987E-3</v>
      </c>
      <c r="J27" s="36">
        <v>2.7354629999999974E-3</v>
      </c>
      <c r="K27" s="71">
        <v>2735463</v>
      </c>
      <c r="L27" s="36">
        <v>2.728002652035402E-3</v>
      </c>
      <c r="M27" s="36">
        <v>4.7294831290793954E-2</v>
      </c>
      <c r="N27" s="73"/>
      <c r="O27" s="59">
        <v>15</v>
      </c>
      <c r="P27" s="59">
        <v>20</v>
      </c>
      <c r="Q27" s="36">
        <v>2.728002652035402E-3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0.22957191057061299</v>
      </c>
      <c r="I28" s="36">
        <v>1.5479460000000006E-3</v>
      </c>
      <c r="J28" s="36">
        <v>1.5479459999999999E-3</v>
      </c>
      <c r="K28" s="71">
        <v>1547946</v>
      </c>
      <c r="L28" s="36">
        <v>1.5437243323004524E-3</v>
      </c>
      <c r="M28" s="36">
        <v>3.4530472961713445E-2</v>
      </c>
      <c r="N28" s="73"/>
      <c r="O28" s="59">
        <v>20</v>
      </c>
      <c r="P28" s="59">
        <v>25</v>
      </c>
      <c r="Q28" s="36">
        <v>1.5437243323004524E-3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0.279263298576582</v>
      </c>
      <c r="I29" s="36">
        <v>1.2508029999999991E-3</v>
      </c>
      <c r="J29" s="36">
        <v>1.2508029999999985E-3</v>
      </c>
      <c r="K29" s="71">
        <v>1250803</v>
      </c>
      <c r="L29" s="36">
        <v>1.2473917216843499E-3</v>
      </c>
      <c r="M29" s="36">
        <v>3.4173752734726941E-2</v>
      </c>
      <c r="N29" s="73"/>
      <c r="O29" s="59">
        <v>25</v>
      </c>
      <c r="P29" s="59">
        <v>30</v>
      </c>
      <c r="Q29" s="36">
        <v>1.2473917216843499E-3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0.198629599316621</v>
      </c>
      <c r="I30" s="36">
        <v>5.996859999999988E-4</v>
      </c>
      <c r="J30" s="36">
        <v>5.9968599999999858E-4</v>
      </c>
      <c r="K30" s="71">
        <v>599685</v>
      </c>
      <c r="L30" s="36">
        <v>5.9804949669794473E-4</v>
      </c>
      <c r="M30" s="36">
        <v>1.937580918455261E-2</v>
      </c>
      <c r="N30" s="73"/>
      <c r="O30" s="59">
        <v>30</v>
      </c>
      <c r="P30" s="59">
        <v>35</v>
      </c>
      <c r="Q30" s="36">
        <v>5.9804949669794473E-4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0.18834857257263099</v>
      </c>
      <c r="I31" s="36">
        <v>4.1581300000000082E-4</v>
      </c>
      <c r="J31" s="36">
        <v>4.1581300000000066E-4</v>
      </c>
      <c r="K31" s="71">
        <v>415813</v>
      </c>
      <c r="L31" s="36">
        <v>4.1467896540760979E-4</v>
      </c>
      <c r="M31" s="36">
        <v>1.5524886993455221E-2</v>
      </c>
      <c r="N31" s="73"/>
      <c r="O31" s="59">
        <v>35</v>
      </c>
      <c r="P31" s="59">
        <v>40</v>
      </c>
      <c r="Q31" s="36">
        <v>4.1467896540760979E-4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0.154711737732145</v>
      </c>
      <c r="I32" s="36">
        <v>2.5486500000000001E-4</v>
      </c>
      <c r="J32" s="36">
        <v>2.548649999999999E-4</v>
      </c>
      <c r="K32" s="71">
        <v>254865</v>
      </c>
      <c r="L32" s="36">
        <v>2.5416991416480597E-4</v>
      </c>
      <c r="M32" s="36">
        <v>1.0786278656715819E-2</v>
      </c>
      <c r="N32" s="73"/>
      <c r="O32" s="59">
        <v>40</v>
      </c>
      <c r="P32" s="59">
        <v>45</v>
      </c>
      <c r="Q32" s="36">
        <v>2.5416991416480597E-4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0.17375615054704499</v>
      </c>
      <c r="I33" s="36">
        <v>2.1403300000000057E-4</v>
      </c>
      <c r="J33" s="36">
        <v>2.1403300000000046E-4</v>
      </c>
      <c r="K33" s="71">
        <v>214033</v>
      </c>
      <c r="L33" s="36">
        <v>2.1344927408014407E-4</v>
      </c>
      <c r="M33" s="36">
        <v>1.0130381060307577E-2</v>
      </c>
      <c r="N33" s="73"/>
      <c r="O33" s="59">
        <v>45</v>
      </c>
      <c r="P33" s="59">
        <v>50</v>
      </c>
      <c r="Q33" s="36">
        <v>2.1344927408014407E-4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0.26053196518182298</v>
      </c>
      <c r="I34" s="36">
        <v>4.591050000000004E-4</v>
      </c>
      <c r="J34" s="36">
        <v>4.5910500000000018E-4</v>
      </c>
      <c r="K34" s="71">
        <v>459105</v>
      </c>
      <c r="L34" s="36">
        <v>4.5785289640646324E-4</v>
      </c>
      <c r="M34" s="36">
        <v>2.5045345888776736E-2</v>
      </c>
      <c r="N34" s="73"/>
      <c r="O34" s="59">
        <v>50</v>
      </c>
      <c r="P34" s="59">
        <v>60</v>
      </c>
      <c r="Q34" s="36">
        <v>4.5785289640646324E-4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0.23556436034081699</v>
      </c>
      <c r="I35" s="36">
        <v>2.6278500000000013E-4</v>
      </c>
      <c r="J35" s="36">
        <v>2.6278500000000003E-4</v>
      </c>
      <c r="K35" s="71">
        <v>262785</v>
      </c>
      <c r="L35" s="36">
        <v>2.6206831418122749E-4</v>
      </c>
      <c r="M35" s="36">
        <v>1.695176494039248E-2</v>
      </c>
      <c r="N35" s="73"/>
      <c r="O35" s="59">
        <v>60</v>
      </c>
      <c r="P35" s="59">
        <v>70</v>
      </c>
      <c r="Q35" s="36">
        <v>2.6206831418122749E-4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0.39082576674052799</v>
      </c>
      <c r="I79" s="36">
        <v>2.7347309999999976E-3</v>
      </c>
      <c r="J79" s="36">
        <f>I79</f>
        <v>2.7347309999999976E-3</v>
      </c>
      <c r="K79" s="72">
        <v>2734731</v>
      </c>
      <c r="L79" s="36">
        <v>2.7272726483975203E-3</v>
      </c>
      <c r="M79" s="36">
        <v>2.4039454815387041E-2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1.8521998117511445</v>
      </c>
      <c r="I99" s="36">
        <v>4.4232945000000003E-2</v>
      </c>
      <c r="J99" s="36">
        <v>4.4232944999999996E-2</v>
      </c>
      <c r="K99" s="71">
        <v>44232945</v>
      </c>
      <c r="L99" s="36">
        <v>4.4232945000000003E-2</v>
      </c>
      <c r="M99" s="36">
        <v>0.99823051012628583</v>
      </c>
      <c r="N99" s="73"/>
      <c r="O99" s="59">
        <v>20</v>
      </c>
      <c r="P99" s="59">
        <v>25</v>
      </c>
      <c r="Q99" s="36">
        <v>4.4232945000000003E-2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6.0767254661220571</v>
      </c>
      <c r="I100" s="36">
        <v>0.14999899999999999</v>
      </c>
      <c r="J100" s="36">
        <v>0.14999899999999997</v>
      </c>
      <c r="K100" s="71">
        <v>149999000</v>
      </c>
      <c r="L100" s="36">
        <v>0.14999899999999999</v>
      </c>
      <c r="M100" s="36">
        <v>4.1351645170675013</v>
      </c>
      <c r="N100" s="73"/>
      <c r="O100" s="59">
        <v>25</v>
      </c>
      <c r="P100" s="59">
        <v>30</v>
      </c>
      <c r="Q100" s="36">
        <v>0.14999899999999999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2.7029589501129352</v>
      </c>
      <c r="I101" s="36">
        <v>6.6304689E-2</v>
      </c>
      <c r="J101" s="36">
        <v>6.6304688999999986E-2</v>
      </c>
      <c r="K101" s="71">
        <v>66304689</v>
      </c>
      <c r="L101" s="36">
        <v>6.6304689E-2</v>
      </c>
      <c r="M101" s="36">
        <v>2.158719546573717</v>
      </c>
      <c r="N101" s="73"/>
      <c r="O101" s="59">
        <v>30</v>
      </c>
      <c r="P101" s="59">
        <v>35</v>
      </c>
      <c r="Q101" s="36">
        <v>6.6304689E-2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4.5836005781577471</v>
      </c>
      <c r="I102" s="36">
        <v>0.11315684399999999</v>
      </c>
      <c r="J102" s="36">
        <v>0.11315684399999996</v>
      </c>
      <c r="K102" s="71">
        <v>113156844</v>
      </c>
      <c r="L102" s="36">
        <v>0.11315684400000001</v>
      </c>
      <c r="M102" s="36">
        <v>4.2494263327697661</v>
      </c>
      <c r="N102" s="73"/>
      <c r="O102" s="59">
        <v>35</v>
      </c>
      <c r="P102" s="59">
        <v>40</v>
      </c>
      <c r="Q102" s="36">
        <v>0.11315684400000001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3.9196576455123893</v>
      </c>
      <c r="I103" s="36">
        <v>9.5358171000000005E-2</v>
      </c>
      <c r="J103" s="36">
        <v>9.5358170999999978E-2</v>
      </c>
      <c r="K103" s="71">
        <v>95358171</v>
      </c>
      <c r="L103" s="36">
        <v>9.5358171000000005E-2</v>
      </c>
      <c r="M103" s="36">
        <v>4.0576070546766934</v>
      </c>
      <c r="N103" s="73"/>
      <c r="O103" s="59">
        <v>40</v>
      </c>
      <c r="P103" s="59">
        <v>45</v>
      </c>
      <c r="Q103" s="36">
        <v>9.5358171000000005E-2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3.2947602921007468</v>
      </c>
      <c r="I104" s="36">
        <v>7.9125777999999994E-2</v>
      </c>
      <c r="J104" s="36">
        <v>7.912577799999998E-2</v>
      </c>
      <c r="K104" s="71">
        <v>79125778</v>
      </c>
      <c r="L104" s="36">
        <v>7.9125777999999994E-2</v>
      </c>
      <c r="M104" s="36">
        <v>3.7620699469266148</v>
      </c>
      <c r="N104" s="73"/>
      <c r="O104" s="59">
        <v>45</v>
      </c>
      <c r="P104" s="59">
        <v>50</v>
      </c>
      <c r="Q104" s="36">
        <v>7.9125777999999994E-2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1.5792502309343719</v>
      </c>
      <c r="I105" s="36">
        <v>7.3050746E-2</v>
      </c>
      <c r="J105" s="36">
        <v>7.3050745999999986E-2</v>
      </c>
      <c r="K105" s="71">
        <v>73050746</v>
      </c>
      <c r="L105" s="36">
        <v>7.3050746E-2</v>
      </c>
      <c r="M105" s="36">
        <v>4.0187496980381585</v>
      </c>
      <c r="N105" s="73"/>
      <c r="O105" s="59">
        <v>50</v>
      </c>
      <c r="P105" s="59">
        <v>60</v>
      </c>
      <c r="Q105" s="36">
        <v>7.3050746E-2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2.1392987063598219</v>
      </c>
      <c r="I106" s="36">
        <v>9.3778511999999994E-2</v>
      </c>
      <c r="J106" s="36">
        <v>9.3778511999999967E-2</v>
      </c>
      <c r="K106" s="71">
        <v>93778512</v>
      </c>
      <c r="L106" s="36">
        <v>9.3778511999999994E-2</v>
      </c>
      <c r="M106" s="36">
        <v>6.0962593489484433</v>
      </c>
      <c r="N106" s="73"/>
      <c r="O106" s="59">
        <v>60</v>
      </c>
      <c r="P106" s="59">
        <v>70</v>
      </c>
      <c r="Q106" s="36">
        <v>9.3778511999999994E-2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1.0123480111476508</v>
      </c>
      <c r="I107" s="36">
        <v>4.2124050000000003E-2</v>
      </c>
      <c r="J107" s="36">
        <v>4.2124049999999996E-2</v>
      </c>
      <c r="K107" s="71">
        <v>42124050</v>
      </c>
      <c r="L107" s="36">
        <v>4.2124050000000003E-2</v>
      </c>
      <c r="M107" s="36">
        <v>3.1592370830050838</v>
      </c>
      <c r="N107" s="73"/>
      <c r="O107" s="59">
        <v>70</v>
      </c>
      <c r="P107" s="59">
        <v>80</v>
      </c>
      <c r="Q107" s="36">
        <v>4.2124050000000003E-2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1.94495395570548</v>
      </c>
      <c r="I108" s="36">
        <v>7.5665226000000002E-2</v>
      </c>
      <c r="J108" s="36">
        <v>7.5665225999999988E-2</v>
      </c>
      <c r="K108" s="71">
        <v>75665226</v>
      </c>
      <c r="L108" s="36">
        <v>7.5665226000000002E-2</v>
      </c>
      <c r="M108" s="36">
        <v>6.4305801433115679</v>
      </c>
      <c r="N108" s="73"/>
      <c r="O108" s="59">
        <v>80</v>
      </c>
      <c r="P108" s="59">
        <v>90</v>
      </c>
      <c r="Q108" s="36">
        <v>7.5665226000000002E-2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0.74964691240877113</v>
      </c>
      <c r="I109" s="79">
        <v>2.7177092999999999E-2</v>
      </c>
      <c r="J109" s="79">
        <v>2.7177092999999992E-2</v>
      </c>
      <c r="K109" s="71">
        <v>27177093</v>
      </c>
      <c r="L109" s="79">
        <v>2.7177092999999999E-2</v>
      </c>
      <c r="M109" s="79">
        <v>2.5818458723628859</v>
      </c>
      <c r="N109" s="73"/>
      <c r="O109" s="59">
        <v>90</v>
      </c>
      <c r="P109" s="59">
        <v>100</v>
      </c>
      <c r="Q109" s="36">
        <v>2.7177092999999999E-2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0.88596957762866335</v>
      </c>
      <c r="I110" s="79">
        <v>5.7837142000000001E-2</v>
      </c>
      <c r="J110" s="79">
        <v>5.7837141999999987E-2</v>
      </c>
      <c r="K110" s="71">
        <v>57837142</v>
      </c>
      <c r="L110" s="79">
        <v>5.7837142000000001E-2</v>
      </c>
      <c r="M110" s="79">
        <v>6.3524374442640079</v>
      </c>
      <c r="N110" s="73"/>
      <c r="O110" s="59">
        <v>100</v>
      </c>
      <c r="P110" s="59">
        <v>120</v>
      </c>
      <c r="Q110" s="36">
        <v>5.7837142000000001E-2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0.32909842593056571</v>
      </c>
      <c r="I111" s="79">
        <v>1.8615916999999999E-2</v>
      </c>
      <c r="J111" s="79">
        <v>1.8615916999999996E-2</v>
      </c>
      <c r="K111" s="71">
        <v>18615917</v>
      </c>
      <c r="L111" s="79">
        <v>1.8615916999999999E-2</v>
      </c>
      <c r="M111" s="79">
        <v>2.416587842147381</v>
      </c>
      <c r="N111" s="73"/>
      <c r="O111" s="59">
        <v>120</v>
      </c>
      <c r="P111" s="59">
        <v>140</v>
      </c>
      <c r="Q111" s="36">
        <v>1.8615916999999999E-2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0.53359849752243604</v>
      </c>
      <c r="I112" s="79">
        <v>2.6196851999999996E-2</v>
      </c>
      <c r="J112" s="79">
        <v>2.6196851999999989E-2</v>
      </c>
      <c r="K112" s="71">
        <v>26196852</v>
      </c>
      <c r="L112" s="79">
        <v>2.6196852E-2</v>
      </c>
      <c r="M112" s="79">
        <v>3.9243946450079488</v>
      </c>
      <c r="N112" s="73"/>
      <c r="O112" s="59">
        <v>140</v>
      </c>
      <c r="P112" s="59">
        <v>160</v>
      </c>
      <c r="Q112" s="36">
        <v>2.6196852E-2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0.28151612479245081</v>
      </c>
      <c r="I113" s="79">
        <v>1.2014408000000001E-2</v>
      </c>
      <c r="J113" s="79">
        <v>1.2014407999999997E-2</v>
      </c>
      <c r="K113" s="71">
        <v>12014408</v>
      </c>
      <c r="L113" s="79">
        <v>1.2014408000000001E-2</v>
      </c>
      <c r="M113" s="79">
        <v>2.0401441557124516</v>
      </c>
      <c r="N113" s="73"/>
      <c r="O113" s="59">
        <v>160</v>
      </c>
      <c r="P113" s="59">
        <v>180</v>
      </c>
      <c r="Q113" s="36">
        <v>1.2014408000000001E-2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0.32610637459637992</v>
      </c>
      <c r="I114" s="79">
        <v>1.2039667E-2</v>
      </c>
      <c r="J114" s="79">
        <v>1.2039666999999997E-2</v>
      </c>
      <c r="K114" s="71">
        <v>12039667</v>
      </c>
      <c r="L114" s="79">
        <v>1.2039667E-2</v>
      </c>
      <c r="M114" s="79">
        <v>2.2852124307074448</v>
      </c>
      <c r="N114" s="73"/>
      <c r="O114" s="59">
        <v>180</v>
      </c>
      <c r="P114" s="59">
        <v>200</v>
      </c>
      <c r="Q114" s="36">
        <v>1.2039667E-2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2.2272202753295039E-2</v>
      </c>
      <c r="I115" s="79">
        <v>1.6342069999999999E-3</v>
      </c>
      <c r="J115" s="79">
        <v>1.6342069999999995E-3</v>
      </c>
      <c r="K115" s="71">
        <v>1634207</v>
      </c>
      <c r="L115" s="79">
        <v>1.6342069999999999E-3</v>
      </c>
      <c r="M115" s="79">
        <v>0.36549135473624494</v>
      </c>
      <c r="N115" s="73"/>
      <c r="O115" s="59">
        <v>200</v>
      </c>
      <c r="P115" s="59">
        <v>250</v>
      </c>
      <c r="Q115" s="36">
        <v>1.6342069999999999E-3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2.583351124270852E-2</v>
      </c>
      <c r="I116" s="79">
        <v>1.3683650000000001E-3</v>
      </c>
      <c r="J116" s="79">
        <v>1.3683649999999999E-3</v>
      </c>
      <c r="K116" s="71">
        <v>1368365</v>
      </c>
      <c r="L116" s="79">
        <v>1.3683650000000001E-3</v>
      </c>
      <c r="M116" s="79">
        <v>0.37460487821600663</v>
      </c>
      <c r="N116" s="73"/>
      <c r="O116" s="59">
        <v>250</v>
      </c>
      <c r="P116" s="59">
        <v>300</v>
      </c>
      <c r="Q116" s="36">
        <v>1.3683650000000001E-3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3.0199243469712058E-2</v>
      </c>
      <c r="I117" s="79">
        <v>1.1827669999999999E-3</v>
      </c>
      <c r="J117" s="79">
        <v>1.1827669999999997E-3</v>
      </c>
      <c r="K117" s="71">
        <v>1182767</v>
      </c>
      <c r="L117" s="79">
        <v>1.1827669999999999E-3</v>
      </c>
      <c r="M117" s="79">
        <v>0.38296454815490266</v>
      </c>
      <c r="N117" s="73"/>
      <c r="O117" s="59">
        <v>300</v>
      </c>
      <c r="P117" s="59">
        <v>350</v>
      </c>
      <c r="Q117" s="36">
        <v>1.1827669999999999E-3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3.5583712366815949E-2</v>
      </c>
      <c r="I118" s="79">
        <v>1.044681E-3</v>
      </c>
      <c r="J118" s="79">
        <v>1.0446809999999998E-3</v>
      </c>
      <c r="K118" s="71">
        <v>1044681</v>
      </c>
      <c r="L118" s="79">
        <v>1.044681E-3</v>
      </c>
      <c r="M118" s="79">
        <v>0.39059662656158961</v>
      </c>
      <c r="N118" s="73"/>
      <c r="O118" s="59">
        <v>350</v>
      </c>
      <c r="P118" s="59">
        <v>400</v>
      </c>
      <c r="Q118" s="36">
        <v>1.044681E-3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4.2061990841218859E-2</v>
      </c>
      <c r="I119" s="79">
        <v>9.37633E-4</v>
      </c>
      <c r="J119" s="79">
        <v>9.3763299999999978E-4</v>
      </c>
      <c r="K119" s="71">
        <v>937633</v>
      </c>
      <c r="L119" s="79">
        <v>9.37633E-4</v>
      </c>
      <c r="M119" s="79">
        <v>0.39748088970709727</v>
      </c>
      <c r="N119" s="73"/>
      <c r="O119" s="59">
        <v>400</v>
      </c>
      <c r="P119" s="59">
        <v>450</v>
      </c>
      <c r="Q119" s="36">
        <v>9.37633E-4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4.9047449451441884E-2</v>
      </c>
      <c r="I120" s="79">
        <v>8.5146100000000008E-4</v>
      </c>
      <c r="J120" s="79">
        <v>8.5146099999999986E-4</v>
      </c>
      <c r="K120" s="71">
        <v>851461</v>
      </c>
      <c r="L120" s="79">
        <v>8.5146099999999997E-4</v>
      </c>
      <c r="M120" s="79">
        <v>0.40363854201634564</v>
      </c>
      <c r="N120" s="73"/>
      <c r="O120" s="59">
        <v>450</v>
      </c>
      <c r="P120" s="59">
        <v>500</v>
      </c>
      <c r="Q120" s="36">
        <v>8.5146099999999997E-4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5.6989796499593098E-2</v>
      </c>
      <c r="I121" s="79">
        <v>7.8061999999999999E-4</v>
      </c>
      <c r="J121" s="79">
        <v>7.8061999999999977E-4</v>
      </c>
      <c r="K121" s="71">
        <v>780620</v>
      </c>
      <c r="L121" s="79">
        <v>7.8061999999999999E-4</v>
      </c>
      <c r="M121" s="79">
        <v>0.40903368331630946</v>
      </c>
      <c r="N121" s="73"/>
      <c r="O121" s="59">
        <v>500</v>
      </c>
      <c r="P121" s="59">
        <v>550</v>
      </c>
      <c r="Q121" s="36">
        <v>7.8061999999999999E-4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6.6177530679673455E-2</v>
      </c>
      <c r="I122" s="36">
        <v>7.2058099999999998E-4</v>
      </c>
      <c r="J122" s="36">
        <v>7.2058099999999987E-4</v>
      </c>
      <c r="K122" s="71">
        <v>720581</v>
      </c>
      <c r="L122" s="36">
        <v>7.2058099999999998E-4</v>
      </c>
      <c r="M122" s="36">
        <v>0.41371567726779274</v>
      </c>
      <c r="N122" s="73"/>
      <c r="O122" s="59">
        <v>550</v>
      </c>
      <c r="P122" s="59">
        <v>600</v>
      </c>
      <c r="Q122" s="36">
        <v>7.2058099999999998E-4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7.6677148591229885E-2</v>
      </c>
      <c r="I123" s="36">
        <v>6.6922100000000001E-4</v>
      </c>
      <c r="J123" s="36">
        <v>6.692209999999999E-4</v>
      </c>
      <c r="K123" s="71">
        <v>669221</v>
      </c>
      <c r="L123" s="36">
        <v>6.6922100000000001E-4</v>
      </c>
      <c r="M123" s="36">
        <v>0.41763919868229521</v>
      </c>
      <c r="N123" s="73"/>
      <c r="O123" s="59">
        <v>600</v>
      </c>
      <c r="P123" s="59">
        <v>650</v>
      </c>
      <c r="Q123" s="36">
        <v>6.6922100000000001E-4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8.8225392815473189E-2</v>
      </c>
      <c r="I124" s="36">
        <v>6.2418200000000004E-4</v>
      </c>
      <c r="J124" s="36">
        <v>6.2418199999999993E-4</v>
      </c>
      <c r="K124" s="71">
        <v>624182</v>
      </c>
      <c r="L124" s="36">
        <v>6.2418200000000004E-4</v>
      </c>
      <c r="M124" s="36">
        <v>0.42084045647956769</v>
      </c>
      <c r="N124" s="73"/>
      <c r="O124" s="59">
        <v>650</v>
      </c>
      <c r="P124" s="59">
        <v>700</v>
      </c>
      <c r="Q124" s="36">
        <v>6.2418200000000004E-4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0.10001714178814264</v>
      </c>
      <c r="I125" s="36">
        <v>5.8441000000000005E-4</v>
      </c>
      <c r="J125" s="36">
        <v>5.8440999999999994E-4</v>
      </c>
      <c r="K125" s="71">
        <v>584410</v>
      </c>
      <c r="L125" s="36">
        <v>5.8441000000000005E-4</v>
      </c>
      <c r="M125" s="36">
        <v>0.42329595732502573</v>
      </c>
      <c r="N125" s="73"/>
      <c r="O125" s="59">
        <v>700</v>
      </c>
      <c r="P125" s="59">
        <v>750</v>
      </c>
      <c r="Q125" s="36">
        <v>5.8441000000000005E-4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0.11344838964822636</v>
      </c>
      <c r="I126" s="36">
        <v>5.4892799999999996E-4</v>
      </c>
      <c r="J126" s="36">
        <v>5.4892799999999985E-4</v>
      </c>
      <c r="K126" s="71">
        <v>548928</v>
      </c>
      <c r="L126" s="36">
        <v>5.4892799999999996E-4</v>
      </c>
      <c r="M126" s="36">
        <v>0.42500968709818349</v>
      </c>
      <c r="N126" s="73"/>
      <c r="O126" s="59">
        <v>750</v>
      </c>
      <c r="P126" s="59">
        <v>800</v>
      </c>
      <c r="Q126" s="36">
        <v>5.4892799999999996E-4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0.12781978071347777</v>
      </c>
      <c r="I127" s="36">
        <v>5.1679099999999995E-4</v>
      </c>
      <c r="J127" s="36">
        <v>5.1679099999999984E-4</v>
      </c>
      <c r="K127" s="71">
        <v>516791</v>
      </c>
      <c r="L127" s="36">
        <v>5.1679099999999995E-4</v>
      </c>
      <c r="M127" s="36">
        <v>0.42598799722560887</v>
      </c>
      <c r="N127" s="73"/>
      <c r="O127" s="59">
        <v>800</v>
      </c>
      <c r="P127" s="59">
        <v>850</v>
      </c>
      <c r="Q127" s="36">
        <v>5.1679099999999995E-4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0.14439289005693123</v>
      </c>
      <c r="I128" s="36">
        <v>4.8751300000000007E-4</v>
      </c>
      <c r="J128" s="36">
        <v>4.8751299999999997E-4</v>
      </c>
      <c r="K128" s="72">
        <v>487513</v>
      </c>
      <c r="L128" s="36">
        <v>4.8751300000000002E-4</v>
      </c>
      <c r="M128" s="36">
        <v>0.42622334335115136</v>
      </c>
      <c r="N128" s="73"/>
      <c r="O128" s="59">
        <v>850</v>
      </c>
      <c r="P128" s="59">
        <v>900</v>
      </c>
      <c r="Q128" s="36">
        <v>4.8751300000000002E-4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0.16027494951136423</v>
      </c>
      <c r="I129" s="36">
        <v>4.6055500000000002E-4</v>
      </c>
      <c r="J129" s="36">
        <v>4.6055499999999992E-4</v>
      </c>
      <c r="K129" s="72">
        <v>460555</v>
      </c>
      <c r="L129" s="36">
        <v>4.6055500000000002E-4</v>
      </c>
      <c r="M129" s="36">
        <v>0.4257294122755011</v>
      </c>
      <c r="N129" s="73"/>
      <c r="O129" s="59">
        <v>900</v>
      </c>
      <c r="P129" s="59">
        <v>950</v>
      </c>
      <c r="Q129" s="36">
        <v>4.6055500000000002E-4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0.17931993344273867</v>
      </c>
      <c r="I130" s="36">
        <v>4.3568399999999998E-4</v>
      </c>
      <c r="J130" s="36">
        <v>4.3568399999999988E-4</v>
      </c>
      <c r="K130" s="72">
        <v>435684</v>
      </c>
      <c r="L130" s="36">
        <v>4.3568399999999998E-4</v>
      </c>
      <c r="M130" s="36">
        <v>0.42449252581683428</v>
      </c>
      <c r="N130" s="73"/>
      <c r="O130" s="59">
        <v>950</v>
      </c>
      <c r="P130" s="59">
        <v>1000</v>
      </c>
      <c r="Q130" s="36">
        <v>4.3568399999999998E-4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1.9329399074866315E-2</v>
      </c>
      <c r="I131" s="36">
        <v>3.0219300000000003E-4</v>
      </c>
      <c r="J131" s="36">
        <v>3.0219299999999997E-4</v>
      </c>
      <c r="K131" s="72">
        <v>302193</v>
      </c>
      <c r="L131" s="36">
        <v>3.0219300000000003E-4</v>
      </c>
      <c r="M131" s="36">
        <v>0.3967470416559688</v>
      </c>
      <c r="N131" s="73"/>
      <c r="O131" s="59">
        <v>1000</v>
      </c>
      <c r="P131" s="59">
        <v>2000</v>
      </c>
      <c r="Q131" s="36">
        <v>3.0219300000000003E-4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9.0928338880384207E-2</v>
      </c>
      <c r="I132" s="36">
        <v>1.7316799999999999E-4</v>
      </c>
      <c r="J132" s="36">
        <v>1.7316799999999997E-4</v>
      </c>
      <c r="K132" s="72">
        <v>173168</v>
      </c>
      <c r="L132" s="36">
        <v>1.7316799999999999E-4</v>
      </c>
      <c r="M132" s="36">
        <v>0.40984242588767816</v>
      </c>
      <c r="N132" s="73"/>
      <c r="O132" s="59">
        <v>2000</v>
      </c>
      <c r="P132" s="59">
        <v>3000</v>
      </c>
      <c r="Q132" s="36">
        <v>1.7316799999999999E-4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1.4077808878323801</v>
      </c>
      <c r="I176" s="36">
        <v>3.3619641999999984E-2</v>
      </c>
      <c r="J176" s="36">
        <v>3.3619641999999991E-2</v>
      </c>
      <c r="K176" s="71">
        <v>33619642</v>
      </c>
      <c r="L176" s="36">
        <v>3.3619642268957139E-2</v>
      </c>
      <c r="M176" s="36">
        <v>0.75871395522962193</v>
      </c>
      <c r="N176" s="73"/>
      <c r="O176" s="59">
        <v>20</v>
      </c>
      <c r="P176" s="59">
        <v>25</v>
      </c>
      <c r="Q176" s="36">
        <v>3.3619642268957139E-2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5.7719735457184003</v>
      </c>
      <c r="I177" s="36">
        <v>0.14247644799999989</v>
      </c>
      <c r="J177" s="36">
        <v>0.14247644799999992</v>
      </c>
      <c r="K177" s="71">
        <v>142476448</v>
      </c>
      <c r="L177" s="36">
        <v>0.14247644913981158</v>
      </c>
      <c r="M177" s="36">
        <v>3.9277832318930219</v>
      </c>
      <c r="N177" s="73"/>
      <c r="O177" s="59">
        <v>25</v>
      </c>
      <c r="P177" s="59">
        <v>30</v>
      </c>
      <c r="Q177" s="36">
        <v>0.14247644913981158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2.1852118177661102</v>
      </c>
      <c r="I178" s="36">
        <v>5.3604139999999932E-2</v>
      </c>
      <c r="J178" s="36">
        <v>5.3604139999999939E-2</v>
      </c>
      <c r="K178" s="71">
        <v>53604139</v>
      </c>
      <c r="L178" s="36">
        <v>5.3604139428833117E-2</v>
      </c>
      <c r="M178" s="36">
        <v>1.7452205161883036</v>
      </c>
      <c r="N178" s="73"/>
      <c r="O178" s="59">
        <v>30</v>
      </c>
      <c r="P178" s="59">
        <v>35</v>
      </c>
      <c r="Q178" s="36">
        <v>5.3604139428833117E-2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3.8224245146790401</v>
      </c>
      <c r="I179" s="36">
        <v>9.4365442000000105E-2</v>
      </c>
      <c r="J179" s="36">
        <v>9.4365442000000119E-2</v>
      </c>
      <c r="K179" s="71">
        <v>94365442</v>
      </c>
      <c r="L179" s="36">
        <v>9.4365442754923548E-2</v>
      </c>
      <c r="M179" s="36">
        <v>3.5437449753039245</v>
      </c>
      <c r="N179" s="73"/>
      <c r="O179" s="59">
        <v>35</v>
      </c>
      <c r="P179" s="59">
        <v>40</v>
      </c>
      <c r="Q179" s="36">
        <v>9.4365442754923548E-2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3.3720101760744199</v>
      </c>
      <c r="I180" s="36">
        <v>8.2034900000000091E-2</v>
      </c>
      <c r="J180" s="36">
        <v>8.2034900000000105E-2</v>
      </c>
      <c r="K180" s="71">
        <v>82034900</v>
      </c>
      <c r="L180" s="36">
        <v>8.2034900656279205E-2</v>
      </c>
      <c r="M180" s="36">
        <v>3.4906855714820724</v>
      </c>
      <c r="N180" s="73"/>
      <c r="O180" s="59">
        <v>40</v>
      </c>
      <c r="P180" s="59">
        <v>45</v>
      </c>
      <c r="Q180" s="36">
        <v>8.2034900656279205E-2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2.9236448900429099</v>
      </c>
      <c r="I181" s="36">
        <v>7.0213204000000112E-2</v>
      </c>
      <c r="J181" s="36">
        <v>7.0213204000000126E-2</v>
      </c>
      <c r="K181" s="71">
        <v>70213204</v>
      </c>
      <c r="L181" s="36">
        <v>7.0213204561705642E-2</v>
      </c>
      <c r="M181" s="36">
        <v>3.3383177194037006</v>
      </c>
      <c r="N181" s="73"/>
      <c r="O181" s="59">
        <v>45</v>
      </c>
      <c r="P181" s="59">
        <v>50</v>
      </c>
      <c r="Q181" s="36">
        <v>7.0213204561705642E-2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1.46831112135186</v>
      </c>
      <c r="I182" s="36">
        <v>6.7919079999999896E-2</v>
      </c>
      <c r="J182" s="36">
        <v>6.791907999999991E-2</v>
      </c>
      <c r="K182" s="71">
        <v>67919079</v>
      </c>
      <c r="L182" s="36">
        <v>6.7919079543352634E-2</v>
      </c>
      <c r="M182" s="36">
        <v>3.7364406984410272</v>
      </c>
      <c r="N182" s="73"/>
      <c r="O182" s="59">
        <v>50</v>
      </c>
      <c r="P182" s="59">
        <v>60</v>
      </c>
      <c r="Q182" s="36">
        <v>6.7919079543352634E-2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2.11739447673575</v>
      </c>
      <c r="I183" s="36">
        <v>9.281831600000004E-2</v>
      </c>
      <c r="J183" s="36">
        <v>9.2818316000000053E-2</v>
      </c>
      <c r="K183" s="71">
        <v>92818316</v>
      </c>
      <c r="L183" s="36">
        <v>9.2818316742546536E-2</v>
      </c>
      <c r="M183" s="36">
        <v>6.0338399397444817</v>
      </c>
      <c r="N183" s="73"/>
      <c r="O183" s="59">
        <v>60</v>
      </c>
      <c r="P183" s="59">
        <v>70</v>
      </c>
      <c r="Q183" s="36">
        <v>9.2818316742546536E-2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1.06693201885135</v>
      </c>
      <c r="I184" s="36">
        <v>4.4395303999999865E-2</v>
      </c>
      <c r="J184" s="36">
        <v>4.4395303999999872E-2</v>
      </c>
      <c r="K184" s="71">
        <v>44395303</v>
      </c>
      <c r="L184" s="36">
        <v>4.4395303355162424E-2</v>
      </c>
      <c r="M184" s="36">
        <v>3.3295774900772628</v>
      </c>
      <c r="N184" s="73"/>
      <c r="O184" s="59">
        <v>70</v>
      </c>
      <c r="P184" s="59">
        <v>80</v>
      </c>
      <c r="Q184" s="36">
        <v>4.4395303355162424E-2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2.1832732987146599</v>
      </c>
      <c r="I185" s="36">
        <v>8.4936647000000143E-2</v>
      </c>
      <c r="J185" s="36">
        <v>8.4936647000000157E-2</v>
      </c>
      <c r="K185" s="71">
        <v>84936647</v>
      </c>
      <c r="L185" s="36">
        <v>8.4936647679493188E-2</v>
      </c>
      <c r="M185" s="36">
        <v>7.2185328569189693</v>
      </c>
      <c r="N185" s="73"/>
      <c r="O185" s="59">
        <v>80</v>
      </c>
      <c r="P185" s="59">
        <v>90</v>
      </c>
      <c r="Q185" s="36">
        <v>8.4936647679493188E-2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0.89651001035945599</v>
      </c>
      <c r="I186" s="36">
        <v>3.2501348999999999E-2</v>
      </c>
      <c r="J186" s="36">
        <v>3.2501349000000006E-2</v>
      </c>
      <c r="K186" s="71">
        <v>32501349</v>
      </c>
      <c r="L186" s="36">
        <v>3.2501349260010796E-2</v>
      </c>
      <c r="M186" s="36">
        <v>3.0876545343971635</v>
      </c>
      <c r="N186" s="73"/>
      <c r="O186" s="59">
        <v>90</v>
      </c>
      <c r="P186" s="59">
        <v>100</v>
      </c>
      <c r="Q186" s="36">
        <v>3.2501349260010796E-2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1.16498152569365</v>
      </c>
      <c r="I187" s="36">
        <v>7.6051371999999923E-2</v>
      </c>
      <c r="J187" s="36">
        <v>7.6051371999999937E-2</v>
      </c>
      <c r="K187" s="71">
        <v>76051371</v>
      </c>
      <c r="L187" s="36">
        <v>7.6051371608410967E-2</v>
      </c>
      <c r="M187" s="36">
        <v>8.3529642715213441</v>
      </c>
      <c r="N187" s="73"/>
      <c r="O187" s="59">
        <v>100</v>
      </c>
      <c r="P187" s="59">
        <v>120</v>
      </c>
      <c r="Q187" s="36">
        <v>7.6051371608410967E-2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0.49206605545160198</v>
      </c>
      <c r="I188" s="36">
        <v>2.7834410999999989E-2</v>
      </c>
      <c r="J188" s="36">
        <v>2.7834410999999993E-2</v>
      </c>
      <c r="K188" s="71">
        <v>27834411</v>
      </c>
      <c r="L188" s="36">
        <v>2.7834411222675291E-2</v>
      </c>
      <c r="M188" s="36">
        <v>3.6132681379084213</v>
      </c>
      <c r="N188" s="73"/>
      <c r="O188" s="59">
        <v>120</v>
      </c>
      <c r="P188" s="59">
        <v>140</v>
      </c>
      <c r="Q188" s="36">
        <v>2.7834411222675291E-2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0.90809355138124404</v>
      </c>
      <c r="I189" s="36">
        <v>4.4582570000000023E-2</v>
      </c>
      <c r="J189" s="36">
        <v>4.458257000000003E-2</v>
      </c>
      <c r="K189" s="71">
        <v>44582570</v>
      </c>
      <c r="L189" s="36">
        <v>4.4582570356660564E-2</v>
      </c>
      <c r="M189" s="36">
        <v>6.6786497999213355</v>
      </c>
      <c r="N189" s="73"/>
      <c r="O189" s="59">
        <v>140</v>
      </c>
      <c r="P189" s="59">
        <v>160</v>
      </c>
      <c r="Q189" s="36">
        <v>4.4582570356660564E-2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0.54619748218603104</v>
      </c>
      <c r="I190" s="36">
        <v>2.3310350000000011E-2</v>
      </c>
      <c r="J190" s="36">
        <v>2.3310350000000014E-2</v>
      </c>
      <c r="K190" s="71">
        <v>23310350</v>
      </c>
      <c r="L190" s="36">
        <v>2.3310350186482802E-2</v>
      </c>
      <c r="M190" s="36">
        <v>3.958286975152129</v>
      </c>
      <c r="N190" s="73"/>
      <c r="O190" s="59">
        <v>160</v>
      </c>
      <c r="P190" s="59">
        <v>180</v>
      </c>
      <c r="Q190" s="36">
        <v>2.3310350186482802E-2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0.72226482778568302</v>
      </c>
      <c r="I191" s="36">
        <v>2.6665618000000002E-2</v>
      </c>
      <c r="J191" s="36">
        <v>2.6665618000000006E-2</v>
      </c>
      <c r="K191" s="71">
        <v>26665618</v>
      </c>
      <c r="L191" s="36">
        <v>2.6665618213324947E-2</v>
      </c>
      <c r="M191" s="36">
        <v>5.061319570847683</v>
      </c>
      <c r="N191" s="73"/>
      <c r="O191" s="59">
        <v>180</v>
      </c>
      <c r="P191" s="59">
        <v>200</v>
      </c>
      <c r="Q191" s="36">
        <v>2.6665618213324947E-2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4.810867863555E-3</v>
      </c>
      <c r="I192" s="36">
        <v>3.5299399999999981E-4</v>
      </c>
      <c r="J192" s="36">
        <v>3.5299399999999987E-4</v>
      </c>
      <c r="K192" s="71">
        <v>352994</v>
      </c>
      <c r="L192" s="36">
        <v>3.5299400282395204E-4</v>
      </c>
      <c r="M192" s="36">
        <v>7.8947315918911201E-2</v>
      </c>
      <c r="N192" s="73"/>
      <c r="O192" s="59">
        <v>200</v>
      </c>
      <c r="P192" s="59">
        <v>250</v>
      </c>
      <c r="Q192" s="36">
        <v>3.5299400282395204E-4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5.4443761757159304E-3</v>
      </c>
      <c r="I193" s="36">
        <v>2.8838100000000015E-4</v>
      </c>
      <c r="J193" s="36">
        <v>2.8838100000000021E-4</v>
      </c>
      <c r="K193" s="71">
        <v>288381</v>
      </c>
      <c r="L193" s="36">
        <v>2.8838100230704804E-4</v>
      </c>
      <c r="M193" s="36">
        <v>7.8947452068009377E-2</v>
      </c>
      <c r="N193" s="73"/>
      <c r="O193" s="59">
        <v>250</v>
      </c>
      <c r="P193" s="59">
        <v>300</v>
      </c>
      <c r="Q193" s="36">
        <v>2.8838100230704804E-4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6.2255123274512596E-3</v>
      </c>
      <c r="I194" s="36">
        <v>2.4382500000000003E-4</v>
      </c>
      <c r="J194" s="36">
        <v>2.4382500000000006E-4</v>
      </c>
      <c r="K194" s="71">
        <v>243825</v>
      </c>
      <c r="L194" s="36">
        <v>2.438250019506E-4</v>
      </c>
      <c r="M194" s="36">
        <v>7.8947359624405994E-2</v>
      </c>
      <c r="N194" s="73"/>
      <c r="O194" s="59">
        <v>300</v>
      </c>
      <c r="P194" s="59">
        <v>350</v>
      </c>
      <c r="Q194" s="36">
        <v>2.438250019506E-4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7.1921825418147303E-3</v>
      </c>
      <c r="I195" s="36">
        <v>2.11151E-4</v>
      </c>
      <c r="J195" s="36">
        <v>2.1115100000000003E-4</v>
      </c>
      <c r="K195" s="71">
        <v>211151</v>
      </c>
      <c r="L195" s="36">
        <v>2.1115100168920802E-4</v>
      </c>
      <c r="M195" s="36">
        <v>7.8947419312598924E-2</v>
      </c>
      <c r="N195" s="73"/>
      <c r="O195" s="59">
        <v>350</v>
      </c>
      <c r="P195" s="59">
        <v>400</v>
      </c>
      <c r="Q195" s="36">
        <v>2.1115100168920802E-4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8.3543227236475993E-3</v>
      </c>
      <c r="I196" s="36">
        <v>1.8623199999999996E-4</v>
      </c>
      <c r="J196" s="36">
        <v>1.8623199999999999E-4</v>
      </c>
      <c r="K196" s="71">
        <v>186232</v>
      </c>
      <c r="L196" s="36">
        <v>1.8623200148985602E-4</v>
      </c>
      <c r="M196" s="36">
        <v>7.894737241982891E-2</v>
      </c>
      <c r="N196" s="73"/>
      <c r="O196" s="59">
        <v>400</v>
      </c>
      <c r="P196" s="59">
        <v>450</v>
      </c>
      <c r="Q196" s="36">
        <v>1.8623200148985602E-4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9.5931758345887599E-3</v>
      </c>
      <c r="I197" s="36">
        <v>1.6653700000000008E-4</v>
      </c>
      <c r="J197" s="36">
        <v>1.665370000000001E-4</v>
      </c>
      <c r="K197" s="71">
        <v>166537</v>
      </c>
      <c r="L197" s="36">
        <v>1.66537001332296E-4</v>
      </c>
      <c r="M197" s="36">
        <v>7.8947541237405078E-2</v>
      </c>
      <c r="N197" s="73"/>
      <c r="O197" s="59">
        <v>450</v>
      </c>
      <c r="P197" s="59">
        <v>500</v>
      </c>
      <c r="Q197" s="36">
        <v>1.66537001332296E-4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1.09995665870772E-2</v>
      </c>
      <c r="I198" s="36">
        <v>1.5066700000000019E-4</v>
      </c>
      <c r="J198" s="36">
        <v>1.5066700000000022E-4</v>
      </c>
      <c r="K198" s="71">
        <v>150667</v>
      </c>
      <c r="L198" s="36">
        <v>1.5066700120533601E-4</v>
      </c>
      <c r="M198" s="36">
        <v>7.8947347566346526E-2</v>
      </c>
      <c r="N198" s="73"/>
      <c r="O198" s="59">
        <v>500</v>
      </c>
      <c r="P198" s="59">
        <v>550</v>
      </c>
      <c r="Q198" s="36">
        <v>1.5066700120533601E-4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1.2628339293026701E-2</v>
      </c>
      <c r="I199" s="36">
        <v>1.3750499999999963E-4</v>
      </c>
      <c r="J199" s="36">
        <v>1.3750499999999965E-4</v>
      </c>
      <c r="K199" s="71">
        <v>137505</v>
      </c>
      <c r="L199" s="36">
        <v>1.3750500110004001E-4</v>
      </c>
      <c r="M199" s="36">
        <v>7.8947369772186124E-2</v>
      </c>
      <c r="N199" s="73"/>
      <c r="O199" s="59">
        <v>550</v>
      </c>
      <c r="P199" s="59">
        <v>600</v>
      </c>
      <c r="Q199" s="36">
        <v>1.3750500110004001E-4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1.4494413662131E-2</v>
      </c>
      <c r="I200" s="36">
        <v>1.2650400000000032E-4</v>
      </c>
      <c r="J200" s="36">
        <v>1.2650400000000035E-4</v>
      </c>
      <c r="K200" s="71">
        <v>126504</v>
      </c>
      <c r="L200" s="36">
        <v>1.26504001012032E-4</v>
      </c>
      <c r="M200" s="36">
        <v>7.8947058763501596E-2</v>
      </c>
      <c r="N200" s="73"/>
      <c r="O200" s="59">
        <v>600</v>
      </c>
      <c r="P200" s="59">
        <v>650</v>
      </c>
      <c r="Q200" s="36">
        <v>1.26504001012032E-4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1.6550582876376101E-2</v>
      </c>
      <c r="I201" s="36">
        <v>1.1709299999999984E-4</v>
      </c>
      <c r="J201" s="36">
        <v>1.1709299999999985E-4</v>
      </c>
      <c r="K201" s="71">
        <v>117093</v>
      </c>
      <c r="L201" s="36">
        <v>1.1709300093674401E-4</v>
      </c>
      <c r="M201" s="36">
        <v>7.8947281345475837E-2</v>
      </c>
      <c r="N201" s="73"/>
      <c r="O201" s="59">
        <v>650</v>
      </c>
      <c r="P201" s="59">
        <v>700</v>
      </c>
      <c r="Q201" s="36">
        <v>1.1709300093674401E-4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1.8653801930734199E-2</v>
      </c>
      <c r="I202" s="36">
        <v>1.0899599999999979E-4</v>
      </c>
      <c r="J202" s="36">
        <v>1.0899599999999981E-4</v>
      </c>
      <c r="K202" s="71">
        <v>108996</v>
      </c>
      <c r="L202" s="36">
        <v>1.0899600087196801E-4</v>
      </c>
      <c r="M202" s="36">
        <v>7.8947257120341938E-2</v>
      </c>
      <c r="N202" s="73"/>
      <c r="O202" s="59">
        <v>700</v>
      </c>
      <c r="P202" s="59">
        <v>750</v>
      </c>
      <c r="Q202" s="36">
        <v>1.0899600087196801E-4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2.1073580686120998E-2</v>
      </c>
      <c r="I203" s="36">
        <v>1.019659999999998E-4</v>
      </c>
      <c r="J203" s="36">
        <v>1.0196599999999982E-4</v>
      </c>
      <c r="K203" s="71">
        <v>101966</v>
      </c>
      <c r="L203" s="36">
        <v>1.0196600081572801E-4</v>
      </c>
      <c r="M203" s="36">
        <v>7.8947581652503956E-2</v>
      </c>
      <c r="N203" s="73"/>
      <c r="O203" s="59">
        <v>750</v>
      </c>
      <c r="P203" s="59">
        <v>800</v>
      </c>
      <c r="Q203" s="36">
        <v>1.0196600081572801E-4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2.3688623287971399E-2</v>
      </c>
      <c r="I204" s="36">
        <v>9.5775999999999823E-5</v>
      </c>
      <c r="J204" s="36">
        <v>9.5775999999999837E-5</v>
      </c>
      <c r="K204" s="71">
        <v>95775</v>
      </c>
      <c r="L204" s="36">
        <v>9.5775000766200007E-5</v>
      </c>
      <c r="M204" s="36">
        <v>7.8946809756119396E-2</v>
      </c>
      <c r="N204" s="73"/>
      <c r="O204" s="59">
        <v>800</v>
      </c>
      <c r="P204" s="59">
        <v>850</v>
      </c>
      <c r="Q204" s="36">
        <v>9.5775000766200007E-5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2.67452928888889E-2</v>
      </c>
      <c r="I205" s="36">
        <v>9.030000000000004E-5</v>
      </c>
      <c r="J205" s="36">
        <v>9.0300000000000054E-5</v>
      </c>
      <c r="K205" s="72">
        <v>90300</v>
      </c>
      <c r="L205" s="36">
        <v>9.0300000722400004E-5</v>
      </c>
      <c r="M205" s="36">
        <v>7.894757311602503E-2</v>
      </c>
      <c r="N205" s="73"/>
      <c r="O205" s="59">
        <v>850</v>
      </c>
      <c r="P205" s="59">
        <v>900</v>
      </c>
      <c r="Q205" s="36">
        <v>9.0300000722400004E-5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2.9721275554533199E-2</v>
      </c>
      <c r="I206" s="36">
        <v>8.5404999999999851E-5</v>
      </c>
      <c r="J206" s="36">
        <v>8.5404999999999864E-5</v>
      </c>
      <c r="K206" s="72">
        <v>85404</v>
      </c>
      <c r="L206" s="36">
        <v>8.5404000683232006E-5</v>
      </c>
      <c r="M206" s="36">
        <v>7.8946043397311622E-2</v>
      </c>
      <c r="N206" s="73"/>
      <c r="O206" s="59">
        <v>900</v>
      </c>
      <c r="P206" s="59">
        <v>950</v>
      </c>
      <c r="Q206" s="36">
        <v>8.5404000683232006E-5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3.3350122765425601E-2</v>
      </c>
      <c r="I207" s="36">
        <v>8.1029000000000094E-5</v>
      </c>
      <c r="J207" s="36">
        <v>8.1029000000000108E-5</v>
      </c>
      <c r="K207" s="72">
        <v>81029</v>
      </c>
      <c r="L207" s="36">
        <v>8.102900064823201E-5</v>
      </c>
      <c r="M207" s="36">
        <v>7.8947597684518853E-2</v>
      </c>
      <c r="N207" s="73"/>
      <c r="O207" s="59">
        <v>950</v>
      </c>
      <c r="P207" s="59">
        <v>1000</v>
      </c>
      <c r="Q207" s="36">
        <v>8.102900064823201E-5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3.8462685276292301E-3</v>
      </c>
      <c r="I208" s="36">
        <v>6.0131999999999939E-5</v>
      </c>
      <c r="J208" s="36">
        <v>6.0131999999999945E-5</v>
      </c>
      <c r="K208" s="72">
        <v>60131</v>
      </c>
      <c r="L208" s="36">
        <v>6.0131000481048006E-5</v>
      </c>
      <c r="M208" s="36">
        <v>7.8945563109236255E-2</v>
      </c>
      <c r="N208" s="73"/>
      <c r="O208" s="59">
        <v>1000</v>
      </c>
      <c r="P208" s="59">
        <v>2000</v>
      </c>
      <c r="Q208" s="36">
        <v>6.0131000481048006E-5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3.5030682343538899E-2</v>
      </c>
      <c r="I209" s="36">
        <v>6.6713999999999904E-5</v>
      </c>
      <c r="J209" s="36">
        <v>6.6713999999999917E-5</v>
      </c>
      <c r="K209" s="72">
        <v>66713</v>
      </c>
      <c r="L209" s="36">
        <v>6.6713000533704005E-5</v>
      </c>
      <c r="M209" s="36">
        <v>0.15789186210488784</v>
      </c>
      <c r="N209" s="73"/>
      <c r="O209" s="59">
        <v>2000</v>
      </c>
      <c r="P209" s="59">
        <v>3000</v>
      </c>
      <c r="Q209" s="36">
        <v>6.6713000533704005E-5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0.72000000126150132</v>
      </c>
      <c r="D7" s="40">
        <f>SUM(_xlfn.ANCHORARRAY(M86))*F7</f>
        <v>0.20999996278217392</v>
      </c>
      <c r="E7" s="41">
        <f>SUM(C7:D7)</f>
        <v>0.92999996404367524</v>
      </c>
      <c r="F7" s="42">
        <f>L79</f>
        <v>3.5778023675069135E-3</v>
      </c>
      <c r="G7" s="43">
        <f>1/F7</f>
        <v>279.5011846047887</v>
      </c>
      <c r="H7" s="44">
        <f>D7*G7</f>
        <v>58.695238364579147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0.73336242499999793</v>
      </c>
      <c r="J15" s="36" cm="1">
        <f t="array" ref="J15:J78">I15:I78/SUM(I15:I78)</f>
        <v>0.7333624249999996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0.73073859917959438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0.73073859917959438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0.14707350400000008</v>
      </c>
      <c r="K16" s="71">
        <v>147073504</v>
      </c>
      <c r="L16" s="36">
        <v>0.14654730406919125</v>
      </c>
      <c r="M16" s="36">
        <v>6.3564195894595818E-2</v>
      </c>
      <c r="N16" s="73"/>
      <c r="O16" s="59">
        <v>0</v>
      </c>
      <c r="P16" s="59">
        <v>1</v>
      </c>
      <c r="Q16" s="36">
        <v>0.14654730406919125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4.3093495000000093E-2</v>
      </c>
      <c r="K17" s="71">
        <v>43093495</v>
      </c>
      <c r="L17" s="36">
        <v>4.293931499156485E-2</v>
      </c>
      <c r="M17" s="36">
        <v>6.4645007833632126E-2</v>
      </c>
      <c r="N17" s="73"/>
      <c r="O17" s="59">
        <v>1</v>
      </c>
      <c r="P17" s="59">
        <v>2</v>
      </c>
      <c r="Q17" s="36">
        <v>4.293931499156485E-2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0.59742961732918698</v>
      </c>
      <c r="I18" s="36">
        <v>1.9740551999999995E-2</v>
      </c>
      <c r="J18" s="36">
        <v>1.974055200000004E-2</v>
      </c>
      <c r="K18" s="71">
        <v>19740552</v>
      </c>
      <c r="L18" s="36">
        <v>1.9669924206318506E-2</v>
      </c>
      <c r="M18" s="36">
        <v>4.9796016428892677E-2</v>
      </c>
      <c r="N18" s="73"/>
      <c r="O18" s="59">
        <v>2</v>
      </c>
      <c r="P18" s="59">
        <v>3</v>
      </c>
      <c r="Q18" s="36">
        <v>1.9669924206318506E-2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1.2108868000000024E-2</v>
      </c>
      <c r="K19" s="71">
        <v>12108868</v>
      </c>
      <c r="L19" s="36">
        <v>1.2065544863401771E-2</v>
      </c>
      <c r="M19" s="36">
        <v>4.2570943824653207E-2</v>
      </c>
      <c r="N19" s="73"/>
      <c r="O19" s="59">
        <v>3</v>
      </c>
      <c r="P19" s="59">
        <v>4</v>
      </c>
      <c r="Q19" s="36">
        <v>1.2065544863401771E-2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7.8621170000000226E-3</v>
      </c>
      <c r="K20" s="71">
        <v>7862117</v>
      </c>
      <c r="L20" s="36">
        <v>7.8339878991837836E-3</v>
      </c>
      <c r="M20" s="36">
        <v>3.550790904366808E-2</v>
      </c>
      <c r="N20" s="73"/>
      <c r="O20" s="59">
        <v>4</v>
      </c>
      <c r="P20" s="59">
        <v>5</v>
      </c>
      <c r="Q20" s="36">
        <v>7.8339878991837836E-3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6.066338000000014E-3</v>
      </c>
      <c r="K21" s="71">
        <v>6066338</v>
      </c>
      <c r="L21" s="36">
        <v>6.0446338415415029E-3</v>
      </c>
      <c r="M21" s="36">
        <v>3.3562119461224324E-2</v>
      </c>
      <c r="N21" s="73"/>
      <c r="O21" s="59">
        <v>5</v>
      </c>
      <c r="P21" s="59">
        <v>6</v>
      </c>
      <c r="Q21" s="36">
        <v>6.0446338415415029E-3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3.265440000000007E-3</v>
      </c>
      <c r="K22" s="71">
        <v>3265440</v>
      </c>
      <c r="L22" s="36">
        <v>3.2537569010370484E-3</v>
      </c>
      <c r="M22" s="36">
        <v>2.1229383342430793E-2</v>
      </c>
      <c r="N22" s="73"/>
      <c r="O22" s="59">
        <v>6</v>
      </c>
      <c r="P22" s="59">
        <v>7</v>
      </c>
      <c r="Q22" s="36">
        <v>3.2537569010370484E-3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0.40892879200811799</v>
      </c>
      <c r="I23" s="36">
        <v>3.6614199999999981E-3</v>
      </c>
      <c r="J23" s="36">
        <v>3.6614200000000068E-3</v>
      </c>
      <c r="K23" s="71">
        <v>3661420</v>
      </c>
      <c r="L23" s="36">
        <v>3.6483201628555628E-3</v>
      </c>
      <c r="M23" s="36">
        <v>2.7480684813622598E-2</v>
      </c>
      <c r="N23" s="73"/>
      <c r="O23" s="59">
        <v>7</v>
      </c>
      <c r="P23" s="59">
        <v>8</v>
      </c>
      <c r="Q23" s="36">
        <v>3.6483201628555628E-3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2.9620110000000096E-3</v>
      </c>
      <c r="K24" s="71">
        <v>2962011</v>
      </c>
      <c r="L24" s="36">
        <v>2.9514135100316185E-3</v>
      </c>
      <c r="M24" s="36">
        <v>2.5241531931500378E-2</v>
      </c>
      <c r="N24" s="73"/>
      <c r="O24" s="59">
        <v>8</v>
      </c>
      <c r="P24" s="59">
        <v>9</v>
      </c>
      <c r="Q24" s="36">
        <v>2.9514135100316185E-3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1.9205290000000037E-3</v>
      </c>
      <c r="K25" s="71">
        <v>1920529</v>
      </c>
      <c r="L25" s="36">
        <v>1.9136577267969343E-3</v>
      </c>
      <c r="M25" s="36">
        <v>1.8252210018617997E-2</v>
      </c>
      <c r="N25" s="73"/>
      <c r="O25" s="59">
        <v>9</v>
      </c>
      <c r="P25" s="59">
        <v>10</v>
      </c>
      <c r="Q25" s="36">
        <v>1.9136577267969343E-3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1.0160353000000032E-2</v>
      </c>
      <c r="K26" s="71">
        <v>10160353</v>
      </c>
      <c r="L26" s="36">
        <v>1.0124001264981895E-2</v>
      </c>
      <c r="M26" s="36">
        <v>0.12432510317566978</v>
      </c>
      <c r="N26" s="73"/>
      <c r="O26" s="59">
        <v>10</v>
      </c>
      <c r="P26" s="59">
        <v>15</v>
      </c>
      <c r="Q26" s="36">
        <v>1.0124001264981895E-2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4.3552880000000144E-3</v>
      </c>
      <c r="K27" s="71">
        <v>4355288</v>
      </c>
      <c r="L27" s="36">
        <v>4.3397056402824253E-3</v>
      </c>
      <c r="M27" s="36">
        <v>7.5236600652029251E-2</v>
      </c>
      <c r="N27" s="73"/>
      <c r="O27" s="59">
        <v>15</v>
      </c>
      <c r="P27" s="59">
        <v>20</v>
      </c>
      <c r="Q27" s="36">
        <v>4.3397056402824253E-3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2.430625000000004E-3</v>
      </c>
      <c r="K28" s="71">
        <v>2430625</v>
      </c>
      <c r="L28" s="36">
        <v>2.4219287041204783E-3</v>
      </c>
      <c r="M28" s="36">
        <v>5.4174402698054402E-2</v>
      </c>
      <c r="N28" s="73"/>
      <c r="O28" s="59">
        <v>20</v>
      </c>
      <c r="P28" s="59">
        <v>25</v>
      </c>
      <c r="Q28" s="36">
        <v>2.4219287041204783E-3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1.9370350000000032E-3</v>
      </c>
      <c r="K29" s="71">
        <v>1937035</v>
      </c>
      <c r="L29" s="36">
        <v>1.9301046715910562E-3</v>
      </c>
      <c r="M29" s="36">
        <v>5.2877471168423285E-2</v>
      </c>
      <c r="N29" s="73"/>
      <c r="O29" s="59">
        <v>25</v>
      </c>
      <c r="P29" s="59">
        <v>30</v>
      </c>
      <c r="Q29" s="36">
        <v>1.9301046715910562E-3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3590649</v>
      </c>
      <c r="L79" s="36">
        <v>3.5778023675069135E-3</v>
      </c>
      <c r="M79" s="36">
        <v>3.1536420974486619E-2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3.9595496246647701</v>
      </c>
      <c r="I108" s="36">
        <v>0.15403974799999987</v>
      </c>
      <c r="J108" s="36">
        <v>0.15403974799999992</v>
      </c>
      <c r="K108" s="71">
        <v>154039748</v>
      </c>
      <c r="L108" s="36">
        <v>0.154039748</v>
      </c>
      <c r="M108" s="36">
        <v>13.091415926908324</v>
      </c>
      <c r="N108" s="73"/>
      <c r="O108" s="59">
        <v>80</v>
      </c>
      <c r="P108" s="59">
        <v>90</v>
      </c>
      <c r="Q108" s="36">
        <v>0.154039748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1.70038522444137</v>
      </c>
      <c r="I109" s="79">
        <v>6.164439099999993E-2</v>
      </c>
      <c r="J109" s="79">
        <v>6.1644390999999958E-2</v>
      </c>
      <c r="K109" s="71">
        <v>61644391</v>
      </c>
      <c r="L109" s="79">
        <v>6.1644391E-2</v>
      </c>
      <c r="M109" s="79">
        <v>5.8562671312076624</v>
      </c>
      <c r="N109" s="73"/>
      <c r="O109" s="59">
        <v>90</v>
      </c>
      <c r="P109" s="59">
        <v>100</v>
      </c>
      <c r="Q109" s="36">
        <v>6.1644391E-2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/>
    </row>
    <row r="6" spans="1:3" x14ac:dyDescent="0.3">
      <c r="B6" s="15" t="s">
        <v>83</v>
      </c>
      <c r="C6" s="22"/>
    </row>
    <row r="7" spans="1:3" x14ac:dyDescent="0.3">
      <c r="A7" s="21"/>
      <c r="B7" s="15" t="s">
        <v>84</v>
      </c>
      <c r="C7" s="22"/>
    </row>
    <row r="8" spans="1:3" x14ac:dyDescent="0.3">
      <c r="B8" s="15" t="s">
        <v>85</v>
      </c>
      <c r="C8" s="22"/>
    </row>
    <row r="9" spans="1:3" x14ac:dyDescent="0.3">
      <c r="A9" s="21"/>
      <c r="B9" s="15" t="s">
        <v>86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2026-09-01T09:24:01Z</dcterms:modified>
</cp:coreProperties>
</file>