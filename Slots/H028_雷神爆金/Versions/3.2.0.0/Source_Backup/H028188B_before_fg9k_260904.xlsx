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28_雷神爆金\Source\"/>
    </mc:Choice>
  </mc:AlternateContent>
  <xr:revisionPtr revIDLastSave="0" documentId="13_ncr:1_{9B16FC2E-83C7-4B89-B174-D649561AB0D7}" xr6:coauthVersionLast="47" xr6:coauthVersionMax="47" xr10:uidLastSave="{00000000-0000-0000-0000-000000000000}"/>
  <bookViews>
    <workbookView xWindow="-24990" yWindow="1590" windowWidth="21600" windowHeight="11235" tabRatio="840" activeTab="1" xr2:uid="{00000000-000D-0000-FFFF-FFFF00000000}"/>
  </bookViews>
  <sheets>
    <sheet name="Overview" sheetId="1" r:id="rId1"/>
    <sheet name="Multiplier_Weight" sheetId="3" r:id="rId2"/>
    <sheet name="Detail" sheetId="5" r:id="rId3"/>
    <sheet name="Detail_Newbie" sheetId="6" r:id="rId4"/>
    <sheet name="OP Jackpot" sheetId="4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49" i="6" l="1"/>
  <c r="A149" i="6"/>
  <c r="G148" i="6"/>
  <c r="A148" i="6"/>
  <c r="G147" i="6"/>
  <c r="A147" i="6"/>
  <c r="G146" i="6"/>
  <c r="A146" i="6"/>
  <c r="G145" i="6"/>
  <c r="A145" i="6"/>
  <c r="G144" i="6"/>
  <c r="A144" i="6"/>
  <c r="G143" i="6"/>
  <c r="A143" i="6"/>
  <c r="G142" i="6"/>
  <c r="A142" i="6"/>
  <c r="G141" i="6"/>
  <c r="A141" i="6"/>
  <c r="G140" i="6"/>
  <c r="A140" i="6"/>
  <c r="G139" i="6"/>
  <c r="A139" i="6"/>
  <c r="G138" i="6"/>
  <c r="A138" i="6"/>
  <c r="G137" i="6"/>
  <c r="A137" i="6"/>
  <c r="G136" i="6"/>
  <c r="A136" i="6"/>
  <c r="G135" i="6"/>
  <c r="A135" i="6"/>
  <c r="G134" i="6"/>
  <c r="A134" i="6"/>
  <c r="G133" i="6"/>
  <c r="A133" i="6"/>
  <c r="G132" i="6"/>
  <c r="A132" i="6"/>
  <c r="G131" i="6"/>
  <c r="A131" i="6"/>
  <c r="G130" i="6"/>
  <c r="A130" i="6"/>
  <c r="G129" i="6"/>
  <c r="A129" i="6"/>
  <c r="G128" i="6"/>
  <c r="A128" i="6"/>
  <c r="G127" i="6"/>
  <c r="A127" i="6"/>
  <c r="G126" i="6"/>
  <c r="A126" i="6"/>
  <c r="G125" i="6"/>
  <c r="A125" i="6"/>
  <c r="G124" i="6"/>
  <c r="A124" i="6"/>
  <c r="G123" i="6"/>
  <c r="A123" i="6"/>
  <c r="G122" i="6"/>
  <c r="A122" i="6"/>
  <c r="G121" i="6"/>
  <c r="A121" i="6"/>
  <c r="G120" i="6"/>
  <c r="A120" i="6"/>
  <c r="G119" i="6"/>
  <c r="A119" i="6"/>
  <c r="G118" i="6"/>
  <c r="A118" i="6"/>
  <c r="G117" i="6"/>
  <c r="A117" i="6"/>
  <c r="G116" i="6"/>
  <c r="A116" i="6"/>
  <c r="G115" i="6"/>
  <c r="A115" i="6"/>
  <c r="G114" i="6"/>
  <c r="A114" i="6"/>
  <c r="G113" i="6"/>
  <c r="A113" i="6"/>
  <c r="G112" i="6"/>
  <c r="A112" i="6"/>
  <c r="G111" i="6"/>
  <c r="A111" i="6"/>
  <c r="G110" i="6"/>
  <c r="A110" i="6"/>
  <c r="G109" i="6"/>
  <c r="A109" i="6"/>
  <c r="G108" i="6"/>
  <c r="A108" i="6"/>
  <c r="G107" i="6"/>
  <c r="A107" i="6"/>
  <c r="G106" i="6"/>
  <c r="A106" i="6"/>
  <c r="G105" i="6"/>
  <c r="A105" i="6"/>
  <c r="G104" i="6"/>
  <c r="A104" i="6"/>
  <c r="G103" i="6"/>
  <c r="A103" i="6"/>
  <c r="G102" i="6"/>
  <c r="A102" i="6"/>
  <c r="G101" i="6"/>
  <c r="A101" i="6"/>
  <c r="G100" i="6"/>
  <c r="A100" i="6"/>
  <c r="G99" i="6"/>
  <c r="A99" i="6"/>
  <c r="G98" i="6"/>
  <c r="A98" i="6"/>
  <c r="G97" i="6"/>
  <c r="A97" i="6"/>
  <c r="G96" i="6"/>
  <c r="A96" i="6"/>
  <c r="G95" i="6"/>
  <c r="A95" i="6"/>
  <c r="G94" i="6"/>
  <c r="A94" i="6"/>
  <c r="G93" i="6"/>
  <c r="A93" i="6"/>
  <c r="G92" i="6"/>
  <c r="A92" i="6"/>
  <c r="G91" i="6"/>
  <c r="A91" i="6"/>
  <c r="G90" i="6"/>
  <c r="A90" i="6"/>
  <c r="G89" i="6"/>
  <c r="A89" i="6"/>
  <c r="G88" i="6"/>
  <c r="A88" i="6"/>
  <c r="G87" i="6"/>
  <c r="A87" i="6"/>
  <c r="G86" i="6"/>
  <c r="D86" i="6" a="1"/>
  <c r="D86" i="6"/>
  <c r="I86" i="6" s="1" a="1"/>
  <c r="I86" i="6" s="1"/>
  <c r="J86" i="6" s="1" a="1"/>
  <c r="J86" i="6" s="1"/>
  <c r="K86" i="6" s="1" a="1"/>
  <c r="A86" i="6"/>
  <c r="D79" i="6"/>
  <c r="G78" i="6"/>
  <c r="A78" i="6"/>
  <c r="G77" i="6"/>
  <c r="A77" i="6"/>
  <c r="G76" i="6"/>
  <c r="A76" i="6"/>
  <c r="G75" i="6"/>
  <c r="A75" i="6"/>
  <c r="G74" i="6"/>
  <c r="A74" i="6"/>
  <c r="G73" i="6"/>
  <c r="A73" i="6"/>
  <c r="G72" i="6"/>
  <c r="A72" i="6"/>
  <c r="G71" i="6"/>
  <c r="A71" i="6"/>
  <c r="G70" i="6"/>
  <c r="A70" i="6"/>
  <c r="G69" i="6"/>
  <c r="A69" i="6"/>
  <c r="G68" i="6"/>
  <c r="A68" i="6"/>
  <c r="G67" i="6"/>
  <c r="A67" i="6"/>
  <c r="G66" i="6"/>
  <c r="A66" i="6"/>
  <c r="G65" i="6"/>
  <c r="A65" i="6"/>
  <c r="G64" i="6"/>
  <c r="A64" i="6"/>
  <c r="G63" i="6"/>
  <c r="A63" i="6"/>
  <c r="G62" i="6"/>
  <c r="A62" i="6"/>
  <c r="G61" i="6"/>
  <c r="A61" i="6"/>
  <c r="G60" i="6"/>
  <c r="A60" i="6"/>
  <c r="G59" i="6"/>
  <c r="A59" i="6"/>
  <c r="G58" i="6"/>
  <c r="A58" i="6"/>
  <c r="G57" i="6"/>
  <c r="A57" i="6"/>
  <c r="G56" i="6"/>
  <c r="A56" i="6"/>
  <c r="G55" i="6"/>
  <c r="A55" i="6"/>
  <c r="G54" i="6"/>
  <c r="A54" i="6"/>
  <c r="G53" i="6"/>
  <c r="A53" i="6"/>
  <c r="G52" i="6"/>
  <c r="A52" i="6"/>
  <c r="G51" i="6"/>
  <c r="A51" i="6"/>
  <c r="G50" i="6"/>
  <c r="A50" i="6"/>
  <c r="G49" i="6"/>
  <c r="A49" i="6"/>
  <c r="G48" i="6"/>
  <c r="A48" i="6"/>
  <c r="G47" i="6"/>
  <c r="A47" i="6"/>
  <c r="G46" i="6"/>
  <c r="A46" i="6"/>
  <c r="G45" i="6"/>
  <c r="A45" i="6"/>
  <c r="G44" i="6"/>
  <c r="A44" i="6"/>
  <c r="G43" i="6"/>
  <c r="A43" i="6"/>
  <c r="G42" i="6"/>
  <c r="A42" i="6"/>
  <c r="G41" i="6"/>
  <c r="A41" i="6"/>
  <c r="G40" i="6"/>
  <c r="A40" i="6"/>
  <c r="G39" i="6"/>
  <c r="A39" i="6"/>
  <c r="G38" i="6"/>
  <c r="A38" i="6"/>
  <c r="G37" i="6"/>
  <c r="A37" i="6"/>
  <c r="G36" i="6"/>
  <c r="A36" i="6"/>
  <c r="G35" i="6"/>
  <c r="A35" i="6"/>
  <c r="G34" i="6"/>
  <c r="A34" i="6"/>
  <c r="G33" i="6"/>
  <c r="A33" i="6"/>
  <c r="G32" i="6"/>
  <c r="A32" i="6"/>
  <c r="G31" i="6"/>
  <c r="A31" i="6"/>
  <c r="G30" i="6"/>
  <c r="A30" i="6"/>
  <c r="G29" i="6"/>
  <c r="A29" i="6"/>
  <c r="G28" i="6"/>
  <c r="A28" i="6"/>
  <c r="G27" i="6"/>
  <c r="A27" i="6"/>
  <c r="G26" i="6"/>
  <c r="A26" i="6"/>
  <c r="G25" i="6"/>
  <c r="A25" i="6"/>
  <c r="G24" i="6"/>
  <c r="A24" i="6"/>
  <c r="G23" i="6"/>
  <c r="A23" i="6"/>
  <c r="G22" i="6"/>
  <c r="A22" i="6"/>
  <c r="G21" i="6"/>
  <c r="A21" i="6"/>
  <c r="G20" i="6"/>
  <c r="A20" i="6"/>
  <c r="G19" i="6"/>
  <c r="A19" i="6"/>
  <c r="G18" i="6"/>
  <c r="A18" i="6"/>
  <c r="G17" i="6"/>
  <c r="A17" i="6"/>
  <c r="G16" i="6"/>
  <c r="A16" i="6"/>
  <c r="G15" i="6"/>
  <c r="D15" i="6" a="1"/>
  <c r="D15" i="6" s="1"/>
  <c r="I15" i="6" s="1" a="1"/>
  <c r="A15" i="6"/>
  <c r="B7" i="6"/>
  <c r="B3" i="6"/>
  <c r="G226" i="5"/>
  <c r="A226" i="5"/>
  <c r="G225" i="5"/>
  <c r="A225" i="5"/>
  <c r="G224" i="5"/>
  <c r="A224" i="5"/>
  <c r="G223" i="5"/>
  <c r="A223" i="5"/>
  <c r="G222" i="5"/>
  <c r="A222" i="5"/>
  <c r="G221" i="5"/>
  <c r="A221" i="5"/>
  <c r="G220" i="5"/>
  <c r="A220" i="5"/>
  <c r="G219" i="5"/>
  <c r="A219" i="5"/>
  <c r="G218" i="5"/>
  <c r="A218" i="5"/>
  <c r="G217" i="5"/>
  <c r="A217" i="5"/>
  <c r="G216" i="5"/>
  <c r="A216" i="5"/>
  <c r="G215" i="5"/>
  <c r="A215" i="5"/>
  <c r="G214" i="5"/>
  <c r="A214" i="5"/>
  <c r="G213" i="5"/>
  <c r="A213" i="5"/>
  <c r="G212" i="5"/>
  <c r="A212" i="5"/>
  <c r="G211" i="5"/>
  <c r="A211" i="5"/>
  <c r="G210" i="5"/>
  <c r="A210" i="5"/>
  <c r="G209" i="5"/>
  <c r="A209" i="5"/>
  <c r="G208" i="5"/>
  <c r="A208" i="5"/>
  <c r="G207" i="5"/>
  <c r="A207" i="5"/>
  <c r="G206" i="5"/>
  <c r="A206" i="5"/>
  <c r="G205" i="5"/>
  <c r="A205" i="5"/>
  <c r="G204" i="5"/>
  <c r="A204" i="5"/>
  <c r="G203" i="5"/>
  <c r="A203" i="5"/>
  <c r="G202" i="5"/>
  <c r="A202" i="5"/>
  <c r="G201" i="5"/>
  <c r="A201" i="5"/>
  <c r="G200" i="5"/>
  <c r="A200" i="5"/>
  <c r="G199" i="5"/>
  <c r="A199" i="5"/>
  <c r="G198" i="5"/>
  <c r="A198" i="5"/>
  <c r="G197" i="5"/>
  <c r="A197" i="5"/>
  <c r="G196" i="5"/>
  <c r="A196" i="5"/>
  <c r="G195" i="5"/>
  <c r="A195" i="5"/>
  <c r="G194" i="5"/>
  <c r="A194" i="5"/>
  <c r="G193" i="5"/>
  <c r="A193" i="5"/>
  <c r="G192" i="5"/>
  <c r="A192" i="5"/>
  <c r="G191" i="5"/>
  <c r="A191" i="5"/>
  <c r="G190" i="5"/>
  <c r="A190" i="5"/>
  <c r="G189" i="5"/>
  <c r="A189" i="5"/>
  <c r="G188" i="5"/>
  <c r="A188" i="5"/>
  <c r="G187" i="5"/>
  <c r="A187" i="5"/>
  <c r="G186" i="5"/>
  <c r="A186" i="5"/>
  <c r="G185" i="5"/>
  <c r="A185" i="5"/>
  <c r="G184" i="5"/>
  <c r="A184" i="5"/>
  <c r="G183" i="5"/>
  <c r="A183" i="5"/>
  <c r="G182" i="5"/>
  <c r="A182" i="5"/>
  <c r="G181" i="5"/>
  <c r="A181" i="5"/>
  <c r="G180" i="5"/>
  <c r="A180" i="5"/>
  <c r="G179" i="5"/>
  <c r="A179" i="5"/>
  <c r="G178" i="5"/>
  <c r="A178" i="5"/>
  <c r="G177" i="5"/>
  <c r="A177" i="5"/>
  <c r="G176" i="5"/>
  <c r="A176" i="5"/>
  <c r="G175" i="5"/>
  <c r="A175" i="5"/>
  <c r="G174" i="5"/>
  <c r="A174" i="5"/>
  <c r="G173" i="5"/>
  <c r="A173" i="5"/>
  <c r="G172" i="5"/>
  <c r="A172" i="5"/>
  <c r="G171" i="5"/>
  <c r="A171" i="5"/>
  <c r="G170" i="5"/>
  <c r="A170" i="5"/>
  <c r="G169" i="5"/>
  <c r="A169" i="5"/>
  <c r="G168" i="5"/>
  <c r="A168" i="5"/>
  <c r="G167" i="5"/>
  <c r="A167" i="5"/>
  <c r="G166" i="5"/>
  <c r="A166" i="5"/>
  <c r="G165" i="5"/>
  <c r="A165" i="5"/>
  <c r="G164" i="5"/>
  <c r="A164" i="5"/>
  <c r="G163" i="5"/>
  <c r="B163" i="5" a="1"/>
  <c r="B163" i="5" s="1"/>
  <c r="D163" i="5" s="1" a="1"/>
  <c r="D163" i="5" s="1"/>
  <c r="I163" i="5" s="1" a="1"/>
  <c r="I163" i="5" s="1"/>
  <c r="J163" i="5" s="1" a="1"/>
  <c r="J163" i="5" s="1"/>
  <c r="K163" i="5" s="1" a="1"/>
  <c r="F30" i="3" s="1"/>
  <c r="A163" i="5"/>
  <c r="I156" i="5"/>
  <c r="J156" i="5" s="1"/>
  <c r="K156" i="5" s="1"/>
  <c r="L156" i="5" s="1"/>
  <c r="G149" i="5"/>
  <c r="A149" i="5"/>
  <c r="G148" i="5"/>
  <c r="A148" i="5"/>
  <c r="G147" i="5"/>
  <c r="A147" i="5"/>
  <c r="G146" i="5"/>
  <c r="A146" i="5"/>
  <c r="G145" i="5"/>
  <c r="A145" i="5"/>
  <c r="G144" i="5"/>
  <c r="A144" i="5"/>
  <c r="G143" i="5"/>
  <c r="A143" i="5"/>
  <c r="G142" i="5"/>
  <c r="A142" i="5"/>
  <c r="G141" i="5"/>
  <c r="A141" i="5"/>
  <c r="G140" i="5"/>
  <c r="A140" i="5"/>
  <c r="G139" i="5"/>
  <c r="A139" i="5"/>
  <c r="G138" i="5"/>
  <c r="A138" i="5"/>
  <c r="G137" i="5"/>
  <c r="A137" i="5"/>
  <c r="G136" i="5"/>
  <c r="A136" i="5"/>
  <c r="G135" i="5"/>
  <c r="A135" i="5"/>
  <c r="G134" i="5"/>
  <c r="A134" i="5"/>
  <c r="G133" i="5"/>
  <c r="A133" i="5"/>
  <c r="G132" i="5"/>
  <c r="A132" i="5"/>
  <c r="G131" i="5"/>
  <c r="A131" i="5"/>
  <c r="G130" i="5"/>
  <c r="A130" i="5"/>
  <c r="G129" i="5"/>
  <c r="A129" i="5"/>
  <c r="G128" i="5"/>
  <c r="A128" i="5"/>
  <c r="G127" i="5"/>
  <c r="A127" i="5"/>
  <c r="G126" i="5"/>
  <c r="A126" i="5"/>
  <c r="G125" i="5"/>
  <c r="A125" i="5"/>
  <c r="G124" i="5"/>
  <c r="A124" i="5"/>
  <c r="G123" i="5"/>
  <c r="A123" i="5"/>
  <c r="G122" i="5"/>
  <c r="A122" i="5"/>
  <c r="G121" i="5"/>
  <c r="A121" i="5"/>
  <c r="G120" i="5"/>
  <c r="A120" i="5"/>
  <c r="G119" i="5"/>
  <c r="A119" i="5"/>
  <c r="G118" i="5"/>
  <c r="A118" i="5"/>
  <c r="G117" i="5"/>
  <c r="A117" i="5"/>
  <c r="G116" i="5"/>
  <c r="A116" i="5"/>
  <c r="G115" i="5"/>
  <c r="A115" i="5"/>
  <c r="G114" i="5"/>
  <c r="A114" i="5"/>
  <c r="G113" i="5"/>
  <c r="A113" i="5"/>
  <c r="G112" i="5"/>
  <c r="A112" i="5"/>
  <c r="G111" i="5"/>
  <c r="A111" i="5"/>
  <c r="G110" i="5"/>
  <c r="A110" i="5"/>
  <c r="G109" i="5"/>
  <c r="A109" i="5"/>
  <c r="G108" i="5"/>
  <c r="A108" i="5"/>
  <c r="G107" i="5"/>
  <c r="A107" i="5"/>
  <c r="G106" i="5"/>
  <c r="A106" i="5"/>
  <c r="G105" i="5"/>
  <c r="A105" i="5"/>
  <c r="G104" i="5"/>
  <c r="A104" i="5"/>
  <c r="G103" i="5"/>
  <c r="A103" i="5"/>
  <c r="G102" i="5"/>
  <c r="A102" i="5"/>
  <c r="G101" i="5"/>
  <c r="A101" i="5"/>
  <c r="G100" i="5"/>
  <c r="A100" i="5"/>
  <c r="G99" i="5"/>
  <c r="A99" i="5"/>
  <c r="G98" i="5"/>
  <c r="A98" i="5"/>
  <c r="G97" i="5"/>
  <c r="A97" i="5"/>
  <c r="G96" i="5"/>
  <c r="A96" i="5"/>
  <c r="G95" i="5"/>
  <c r="A95" i="5"/>
  <c r="G94" i="5"/>
  <c r="A94" i="5"/>
  <c r="G93" i="5"/>
  <c r="A93" i="5"/>
  <c r="G92" i="5"/>
  <c r="A92" i="5"/>
  <c r="G91" i="5"/>
  <c r="A91" i="5"/>
  <c r="G90" i="5"/>
  <c r="A90" i="5"/>
  <c r="G89" i="5"/>
  <c r="A89" i="5"/>
  <c r="G88" i="5"/>
  <c r="A88" i="5"/>
  <c r="G87" i="5"/>
  <c r="A87" i="5"/>
  <c r="G86" i="5"/>
  <c r="D86" i="5" a="1"/>
  <c r="D86" i="5" s="1"/>
  <c r="I86" i="5" s="1" a="1"/>
  <c r="I86" i="5" s="1"/>
  <c r="J86" i="5" s="1" a="1"/>
  <c r="J86" i="5" s="1"/>
  <c r="K86" i="5" s="1" a="1"/>
  <c r="A86" i="5"/>
  <c r="D79" i="5"/>
  <c r="G78" i="5"/>
  <c r="A78" i="5"/>
  <c r="G77" i="5"/>
  <c r="A77" i="5"/>
  <c r="G76" i="5"/>
  <c r="A76" i="5"/>
  <c r="G75" i="5"/>
  <c r="A75" i="5"/>
  <c r="G74" i="5"/>
  <c r="A74" i="5"/>
  <c r="G73" i="5"/>
  <c r="A73" i="5"/>
  <c r="G72" i="5"/>
  <c r="A72" i="5"/>
  <c r="G71" i="5"/>
  <c r="A71" i="5"/>
  <c r="G70" i="5"/>
  <c r="A70" i="5"/>
  <c r="G69" i="5"/>
  <c r="A69" i="5"/>
  <c r="G68" i="5"/>
  <c r="A68" i="5"/>
  <c r="G67" i="5"/>
  <c r="A67" i="5"/>
  <c r="G66" i="5"/>
  <c r="A66" i="5"/>
  <c r="G65" i="5"/>
  <c r="A65" i="5"/>
  <c r="G64" i="5"/>
  <c r="A64" i="5"/>
  <c r="G63" i="5"/>
  <c r="A63" i="5"/>
  <c r="G62" i="5"/>
  <c r="A62" i="5"/>
  <c r="G61" i="5"/>
  <c r="A61" i="5"/>
  <c r="G60" i="5"/>
  <c r="A60" i="5"/>
  <c r="G59" i="5"/>
  <c r="A59" i="5"/>
  <c r="G58" i="5"/>
  <c r="A58" i="5"/>
  <c r="G57" i="5"/>
  <c r="A57" i="5"/>
  <c r="G56" i="5"/>
  <c r="A56" i="5"/>
  <c r="G55" i="5"/>
  <c r="A55" i="5"/>
  <c r="G54" i="5"/>
  <c r="A54" i="5"/>
  <c r="G53" i="5"/>
  <c r="A53" i="5"/>
  <c r="G52" i="5"/>
  <c r="A52" i="5"/>
  <c r="G51" i="5"/>
  <c r="A51" i="5"/>
  <c r="G50" i="5"/>
  <c r="A50" i="5"/>
  <c r="G49" i="5"/>
  <c r="A49" i="5"/>
  <c r="G48" i="5"/>
  <c r="A48" i="5"/>
  <c r="G47" i="5"/>
  <c r="A47" i="5"/>
  <c r="G46" i="5"/>
  <c r="A46" i="5"/>
  <c r="G45" i="5"/>
  <c r="A45" i="5"/>
  <c r="G44" i="5"/>
  <c r="A44" i="5"/>
  <c r="G43" i="5"/>
  <c r="A43" i="5"/>
  <c r="G42" i="5"/>
  <c r="A42" i="5"/>
  <c r="G41" i="5"/>
  <c r="A41" i="5"/>
  <c r="G40" i="5"/>
  <c r="A40" i="5"/>
  <c r="G39" i="5"/>
  <c r="A39" i="5"/>
  <c r="G38" i="5"/>
  <c r="A38" i="5"/>
  <c r="G37" i="5"/>
  <c r="A37" i="5"/>
  <c r="G36" i="5"/>
  <c r="A36" i="5"/>
  <c r="G35" i="5"/>
  <c r="A35" i="5"/>
  <c r="G34" i="5"/>
  <c r="A34" i="5"/>
  <c r="G33" i="5"/>
  <c r="A33" i="5"/>
  <c r="G32" i="5"/>
  <c r="A32" i="5"/>
  <c r="G31" i="5"/>
  <c r="A31" i="5"/>
  <c r="G30" i="5"/>
  <c r="A30" i="5"/>
  <c r="G29" i="5"/>
  <c r="A29" i="5"/>
  <c r="G28" i="5"/>
  <c r="A28" i="5"/>
  <c r="G27" i="5"/>
  <c r="A27" i="5"/>
  <c r="G26" i="5"/>
  <c r="A26" i="5"/>
  <c r="G25" i="5"/>
  <c r="A25" i="5"/>
  <c r="G24" i="5"/>
  <c r="A24" i="5"/>
  <c r="G23" i="5"/>
  <c r="A23" i="5"/>
  <c r="G22" i="5"/>
  <c r="A22" i="5"/>
  <c r="G21" i="5"/>
  <c r="A21" i="5"/>
  <c r="G20" i="5"/>
  <c r="A20" i="5"/>
  <c r="G19" i="5"/>
  <c r="A19" i="5"/>
  <c r="G18" i="5"/>
  <c r="A18" i="5"/>
  <c r="G17" i="5"/>
  <c r="A17" i="5"/>
  <c r="G16" i="5"/>
  <c r="A16" i="5"/>
  <c r="G15" i="5"/>
  <c r="D15" i="5" a="1"/>
  <c r="D15" i="5"/>
  <c r="I15" i="5" s="1" a="1"/>
  <c r="A15" i="5"/>
  <c r="F8" i="5"/>
  <c r="G8" i="5" s="1"/>
  <c r="B7" i="5" a="1"/>
  <c r="B7" i="5" s="1"/>
  <c r="B3" i="5"/>
  <c r="E156" i="5" s="1"/>
  <c r="C21" i="1"/>
  <c r="A21" i="1"/>
  <c r="A17" i="1"/>
  <c r="A11" i="1" a="1"/>
  <c r="A12" i="1" s="1"/>
  <c r="A11" i="1" l="1"/>
  <c r="C37" i="3"/>
  <c r="C17" i="3"/>
  <c r="E30" i="3"/>
  <c r="E50" i="3"/>
  <c r="E43" i="3"/>
  <c r="E23" i="3"/>
  <c r="M156" i="5"/>
  <c r="C8" i="5" s="1"/>
  <c r="B21" i="1"/>
  <c r="C66" i="3"/>
  <c r="C62" i="3"/>
  <c r="C58" i="3"/>
  <c r="C54" i="3"/>
  <c r="C50" i="3"/>
  <c r="C46" i="3"/>
  <c r="C42" i="3"/>
  <c r="C38" i="3"/>
  <c r="C34" i="3"/>
  <c r="C30" i="3"/>
  <c r="C26" i="3"/>
  <c r="C22" i="3"/>
  <c r="C18" i="3"/>
  <c r="C14" i="3"/>
  <c r="C10" i="3"/>
  <c r="C6" i="3"/>
  <c r="C64" i="3"/>
  <c r="C60" i="3"/>
  <c r="C56" i="3"/>
  <c r="C52" i="3"/>
  <c r="C48" i="3"/>
  <c r="C44" i="3"/>
  <c r="C40" i="3"/>
  <c r="C36" i="3"/>
  <c r="C32" i="3"/>
  <c r="C28" i="3"/>
  <c r="C24" i="3"/>
  <c r="C20" i="3"/>
  <c r="C16" i="3"/>
  <c r="C63" i="3"/>
  <c r="C43" i="3"/>
  <c r="C23" i="3"/>
  <c r="C51" i="3"/>
  <c r="C49" i="3"/>
  <c r="C29" i="3"/>
  <c r="C9" i="3"/>
  <c r="C61" i="3"/>
  <c r="C47" i="3"/>
  <c r="C27" i="3"/>
  <c r="C55" i="3"/>
  <c r="C35" i="3"/>
  <c r="C15" i="3"/>
  <c r="C8" i="3"/>
  <c r="C41" i="3"/>
  <c r="C21" i="3"/>
  <c r="C31" i="3"/>
  <c r="C11" i="3"/>
  <c r="C65" i="3"/>
  <c r="C25" i="3"/>
  <c r="C53" i="3"/>
  <c r="C33" i="3"/>
  <c r="C13" i="3"/>
  <c r="C7" i="3"/>
  <c r="K86" i="6"/>
  <c r="C59" i="3"/>
  <c r="C39" i="3"/>
  <c r="C19" i="3"/>
  <c r="C12" i="3"/>
  <c r="C45" i="3"/>
  <c r="C5" i="3"/>
  <c r="C57" i="3"/>
  <c r="I15" i="5"/>
  <c r="J15" i="5" s="1" a="1"/>
  <c r="J15" i="5" s="1"/>
  <c r="J79" i="5"/>
  <c r="F41" i="3"/>
  <c r="F13" i="3"/>
  <c r="K163" i="5"/>
  <c r="F65" i="3"/>
  <c r="F61" i="3"/>
  <c r="F57" i="3"/>
  <c r="F53" i="3"/>
  <c r="F49" i="3"/>
  <c r="F45" i="3"/>
  <c r="F37" i="3"/>
  <c r="F33" i="3"/>
  <c r="F29" i="3"/>
  <c r="F25" i="3"/>
  <c r="F21" i="3"/>
  <c r="F17" i="3"/>
  <c r="F9" i="3"/>
  <c r="F5" i="3"/>
  <c r="F64" i="3"/>
  <c r="F60" i="3"/>
  <c r="F56" i="3"/>
  <c r="F52" i="3"/>
  <c r="F48" i="3"/>
  <c r="F44" i="3"/>
  <c r="F40" i="3"/>
  <c r="F36" i="3"/>
  <c r="F32" i="3"/>
  <c r="F28" i="3"/>
  <c r="F24" i="3"/>
  <c r="F20" i="3"/>
  <c r="F16" i="3"/>
  <c r="F12" i="3"/>
  <c r="F8" i="3"/>
  <c r="F4" i="3"/>
  <c r="F55" i="3"/>
  <c r="F35" i="3"/>
  <c r="F15" i="3"/>
  <c r="F63" i="3"/>
  <c r="F62" i="3"/>
  <c r="F42" i="3"/>
  <c r="F22" i="3"/>
  <c r="F14" i="3"/>
  <c r="F7" i="3"/>
  <c r="F47" i="3"/>
  <c r="F27" i="3"/>
  <c r="F34" i="3"/>
  <c r="F18" i="3"/>
  <c r="F23" i="3"/>
  <c r="F54" i="3"/>
  <c r="F59" i="3"/>
  <c r="F39" i="3"/>
  <c r="F19" i="3"/>
  <c r="F66" i="3"/>
  <c r="F46" i="3"/>
  <c r="F26" i="3"/>
  <c r="F6" i="3"/>
  <c r="F51" i="3"/>
  <c r="F31" i="3"/>
  <c r="F58" i="3"/>
  <c r="F38" i="3"/>
  <c r="F11" i="3"/>
  <c r="F43" i="3"/>
  <c r="F50" i="3"/>
  <c r="E61" i="3"/>
  <c r="E49" i="3"/>
  <c r="E41" i="3"/>
  <c r="E33" i="3"/>
  <c r="E29" i="3"/>
  <c r="E25" i="3"/>
  <c r="E17" i="3"/>
  <c r="E13" i="3"/>
  <c r="E5" i="3"/>
  <c r="E65" i="3"/>
  <c r="E57" i="3"/>
  <c r="E53" i="3"/>
  <c r="E45" i="3"/>
  <c r="E37" i="3"/>
  <c r="E21" i="3"/>
  <c r="E9" i="3"/>
  <c r="E64" i="3"/>
  <c r="E60" i="3"/>
  <c r="E56" i="3"/>
  <c r="E52" i="3"/>
  <c r="E48" i="3"/>
  <c r="E44" i="3"/>
  <c r="E40" i="3"/>
  <c r="E36" i="3"/>
  <c r="E32" i="3"/>
  <c r="E28" i="3"/>
  <c r="E24" i="3"/>
  <c r="E20" i="3"/>
  <c r="E16" i="3"/>
  <c r="E12" i="3"/>
  <c r="E8" i="3"/>
  <c r="E4" i="3"/>
  <c r="E10" i="3"/>
  <c r="E18" i="3"/>
  <c r="E55" i="3"/>
  <c r="E35" i="3"/>
  <c r="E15" i="3"/>
  <c r="E62" i="3"/>
  <c r="E42" i="3"/>
  <c r="E22" i="3"/>
  <c r="E34" i="3"/>
  <c r="E7" i="3"/>
  <c r="K86" i="5"/>
  <c r="E47" i="3"/>
  <c r="E51" i="3"/>
  <c r="E27" i="3"/>
  <c r="E54" i="3"/>
  <c r="E14" i="3"/>
  <c r="E58" i="3"/>
  <c r="E59" i="3"/>
  <c r="E39" i="3"/>
  <c r="E19" i="3"/>
  <c r="E66" i="3"/>
  <c r="E46" i="3"/>
  <c r="E26" i="3"/>
  <c r="E6" i="3"/>
  <c r="E31" i="3"/>
  <c r="E38" i="3"/>
  <c r="E11" i="3"/>
  <c r="E63" i="3"/>
  <c r="C4" i="3"/>
  <c r="F10" i="3"/>
  <c r="I15" i="6"/>
  <c r="J15" i="6" s="1" a="1"/>
  <c r="J15" i="6" s="1"/>
  <c r="J79" i="6"/>
  <c r="E86" i="5" a="1"/>
  <c r="E86" i="5" s="1"/>
  <c r="E15" i="5" a="1"/>
  <c r="E15" i="5" s="1"/>
  <c r="E86" i="6" a="1"/>
  <c r="E86" i="6" s="1"/>
  <c r="E15" i="6" a="1"/>
  <c r="E15" i="6" s="1"/>
  <c r="E163" i="5" a="1"/>
  <c r="E163" i="5" s="1"/>
  <c r="K15" i="5" l="1" a="1"/>
  <c r="D50" i="3" s="1"/>
  <c r="K15" i="6" a="1"/>
  <c r="J7" i="5" a="1"/>
  <c r="J7" i="5" s="1"/>
  <c r="E3" i="3"/>
  <c r="L86" i="5" a="1"/>
  <c r="L86" i="5" s="1"/>
  <c r="D64" i="3"/>
  <c r="D60" i="3"/>
  <c r="D56" i="3"/>
  <c r="D52" i="3"/>
  <c r="D48" i="3"/>
  <c r="D44" i="3"/>
  <c r="D40" i="3"/>
  <c r="D36" i="3"/>
  <c r="D32" i="3"/>
  <c r="D28" i="3"/>
  <c r="D24" i="3"/>
  <c r="D20" i="3"/>
  <c r="D16" i="3"/>
  <c r="D12" i="3"/>
  <c r="D8" i="3"/>
  <c r="D4" i="3"/>
  <c r="D29" i="3"/>
  <c r="D10" i="3"/>
  <c r="D9" i="3"/>
  <c r="D55" i="3"/>
  <c r="D35" i="3"/>
  <c r="D15" i="3"/>
  <c r="D67" i="3"/>
  <c r="D54" i="3"/>
  <c r="D34" i="3"/>
  <c r="D14" i="3"/>
  <c r="D6" i="3"/>
  <c r="D57" i="3"/>
  <c r="D62" i="3"/>
  <c r="D42" i="3"/>
  <c r="D22" i="3"/>
  <c r="D61" i="3"/>
  <c r="D41" i="3"/>
  <c r="D21" i="3"/>
  <c r="D37" i="3"/>
  <c r="D17" i="3"/>
  <c r="D27" i="3"/>
  <c r="D31" i="3"/>
  <c r="D5" i="3"/>
  <c r="D53" i="3"/>
  <c r="D33" i="3"/>
  <c r="D13" i="3"/>
  <c r="D7" i="3"/>
  <c r="D59" i="3"/>
  <c r="D39" i="3"/>
  <c r="D19" i="3"/>
  <c r="D66" i="3"/>
  <c r="D46" i="3"/>
  <c r="D26" i="3"/>
  <c r="D65" i="3"/>
  <c r="D45" i="3"/>
  <c r="D25" i="3"/>
  <c r="D38" i="3"/>
  <c r="D18" i="3"/>
  <c r="D43" i="3"/>
  <c r="D23" i="3"/>
  <c r="D63" i="3"/>
  <c r="J7" i="6" a="1"/>
  <c r="J7" i="6" s="1"/>
  <c r="C3" i="3"/>
  <c r="L86" i="6" a="1"/>
  <c r="L86" i="6" s="1"/>
  <c r="L163" i="5" a="1"/>
  <c r="L163" i="5" s="1"/>
  <c r="F3" i="3"/>
  <c r="J8" i="5" a="1"/>
  <c r="J8" i="5" s="1"/>
  <c r="K15" i="5" l="1"/>
  <c r="D58" i="3"/>
  <c r="D11" i="3"/>
  <c r="D49" i="3"/>
  <c r="D51" i="3"/>
  <c r="D47" i="3"/>
  <c r="D30" i="3"/>
  <c r="U163" i="5" a="1"/>
  <c r="U163" i="5" s="1"/>
  <c r="M163" i="5" a="1"/>
  <c r="M163" i="5" s="1"/>
  <c r="D8" i="5" s="1"/>
  <c r="Q163" i="5" a="1"/>
  <c r="Q163" i="5" s="1"/>
  <c r="Q86" i="6" a="1"/>
  <c r="Q86" i="6" s="1"/>
  <c r="M86" i="6" a="1"/>
  <c r="M86" i="6" s="1"/>
  <c r="U86" i="6" a="1"/>
  <c r="U86" i="6" s="1"/>
  <c r="L15" i="5" a="1"/>
  <c r="I7" i="5" a="1"/>
  <c r="I7" i="5" s="1"/>
  <c r="D3" i="3"/>
  <c r="Q86" i="5" a="1"/>
  <c r="Q86" i="5" s="1"/>
  <c r="M86" i="5" a="1"/>
  <c r="M86" i="5" s="1"/>
  <c r="U86" i="5" a="1"/>
  <c r="U86" i="5" s="1"/>
  <c r="B62" i="3"/>
  <c r="B54" i="3"/>
  <c r="B30" i="3"/>
  <c r="B66" i="3"/>
  <c r="B58" i="3"/>
  <c r="B50" i="3"/>
  <c r="B46" i="3"/>
  <c r="B42" i="3"/>
  <c r="B38" i="3"/>
  <c r="B34" i="3"/>
  <c r="B26" i="3"/>
  <c r="B22" i="3"/>
  <c r="B18" i="3"/>
  <c r="B14" i="3"/>
  <c r="B10" i="3"/>
  <c r="B6" i="3"/>
  <c r="K15" i="6"/>
  <c r="B56" i="3"/>
  <c r="B36" i="3"/>
  <c r="B16" i="3"/>
  <c r="B63" i="3"/>
  <c r="B43" i="3"/>
  <c r="B23" i="3"/>
  <c r="B5" i="3"/>
  <c r="B49" i="3"/>
  <c r="B29" i="3"/>
  <c r="B61" i="3"/>
  <c r="B60" i="3"/>
  <c r="B40" i="3"/>
  <c r="B65" i="3"/>
  <c r="B25" i="3"/>
  <c r="B24" i="3"/>
  <c r="B48" i="3"/>
  <c r="B28" i="3"/>
  <c r="B9" i="3"/>
  <c r="B55" i="3"/>
  <c r="B35" i="3"/>
  <c r="B15" i="3"/>
  <c r="B8" i="3"/>
  <c r="B21" i="3"/>
  <c r="B20" i="3"/>
  <c r="B64" i="3"/>
  <c r="B44" i="3"/>
  <c r="B51" i="3"/>
  <c r="B41" i="3"/>
  <c r="B45" i="3"/>
  <c r="B31" i="3"/>
  <c r="B67" i="3"/>
  <c r="B47" i="3"/>
  <c r="B27" i="3"/>
  <c r="B53" i="3"/>
  <c r="B33" i="3"/>
  <c r="B13" i="3"/>
  <c r="B7" i="3"/>
  <c r="B52" i="3"/>
  <c r="B32" i="3"/>
  <c r="B59" i="3"/>
  <c r="B39" i="3"/>
  <c r="B19" i="3"/>
  <c r="B12" i="3"/>
  <c r="B11" i="3"/>
  <c r="B4" i="3"/>
  <c r="B17" i="3"/>
  <c r="B57" i="3"/>
  <c r="B37" i="3"/>
  <c r="L15" i="5" l="1"/>
  <c r="F7" i="5"/>
  <c r="L15" i="6" a="1"/>
  <c r="I7" i="6" a="1"/>
  <c r="I7" i="6" s="1"/>
  <c r="B3" i="3"/>
  <c r="B22" i="1"/>
  <c r="C12" i="1" s="1"/>
  <c r="H8" i="5"/>
  <c r="E8" i="5"/>
  <c r="F7" i="6" l="1"/>
  <c r="L15" i="6"/>
  <c r="G7" i="5"/>
  <c r="D17" i="1" s="1"/>
  <c r="C17" i="1" s="1"/>
  <c r="D7" i="5"/>
  <c r="U15" i="5" a="1"/>
  <c r="U15" i="5" s="1"/>
  <c r="Q15" i="5" a="1"/>
  <c r="Q15" i="5" s="1"/>
  <c r="M15" i="5" a="1"/>
  <c r="M15" i="5" s="1"/>
  <c r="C7" i="5" s="1"/>
  <c r="E7" i="5" l="1"/>
  <c r="B17" i="1"/>
  <c r="B18" i="1"/>
  <c r="H7" i="5"/>
  <c r="U15" i="6" a="1"/>
  <c r="U15" i="6" s="1"/>
  <c r="Q15" i="6" a="1"/>
  <c r="Q15" i="6" s="1"/>
  <c r="M15" i="6" a="1"/>
  <c r="M15" i="6" s="1"/>
  <c r="C7" i="6" s="1"/>
  <c r="D7" i="6"/>
  <c r="G7" i="6"/>
  <c r="E7" i="6" l="1"/>
  <c r="H7" i="6"/>
  <c r="C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<sst xmlns="http://schemas.openxmlformats.org/spreadsheetml/2006/main" count="289" uniqueCount="129">
  <si>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</si>
  <si>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</si>
  <si>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</si>
  <si>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</si>
  <si>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</si>
  <si>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</si>
  <si>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</si>
  <si>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</si>
  <si>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</si>
  <si>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</si>
  <si>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</si>
  <si>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</si>
  <si>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</si>
  <si>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</si>
  <si>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</si>
  <si>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</si>
  <si>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</si>
  <si>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</si>
  <si>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</si>
  <si>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</si>
  <si>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</si>
  <si>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</si>
  <si>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</si>
  <si>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</si>
  <si>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</si>
  <si>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</si>
  <si>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</si>
  <si>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</si>
  <si>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</si>
  <si>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</si>
  <si>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</si>
  <si>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</si>
  <si>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</si>
  <si>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</si>
  <si>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</si>
  <si>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</si>
  <si>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</si>
  <si>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</si>
  <si>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</si>
  <si>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</si>
  <si>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</si>
  <si>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</si>
  <si>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</si>
  <si>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</si>
  <si>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</si>
  <si>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</si>
  <si>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</si>
  <si>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</si>
  <si>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</si>
  <si>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</si>
  <si>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</si>
  <si>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</si>
  <si>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</si>
  <si>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</si>
  <si>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</si>
  <si>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</si>
  <si>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</si>
  <si>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</si>
  <si>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</si>
  <si>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</si>
  <si>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</si>
  <si>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</si>
  <si>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</si>
  <si>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</si>
  <si>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</si>
  <si>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</si>
  <si>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</si>
  <si>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</si>
  <si>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</si>
  <si>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</si>
  <si>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</si>
  <si>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</si>
  <si>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</si>
  <si>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</si>
  <si>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</si>
  <si>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</si>
  <si>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</si>
  <si>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</si>
  <si>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</si>
  <si>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</si>
  <si>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</si>
  <si>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</si>
  <si>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</si>
  <si>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EB_Newbie</t>
  </si>
  <si>
    <t>NB</t>
  </si>
  <si>
    <t>EB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</si>
  <si>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</si>
  <si>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</si>
  <si>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</si>
  <si>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</si>
  <si>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</si>
  <si>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</si>
  <si>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</si>
  <si>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</si>
  <si>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</si>
  <si>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</si>
  <si>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</si>
  <si>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</si>
  <si>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</si>
  <si>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</si>
  <si>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</si>
  <si>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</si>
  <si>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</si>
  <si>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</si>
  <si>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</si>
  <si>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</si>
  <si>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</si>
  <si>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</si>
  <si>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</si>
  <si>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</si>
  <si>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</si>
  <si>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</si>
  <si>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</si>
  <si>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</si>
  <si>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</si>
  <si>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</si>
  <si>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</si>
  <si>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</si>
  <si>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</si>
  <si>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</si>
  <si>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</si>
  <si>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</si>
  <si>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</si>
  <si>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</si>
  <si>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</si>
  <si>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</si>
  <si>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</si>
  <si>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</si>
  <si>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3.2.0.0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</si>
</sst>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8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0" fontId="19" fillId="0" borderId="0" xfId="58215" applyFont="1" applyFill="1" applyAlignment="1">
      <alignment horizontal="center" vertical="center"/>
    </xf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zoomScale="85" zoomScaleNormal="85" workbookViewId="0">
      <selection activeCell="B3" sqref="B3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121</v>
      </c>
      <c r="B2" s="98" t="s">
        <v>122</v>
      </c>
    </row>
    <row r="3" spans="1:10" x14ac:dyDescent="0.3">
      <c r="A3" s="3" t="s">
        <v>0</v>
      </c>
      <c r="B3" s="99" t="s">
        <v>128</v>
      </c>
      <c r="C3" s="24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8"/>
      <c r="F6" s="28"/>
      <c r="G6" s="29"/>
      <c r="H6" s="29"/>
      <c r="I6" s="29"/>
      <c r="J6" s="28"/>
    </row>
    <row r="7" spans="1:10" x14ac:dyDescent="0.3">
      <c r="A7" s="25">
        <v>100</v>
      </c>
      <c r="B7" s="25">
        <v>32400</v>
      </c>
      <c r="H7" s="26"/>
      <c r="I7" s="30"/>
      <c r="J7" s="31"/>
    </row>
    <row r="8" spans="1:10" x14ac:dyDescent="0.3">
      <c r="H8" s="26"/>
      <c r="I8" s="30"/>
      <c r="J8" s="31"/>
    </row>
    <row r="9" spans="1:10" x14ac:dyDescent="0.3">
      <c r="H9" s="26"/>
      <c r="I9" s="30"/>
      <c r="J9" s="31"/>
    </row>
    <row r="10" spans="1:10" x14ac:dyDescent="0.3">
      <c r="A10" s="9" t="s">
        <v>3</v>
      </c>
      <c r="B10" s="9" t="s">
        <v>4</v>
      </c>
      <c r="C10" s="17" t="s">
        <v>97</v>
      </c>
      <c r="D10" s="17" t="s">
        <v>5</v>
      </c>
      <c r="E10" s="26"/>
      <c r="F10" s="30"/>
      <c r="G10" s="31"/>
    </row>
    <row r="11" spans="1:10" x14ac:dyDescent="0.3">
      <c r="A11" s="27">
        <f t="array" ref="A11:A12">B11:B12*A7</f>
        <v>100</v>
      </c>
      <c r="B11" s="25">
        <v>1</v>
      </c>
      <c r="C11" s="23">
        <f>B17+B18</f>
        <v>0.87999976734229868</v>
      </c>
      <c r="D11" s="23" t="s">
        <v>6</v>
      </c>
      <c r="E11" s="26"/>
      <c r="F11" s="30"/>
      <c r="G11" s="31"/>
    </row>
    <row r="12" spans="1:10" x14ac:dyDescent="0.3">
      <c r="A12" s="27">
        <v>7500</v>
      </c>
      <c r="B12" s="25">
        <v>75</v>
      </c>
      <c r="C12" s="23">
        <f>B21+B22</f>
        <v>0.92499992067200099</v>
      </c>
      <c r="D12" s="23" t="s">
        <v>7</v>
      </c>
      <c r="E12" s="26"/>
      <c r="F12" s="30"/>
      <c r="G12" s="31"/>
    </row>
    <row r="13" spans="1:10" x14ac:dyDescent="0.3">
      <c r="H13" s="26"/>
      <c r="I13" s="30"/>
      <c r="J13" s="31"/>
    </row>
    <row r="14" spans="1:10" x14ac:dyDescent="0.3">
      <c r="H14" s="26"/>
      <c r="I14" s="30"/>
      <c r="J14" s="31"/>
    </row>
    <row r="15" spans="1:10" x14ac:dyDescent="0.3">
      <c r="A15" s="5" t="s">
        <v>8</v>
      </c>
      <c r="B15" s="7"/>
      <c r="C15" s="18"/>
      <c r="D15" s="32"/>
      <c r="E15" s="26"/>
      <c r="H15" s="26"/>
      <c r="I15" s="30"/>
      <c r="J15" s="31"/>
    </row>
    <row r="16" spans="1:10" x14ac:dyDescent="0.3">
      <c r="A16" s="17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6"/>
      <c r="I16" s="30"/>
      <c r="J16" s="31"/>
    </row>
    <row r="17" spans="1:10" x14ac:dyDescent="0.3">
      <c r="A17" s="100" t="str">
        <f>D11</f>
        <v>Normal Bet</v>
      </c>
      <c r="B17" s="19">
        <f>Detail!C7</f>
        <v>0.71999975321048371</v>
      </c>
      <c r="C17" s="102">
        <f>1/D17</f>
        <v>2.6666669113457812E-3</v>
      </c>
      <c r="D17" s="105">
        <f>Detail!G7</f>
        <v>374.9999655920027</v>
      </c>
      <c r="E17" s="16" t="s">
        <v>13</v>
      </c>
      <c r="H17" s="26"/>
      <c r="I17" s="30"/>
      <c r="J17" s="31"/>
    </row>
    <row r="18" spans="1:10" ht="15.6" customHeight="1" x14ac:dyDescent="0.3">
      <c r="A18" s="101"/>
      <c r="B18" s="19">
        <f>Detail!D7</f>
        <v>0.160000014131815</v>
      </c>
      <c r="C18" s="103"/>
      <c r="D18" s="103"/>
      <c r="E18" s="16" t="s">
        <v>14</v>
      </c>
      <c r="H18" s="26"/>
      <c r="I18" s="30"/>
      <c r="J18" s="31"/>
    </row>
    <row r="19" spans="1:10" ht="15.6" customHeight="1" x14ac:dyDescent="0.3">
      <c r="A19" s="20"/>
      <c r="B19" s="7"/>
      <c r="C19" s="18"/>
      <c r="D19" s="32"/>
      <c r="E19" s="26"/>
      <c r="H19" s="26"/>
      <c r="I19" s="30"/>
      <c r="J19" s="31"/>
    </row>
    <row r="20" spans="1:10" x14ac:dyDescent="0.3">
      <c r="A20" s="17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6"/>
      <c r="I20" s="30"/>
      <c r="J20" s="31"/>
    </row>
    <row r="21" spans="1:10" x14ac:dyDescent="0.3">
      <c r="A21" s="106" t="str">
        <f>D12</f>
        <v>Buy Feature</v>
      </c>
      <c r="B21" s="19">
        <f>Detail!C8</f>
        <v>0</v>
      </c>
      <c r="C21" s="102">
        <f>1/D21</f>
        <v>1</v>
      </c>
      <c r="D21" s="104">
        <v>1</v>
      </c>
      <c r="E21" s="16" t="s">
        <v>13</v>
      </c>
      <c r="H21" s="26"/>
      <c r="I21" s="30"/>
      <c r="J21" s="31"/>
    </row>
    <row r="22" spans="1:10" x14ac:dyDescent="0.3">
      <c r="A22" s="107"/>
      <c r="B22" s="19">
        <f>Detail!D8</f>
        <v>0.92499992067200099</v>
      </c>
      <c r="C22" s="103"/>
      <c r="D22" s="103"/>
      <c r="E22" s="16" t="s">
        <v>14</v>
      </c>
      <c r="H22" s="26"/>
      <c r="I22" s="30"/>
      <c r="J22" s="31"/>
    </row>
    <row r="23" spans="1:10" ht="15.6" customHeight="1" x14ac:dyDescent="0.3">
      <c r="H23" s="26"/>
      <c r="I23" s="30"/>
      <c r="J23" s="31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tabSelected="1" zoomScale="85" zoomScaleNormal="85" workbookViewId="0">
      <selection activeCell="I20" sqref="I20"/>
    </sheetView>
  </sheetViews>
  <sheetFormatPr defaultRowHeight="16.2" x14ac:dyDescent="0.3"/>
  <cols>
    <col min="1" max="1" width="27.109375" style="21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15</v>
      </c>
      <c r="B2" s="9" t="s">
        <v>123</v>
      </c>
      <c r="C2" s="9" t="s">
        <v>124</v>
      </c>
      <c r="D2" s="9" t="s">
        <v>125</v>
      </c>
      <c r="E2" s="9" t="s">
        <v>126</v>
      </c>
      <c r="F2" s="9" t="s">
        <v>127</v>
      </c>
    </row>
    <row r="3" spans="1:6" x14ac:dyDescent="0.3">
      <c r="A3" s="14" t="s">
        <v>16</v>
      </c>
      <c r="B3" s="10">
        <f>Detail_Newbie!K15</f>
        <v>733362425</v>
      </c>
      <c r="C3" s="10">
        <f>Detail_Newbie!K86</f>
        <v>0</v>
      </c>
      <c r="D3" s="10">
        <f>Detail!K15</f>
        <v>725030703</v>
      </c>
      <c r="E3" s="10">
        <f>Detail!K86</f>
        <v>0</v>
      </c>
      <c r="F3" s="10">
        <f>Detail!K163</f>
        <v>0</v>
      </c>
    </row>
    <row r="4" spans="1:6" x14ac:dyDescent="0.3">
      <c r="A4" s="14" t="s">
        <v>17</v>
      </c>
      <c r="B4" s="10">
        <f>Detail_Newbie!K16</f>
        <v>147073504</v>
      </c>
      <c r="C4" s="10">
        <f>Detail_Newbie!K87</f>
        <v>0</v>
      </c>
      <c r="D4" s="10">
        <f>Detail!K16</f>
        <v>154403733</v>
      </c>
      <c r="E4" s="10">
        <f>Detail!K87</f>
        <v>0</v>
      </c>
      <c r="F4" s="10">
        <f>Detail!K164</f>
        <v>0</v>
      </c>
    </row>
    <row r="5" spans="1:6" x14ac:dyDescent="0.3">
      <c r="A5" s="14" t="s">
        <v>18</v>
      </c>
      <c r="B5" s="10">
        <f>Detail_Newbie!K17</f>
        <v>43093495</v>
      </c>
      <c r="C5" s="10">
        <f>Detail_Newbie!K88</f>
        <v>0</v>
      </c>
      <c r="D5" s="10">
        <f>Detail!K17</f>
        <v>45377699</v>
      </c>
      <c r="E5" s="10">
        <f>Detail!K88</f>
        <v>0</v>
      </c>
      <c r="F5" s="10">
        <f>Detail!K165</f>
        <v>0</v>
      </c>
    </row>
    <row r="6" spans="1:6" x14ac:dyDescent="0.3">
      <c r="A6" s="14" t="s">
        <v>19</v>
      </c>
      <c r="B6" s="10">
        <f>Detail_Newbie!K18</f>
        <v>19740550</v>
      </c>
      <c r="C6" s="10">
        <f>Detail_Newbie!K89</f>
        <v>0</v>
      </c>
      <c r="D6" s="10">
        <f>Detail!K18</f>
        <v>20846902</v>
      </c>
      <c r="E6" s="10">
        <f>Detail!K89</f>
        <v>0</v>
      </c>
      <c r="F6" s="10">
        <f>Detail!K166</f>
        <v>0</v>
      </c>
    </row>
    <row r="7" spans="1:6" x14ac:dyDescent="0.3">
      <c r="A7" s="14" t="s">
        <v>20</v>
      </c>
      <c r="B7" s="10">
        <f>Detail_Newbie!K19</f>
        <v>12108868</v>
      </c>
      <c r="C7" s="10">
        <f>Detail_Newbie!K90</f>
        <v>0</v>
      </c>
      <c r="D7" s="10">
        <f>Detail!K19</f>
        <v>12823318</v>
      </c>
      <c r="E7" s="10">
        <f>Detail!K90</f>
        <v>0</v>
      </c>
      <c r="F7" s="10">
        <f>Detail!K167</f>
        <v>0</v>
      </c>
    </row>
    <row r="8" spans="1:6" x14ac:dyDescent="0.3">
      <c r="A8" s="14" t="s">
        <v>21</v>
      </c>
      <c r="B8" s="10">
        <f>Detail_Newbie!K20</f>
        <v>7862117</v>
      </c>
      <c r="C8" s="10">
        <f>Detail_Newbie!K91</f>
        <v>0</v>
      </c>
      <c r="D8" s="10">
        <f>Detail!K20</f>
        <v>8349493</v>
      </c>
      <c r="E8" s="10">
        <f>Detail!K91</f>
        <v>0</v>
      </c>
      <c r="F8" s="10">
        <f>Detail!K168</f>
        <v>0</v>
      </c>
    </row>
    <row r="9" spans="1:6" x14ac:dyDescent="0.3">
      <c r="A9" s="14" t="s">
        <v>22</v>
      </c>
      <c r="B9" s="10">
        <f>Detail_Newbie!K21</f>
        <v>6066338</v>
      </c>
      <c r="C9" s="10">
        <f>Detail_Newbie!K92</f>
        <v>0</v>
      </c>
      <c r="D9" s="10">
        <f>Detail!K21</f>
        <v>6460871</v>
      </c>
      <c r="E9" s="10">
        <f>Detail!K92</f>
        <v>0</v>
      </c>
      <c r="F9" s="10">
        <f>Detail!K169</f>
        <v>0</v>
      </c>
    </row>
    <row r="10" spans="1:6" x14ac:dyDescent="0.3">
      <c r="A10" s="14" t="s">
        <v>23</v>
      </c>
      <c r="B10" s="10">
        <f>Detail_Newbie!K22</f>
        <v>3265440</v>
      </c>
      <c r="C10" s="10">
        <f>Detail_Newbie!K93</f>
        <v>0</v>
      </c>
      <c r="D10" s="10">
        <f>Detail!K22</f>
        <v>3487326</v>
      </c>
      <c r="E10" s="10">
        <f>Detail!K93</f>
        <v>0</v>
      </c>
      <c r="F10" s="10">
        <f>Detail!K170</f>
        <v>0</v>
      </c>
    </row>
    <row r="11" spans="1:6" x14ac:dyDescent="0.3">
      <c r="A11" s="14" t="s">
        <v>24</v>
      </c>
      <c r="B11" s="10">
        <f>Detail_Newbie!K23</f>
        <v>3661421</v>
      </c>
      <c r="C11" s="10">
        <f>Detail_Newbie!K94</f>
        <v>0</v>
      </c>
      <c r="D11" s="10">
        <f>Detail!K23</f>
        <v>3921295</v>
      </c>
      <c r="E11" s="10">
        <f>Detail!K94</f>
        <v>0</v>
      </c>
      <c r="F11" s="10">
        <f>Detail!K171</f>
        <v>0</v>
      </c>
    </row>
    <row r="12" spans="1:6" x14ac:dyDescent="0.3">
      <c r="A12" s="14" t="s">
        <v>25</v>
      </c>
      <c r="B12" s="10">
        <f>Detail_Newbie!K24</f>
        <v>2962011</v>
      </c>
      <c r="C12" s="10">
        <f>Detail_Newbie!K95</f>
        <v>0</v>
      </c>
      <c r="D12" s="10">
        <f>Detail!K24</f>
        <v>3181346</v>
      </c>
      <c r="E12" s="10">
        <f>Detail!K95</f>
        <v>0</v>
      </c>
      <c r="F12" s="10">
        <f>Detail!K172</f>
        <v>0</v>
      </c>
    </row>
    <row r="13" spans="1:6" x14ac:dyDescent="0.3">
      <c r="A13" s="14" t="s">
        <v>26</v>
      </c>
      <c r="B13" s="10">
        <f>Detail_Newbie!K25</f>
        <v>1920529</v>
      </c>
      <c r="C13" s="10">
        <f>Detail_Newbie!K96</f>
        <v>0</v>
      </c>
      <c r="D13" s="10">
        <f>Detail!K25</f>
        <v>2068459</v>
      </c>
      <c r="E13" s="10">
        <f>Detail!K96</f>
        <v>0</v>
      </c>
      <c r="F13" s="10">
        <f>Detail!K173</f>
        <v>0</v>
      </c>
    </row>
    <row r="14" spans="1:6" x14ac:dyDescent="0.3">
      <c r="A14" s="14" t="s">
        <v>27</v>
      </c>
      <c r="B14" s="10">
        <f>Detail_Newbie!K26</f>
        <v>10160353</v>
      </c>
      <c r="C14" s="10">
        <f>Detail_Newbie!K97</f>
        <v>0</v>
      </c>
      <c r="D14" s="10">
        <f>Detail!K26</f>
        <v>6297155</v>
      </c>
      <c r="E14" s="10">
        <f>Detail!K97</f>
        <v>0</v>
      </c>
      <c r="F14" s="10">
        <f>Detail!K174</f>
        <v>0</v>
      </c>
    </row>
    <row r="15" spans="1:6" x14ac:dyDescent="0.3">
      <c r="A15" s="14" t="s">
        <v>28</v>
      </c>
      <c r="B15" s="10">
        <f>Detail_Newbie!K27</f>
        <v>4355288</v>
      </c>
      <c r="C15" s="10">
        <f>Detail_Newbie!K98</f>
        <v>0</v>
      </c>
      <c r="D15" s="10">
        <f>Detail!K27</f>
        <v>2737899</v>
      </c>
      <c r="E15" s="10">
        <f>Detail!K98</f>
        <v>0</v>
      </c>
      <c r="F15" s="10">
        <f>Detail!K175</f>
        <v>0</v>
      </c>
    </row>
    <row r="16" spans="1:6" x14ac:dyDescent="0.3">
      <c r="A16" s="14" t="s">
        <v>29</v>
      </c>
      <c r="B16" s="10">
        <f>Detail_Newbie!K28</f>
        <v>2430625</v>
      </c>
      <c r="C16" s="10">
        <f>Detail_Newbie!K99</f>
        <v>0</v>
      </c>
      <c r="D16" s="10">
        <f>Detail!K28</f>
        <v>1549742</v>
      </c>
      <c r="E16" s="10">
        <f>Detail!K99</f>
        <v>56769001</v>
      </c>
      <c r="F16" s="10">
        <f>Detail!K176</f>
        <v>33619642</v>
      </c>
    </row>
    <row r="17" spans="1:6" x14ac:dyDescent="0.3">
      <c r="A17" s="14" t="s">
        <v>30</v>
      </c>
      <c r="B17" s="10">
        <f>Detail_Newbie!K29</f>
        <v>1937035</v>
      </c>
      <c r="C17" s="10">
        <f>Detail_Newbie!K100</f>
        <v>0</v>
      </c>
      <c r="D17" s="10">
        <f>Detail!K29</f>
        <v>1252591</v>
      </c>
      <c r="E17" s="10">
        <f>Detail!K100</f>
        <v>149999000</v>
      </c>
      <c r="F17" s="10">
        <f>Detail!K177</f>
        <v>142476448</v>
      </c>
    </row>
    <row r="18" spans="1:6" x14ac:dyDescent="0.3">
      <c r="A18" s="14" t="s">
        <v>31</v>
      </c>
      <c r="B18" s="10">
        <f>Detail_Newbie!K30</f>
        <v>0</v>
      </c>
      <c r="C18" s="10">
        <f>Detail_Newbie!K101</f>
        <v>76827719</v>
      </c>
      <c r="D18" s="10">
        <f>Detail!K30</f>
        <v>600704</v>
      </c>
      <c r="E18" s="10">
        <f>Detail!K101</f>
        <v>79926090</v>
      </c>
      <c r="F18" s="10">
        <f>Detail!K178</f>
        <v>53604139</v>
      </c>
    </row>
    <row r="19" spans="1:6" x14ac:dyDescent="0.3">
      <c r="A19" s="14" t="s">
        <v>32</v>
      </c>
      <c r="B19" s="10">
        <f>Detail_Newbie!K31</f>
        <v>0</v>
      </c>
      <c r="C19" s="10">
        <f>Detail_Newbie!K102</f>
        <v>138321877</v>
      </c>
      <c r="D19" s="10">
        <f>Detail!K31</f>
        <v>416630</v>
      </c>
      <c r="E19" s="10">
        <f>Detail!K102</f>
        <v>132155425</v>
      </c>
      <c r="F19" s="10">
        <f>Detail!K179</f>
        <v>94365442</v>
      </c>
    </row>
    <row r="20" spans="1:6" x14ac:dyDescent="0.3">
      <c r="A20" s="14" t="s">
        <v>33</v>
      </c>
      <c r="B20" s="10">
        <f>Detail_Newbie!K32</f>
        <v>0</v>
      </c>
      <c r="C20" s="10">
        <f>Detail_Newbie!K103</f>
        <v>122981136</v>
      </c>
      <c r="D20" s="10">
        <f>Detail!K32</f>
        <v>255435</v>
      </c>
      <c r="E20" s="10">
        <f>Detail!K103</f>
        <v>107883034</v>
      </c>
      <c r="F20" s="10">
        <f>Detail!K180</f>
        <v>82034900</v>
      </c>
    </row>
    <row r="21" spans="1:6" x14ac:dyDescent="0.3">
      <c r="A21" s="14" t="s">
        <v>34</v>
      </c>
      <c r="B21" s="10">
        <f>Detail_Newbie!K33</f>
        <v>0</v>
      </c>
      <c r="C21" s="10">
        <f>Detail_Newbie!K104</f>
        <v>107635135</v>
      </c>
      <c r="D21" s="10">
        <f>Detail!K33</f>
        <v>214569</v>
      </c>
      <c r="E21" s="10">
        <f>Detail!K104</f>
        <v>86719319</v>
      </c>
      <c r="F21" s="10">
        <f>Detail!K181</f>
        <v>70213204</v>
      </c>
    </row>
    <row r="22" spans="1:6" x14ac:dyDescent="0.3">
      <c r="A22" s="14" t="s">
        <v>35</v>
      </c>
      <c r="B22" s="10">
        <f>Detail_Newbie!K34</f>
        <v>0</v>
      </c>
      <c r="C22" s="10">
        <f>Detail_Newbie!K105</f>
        <v>107673578</v>
      </c>
      <c r="D22" s="10">
        <f>Detail!K34</f>
        <v>460432</v>
      </c>
      <c r="E22" s="10">
        <f>Detail!K105</f>
        <v>76307893</v>
      </c>
      <c r="F22" s="10">
        <f>Detail!K182</f>
        <v>67919079</v>
      </c>
    </row>
    <row r="23" spans="1:6" x14ac:dyDescent="0.3">
      <c r="A23" s="14" t="s">
        <v>36</v>
      </c>
      <c r="B23" s="10">
        <f>Detail_Newbie!K35</f>
        <v>0</v>
      </c>
      <c r="C23" s="10">
        <f>Detail_Newbie!K106</f>
        <v>153893164</v>
      </c>
      <c r="D23" s="10">
        <f>Detail!K35</f>
        <v>263684</v>
      </c>
      <c r="E23" s="10">
        <f>Detail!K106</f>
        <v>91821308</v>
      </c>
      <c r="F23" s="10">
        <f>Detail!K183</f>
        <v>92818316</v>
      </c>
    </row>
    <row r="24" spans="1:6" x14ac:dyDescent="0.3">
      <c r="A24" s="14" t="s">
        <v>37</v>
      </c>
      <c r="B24" s="10">
        <f>Detail_Newbie!K36</f>
        <v>0</v>
      </c>
      <c r="C24" s="10">
        <f>Detail_Newbie!K107</f>
        <v>76983252</v>
      </c>
      <c r="D24" s="10">
        <f>Detail!K36</f>
        <v>0</v>
      </c>
      <c r="E24" s="10">
        <f>Detail!K107</f>
        <v>38632512</v>
      </c>
      <c r="F24" s="10">
        <f>Detail!K184</f>
        <v>44395303</v>
      </c>
    </row>
    <row r="25" spans="1:6" x14ac:dyDescent="0.3">
      <c r="A25" s="14" t="s">
        <v>38</v>
      </c>
      <c r="B25" s="10">
        <f>Detail_Newbie!K37</f>
        <v>0</v>
      </c>
      <c r="C25" s="10">
        <f>Detail_Newbie!K108</f>
        <v>154039749</v>
      </c>
      <c r="D25" s="10">
        <f>Detail!K37</f>
        <v>0</v>
      </c>
      <c r="E25" s="10">
        <f>Detail!K108</f>
        <v>64948647</v>
      </c>
      <c r="F25" s="10">
        <f>Detail!K185</f>
        <v>84936647</v>
      </c>
    </row>
    <row r="26" spans="1:6" x14ac:dyDescent="0.3">
      <c r="A26" s="14" t="s">
        <v>39</v>
      </c>
      <c r="B26" s="10">
        <f>Detail_Newbie!K38</f>
        <v>0</v>
      </c>
      <c r="C26" s="10">
        <f>Detail_Newbie!K109</f>
        <v>61644389</v>
      </c>
      <c r="D26" s="10">
        <f>Detail!K38</f>
        <v>0</v>
      </c>
      <c r="E26" s="10">
        <f>Detail!K109</f>
        <v>21816256</v>
      </c>
      <c r="F26" s="10">
        <f>Detail!K186</f>
        <v>32501349</v>
      </c>
    </row>
    <row r="27" spans="1:6" x14ac:dyDescent="0.3">
      <c r="A27" s="14" t="s">
        <v>40</v>
      </c>
      <c r="B27" s="10">
        <f>Detail_Newbie!K39</f>
        <v>0</v>
      </c>
      <c r="C27" s="10">
        <f>Detail_Newbie!K110</f>
        <v>0</v>
      </c>
      <c r="D27" s="10">
        <f>Detail!K39</f>
        <v>0</v>
      </c>
      <c r="E27" s="10">
        <f>Detail!K110</f>
        <v>41947638</v>
      </c>
      <c r="F27" s="10">
        <f>Detail!K187</f>
        <v>76051371</v>
      </c>
    </row>
    <row r="28" spans="1:6" x14ac:dyDescent="0.3">
      <c r="A28" s="14" t="s">
        <v>41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11738977</v>
      </c>
      <c r="F28" s="10">
        <f>Detail!K188</f>
        <v>27834411</v>
      </c>
    </row>
    <row r="29" spans="1:6" x14ac:dyDescent="0.3">
      <c r="A29" s="14" t="s">
        <v>42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14298830</v>
      </c>
      <c r="F29" s="10">
        <f>Detail!K189</f>
        <v>44582570</v>
      </c>
    </row>
    <row r="30" spans="1:6" x14ac:dyDescent="0.3">
      <c r="A30" s="14" t="s">
        <v>43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5642029</v>
      </c>
      <c r="F30" s="10">
        <f>Detail!K190</f>
        <v>23310350</v>
      </c>
    </row>
    <row r="31" spans="1:6" x14ac:dyDescent="0.3">
      <c r="A31" s="14" t="s">
        <v>44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4831411</v>
      </c>
      <c r="F31" s="10">
        <f>Detail!K191</f>
        <v>26665618</v>
      </c>
    </row>
    <row r="32" spans="1:6" x14ac:dyDescent="0.3">
      <c r="A32" s="14" t="s">
        <v>45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1820547</v>
      </c>
      <c r="F32" s="10">
        <f>Detail!K192</f>
        <v>352994</v>
      </c>
    </row>
    <row r="33" spans="1:6" x14ac:dyDescent="0.3">
      <c r="A33" s="14" t="s">
        <v>46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1542322</v>
      </c>
      <c r="F33" s="10">
        <f>Detail!K193</f>
        <v>288381</v>
      </c>
    </row>
    <row r="34" spans="1:6" x14ac:dyDescent="0.3">
      <c r="A34" s="14" t="s">
        <v>47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1344351</v>
      </c>
      <c r="F34" s="10">
        <f>Detail!K194</f>
        <v>243825</v>
      </c>
    </row>
    <row r="35" spans="1:6" x14ac:dyDescent="0.3">
      <c r="A35" s="14" t="s">
        <v>48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1193870</v>
      </c>
      <c r="F35" s="10">
        <f>Detail!K195</f>
        <v>211151</v>
      </c>
    </row>
    <row r="36" spans="1:6" x14ac:dyDescent="0.3">
      <c r="A36" s="14" t="s">
        <v>49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1074452</v>
      </c>
      <c r="F36" s="10">
        <f>Detail!K196</f>
        <v>186232</v>
      </c>
    </row>
    <row r="37" spans="1:6" x14ac:dyDescent="0.3">
      <c r="A37" s="14" t="s">
        <v>50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975879</v>
      </c>
      <c r="F37" s="10">
        <f>Detail!K197</f>
        <v>166537</v>
      </c>
    </row>
    <row r="38" spans="1:6" x14ac:dyDescent="0.3">
      <c r="A38" s="14" t="s">
        <v>51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892687</v>
      </c>
      <c r="F38" s="10">
        <f>Detail!K198</f>
        <v>150667</v>
      </c>
    </row>
    <row r="39" spans="1:6" x14ac:dyDescent="0.3">
      <c r="A39" s="14" t="s">
        <v>52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820241</v>
      </c>
      <c r="F39" s="10">
        <f>Detail!K199</f>
        <v>137505</v>
      </c>
    </row>
    <row r="40" spans="1:6" x14ac:dyDescent="0.3">
      <c r="A40" s="14" t="s">
        <v>53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756531</v>
      </c>
      <c r="F40" s="10">
        <f>Detail!K200</f>
        <v>126504</v>
      </c>
    </row>
    <row r="41" spans="1:6" x14ac:dyDescent="0.3">
      <c r="A41" s="14" t="s">
        <v>54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699091</v>
      </c>
      <c r="F41" s="10">
        <f>Detail!K201</f>
        <v>117093</v>
      </c>
    </row>
    <row r="42" spans="1:6" x14ac:dyDescent="0.3">
      <c r="A42" s="14" t="s">
        <v>55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646926</v>
      </c>
      <c r="F42" s="10">
        <f>Detail!K202</f>
        <v>108996</v>
      </c>
    </row>
    <row r="43" spans="1:6" x14ac:dyDescent="0.3">
      <c r="A43" s="14" t="s">
        <v>56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599093</v>
      </c>
      <c r="F43" s="10">
        <f>Detail!K203</f>
        <v>101966</v>
      </c>
    </row>
    <row r="44" spans="1:6" x14ac:dyDescent="0.3">
      <c r="A44" s="14" t="s">
        <v>57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554587</v>
      </c>
      <c r="F44" s="10">
        <f>Detail!K204</f>
        <v>95775</v>
      </c>
    </row>
    <row r="45" spans="1:6" x14ac:dyDescent="0.3">
      <c r="A45" s="14" t="s">
        <v>58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512942</v>
      </c>
      <c r="F45" s="10">
        <f>Detail!K205</f>
        <v>90300</v>
      </c>
    </row>
    <row r="46" spans="1:6" x14ac:dyDescent="0.3">
      <c r="A46" s="14" t="s">
        <v>59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473591</v>
      </c>
      <c r="F46" s="10">
        <f>Detail!K206</f>
        <v>85404</v>
      </c>
    </row>
    <row r="47" spans="1:6" x14ac:dyDescent="0.3">
      <c r="A47" s="14" t="s">
        <v>60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436379</v>
      </c>
      <c r="F47" s="10">
        <f>Detail!K207</f>
        <v>81029</v>
      </c>
    </row>
    <row r="48" spans="1:6" x14ac:dyDescent="0.3">
      <c r="A48" s="14" t="s">
        <v>61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219141</v>
      </c>
      <c r="F48" s="10">
        <f>Detail!K208</f>
        <v>60131</v>
      </c>
    </row>
    <row r="49" spans="1:6" x14ac:dyDescent="0.3">
      <c r="A49" s="14" t="s">
        <v>62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0</v>
      </c>
      <c r="F49" s="10">
        <f>Detail!K209</f>
        <v>66713</v>
      </c>
    </row>
    <row r="50" spans="1:6" x14ac:dyDescent="0.3">
      <c r="A50" s="14" t="s">
        <v>63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</row>
    <row r="51" spans="1:6" x14ac:dyDescent="0.3">
      <c r="A51" s="14" t="s">
        <v>64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</row>
    <row r="52" spans="1:6" x14ac:dyDescent="0.3">
      <c r="A52" s="14" t="s">
        <v>65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</row>
    <row r="53" spans="1:6" x14ac:dyDescent="0.3">
      <c r="A53" s="14" t="s">
        <v>66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</row>
    <row r="54" spans="1:6" x14ac:dyDescent="0.3">
      <c r="A54" s="14" t="s">
        <v>67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</row>
    <row r="55" spans="1:6" x14ac:dyDescent="0.3">
      <c r="A55" s="14" t="s">
        <v>68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</row>
    <row r="56" spans="1:6" x14ac:dyDescent="0.3">
      <c r="A56" s="14" t="s">
        <v>69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0</v>
      </c>
      <c r="F56" s="10">
        <f>Detail!K216</f>
        <v>0</v>
      </c>
    </row>
    <row r="57" spans="1:6" x14ac:dyDescent="0.3">
      <c r="A57" s="14" t="s">
        <v>70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</row>
    <row r="58" spans="1:6" x14ac:dyDescent="0.3">
      <c r="A58" s="14" t="s">
        <v>71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</row>
    <row r="59" spans="1:6" x14ac:dyDescent="0.3">
      <c r="A59" s="14" t="s">
        <v>72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</row>
    <row r="60" spans="1:6" x14ac:dyDescent="0.3">
      <c r="A60" s="14" t="s">
        <v>73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</row>
    <row r="61" spans="1:6" x14ac:dyDescent="0.3">
      <c r="A61" s="14" t="s">
        <v>74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</row>
    <row r="62" spans="1:6" x14ac:dyDescent="0.3">
      <c r="A62" s="14" t="s">
        <v>75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</row>
    <row r="63" spans="1:6" x14ac:dyDescent="0.3">
      <c r="A63" s="14" t="s">
        <v>76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</row>
    <row r="64" spans="1:6" x14ac:dyDescent="0.3">
      <c r="A64" s="14" t="s">
        <v>77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</row>
    <row r="65" spans="1:7" x14ac:dyDescent="0.3">
      <c r="A65" s="14" t="s">
        <v>78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</row>
    <row r="66" spans="1:7" x14ac:dyDescent="0.3">
      <c r="A66" s="14" t="s">
        <v>79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</row>
    <row r="67" spans="1:7" x14ac:dyDescent="0.3">
      <c r="A67" s="14" t="s">
        <v>14</v>
      </c>
      <c r="B67" s="10">
        <f>Detail_Newbie!K79</f>
        <v>3590649</v>
      </c>
      <c r="C67" s="35">
        <v>0</v>
      </c>
      <c r="D67" s="33">
        <f>Detail!K79</f>
        <v>2673797</v>
      </c>
      <c r="E67" s="35">
        <v>0</v>
      </c>
      <c r="F67" s="11">
        <v>0</v>
      </c>
      <c r="G67" s="21"/>
    </row>
    <row r="68" spans="1:7" x14ac:dyDescent="0.3">
      <c r="D68" s="21"/>
      <c r="E68" s="21"/>
      <c r="F68" s="21"/>
      <c r="G68" s="21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 cm="1">
        <f t="array" ref="B7:B8">Overview!B11:B12</f>
        <v>1</v>
      </c>
      <c r="C7" s="40">
        <f>SUM(M15:M79)</f>
        <v>0.71999975321048371</v>
      </c>
      <c r="D7" s="40">
        <f>SUM(_xlfn.ANCHORARRAY(M86))*F7</f>
        <v>0.160000014131815</v>
      </c>
      <c r="E7" s="41">
        <f>SUM(C7:D7)</f>
        <v>0.87999976734229868</v>
      </c>
      <c r="F7" s="42">
        <f>L79</f>
        <v>2.6666669113457812E-3</v>
      </c>
      <c r="G7" s="43">
        <f>1/F7</f>
        <v>374.9999655920027</v>
      </c>
      <c r="H7" s="44">
        <f>D7*G7</f>
        <v>59.999999794150568</v>
      </c>
      <c r="I7" s="60" cm="1">
        <f t="array" ref="I7">LOOKUP(2,1/(K15:K78&lt;&gt;0),P15:P78)</f>
        <v>70</v>
      </c>
      <c r="J7" s="60" cm="1">
        <f t="array" ref="J7">LOOKUP(2,1/(_xlfn.ANCHORARRAY(K86)&lt;&gt;0),P15:P78)</f>
        <v>2000</v>
      </c>
      <c r="K7" s="48"/>
      <c r="L7" s="49"/>
      <c r="M7" s="58"/>
    </row>
    <row r="8" spans="1:21" x14ac:dyDescent="0.3">
      <c r="A8" s="59" t="s">
        <v>96</v>
      </c>
      <c r="B8" s="59">
        <v>75</v>
      </c>
      <c r="C8" s="40">
        <f>M156/B8</f>
        <v>0</v>
      </c>
      <c r="D8" s="40">
        <f>SUM(_xlfn.ANCHORARRAY(M163))/B8</f>
        <v>0.92499992067200099</v>
      </c>
      <c r="E8" s="41">
        <f>SUM(C8:D8)</f>
        <v>0.92499992067200099</v>
      </c>
      <c r="F8" s="45">
        <f>D156</f>
        <v>1</v>
      </c>
      <c r="G8" s="43">
        <f>1/F8</f>
        <v>1</v>
      </c>
      <c r="H8" s="44">
        <f>D8*G8*B8</f>
        <v>69.374994050400076</v>
      </c>
      <c r="I8" s="61"/>
      <c r="J8" s="61" cm="1">
        <f t="array" ref="J8">LOOKUP(2,1/(_xlfn.ANCHORARRAY(K163)&lt;&gt;0),P15:P78)</f>
        <v>3000</v>
      </c>
      <c r="K8" s="62"/>
      <c r="L8" s="49"/>
      <c r="M8" s="5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46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0.62476902099999998</v>
      </c>
      <c r="E15" s="68" cm="1">
        <f t="array" ref="E15:E79">_xlfn.LET(_xlpm.x, C15:C79/B15:B79/B3, IF(ISERR(_xlpm.x), 0, _xlpm.x))</f>
        <v>0</v>
      </c>
      <c r="G15" s="14" t="str">
        <f t="shared" ref="G15:G46" si="1">"("&amp;$O15&amp;", "&amp;$P15&amp;"]"</f>
        <v>(-1, 0]</v>
      </c>
      <c r="H15" s="70">
        <v>1.1604779984761799</v>
      </c>
      <c r="I15" s="36" cm="1">
        <f t="array" ref="I15:I79">D15:D79*H15:H79</f>
        <v>0.72503070300000239</v>
      </c>
      <c r="J15" s="36" cm="1">
        <f t="array" ref="J15:J78">I15:I78/SUM(I15:I78)</f>
        <v>0.72503070300000072</v>
      </c>
      <c r="K15" s="71" cm="1">
        <f t="array" ref="K15:K79">INT(J15:J79*$B$2)</f>
        <v>725030703</v>
      </c>
      <c r="L15" s="36" cm="1">
        <f t="array" ref="L15:L79">_xlfn.LET(_xlpm.x, K15:K79, _xlpm.x/SUM(_xlpm.x))</f>
        <v>0.72309729773796227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0.72309729773796227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0.14326341100000001</v>
      </c>
      <c r="E16" s="69">
        <v>0.43374524218189947</v>
      </c>
      <c r="G16" s="14" t="str">
        <f t="shared" si="1"/>
        <v>(0, 1]</v>
      </c>
      <c r="H16" s="70">
        <v>1.07776111794518</v>
      </c>
      <c r="I16" s="36">
        <v>0.15440373399999982</v>
      </c>
      <c r="J16" s="36">
        <v>0.15440373399999949</v>
      </c>
      <c r="K16" s="71">
        <v>154403733</v>
      </c>
      <c r="L16" s="36">
        <v>0.1539919918301085</v>
      </c>
      <c r="M16" s="36">
        <v>6.6793293790423494E-2</v>
      </c>
      <c r="N16" s="73"/>
      <c r="O16" s="59">
        <v>0</v>
      </c>
      <c r="P16" s="59">
        <v>1</v>
      </c>
      <c r="Q16" s="36">
        <v>0.1539919918301085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5.4932043999999999E-2</v>
      </c>
      <c r="E17" s="69">
        <v>1.5054969518337966</v>
      </c>
      <c r="F17" s="76"/>
      <c r="G17" s="14" t="str">
        <f t="shared" si="1"/>
        <v>(1, 2]</v>
      </c>
      <c r="H17" s="70">
        <v>0.82606975265657301</v>
      </c>
      <c r="I17" s="36">
        <v>4.5377699999999986E-2</v>
      </c>
      <c r="J17" s="36">
        <v>4.5377699999999882E-2</v>
      </c>
      <c r="K17" s="71">
        <v>45377699</v>
      </c>
      <c r="L17" s="36">
        <v>4.5256692425157383E-2</v>
      </c>
      <c r="M17" s="36">
        <v>6.8133812496154106E-2</v>
      </c>
      <c r="N17" s="73"/>
      <c r="O17" s="59">
        <v>1</v>
      </c>
      <c r="P17" s="59">
        <v>2</v>
      </c>
      <c r="Q17" s="36">
        <v>4.5256692425157383E-2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3.3042473000000003E-2</v>
      </c>
      <c r="E18" s="69">
        <v>2.5315815102580244</v>
      </c>
      <c r="F18" s="76"/>
      <c r="G18" s="14" t="str">
        <f t="shared" si="1"/>
        <v>(2, 3]</v>
      </c>
      <c r="H18" s="70">
        <v>0.63091231095202804</v>
      </c>
      <c r="I18" s="36">
        <v>2.0846902999999993E-2</v>
      </c>
      <c r="J18" s="36">
        <v>2.0846902999999948E-2</v>
      </c>
      <c r="K18" s="71">
        <v>20846902</v>
      </c>
      <c r="L18" s="36">
        <v>2.0791310547310881E-2</v>
      </c>
      <c r="M18" s="36">
        <v>5.2634897355604872E-2</v>
      </c>
      <c r="N18" s="73"/>
      <c r="O18" s="59">
        <v>2</v>
      </c>
      <c r="P18" s="59">
        <v>3</v>
      </c>
      <c r="Q18" s="36">
        <v>2.0791310547310881E-2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2.2877262999999998E-2</v>
      </c>
      <c r="E19" s="69">
        <v>3.5283067865242446</v>
      </c>
      <c r="F19" s="77"/>
      <c r="G19" s="14" t="str">
        <f t="shared" si="1"/>
        <v>(3, 4]</v>
      </c>
      <c r="H19" s="70">
        <v>0.56052675532033702</v>
      </c>
      <c r="I19" s="36">
        <v>1.2823317999999998E-2</v>
      </c>
      <c r="J19" s="36">
        <v>1.2823317999999971E-2</v>
      </c>
      <c r="K19" s="71">
        <v>12823318</v>
      </c>
      <c r="L19" s="36">
        <v>1.2789122661243452E-2</v>
      </c>
      <c r="M19" s="36">
        <v>4.5123948279356278E-2</v>
      </c>
      <c r="N19" s="73"/>
      <c r="O19" s="59">
        <v>3</v>
      </c>
      <c r="P19" s="59">
        <v>4</v>
      </c>
      <c r="Q19" s="36">
        <v>1.2789122661243452E-2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1.6969191000000002E-2</v>
      </c>
      <c r="E20" s="69">
        <v>4.5325458119953979</v>
      </c>
      <c r="F20" s="77"/>
      <c r="G20" s="14" t="str">
        <f t="shared" si="1"/>
        <v>(4, 5]</v>
      </c>
      <c r="H20" s="70">
        <v>0.492038424224231</v>
      </c>
      <c r="I20" s="36">
        <v>8.3494940000000042E-3</v>
      </c>
      <c r="J20" s="36">
        <v>8.3494939999999851E-3</v>
      </c>
      <c r="K20" s="71">
        <v>8349493</v>
      </c>
      <c r="L20" s="36">
        <v>8.3272277998715765E-3</v>
      </c>
      <c r="M20" s="36">
        <v>3.7743541489839563E-2</v>
      </c>
      <c r="N20" s="73"/>
      <c r="O20" s="59">
        <v>4</v>
      </c>
      <c r="P20" s="59">
        <v>5</v>
      </c>
      <c r="Q20" s="36">
        <v>8.3272277998715765E-3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1.3473297E-2</v>
      </c>
      <c r="E21" s="69">
        <v>5.5523825497203836</v>
      </c>
      <c r="F21" s="77"/>
      <c r="G21" s="14" t="str">
        <f t="shared" si="1"/>
        <v>(5, 6]</v>
      </c>
      <c r="H21" s="70">
        <v>0.47953162466469801</v>
      </c>
      <c r="I21" s="36">
        <v>6.4608720000000021E-3</v>
      </c>
      <c r="J21" s="36">
        <v>6.4608719999999873E-3</v>
      </c>
      <c r="K21" s="71">
        <v>6460871</v>
      </c>
      <c r="L21" s="36">
        <v>6.4436420992968159E-3</v>
      </c>
      <c r="M21" s="36">
        <v>3.5777565948779261E-2</v>
      </c>
      <c r="N21" s="73"/>
      <c r="O21" s="59">
        <v>5</v>
      </c>
      <c r="P21" s="59">
        <v>6</v>
      </c>
      <c r="Q21" s="36">
        <v>6.4436420992968159E-3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1.0639717999999999E-2</v>
      </c>
      <c r="E22" s="69">
        <v>6.5245757406352309</v>
      </c>
      <c r="F22" s="77"/>
      <c r="G22" s="14" t="str">
        <f t="shared" si="1"/>
        <v>(6, 7]</v>
      </c>
      <c r="H22" s="70">
        <v>0.32776498399675602</v>
      </c>
      <c r="I22" s="36">
        <v>3.4873269999999967E-3</v>
      </c>
      <c r="J22" s="36">
        <v>3.4873269999999889E-3</v>
      </c>
      <c r="K22" s="71">
        <v>3487326</v>
      </c>
      <c r="L22" s="36">
        <v>3.4780265118390954E-3</v>
      </c>
      <c r="M22" s="36">
        <v>2.2692647404431533E-2</v>
      </c>
      <c r="N22" s="73"/>
      <c r="O22" s="59">
        <v>6</v>
      </c>
      <c r="P22" s="59">
        <v>7</v>
      </c>
      <c r="Q22" s="36">
        <v>3.4780265118390954E-3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8.9536860000000006E-3</v>
      </c>
      <c r="E23" s="69">
        <v>7.5324213848910935</v>
      </c>
      <c r="F23" s="77"/>
      <c r="G23" s="14" t="str">
        <f t="shared" si="1"/>
        <v>(7, 8]</v>
      </c>
      <c r="H23" s="70">
        <v>0.43795326304719601</v>
      </c>
      <c r="I23" s="36">
        <v>3.9212959999999969E-3</v>
      </c>
      <c r="J23" s="36">
        <v>3.9212959999999882E-3</v>
      </c>
      <c r="K23" s="71">
        <v>3921295</v>
      </c>
      <c r="L23" s="36">
        <v>3.9108382671256105E-3</v>
      </c>
      <c r="M23" s="36">
        <v>2.9458081796147374E-2</v>
      </c>
      <c r="N23" s="73"/>
      <c r="O23" s="59">
        <v>7</v>
      </c>
      <c r="P23" s="59">
        <v>8</v>
      </c>
      <c r="Q23" s="36">
        <v>3.9108382671256105E-3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7.5278580000000001E-3</v>
      </c>
      <c r="E24" s="69">
        <v>8.5523535911543505</v>
      </c>
      <c r="F24" s="77"/>
      <c r="G24" s="14" t="str">
        <f t="shared" si="1"/>
        <v>(8, 9]</v>
      </c>
      <c r="H24" s="70">
        <v>0.42260985794365402</v>
      </c>
      <c r="I24" s="36">
        <v>3.1813469999999997E-3</v>
      </c>
      <c r="J24" s="36">
        <v>3.1813469999999928E-3</v>
      </c>
      <c r="K24" s="71">
        <v>3181346</v>
      </c>
      <c r="L24" s="36">
        <v>3.1728624543083321E-3</v>
      </c>
      <c r="M24" s="36">
        <v>2.7135441605342672E-2</v>
      </c>
      <c r="N24" s="73"/>
      <c r="O24" s="59">
        <v>8</v>
      </c>
      <c r="P24" s="59">
        <v>9</v>
      </c>
      <c r="Q24" s="36">
        <v>3.1728624543083321E-3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6.2250710000000004E-3</v>
      </c>
      <c r="E25" s="69">
        <v>9.5378655038633298</v>
      </c>
      <c r="F25" s="77"/>
      <c r="G25" s="14" t="str">
        <f t="shared" si="1"/>
        <v>(9, 10]</v>
      </c>
      <c r="H25" s="70">
        <v>0.33227894107553102</v>
      </c>
      <c r="I25" s="36">
        <v>2.0684599999999972E-3</v>
      </c>
      <c r="J25" s="36">
        <v>2.0684599999999925E-3</v>
      </c>
      <c r="K25" s="71">
        <v>2068459</v>
      </c>
      <c r="L25" s="36">
        <v>2.0629431377084287E-3</v>
      </c>
      <c r="M25" s="36">
        <v>1.9676074189580801E-2</v>
      </c>
      <c r="N25" s="73"/>
      <c r="O25" s="59">
        <v>9</v>
      </c>
      <c r="P25" s="59">
        <v>10</v>
      </c>
      <c r="Q25" s="36">
        <v>2.0629431377084287E-3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2.070988E-2</v>
      </c>
      <c r="E26" s="69">
        <v>12.280233864223259</v>
      </c>
      <c r="F26" s="77"/>
      <c r="G26" s="14" t="str">
        <f t="shared" si="1"/>
        <v>(10, 15]</v>
      </c>
      <c r="H26" s="70">
        <v>0.30406530602784798</v>
      </c>
      <c r="I26" s="36">
        <v>6.2971560000000086E-3</v>
      </c>
      <c r="J26" s="36">
        <v>6.2971559999999947E-3</v>
      </c>
      <c r="K26" s="71">
        <v>6297155</v>
      </c>
      <c r="L26" s="36">
        <v>6.2803626730509616E-3</v>
      </c>
      <c r="M26" s="36">
        <v>7.7124322377204124E-2</v>
      </c>
      <c r="N26" s="73"/>
      <c r="O26" s="59">
        <v>10</v>
      </c>
      <c r="P26" s="59">
        <v>15</v>
      </c>
      <c r="Q26" s="36">
        <v>6.2803626730509616E-3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1.1154374999999999E-2</v>
      </c>
      <c r="E27" s="69">
        <v>17.336798135260828</v>
      </c>
      <c r="F27" s="77"/>
      <c r="G27" s="14" t="str">
        <f t="shared" si="1"/>
        <v>(15, 20]</v>
      </c>
      <c r="H27" s="70">
        <v>0.24545516893595601</v>
      </c>
      <c r="I27" s="36">
        <v>2.7378990000000041E-3</v>
      </c>
      <c r="J27" s="36">
        <v>2.7378989999999981E-3</v>
      </c>
      <c r="K27" s="71">
        <v>2737899</v>
      </c>
      <c r="L27" s="36">
        <v>2.7305979735584647E-3</v>
      </c>
      <c r="M27" s="36">
        <v>4.7339825856135387E-2</v>
      </c>
      <c r="N27" s="73"/>
      <c r="O27" s="59">
        <v>15</v>
      </c>
      <c r="P27" s="59">
        <v>20</v>
      </c>
      <c r="Q27" s="36">
        <v>2.7305979735584647E-3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6.7427499999999996E-3</v>
      </c>
      <c r="E28" s="69">
        <v>22.368289622186794</v>
      </c>
      <c r="F28" s="77"/>
      <c r="G28" s="14" t="str">
        <f t="shared" si="1"/>
        <v>(20, 25]</v>
      </c>
      <c r="H28" s="70">
        <v>0.229838270735234</v>
      </c>
      <c r="I28" s="36">
        <v>1.5497419999999989E-3</v>
      </c>
      <c r="J28" s="36">
        <v>1.5497419999999954E-3</v>
      </c>
      <c r="K28" s="71">
        <v>1549742</v>
      </c>
      <c r="L28" s="36">
        <v>1.5456093759260085E-3</v>
      </c>
      <c r="M28" s="36">
        <v>3.4572638163480343E-2</v>
      </c>
      <c r="N28" s="73"/>
      <c r="O28" s="59">
        <v>20</v>
      </c>
      <c r="P28" s="59">
        <v>25</v>
      </c>
      <c r="Q28" s="36">
        <v>1.5456093759260085E-3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4.478938E-3</v>
      </c>
      <c r="E29" s="69">
        <v>27.396167651796027</v>
      </c>
      <c r="F29" s="77"/>
      <c r="G29" s="14" t="str">
        <f t="shared" si="1"/>
        <v>(25, 30]</v>
      </c>
      <c r="H29" s="70">
        <v>0.27966250035164603</v>
      </c>
      <c r="I29" s="36">
        <v>1.2525910000000008E-3</v>
      </c>
      <c r="J29" s="36">
        <v>1.252590999999998E-3</v>
      </c>
      <c r="K29" s="71">
        <v>1252591</v>
      </c>
      <c r="L29" s="36">
        <v>1.2492507745163613E-3</v>
      </c>
      <c r="M29" s="36">
        <v>3.4224683657786269E-2</v>
      </c>
      <c r="N29" s="73"/>
      <c r="O29" s="59">
        <v>25</v>
      </c>
      <c r="P29" s="59">
        <v>30</v>
      </c>
      <c r="Q29" s="36">
        <v>1.2492507745163613E-3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3.019117E-3</v>
      </c>
      <c r="E30" s="69">
        <v>32.398337080013796</v>
      </c>
      <c r="F30" s="77"/>
      <c r="G30" s="14" t="str">
        <f t="shared" si="1"/>
        <v>(30, 35]</v>
      </c>
      <c r="H30" s="70">
        <v>0.19896711521945001</v>
      </c>
      <c r="I30" s="36">
        <v>6.0070500000000031E-4</v>
      </c>
      <c r="J30" s="36">
        <v>6.0070499999999901E-4</v>
      </c>
      <c r="K30" s="71">
        <v>600704</v>
      </c>
      <c r="L30" s="36">
        <v>5.9910213090711676E-4</v>
      </c>
      <c r="M30" s="36">
        <v>1.9409912782483319E-2</v>
      </c>
      <c r="N30" s="73"/>
      <c r="O30" s="59">
        <v>30</v>
      </c>
      <c r="P30" s="59">
        <v>35</v>
      </c>
      <c r="Q30" s="36">
        <v>5.9910213090711676E-4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2.2076779999999998E-3</v>
      </c>
      <c r="E31" s="69">
        <v>37.438327690904195</v>
      </c>
      <c r="F31" s="77"/>
      <c r="G31" s="14" t="str">
        <f t="shared" si="1"/>
        <v>(35, 40]</v>
      </c>
      <c r="H31" s="70">
        <v>0.18871909762202599</v>
      </c>
      <c r="I31" s="36">
        <v>4.1663099999999907E-4</v>
      </c>
      <c r="J31" s="36">
        <v>4.1663099999999815E-4</v>
      </c>
      <c r="K31" s="71">
        <v>416630</v>
      </c>
      <c r="L31" s="36">
        <v>4.1551899238199188E-4</v>
      </c>
      <c r="M31" s="36">
        <v>1.5556336198591337E-2</v>
      </c>
      <c r="N31" s="73"/>
      <c r="O31" s="59">
        <v>35</v>
      </c>
      <c r="P31" s="59">
        <v>40</v>
      </c>
      <c r="Q31" s="36">
        <v>4.1551899238199188E-4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1.647354E-3</v>
      </c>
      <c r="E32" s="69">
        <v>42.437275442922413</v>
      </c>
      <c r="F32" s="77"/>
      <c r="G32" s="14" t="str">
        <f t="shared" si="1"/>
        <v>(40, 45]</v>
      </c>
      <c r="H32" s="70">
        <v>0.15505774715088599</v>
      </c>
      <c r="I32" s="36">
        <v>2.5543500000000063E-4</v>
      </c>
      <c r="J32" s="36">
        <v>2.5543500000000009E-4</v>
      </c>
      <c r="K32" s="71">
        <v>255435</v>
      </c>
      <c r="L32" s="36">
        <v>2.5475384350405418E-4</v>
      </c>
      <c r="M32" s="36">
        <v>1.0811059026924698E-2</v>
      </c>
      <c r="N32" s="73"/>
      <c r="O32" s="59">
        <v>40</v>
      </c>
      <c r="P32" s="59">
        <v>45</v>
      </c>
      <c r="Q32" s="36">
        <v>2.5475384350405418E-4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1.231801E-3</v>
      </c>
      <c r="E33" s="69">
        <v>47.460367827270801</v>
      </c>
      <c r="F33" s="77"/>
      <c r="G33" s="14" t="str">
        <f t="shared" si="1"/>
        <v>(45, 50]</v>
      </c>
      <c r="H33" s="70">
        <v>0.17419128576775</v>
      </c>
      <c r="I33" s="36">
        <v>2.1456900000000023E-4</v>
      </c>
      <c r="J33" s="36">
        <v>2.1456899999999974E-4</v>
      </c>
      <c r="K33" s="71">
        <v>214569</v>
      </c>
      <c r="L33" s="36">
        <v>2.1399681894345492E-4</v>
      </c>
      <c r="M33" s="36">
        <v>1.0156367740922243E-2</v>
      </c>
      <c r="N33" s="73"/>
      <c r="O33" s="59">
        <v>45</v>
      </c>
      <c r="P33" s="59">
        <v>50</v>
      </c>
      <c r="Q33" s="36">
        <v>2.1399681894345492E-4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1.7621830000000001E-3</v>
      </c>
      <c r="E34" s="69">
        <v>54.70173080775379</v>
      </c>
      <c r="F34" s="77"/>
      <c r="G34" s="14" t="str">
        <f t="shared" si="1"/>
        <v>(50, 60]</v>
      </c>
      <c r="H34" s="70">
        <v>0.261285575902162</v>
      </c>
      <c r="I34" s="36">
        <v>4.6043299999999957E-4</v>
      </c>
      <c r="J34" s="36">
        <v>4.6043299999999854E-4</v>
      </c>
      <c r="K34" s="71">
        <v>460432</v>
      </c>
      <c r="L34" s="36">
        <v>4.5920418764953388E-4</v>
      </c>
      <c r="M34" s="36">
        <v>2.511926385859806E-2</v>
      </c>
      <c r="N34" s="73"/>
      <c r="O34" s="59">
        <v>50</v>
      </c>
      <c r="P34" s="59">
        <v>60</v>
      </c>
      <c r="Q34" s="36">
        <v>4.5920418764953388E-4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1.1155550000000001E-3</v>
      </c>
      <c r="E35" s="69">
        <v>64.684526984326183</v>
      </c>
      <c r="F35" s="77"/>
      <c r="G35" s="14" t="str">
        <f t="shared" si="1"/>
        <v>(60, 70]</v>
      </c>
      <c r="H35" s="70">
        <v>0.23637113365096299</v>
      </c>
      <c r="I35" s="36">
        <v>2.6368500000000005E-4</v>
      </c>
      <c r="J35" s="36">
        <v>2.6368499999999945E-4</v>
      </c>
      <c r="K35" s="71">
        <v>263684</v>
      </c>
      <c r="L35" s="36">
        <v>2.6298084628388054E-4</v>
      </c>
      <c r="M35" s="36">
        <v>1.7010791647810608E-2</v>
      </c>
      <c r="N35" s="73"/>
      <c r="O35" s="59">
        <v>60</v>
      </c>
      <c r="P35" s="59">
        <v>70</v>
      </c>
      <c r="Q35" s="36">
        <v>2.6298084628388054E-4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7.6576699999999999E-4</v>
      </c>
      <c r="E36" s="69">
        <v>74.831715064765135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5.5210899999999995E-4</v>
      </c>
      <c r="E37" s="69">
        <v>84.768783156949084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3.8498299999999998E-4</v>
      </c>
      <c r="E38" s="69">
        <v>94.820674029762358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5.2597899999999999E-4</v>
      </c>
      <c r="E39" s="69">
        <v>109.28286214848882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3.1033800000000001E-4</v>
      </c>
      <c r="E40" s="69">
        <v>129.13447144726072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1.9965299999999999E-4</v>
      </c>
      <c r="E41" s="69">
        <v>149.5919112159597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1.3623899999999999E-4</v>
      </c>
      <c r="E42" s="69">
        <v>169.34377087324484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8.9017000000000005E-5</v>
      </c>
      <c r="E43" s="69">
        <v>189.41425851241897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1.3427799999999999E-4</v>
      </c>
      <c r="E44" s="69">
        <v>222.3275953618612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6.2285000000000004E-5</v>
      </c>
      <c r="E45" s="69">
        <v>272.26173155655454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3.6356999999999998E-5</v>
      </c>
      <c r="E46" s="69">
        <v>322.7166804191765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ref="A47:A78" si="2">"("&amp;$O47&amp;", "&amp;$P47&amp;"]"</f>
        <v>(350, 400]</v>
      </c>
      <c r="B47" s="75">
        <v>19620</v>
      </c>
      <c r="C47" s="75">
        <v>731097560</v>
      </c>
      <c r="D47" s="36">
        <v>1.9619999999999998E-5</v>
      </c>
      <c r="E47" s="69">
        <v>372.62872579001021</v>
      </c>
      <c r="F47" s="77"/>
      <c r="G47" s="14" t="str">
        <f t="shared" ref="G47:G78" si="3">"("&amp;$O47&amp;", "&amp;$P47&amp;"]"</f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2"/>
        <v>(400, 450]</v>
      </c>
      <c r="B48" s="75">
        <v>11946</v>
      </c>
      <c r="C48" s="75">
        <v>506548265</v>
      </c>
      <c r="D48" s="36">
        <v>1.1946E-5</v>
      </c>
      <c r="E48" s="69">
        <v>424.03169680227694</v>
      </c>
      <c r="F48" s="77"/>
      <c r="G48" s="14" t="str">
        <f t="shared" si="3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2"/>
        <v>(450, 500]</v>
      </c>
      <c r="B49" s="75">
        <v>8650</v>
      </c>
      <c r="C49" s="75">
        <v>409037710</v>
      </c>
      <c r="D49" s="36">
        <v>8.6500000000000002E-6</v>
      </c>
      <c r="E49" s="69">
        <v>472.87596531791911</v>
      </c>
      <c r="F49" s="77"/>
      <c r="G49" s="14" t="str">
        <f t="shared" si="3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2"/>
        <v>(500, 550]</v>
      </c>
      <c r="B50" s="75">
        <v>5172</v>
      </c>
      <c r="C50" s="75">
        <v>270458450</v>
      </c>
      <c r="D50" s="36">
        <v>5.1719999999999998E-6</v>
      </c>
      <c r="E50" s="69">
        <v>522.92817092034022</v>
      </c>
      <c r="F50" s="77"/>
      <c r="G50" s="14" t="str">
        <f t="shared" si="3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2"/>
        <v>(550, 600]</v>
      </c>
      <c r="B51" s="75">
        <v>3564</v>
      </c>
      <c r="C51" s="75">
        <v>204673175</v>
      </c>
      <c r="D51" s="36">
        <v>3.5640000000000001E-6</v>
      </c>
      <c r="E51" s="69">
        <v>574.27939113355785</v>
      </c>
      <c r="F51" s="77"/>
      <c r="G51" s="14" t="str">
        <f t="shared" si="3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2"/>
        <v>(600, 650]</v>
      </c>
      <c r="B52" s="75">
        <v>2635</v>
      </c>
      <c r="C52" s="75">
        <v>164043780</v>
      </c>
      <c r="D52" s="36">
        <v>2.6350000000000002E-6</v>
      </c>
      <c r="E52" s="69">
        <v>622.55703984819729</v>
      </c>
      <c r="F52" s="77"/>
      <c r="G52" s="14" t="str">
        <f t="shared" si="3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2"/>
        <v>(650, 700]</v>
      </c>
      <c r="B53" s="75">
        <v>2071</v>
      </c>
      <c r="C53" s="75">
        <v>139558440</v>
      </c>
      <c r="D53" s="36">
        <v>2.0710000000000002E-6</v>
      </c>
      <c r="E53" s="69">
        <v>673.86982134234665</v>
      </c>
      <c r="F53" s="77"/>
      <c r="G53" s="14" t="str">
        <f t="shared" si="3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2"/>
        <v>(700, 750]</v>
      </c>
      <c r="B54" s="75">
        <v>1406</v>
      </c>
      <c r="C54" s="75">
        <v>101672315</v>
      </c>
      <c r="D54" s="36">
        <v>1.406E-6</v>
      </c>
      <c r="E54" s="69">
        <v>723.13168563300144</v>
      </c>
      <c r="F54" s="77"/>
      <c r="G54" s="14" t="str">
        <f t="shared" si="3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2"/>
        <v>(750, 800]</v>
      </c>
      <c r="B55" s="75">
        <v>1052</v>
      </c>
      <c r="C55" s="75">
        <v>81420500</v>
      </c>
      <c r="D55" s="36">
        <v>1.052E-6</v>
      </c>
      <c r="E55" s="69">
        <v>773.95912547528508</v>
      </c>
      <c r="F55" s="77"/>
      <c r="G55" s="14" t="str">
        <f t="shared" si="3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2"/>
        <v>(800, 850]</v>
      </c>
      <c r="B56" s="75">
        <v>670</v>
      </c>
      <c r="C56" s="75">
        <v>55139855</v>
      </c>
      <c r="D56" s="36">
        <v>6.7000000000000004E-7</v>
      </c>
      <c r="E56" s="69">
        <v>822.98291044776124</v>
      </c>
      <c r="F56" s="77"/>
      <c r="G56" s="14" t="str">
        <f t="shared" si="3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2"/>
        <v>(850, 900]</v>
      </c>
      <c r="B57" s="75">
        <v>615</v>
      </c>
      <c r="C57" s="75">
        <v>53945030</v>
      </c>
      <c r="D57" s="36">
        <v>6.1500000000000004E-7</v>
      </c>
      <c r="E57" s="69">
        <v>877.15495934959358</v>
      </c>
      <c r="F57" s="77"/>
      <c r="G57" s="14" t="str">
        <f t="shared" si="3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2"/>
        <v>(900, 950]</v>
      </c>
      <c r="B58" s="75">
        <v>529</v>
      </c>
      <c r="C58" s="75">
        <v>48772985</v>
      </c>
      <c r="D58" s="36">
        <v>5.2900000000000004E-7</v>
      </c>
      <c r="E58" s="69">
        <v>921.98459357277886</v>
      </c>
      <c r="F58" s="77"/>
      <c r="G58" s="14" t="str">
        <f t="shared" si="3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2"/>
        <v>(950, 1000]</v>
      </c>
      <c r="B59" s="75">
        <v>388</v>
      </c>
      <c r="C59" s="75">
        <v>37807435</v>
      </c>
      <c r="D59" s="36">
        <v>3.8799999999999998E-7</v>
      </c>
      <c r="E59" s="69">
        <v>974.4184278350516</v>
      </c>
      <c r="F59" s="77"/>
      <c r="G59" s="14" t="str">
        <f t="shared" si="3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2"/>
        <v>(1000, 2000]</v>
      </c>
      <c r="B60" s="75">
        <v>1842</v>
      </c>
      <c r="C60" s="75">
        <v>234716490</v>
      </c>
      <c r="D60" s="36">
        <v>1.8419999999999999E-6</v>
      </c>
      <c r="E60" s="69">
        <v>1274.2480456026058</v>
      </c>
      <c r="F60" s="77"/>
      <c r="G60" s="14" t="str">
        <f t="shared" si="3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2"/>
        <v>(2000, 3000]</v>
      </c>
      <c r="B61" s="75">
        <v>135</v>
      </c>
      <c r="C61" s="75">
        <v>31885450</v>
      </c>
      <c r="D61" s="36">
        <v>1.35E-7</v>
      </c>
      <c r="E61" s="69">
        <v>2361.885185185185</v>
      </c>
      <c r="F61" s="77"/>
      <c r="G61" s="14" t="str">
        <f t="shared" si="3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2"/>
        <v>(3000, 4000]</v>
      </c>
      <c r="B62" s="75">
        <v>30</v>
      </c>
      <c r="C62" s="75">
        <v>10026250</v>
      </c>
      <c r="D62" s="36">
        <v>2.9999999999999997E-8</v>
      </c>
      <c r="E62" s="69">
        <v>3342.083333333333</v>
      </c>
      <c r="F62" s="77"/>
      <c r="G62" s="14" t="str">
        <f t="shared" si="3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2"/>
        <v>(4000, 5000]</v>
      </c>
      <c r="B63" s="75">
        <v>5</v>
      </c>
      <c r="C63" s="75">
        <v>2164270</v>
      </c>
      <c r="D63" s="36">
        <v>5.0000000000000001E-9</v>
      </c>
      <c r="E63" s="69">
        <v>4328.54</v>
      </c>
      <c r="F63" s="77"/>
      <c r="G63" s="14" t="str">
        <f t="shared" si="3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2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3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2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3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2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3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2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3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2"/>
        <v>(9000, 10000]</v>
      </c>
      <c r="B68" s="75">
        <v>1</v>
      </c>
      <c r="C68" s="75">
        <v>946050</v>
      </c>
      <c r="D68" s="36">
        <v>1.0000000000000001E-9</v>
      </c>
      <c r="E68" s="69">
        <v>9460.5</v>
      </c>
      <c r="F68" s="77"/>
      <c r="G68" s="14" t="str">
        <f t="shared" si="3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2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3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2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3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2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3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2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3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2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3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2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3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2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3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2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3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2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3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2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3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6.9973149999999996E-3</v>
      </c>
      <c r="E79" s="69">
        <v>8.8144670205643152</v>
      </c>
      <c r="F79" s="77"/>
      <c r="G79" s="14" t="s">
        <v>117</v>
      </c>
      <c r="H79" s="70">
        <v>0.38211756938197</v>
      </c>
      <c r="I79" s="36">
        <v>2.6737969999999995E-3</v>
      </c>
      <c r="J79" s="36">
        <f>I79</f>
        <v>2.6737969999999995E-3</v>
      </c>
      <c r="K79" s="72">
        <v>2673797</v>
      </c>
      <c r="L79" s="36">
        <v>2.6666669113457812E-3</v>
      </c>
      <c r="M79" s="36">
        <v>2.3505247544887493E-2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17" si="4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3.6186737341394521E-3</v>
      </c>
      <c r="E86" s="68" cm="1">
        <f t="array" ref="E86:E149">_xlfn.LET(_xlpm.x, C86:C149/B86:B149/B3, IF(ISERR(_xlpm.x), 0, _xlpm.x))</f>
        <v>0</v>
      </c>
      <c r="G86" s="14" t="str">
        <f t="shared" ref="G86:G117" si="5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4"/>
        <v>(0, 1]</v>
      </c>
      <c r="B87" s="75">
        <v>13519</v>
      </c>
      <c r="C87" s="75">
        <v>830135</v>
      </c>
      <c r="D87" s="36">
        <v>1.932026784559506E-3</v>
      </c>
      <c r="E87" s="69">
        <v>0.61405059545824392</v>
      </c>
      <c r="G87" s="14" t="str">
        <f t="shared" si="5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4"/>
        <v>(1, 2]</v>
      </c>
      <c r="B88" s="75">
        <v>18233</v>
      </c>
      <c r="C88" s="75">
        <v>2846325</v>
      </c>
      <c r="D88" s="36">
        <v>2.6057137630648326E-3</v>
      </c>
      <c r="E88" s="69">
        <v>1.561084297701969</v>
      </c>
      <c r="F88" s="76"/>
      <c r="G88" s="14" t="str">
        <f t="shared" si="5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4"/>
        <v>(2, 3]</v>
      </c>
      <c r="B89" s="75">
        <v>19401</v>
      </c>
      <c r="C89" s="75">
        <v>5010400</v>
      </c>
      <c r="D89" s="36">
        <v>2.7726349321132463E-3</v>
      </c>
      <c r="E89" s="69">
        <v>2.5825472913767333</v>
      </c>
      <c r="F89" s="73"/>
      <c r="G89" s="14" t="str">
        <f t="shared" si="5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4"/>
        <v>(3, 4]</v>
      </c>
      <c r="B90" s="75">
        <v>21192</v>
      </c>
      <c r="C90" s="75">
        <v>7594100</v>
      </c>
      <c r="D90" s="36">
        <v>3.0285902521181339E-3</v>
      </c>
      <c r="E90" s="69">
        <v>3.5834748961872407</v>
      </c>
      <c r="F90" s="73"/>
      <c r="G90" s="14" t="str">
        <f t="shared" si="5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4"/>
        <v>(4, 5]</v>
      </c>
      <c r="B91" s="75">
        <v>22042</v>
      </c>
      <c r="C91" s="75">
        <v>10092500</v>
      </c>
      <c r="D91" s="36">
        <v>3.150065417949599E-3</v>
      </c>
      <c r="E91" s="69">
        <v>4.5787587333272839</v>
      </c>
      <c r="F91" s="73"/>
      <c r="G91" s="14" t="str">
        <f t="shared" si="5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4"/>
        <v>(5, 6]</v>
      </c>
      <c r="B92" s="75">
        <v>24704</v>
      </c>
      <c r="C92" s="75">
        <v>13812490</v>
      </c>
      <c r="D92" s="36">
        <v>3.5304970549417886E-3</v>
      </c>
      <c r="E92" s="69">
        <v>5.5911957577720202</v>
      </c>
      <c r="F92" s="73"/>
      <c r="G92" s="14" t="str">
        <f t="shared" si="5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4"/>
        <v>(6, 7]</v>
      </c>
      <c r="B93" s="75">
        <v>23371</v>
      </c>
      <c r="C93" s="75">
        <v>15361185</v>
      </c>
      <c r="D93" s="36">
        <v>3.3399954125260902E-3</v>
      </c>
      <c r="E93" s="69">
        <v>6.5727546959907581</v>
      </c>
      <c r="F93" s="73"/>
      <c r="G93" s="14" t="str">
        <f t="shared" si="5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4"/>
        <v>(7, 8]</v>
      </c>
      <c r="B94" s="75">
        <v>26882</v>
      </c>
      <c r="C94" s="75">
        <v>20329515</v>
      </c>
      <c r="D94" s="36">
        <v>3.8417593033899431E-3</v>
      </c>
      <c r="E94" s="69">
        <v>7.5625009299903283</v>
      </c>
      <c r="F94" s="73"/>
      <c r="G94" s="14" t="str">
        <f t="shared" si="5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4"/>
        <v>(8, 9]</v>
      </c>
      <c r="B95" s="75">
        <v>27171</v>
      </c>
      <c r="C95" s="75">
        <v>23310120</v>
      </c>
      <c r="D95" s="36">
        <v>3.8830608597726413E-3</v>
      </c>
      <c r="E95" s="69">
        <v>8.5790438334989503</v>
      </c>
      <c r="F95" s="73"/>
      <c r="G95" s="14" t="str">
        <f t="shared" si="5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4"/>
        <v>(9, 10]</v>
      </c>
      <c r="B96" s="75">
        <v>27734</v>
      </c>
      <c r="C96" s="75">
        <v>26563225</v>
      </c>
      <c r="D96" s="36">
        <v>3.9635202931410122E-3</v>
      </c>
      <c r="E96" s="69">
        <v>9.5778557005841201</v>
      </c>
      <c r="F96" s="73"/>
      <c r="G96" s="14" t="str">
        <f t="shared" si="5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4"/>
        <v>(10, 15]</v>
      </c>
      <c r="B97" s="75">
        <v>148515</v>
      </c>
      <c r="C97" s="75">
        <v>187358865</v>
      </c>
      <c r="D97" s="36">
        <v>2.1224569709953033E-2</v>
      </c>
      <c r="E97" s="69">
        <v>12.615484294515706</v>
      </c>
      <c r="F97" s="73"/>
      <c r="G97" s="14" t="str">
        <f t="shared" si="5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4"/>
        <v>(15, 20]</v>
      </c>
      <c r="B98" s="75">
        <v>161740</v>
      </c>
      <c r="C98" s="75">
        <v>284486210</v>
      </c>
      <c r="D98" s="36">
        <v>2.3114580378330831E-2</v>
      </c>
      <c r="E98" s="69">
        <v>17.58910659082478</v>
      </c>
      <c r="F98" s="73"/>
      <c r="G98" s="14" t="str">
        <f t="shared" si="5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4"/>
        <v>(20, 25]</v>
      </c>
      <c r="B99" s="75">
        <v>167105</v>
      </c>
      <c r="C99" s="75">
        <v>377115540</v>
      </c>
      <c r="D99" s="36">
        <v>2.3881303042667081E-2</v>
      </c>
      <c r="E99" s="69">
        <v>22.567579665479787</v>
      </c>
      <c r="F99" s="73"/>
      <c r="G99" s="14" t="str">
        <f t="shared" si="5"/>
        <v>(20, 25]</v>
      </c>
      <c r="H99" s="70">
        <v>2.3771316371880853</v>
      </c>
      <c r="I99" s="36">
        <v>5.6769000999999999E-2</v>
      </c>
      <c r="J99" s="36">
        <v>5.6769001000000006E-2</v>
      </c>
      <c r="K99" s="71">
        <v>56769001</v>
      </c>
      <c r="L99" s="36">
        <v>5.6769000999999999E-2</v>
      </c>
      <c r="M99" s="36">
        <v>1.2811389525972017</v>
      </c>
      <c r="N99" s="73"/>
      <c r="O99" s="59">
        <v>20</v>
      </c>
      <c r="P99" s="59">
        <v>25</v>
      </c>
      <c r="Q99" s="36">
        <v>5.6769000999999999E-2</v>
      </c>
      <c r="R99" s="36">
        <v>2.069E-2</v>
      </c>
      <c r="T99" s="36"/>
      <c r="U99" s="74">
        <v>0</v>
      </c>
    </row>
    <row r="100" spans="1:21" x14ac:dyDescent="0.3">
      <c r="A100" s="14" t="str">
        <f t="shared" si="4"/>
        <v>(25, 30]</v>
      </c>
      <c r="B100" s="75">
        <v>172723</v>
      </c>
      <c r="C100" s="75">
        <v>476161855</v>
      </c>
      <c r="D100" s="36">
        <v>2.4684182432833164E-2</v>
      </c>
      <c r="E100" s="69">
        <v>27.567947233431564</v>
      </c>
      <c r="F100" s="73"/>
      <c r="G100" s="14" t="str">
        <f t="shared" si="5"/>
        <v>(25, 30]</v>
      </c>
      <c r="H100" s="70">
        <v>6.0767254661220571</v>
      </c>
      <c r="I100" s="36">
        <v>0.14999899999999999</v>
      </c>
      <c r="J100" s="36">
        <v>0.14999900000000002</v>
      </c>
      <c r="K100" s="71">
        <v>149999000</v>
      </c>
      <c r="L100" s="36">
        <v>0.14999899999999999</v>
      </c>
      <c r="M100" s="36">
        <v>4.1351645170675013</v>
      </c>
      <c r="N100" s="73"/>
      <c r="O100" s="59">
        <v>25</v>
      </c>
      <c r="P100" s="59">
        <v>30</v>
      </c>
      <c r="Q100" s="36">
        <v>0.14999899999999999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4"/>
        <v>(30, 35]</v>
      </c>
      <c r="B101" s="75">
        <v>171647</v>
      </c>
      <c r="C101" s="75">
        <v>558840920</v>
      </c>
      <c r="D101" s="36">
        <v>2.4530409164086511E-2</v>
      </c>
      <c r="E101" s="69">
        <v>32.557569896357059</v>
      </c>
      <c r="F101" s="73"/>
      <c r="G101" s="14" t="str">
        <f t="shared" si="5"/>
        <v>(30, 35]</v>
      </c>
      <c r="H101" s="70">
        <v>3.2582452850813008</v>
      </c>
      <c r="I101" s="36">
        <v>7.9926090000000005E-2</v>
      </c>
      <c r="J101" s="36">
        <v>7.9926090000000019E-2</v>
      </c>
      <c r="K101" s="71">
        <v>79926090</v>
      </c>
      <c r="L101" s="36">
        <v>7.9926090000000005E-2</v>
      </c>
      <c r="M101" s="36">
        <v>2.6021992617175251</v>
      </c>
      <c r="N101" s="73"/>
      <c r="O101" s="59">
        <v>30</v>
      </c>
      <c r="P101" s="59">
        <v>35</v>
      </c>
      <c r="Q101" s="36">
        <v>7.9926090000000005E-2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4"/>
        <v>(35, 40]</v>
      </c>
      <c r="B102" s="75">
        <v>172745</v>
      </c>
      <c r="C102" s="75">
        <v>648716530</v>
      </c>
      <c r="D102" s="36">
        <v>2.4687326495948802E-2</v>
      </c>
      <c r="E102" s="69">
        <v>37.553418622825554</v>
      </c>
      <c r="F102" s="73"/>
      <c r="G102" s="14" t="str">
        <f t="shared" si="5"/>
        <v>(35, 40]</v>
      </c>
      <c r="H102" s="70">
        <v>5.3531687613758718</v>
      </c>
      <c r="I102" s="36">
        <v>0.13215542499999999</v>
      </c>
      <c r="J102" s="36">
        <v>0.13215542500000002</v>
      </c>
      <c r="K102" s="71">
        <v>132155425</v>
      </c>
      <c r="L102" s="36">
        <v>0.13215542499999999</v>
      </c>
      <c r="M102" s="36">
        <v>4.9628879983024259</v>
      </c>
      <c r="N102" s="73"/>
      <c r="O102" s="59">
        <v>35</v>
      </c>
      <c r="P102" s="59">
        <v>40</v>
      </c>
      <c r="Q102" s="36">
        <v>0.13215542499999999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4"/>
        <v>(40, 45]</v>
      </c>
      <c r="B103" s="75">
        <v>170232</v>
      </c>
      <c r="C103" s="75">
        <v>724358025</v>
      </c>
      <c r="D103" s="36">
        <v>2.432818874096707E-2</v>
      </c>
      <c r="E103" s="69">
        <v>42.551225680248137</v>
      </c>
      <c r="F103" s="73"/>
      <c r="G103" s="14" t="str">
        <f t="shared" si="5"/>
        <v>(40, 45]</v>
      </c>
      <c r="H103" s="70">
        <v>4.4344868887971129</v>
      </c>
      <c r="I103" s="36">
        <v>0.10788303400000002</v>
      </c>
      <c r="J103" s="36">
        <v>0.10788303400000003</v>
      </c>
      <c r="K103" s="71">
        <v>107883034</v>
      </c>
      <c r="L103" s="36">
        <v>0.107883034</v>
      </c>
      <c r="M103" s="36">
        <v>4.5905553268038828</v>
      </c>
      <c r="N103" s="73"/>
      <c r="O103" s="59">
        <v>40</v>
      </c>
      <c r="P103" s="59">
        <v>45</v>
      </c>
      <c r="Q103" s="36">
        <v>0.107883034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4"/>
        <v>(45, 50]</v>
      </c>
      <c r="B104" s="75">
        <v>168045</v>
      </c>
      <c r="C104" s="75">
        <v>798977350</v>
      </c>
      <c r="D104" s="36">
        <v>2.40156402848807E-2</v>
      </c>
      <c r="E104" s="69">
        <v>47.545440209467706</v>
      </c>
      <c r="F104" s="73"/>
      <c r="G104" s="14" t="str">
        <f t="shared" si="5"/>
        <v>(45, 50]</v>
      </c>
      <c r="H104" s="70">
        <v>3.610951778562201</v>
      </c>
      <c r="I104" s="36">
        <v>8.6719319000000003E-2</v>
      </c>
      <c r="J104" s="36">
        <v>8.6719319000000017E-2</v>
      </c>
      <c r="K104" s="71">
        <v>86719319</v>
      </c>
      <c r="L104" s="36">
        <v>8.6719319000000003E-2</v>
      </c>
      <c r="M104" s="36">
        <v>4.1231081965202572</v>
      </c>
      <c r="N104" s="73"/>
      <c r="O104" s="59">
        <v>45</v>
      </c>
      <c r="P104" s="59">
        <v>50</v>
      </c>
      <c r="Q104" s="36">
        <v>8.6719319000000003E-2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4"/>
        <v>(50, 60]</v>
      </c>
      <c r="B105" s="75">
        <v>323672</v>
      </c>
      <c r="C105" s="75">
        <v>1780620765</v>
      </c>
      <c r="D105" s="36">
        <v>4.6256599852943593E-2</v>
      </c>
      <c r="E105" s="69">
        <v>55.013123316196641</v>
      </c>
      <c r="F105" s="73"/>
      <c r="G105" s="14" t="str">
        <f t="shared" si="5"/>
        <v>(50, 60]</v>
      </c>
      <c r="H105" s="70">
        <v>1.6496649827828636</v>
      </c>
      <c r="I105" s="36">
        <v>7.6307893000000002E-2</v>
      </c>
      <c r="J105" s="36">
        <v>7.6307893000000016E-2</v>
      </c>
      <c r="K105" s="71">
        <v>76307893</v>
      </c>
      <c r="L105" s="36">
        <v>7.6307893000000002E-2</v>
      </c>
      <c r="M105" s="36">
        <v>4.1979355276081387</v>
      </c>
      <c r="N105" s="73"/>
      <c r="O105" s="59">
        <v>50</v>
      </c>
      <c r="P105" s="59">
        <v>60</v>
      </c>
      <c r="Q105" s="36">
        <v>7.6307893000000002E-2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4"/>
        <v>(60, 70]</v>
      </c>
      <c r="B106" s="75">
        <v>306735</v>
      </c>
      <c r="C106" s="75">
        <v>1993992090</v>
      </c>
      <c r="D106" s="36">
        <v>4.3836099989781795E-2</v>
      </c>
      <c r="E106" s="69">
        <v>65.006995941121815</v>
      </c>
      <c r="F106" s="73"/>
      <c r="G106" s="14" t="str">
        <f t="shared" si="5"/>
        <v>(60, 70]</v>
      </c>
      <c r="H106" s="70">
        <v>2.0946504826251324</v>
      </c>
      <c r="I106" s="36">
        <v>9.1821308000000004E-2</v>
      </c>
      <c r="J106" s="36">
        <v>9.1821308000000018E-2</v>
      </c>
      <c r="K106" s="71">
        <v>91821308</v>
      </c>
      <c r="L106" s="36">
        <v>9.1821308000000004E-2</v>
      </c>
      <c r="M106" s="36">
        <v>5.9690273964644964</v>
      </c>
      <c r="N106" s="73"/>
      <c r="O106" s="59">
        <v>60</v>
      </c>
      <c r="P106" s="59">
        <v>70</v>
      </c>
      <c r="Q106" s="36">
        <v>9.1821308000000004E-2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4"/>
        <v>(70, 80]</v>
      </c>
      <c r="B107" s="75">
        <v>291160</v>
      </c>
      <c r="C107" s="75">
        <v>2183653920</v>
      </c>
      <c r="D107" s="36">
        <v>4.1610246215869943E-2</v>
      </c>
      <c r="E107" s="69">
        <v>74.998417365022675</v>
      </c>
      <c r="F107" s="73"/>
      <c r="G107" s="14" t="str">
        <f t="shared" si="5"/>
        <v>(70, 80]</v>
      </c>
      <c r="H107" s="70">
        <v>0.92843747666327792</v>
      </c>
      <c r="I107" s="36">
        <v>3.8632512000000001E-2</v>
      </c>
      <c r="J107" s="36">
        <v>3.8632512000000008E-2</v>
      </c>
      <c r="K107" s="71">
        <v>38632512</v>
      </c>
      <c r="L107" s="36">
        <v>3.8632512000000001E-2</v>
      </c>
      <c r="M107" s="36">
        <v>2.8973772588352471</v>
      </c>
      <c r="N107" s="73"/>
      <c r="O107" s="59">
        <v>70</v>
      </c>
      <c r="P107" s="59">
        <v>80</v>
      </c>
      <c r="Q107" s="36">
        <v>3.8632512000000001E-2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4"/>
        <v>(80, 90]</v>
      </c>
      <c r="B108" s="75">
        <v>272219</v>
      </c>
      <c r="C108" s="75">
        <v>2313514660</v>
      </c>
      <c r="D108" s="36">
        <v>3.8903350785265488E-2</v>
      </c>
      <c r="E108" s="69">
        <v>84.987258787961167</v>
      </c>
      <c r="F108" s="73"/>
      <c r="G108" s="14" t="str">
        <f t="shared" si="5"/>
        <v>(80, 90]</v>
      </c>
      <c r="H108" s="70">
        <v>1.6694872212549638</v>
      </c>
      <c r="I108" s="36">
        <v>6.4948646999999998E-2</v>
      </c>
      <c r="J108" s="36">
        <v>6.4948647000000012E-2</v>
      </c>
      <c r="K108" s="71">
        <v>64948647</v>
      </c>
      <c r="L108" s="36">
        <v>6.4948646999999998E-2</v>
      </c>
      <c r="M108" s="36">
        <v>5.5198074705169375</v>
      </c>
      <c r="N108" s="73"/>
      <c r="O108" s="59">
        <v>80</v>
      </c>
      <c r="P108" s="59">
        <v>90</v>
      </c>
      <c r="Q108" s="36">
        <v>6.4948646999999998E-2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4"/>
        <v>(90, 100]</v>
      </c>
      <c r="B109" s="75">
        <v>253675</v>
      </c>
      <c r="C109" s="75">
        <v>2409933070</v>
      </c>
      <c r="D109" s="36">
        <v>3.625319140270232E-2</v>
      </c>
      <c r="E109" s="69">
        <v>95.000810880063071</v>
      </c>
      <c r="F109" s="73"/>
      <c r="G109" s="14" t="str">
        <f t="shared" si="5"/>
        <v>(90, 100]</v>
      </c>
      <c r="H109" s="81">
        <v>0.60177477225836207</v>
      </c>
      <c r="I109" s="79">
        <v>2.1816255999999999E-2</v>
      </c>
      <c r="J109" s="79">
        <v>2.1816256000000003E-2</v>
      </c>
      <c r="K109" s="71">
        <v>21816256</v>
      </c>
      <c r="L109" s="79">
        <v>2.1816255999999999E-2</v>
      </c>
      <c r="M109" s="79">
        <v>2.072562010367041</v>
      </c>
      <c r="N109" s="73"/>
      <c r="O109" s="59">
        <v>90</v>
      </c>
      <c r="P109" s="59">
        <v>100</v>
      </c>
      <c r="Q109" s="36">
        <v>2.1816255999999999E-2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4"/>
        <v>(100, 120]</v>
      </c>
      <c r="B110" s="75">
        <v>456793</v>
      </c>
      <c r="C110" s="75">
        <v>5017102950</v>
      </c>
      <c r="D110" s="36">
        <v>6.5281182853708888E-2</v>
      </c>
      <c r="E110" s="69">
        <v>109.83318373968078</v>
      </c>
      <c r="F110" s="73"/>
      <c r="G110" s="14" t="str">
        <f t="shared" si="5"/>
        <v>(100, 120]</v>
      </c>
      <c r="H110" s="81">
        <v>0.64256859582342551</v>
      </c>
      <c r="I110" s="79">
        <v>4.1947638000000002E-2</v>
      </c>
      <c r="J110" s="79">
        <v>4.1947638000000009E-2</v>
      </c>
      <c r="K110" s="71">
        <v>41947638</v>
      </c>
      <c r="L110" s="79">
        <v>4.1947638000000002E-2</v>
      </c>
      <c r="M110" s="79">
        <v>4.6072426318996156</v>
      </c>
      <c r="N110" s="73"/>
      <c r="O110" s="59">
        <v>100</v>
      </c>
      <c r="P110" s="59">
        <v>120</v>
      </c>
      <c r="Q110" s="36">
        <v>4.1947638000000002E-2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4"/>
        <v>(120, 140]</v>
      </c>
      <c r="B111" s="75">
        <v>395813</v>
      </c>
      <c r="C111" s="75">
        <v>5138166890</v>
      </c>
      <c r="D111" s="36">
        <v>5.6566411544999758E-2</v>
      </c>
      <c r="E111" s="69">
        <v>129.81298971989298</v>
      </c>
      <c r="F111" s="73"/>
      <c r="G111" s="14" t="str">
        <f t="shared" si="5"/>
        <v>(120, 140]</v>
      </c>
      <c r="H111" s="81">
        <v>0.207525573558107</v>
      </c>
      <c r="I111" s="79">
        <v>1.1738976999999999E-2</v>
      </c>
      <c r="J111" s="79">
        <v>1.1738977000000001E-2</v>
      </c>
      <c r="K111" s="71">
        <v>11738977</v>
      </c>
      <c r="L111" s="79">
        <v>1.1738976999999999E-2</v>
      </c>
      <c r="M111" s="79">
        <v>1.52387170062306</v>
      </c>
      <c r="N111" s="73"/>
      <c r="O111" s="59">
        <v>120</v>
      </c>
      <c r="P111" s="59">
        <v>140</v>
      </c>
      <c r="Q111" s="36">
        <v>1.1738976999999999E-2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4"/>
        <v>(140, 160]</v>
      </c>
      <c r="B112" s="75">
        <v>343531</v>
      </c>
      <c r="C112" s="75">
        <v>5146233665</v>
      </c>
      <c r="D112" s="36">
        <v>4.909468846264603E-2</v>
      </c>
      <c r="E112" s="69">
        <v>149.80405451036441</v>
      </c>
      <c r="F112" s="73"/>
      <c r="G112" s="14" t="str">
        <f t="shared" si="5"/>
        <v>(140, 160]</v>
      </c>
      <c r="H112" s="81">
        <v>0.29125004043725311</v>
      </c>
      <c r="I112" s="79">
        <v>1.429883E-2</v>
      </c>
      <c r="J112" s="79">
        <v>1.4298830000000002E-2</v>
      </c>
      <c r="K112" s="71">
        <v>14298830</v>
      </c>
      <c r="L112" s="79">
        <v>1.429883E-2</v>
      </c>
      <c r="M112" s="79">
        <v>2.1420227087544341</v>
      </c>
      <c r="N112" s="73"/>
      <c r="O112" s="59">
        <v>140</v>
      </c>
      <c r="P112" s="59">
        <v>160</v>
      </c>
      <c r="Q112" s="36">
        <v>1.429883E-2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4"/>
        <v>(160, 180]</v>
      </c>
      <c r="B113" s="75">
        <v>298628</v>
      </c>
      <c r="C113" s="75">
        <v>5070946225</v>
      </c>
      <c r="D113" s="36">
        <v>4.2677512731669219E-2</v>
      </c>
      <c r="E113" s="69">
        <v>169.8081300146001</v>
      </c>
      <c r="F113" s="73"/>
      <c r="G113" s="14" t="str">
        <f t="shared" si="5"/>
        <v>(160, 180]</v>
      </c>
      <c r="H113" s="81">
        <v>0.13220144846476217</v>
      </c>
      <c r="I113" s="79">
        <v>5.6420289999999998E-3</v>
      </c>
      <c r="J113" s="79">
        <v>5.6420290000000007E-3</v>
      </c>
      <c r="K113" s="71">
        <v>5642029</v>
      </c>
      <c r="L113" s="79">
        <v>5.6420289999999998E-3</v>
      </c>
      <c r="M113" s="79">
        <v>0.95806239397814408</v>
      </c>
      <c r="N113" s="73"/>
      <c r="O113" s="59">
        <v>160</v>
      </c>
      <c r="P113" s="59">
        <v>180</v>
      </c>
      <c r="Q113" s="36">
        <v>5.6420289999999998E-3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4"/>
        <v>(180, 200]</v>
      </c>
      <c r="B114" s="75">
        <v>258337</v>
      </c>
      <c r="C114" s="75">
        <v>4903415715</v>
      </c>
      <c r="D114" s="36">
        <v>3.6919446959297962E-2</v>
      </c>
      <c r="E114" s="69">
        <v>189.80694654656517</v>
      </c>
      <c r="F114" s="73"/>
      <c r="G114" s="14" t="str">
        <f t="shared" si="5"/>
        <v>(180, 200]</v>
      </c>
      <c r="H114" s="81">
        <v>0.13086357998066478</v>
      </c>
      <c r="I114" s="79">
        <v>4.8314109999999999E-3</v>
      </c>
      <c r="J114" s="79">
        <v>4.8314110000000007E-3</v>
      </c>
      <c r="K114" s="71">
        <v>4831411</v>
      </c>
      <c r="L114" s="79">
        <v>4.8314109999999999E-3</v>
      </c>
      <c r="M114" s="79">
        <v>0.917035369421487</v>
      </c>
      <c r="N114" s="73"/>
      <c r="O114" s="59">
        <v>180</v>
      </c>
      <c r="P114" s="59">
        <v>200</v>
      </c>
      <c r="Q114" s="36">
        <v>4.8314109999999999E-3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4"/>
        <v>(200, 250]</v>
      </c>
      <c r="B115" s="75">
        <v>513423</v>
      </c>
      <c r="C115" s="75">
        <v>11482735530</v>
      </c>
      <c r="D115" s="36">
        <v>7.3374287137280517E-2</v>
      </c>
      <c r="E115" s="69">
        <v>223.65058694293009</v>
      </c>
      <c r="F115" s="73"/>
      <c r="G115" s="14" t="str">
        <f t="shared" si="5"/>
        <v>(200, 250]</v>
      </c>
      <c r="H115" s="81">
        <v>2.4811784496029589E-2</v>
      </c>
      <c r="I115" s="79">
        <v>1.8205470000000001E-3</v>
      </c>
      <c r="J115" s="79">
        <v>1.8205470000000003E-3</v>
      </c>
      <c r="K115" s="71">
        <v>1820547</v>
      </c>
      <c r="L115" s="79">
        <v>1.8205470000000001E-3</v>
      </c>
      <c r="M115" s="79">
        <v>0.40716640510719054</v>
      </c>
      <c r="N115" s="73"/>
      <c r="O115" s="59">
        <v>200</v>
      </c>
      <c r="P115" s="59">
        <v>250</v>
      </c>
      <c r="Q115" s="36">
        <v>1.8205470000000001E-3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4"/>
        <v>(250, 300]</v>
      </c>
      <c r="B116" s="75">
        <v>370638</v>
      </c>
      <c r="C116" s="75">
        <v>10146620445</v>
      </c>
      <c r="D116" s="36">
        <v>5.2968602956991358E-2</v>
      </c>
      <c r="E116" s="69">
        <v>273.76093236527288</v>
      </c>
      <c r="F116" s="73"/>
      <c r="G116" s="14" t="str">
        <f t="shared" si="5"/>
        <v>(250, 300]</v>
      </c>
      <c r="H116" s="81">
        <v>2.9117664312428841E-2</v>
      </c>
      <c r="I116" s="79">
        <v>1.5423220000000001E-3</v>
      </c>
      <c r="J116" s="79">
        <v>1.5423220000000003E-3</v>
      </c>
      <c r="K116" s="71">
        <v>1542322</v>
      </c>
      <c r="L116" s="79">
        <v>1.5423220000000001E-3</v>
      </c>
      <c r="M116" s="79">
        <v>0.42222750872747239</v>
      </c>
      <c r="N116" s="73"/>
      <c r="O116" s="59">
        <v>250</v>
      </c>
      <c r="P116" s="59">
        <v>300</v>
      </c>
      <c r="Q116" s="36">
        <v>1.5423220000000001E-3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4"/>
        <v>(300, 350]</v>
      </c>
      <c r="B117" s="75">
        <v>274053</v>
      </c>
      <c r="C117" s="75">
        <v>8873479165</v>
      </c>
      <c r="D117" s="36">
        <v>3.9165451319541855E-2</v>
      </c>
      <c r="E117" s="69">
        <v>323.78697423491076</v>
      </c>
      <c r="F117" s="73"/>
      <c r="G117" s="14" t="str">
        <f t="shared" si="5"/>
        <v>(300, 350]</v>
      </c>
      <c r="H117" s="81">
        <v>3.4324920426213171E-2</v>
      </c>
      <c r="I117" s="79">
        <v>1.3443509999999997E-3</v>
      </c>
      <c r="J117" s="79">
        <v>1.3443509999999999E-3</v>
      </c>
      <c r="K117" s="71">
        <v>1344351</v>
      </c>
      <c r="L117" s="79">
        <v>1.3443509999999999E-3</v>
      </c>
      <c r="M117" s="79">
        <v>0.43528334259967649</v>
      </c>
      <c r="N117" s="73"/>
      <c r="O117" s="59">
        <v>300</v>
      </c>
      <c r="P117" s="59">
        <v>350</v>
      </c>
      <c r="Q117" s="36">
        <v>1.3443509999999999E-3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ref="A118:A149" si="6">"("&amp;$O118&amp;", "&amp;$P118&amp;"]"</f>
        <v>(350, 400]</v>
      </c>
      <c r="B118" s="75">
        <v>205430</v>
      </c>
      <c r="C118" s="75">
        <v>7680838935</v>
      </c>
      <c r="D118" s="36">
        <v>2.9358403902068151E-2</v>
      </c>
      <c r="E118" s="69">
        <v>373.89081122523487</v>
      </c>
      <c r="F118" s="73"/>
      <c r="G118" s="14" t="str">
        <f t="shared" ref="G118:G149" si="7">"("&amp;$O118&amp;", "&amp;$P118&amp;"]"</f>
        <v>(350, 400]</v>
      </c>
      <c r="H118" s="81">
        <v>4.0665357830161127E-2</v>
      </c>
      <c r="I118" s="79">
        <v>1.1938700000000001E-3</v>
      </c>
      <c r="J118" s="79">
        <v>1.1938700000000003E-3</v>
      </c>
      <c r="K118" s="71">
        <v>1193870</v>
      </c>
      <c r="L118" s="79">
        <v>1.1938700000000001E-3</v>
      </c>
      <c r="M118" s="79">
        <v>0.44637702279747121</v>
      </c>
      <c r="N118" s="73"/>
      <c r="O118" s="59">
        <v>350</v>
      </c>
      <c r="P118" s="59">
        <v>400</v>
      </c>
      <c r="Q118" s="36">
        <v>1.1938700000000001E-3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6"/>
        <v>(400, 450]</v>
      </c>
      <c r="B119" s="75">
        <v>155982</v>
      </c>
      <c r="C119" s="75">
        <v>6612380765</v>
      </c>
      <c r="D119" s="36">
        <v>2.2291693313792504E-2</v>
      </c>
      <c r="E119" s="69">
        <v>423.91947564462566</v>
      </c>
      <c r="F119" s="73"/>
      <c r="G119" s="14" t="str">
        <f t="shared" si="7"/>
        <v>(400, 450]</v>
      </c>
      <c r="H119" s="81">
        <v>4.8199658270697908E-2</v>
      </c>
      <c r="I119" s="79">
        <v>1.074452E-3</v>
      </c>
      <c r="J119" s="79">
        <v>1.0744520000000003E-3</v>
      </c>
      <c r="K119" s="71">
        <v>1074452</v>
      </c>
      <c r="L119" s="79">
        <v>1.074452E-3</v>
      </c>
      <c r="M119" s="79">
        <v>0.45548112844531935</v>
      </c>
      <c r="N119" s="73"/>
      <c r="O119" s="59">
        <v>400</v>
      </c>
      <c r="P119" s="59">
        <v>450</v>
      </c>
      <c r="Q119" s="36">
        <v>1.074452E-3</v>
      </c>
      <c r="R119" s="36">
        <v>0</v>
      </c>
      <c r="T119" s="36"/>
      <c r="U119" s="74">
        <v>0</v>
      </c>
    </row>
    <row r="120" spans="1:21" x14ac:dyDescent="0.3">
      <c r="A120" s="14" t="str">
        <f t="shared" si="6"/>
        <v>(450, 500]</v>
      </c>
      <c r="B120" s="75">
        <v>121473</v>
      </c>
      <c r="C120" s="75">
        <v>5758476855</v>
      </c>
      <c r="D120" s="36">
        <v>1.7359944492994814E-2</v>
      </c>
      <c r="E120" s="69">
        <v>474.05405769183278</v>
      </c>
      <c r="F120" s="73"/>
      <c r="G120" s="14" t="str">
        <f t="shared" si="7"/>
        <v>(450, 500]</v>
      </c>
      <c r="H120" s="81">
        <v>5.6214407851003928E-2</v>
      </c>
      <c r="I120" s="79">
        <v>9.7587900000000003E-4</v>
      </c>
      <c r="J120" s="79">
        <v>9.7587900000000013E-4</v>
      </c>
      <c r="K120" s="71">
        <v>975879</v>
      </c>
      <c r="L120" s="79">
        <v>9.7587900000000003E-4</v>
      </c>
      <c r="M120" s="79">
        <v>0.46261939976624811</v>
      </c>
      <c r="N120" s="73"/>
      <c r="O120" s="59">
        <v>450</v>
      </c>
      <c r="P120" s="59">
        <v>500</v>
      </c>
      <c r="Q120" s="36">
        <v>9.7587900000000003E-4</v>
      </c>
      <c r="R120" s="36">
        <v>0</v>
      </c>
      <c r="T120" s="36"/>
      <c r="U120" s="74">
        <v>0</v>
      </c>
    </row>
    <row r="121" spans="1:21" x14ac:dyDescent="0.3">
      <c r="A121" s="14" t="str">
        <f t="shared" si="6"/>
        <v>(500, 550]</v>
      </c>
      <c r="B121" s="75">
        <v>95846</v>
      </c>
      <c r="C121" s="75">
        <v>5022192925</v>
      </c>
      <c r="D121" s="36">
        <v>1.3697539699156033E-2</v>
      </c>
      <c r="E121" s="69">
        <v>523.98565667842161</v>
      </c>
      <c r="F121" s="73"/>
      <c r="G121" s="14" t="str">
        <f t="shared" si="7"/>
        <v>(500, 550]</v>
      </c>
      <c r="H121" s="81">
        <v>6.5171338766406531E-2</v>
      </c>
      <c r="I121" s="79">
        <v>8.9268700000000008E-4</v>
      </c>
      <c r="J121" s="79">
        <v>8.9268700000000019E-4</v>
      </c>
      <c r="K121" s="71">
        <v>892687</v>
      </c>
      <c r="L121" s="79">
        <v>8.9268699999999997E-4</v>
      </c>
      <c r="M121" s="79">
        <v>0.46775518390329013</v>
      </c>
      <c r="N121" s="73"/>
      <c r="O121" s="59">
        <v>500</v>
      </c>
      <c r="P121" s="59">
        <v>550</v>
      </c>
      <c r="Q121" s="36">
        <v>8.9268699999999997E-4</v>
      </c>
      <c r="R121" s="36">
        <v>0</v>
      </c>
      <c r="T121" s="36"/>
      <c r="U121" s="74">
        <v>0</v>
      </c>
    </row>
    <row r="122" spans="1:21" x14ac:dyDescent="0.3">
      <c r="A122" s="14" t="str">
        <f t="shared" si="6"/>
        <v>(550, 600]</v>
      </c>
      <c r="B122" s="75">
        <v>76191</v>
      </c>
      <c r="C122" s="75">
        <v>4374443840</v>
      </c>
      <c r="D122" s="36">
        <v>1.0888605129253149E-2</v>
      </c>
      <c r="E122" s="69">
        <v>574.14180677507841</v>
      </c>
      <c r="F122" s="73"/>
      <c r="G122" s="14" t="str">
        <f t="shared" si="7"/>
        <v>(550, 600]</v>
      </c>
      <c r="H122" s="70">
        <v>7.5330218174259431E-2</v>
      </c>
      <c r="I122" s="36">
        <v>8.2024099999999998E-4</v>
      </c>
      <c r="J122" s="36">
        <v>8.2024100000000009E-4</v>
      </c>
      <c r="K122" s="71">
        <v>820241</v>
      </c>
      <c r="L122" s="36">
        <v>8.2024099999999998E-4</v>
      </c>
      <c r="M122" s="36">
        <v>0.47093464973099708</v>
      </c>
      <c r="N122" s="73"/>
      <c r="O122" s="59">
        <v>550</v>
      </c>
      <c r="P122" s="59">
        <v>600</v>
      </c>
      <c r="Q122" s="36">
        <v>8.2024099999999998E-4</v>
      </c>
      <c r="R122" s="36">
        <v>0</v>
      </c>
      <c r="T122" s="36"/>
      <c r="U122" s="74">
        <v>0</v>
      </c>
    </row>
    <row r="123" spans="1:21" x14ac:dyDescent="0.3">
      <c r="A123" s="14" t="str">
        <f t="shared" si="6"/>
        <v>(600, 650]</v>
      </c>
      <c r="B123" s="75">
        <v>61071</v>
      </c>
      <c r="C123" s="75">
        <v>3811243745</v>
      </c>
      <c r="D123" s="36">
        <v>8.727776297051083E-3</v>
      </c>
      <c r="E123" s="69">
        <v>624.0676826971885</v>
      </c>
      <c r="F123" s="73"/>
      <c r="G123" s="14" t="str">
        <f t="shared" si="7"/>
        <v>(600, 650]</v>
      </c>
      <c r="H123" s="70">
        <v>8.6680842204401434E-2</v>
      </c>
      <c r="I123" s="36">
        <v>7.5653099999999996E-4</v>
      </c>
      <c r="J123" s="36">
        <v>7.5653100000000007E-4</v>
      </c>
      <c r="K123" s="71">
        <v>756531</v>
      </c>
      <c r="L123" s="36">
        <v>7.5653099999999996E-4</v>
      </c>
      <c r="M123" s="36">
        <v>0.47212654805858667</v>
      </c>
      <c r="N123" s="73"/>
      <c r="O123" s="59">
        <v>600</v>
      </c>
      <c r="P123" s="59">
        <v>650</v>
      </c>
      <c r="Q123" s="36">
        <v>7.5653099999999996E-4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6"/>
        <v>(650, 700]</v>
      </c>
      <c r="B124" s="75">
        <v>49505</v>
      </c>
      <c r="C124" s="75">
        <v>3337761550</v>
      </c>
      <c r="D124" s="36">
        <v>7.0748565699843436E-3</v>
      </c>
      <c r="E124" s="69">
        <v>674.22715887284107</v>
      </c>
      <c r="F124" s="73"/>
      <c r="G124" s="14" t="str">
        <f t="shared" si="7"/>
        <v>(650, 700]</v>
      </c>
      <c r="H124" s="70">
        <v>9.8813451987981013E-2</v>
      </c>
      <c r="I124" s="36">
        <v>6.9909099999999999E-4</v>
      </c>
      <c r="J124" s="36">
        <v>6.990910000000001E-4</v>
      </c>
      <c r="K124" s="71">
        <v>699091</v>
      </c>
      <c r="L124" s="36">
        <v>6.9909099999999999E-4</v>
      </c>
      <c r="M124" s="36">
        <v>0.47134613872357334</v>
      </c>
      <c r="N124" s="73"/>
      <c r="O124" s="59">
        <v>650</v>
      </c>
      <c r="P124" s="59">
        <v>700</v>
      </c>
      <c r="Q124" s="36">
        <v>6.9909099999999999E-4</v>
      </c>
      <c r="R124" s="36">
        <v>0</v>
      </c>
      <c r="T124" s="36"/>
      <c r="U124" s="74">
        <v>0</v>
      </c>
    </row>
    <row r="125" spans="1:21" x14ac:dyDescent="0.3">
      <c r="A125" s="14" t="str">
        <f t="shared" si="6"/>
        <v>(700, 750]</v>
      </c>
      <c r="B125" s="75">
        <v>40886</v>
      </c>
      <c r="C125" s="75">
        <v>2961427510</v>
      </c>
      <c r="D125" s="36">
        <v>5.8430983884532857E-3</v>
      </c>
      <c r="E125" s="69">
        <v>724.3133370835983</v>
      </c>
      <c r="F125" s="73"/>
      <c r="G125" s="14" t="str">
        <f t="shared" si="7"/>
        <v>(700, 750]</v>
      </c>
      <c r="H125" s="70">
        <v>0.11071625993469647</v>
      </c>
      <c r="I125" s="36">
        <v>6.4692600000000003E-4</v>
      </c>
      <c r="J125" s="36">
        <v>6.4692600000000014E-4</v>
      </c>
      <c r="K125" s="71">
        <v>646926</v>
      </c>
      <c r="L125" s="36">
        <v>6.4692600000000003E-4</v>
      </c>
      <c r="M125" s="36">
        <v>0.46857712990614392</v>
      </c>
      <c r="N125" s="73"/>
      <c r="O125" s="59">
        <v>700</v>
      </c>
      <c r="P125" s="59">
        <v>750</v>
      </c>
      <c r="Q125" s="36">
        <v>6.4692600000000003E-4</v>
      </c>
      <c r="R125" s="36">
        <v>0</v>
      </c>
      <c r="T125" s="36"/>
      <c r="U125" s="74">
        <v>0</v>
      </c>
    </row>
    <row r="126" spans="1:21" x14ac:dyDescent="0.3">
      <c r="A126" s="14" t="str">
        <f t="shared" si="6"/>
        <v>(750, 800]</v>
      </c>
      <c r="B126" s="75">
        <v>33857</v>
      </c>
      <c r="C126" s="75">
        <v>2621391690</v>
      </c>
      <c r="D126" s="36">
        <v>4.8385702230069674E-3</v>
      </c>
      <c r="E126" s="69">
        <v>774.25397702100008</v>
      </c>
      <c r="F126" s="73"/>
      <c r="G126" s="14" t="str">
        <f t="shared" si="7"/>
        <v>(750, 800]</v>
      </c>
      <c r="H126" s="70">
        <v>0.12381612178559825</v>
      </c>
      <c r="I126" s="36">
        <v>5.9909299999999998E-4</v>
      </c>
      <c r="J126" s="36">
        <v>5.9909300000000009E-4</v>
      </c>
      <c r="K126" s="71">
        <v>599093</v>
      </c>
      <c r="L126" s="36">
        <v>5.9909299999999998E-4</v>
      </c>
      <c r="M126" s="36">
        <v>0.46385013785544199</v>
      </c>
      <c r="N126" s="73"/>
      <c r="O126" s="59">
        <v>750</v>
      </c>
      <c r="P126" s="59">
        <v>800</v>
      </c>
      <c r="Q126" s="36">
        <v>5.9909299999999998E-4</v>
      </c>
      <c r="R126" s="36">
        <v>0</v>
      </c>
      <c r="T126" s="36"/>
      <c r="U126" s="74">
        <v>0</v>
      </c>
    </row>
    <row r="127" spans="1:21" x14ac:dyDescent="0.3">
      <c r="A127" s="14" t="str">
        <f t="shared" si="6"/>
        <v>(800, 850]</v>
      </c>
      <c r="B127" s="75">
        <v>28291</v>
      </c>
      <c r="C127" s="75">
        <v>2332011670</v>
      </c>
      <c r="D127" s="36">
        <v>4.0431222547505719E-3</v>
      </c>
      <c r="E127" s="69">
        <v>824.29453536460369</v>
      </c>
      <c r="F127" s="73"/>
      <c r="G127" s="14" t="str">
        <f t="shared" si="7"/>
        <v>(800, 850]</v>
      </c>
      <c r="H127" s="70">
        <v>0.13716800162260084</v>
      </c>
      <c r="I127" s="36">
        <v>5.5458700000000005E-4</v>
      </c>
      <c r="J127" s="36">
        <v>5.5458700000000016E-4</v>
      </c>
      <c r="K127" s="71">
        <v>554587</v>
      </c>
      <c r="L127" s="36">
        <v>5.5458700000000005E-4</v>
      </c>
      <c r="M127" s="36">
        <v>0.45714303348424951</v>
      </c>
      <c r="N127" s="73"/>
      <c r="O127" s="59">
        <v>800</v>
      </c>
      <c r="P127" s="59">
        <v>850</v>
      </c>
      <c r="Q127" s="36">
        <v>5.5458700000000005E-4</v>
      </c>
      <c r="R127" s="36">
        <v>0</v>
      </c>
      <c r="T127" s="36"/>
      <c r="U127" s="74">
        <v>0</v>
      </c>
    </row>
    <row r="128" spans="1:21" x14ac:dyDescent="0.3">
      <c r="A128" s="14" t="str">
        <f t="shared" si="6"/>
        <v>(850, 900]</v>
      </c>
      <c r="B128" s="75">
        <v>23625</v>
      </c>
      <c r="C128" s="75">
        <v>2065488815</v>
      </c>
      <c r="D128" s="36">
        <v>3.3762950503157282E-3</v>
      </c>
      <c r="E128" s="69">
        <v>874.28097989417995</v>
      </c>
      <c r="F128" s="73"/>
      <c r="G128" s="14" t="str">
        <f t="shared" si="7"/>
        <v>(850, 900]</v>
      </c>
      <c r="H128" s="70">
        <v>0.15192451854941796</v>
      </c>
      <c r="I128" s="36">
        <v>5.1294199999999996E-4</v>
      </c>
      <c r="J128" s="36">
        <v>5.1294200000000006E-4</v>
      </c>
      <c r="K128" s="72">
        <v>512942</v>
      </c>
      <c r="L128" s="36">
        <v>5.1294199999999996E-4</v>
      </c>
      <c r="M128" s="36">
        <v>0.44845543438888041</v>
      </c>
      <c r="N128" s="73"/>
      <c r="O128" s="59">
        <v>850</v>
      </c>
      <c r="P128" s="59">
        <v>900</v>
      </c>
      <c r="Q128" s="36">
        <v>5.1294199999999996E-4</v>
      </c>
      <c r="R128" s="36">
        <v>0</v>
      </c>
      <c r="T128" s="36"/>
      <c r="U128" s="74">
        <v>0</v>
      </c>
    </row>
    <row r="129" spans="1:21" x14ac:dyDescent="0.3">
      <c r="A129" s="14" t="str">
        <f t="shared" si="6"/>
        <v>(900, 950]</v>
      </c>
      <c r="B129" s="75">
        <v>20107</v>
      </c>
      <c r="C129" s="75">
        <v>1858657770</v>
      </c>
      <c r="D129" s="36">
        <v>2.8735307757332632E-3</v>
      </c>
      <c r="E129" s="69">
        <v>924.38343363007914</v>
      </c>
      <c r="F129" s="73"/>
      <c r="G129" s="14" t="str">
        <f t="shared" si="7"/>
        <v>(900, 950]</v>
      </c>
      <c r="H129" s="70">
        <v>0.16481152872954694</v>
      </c>
      <c r="I129" s="36">
        <v>4.7359099999999999E-4</v>
      </c>
      <c r="J129" s="36">
        <v>4.7359100000000004E-4</v>
      </c>
      <c r="K129" s="72">
        <v>473591</v>
      </c>
      <c r="L129" s="36">
        <v>4.7359099999999999E-4</v>
      </c>
      <c r="M129" s="36">
        <v>0.4377796747163028</v>
      </c>
      <c r="N129" s="73"/>
      <c r="O129" s="59">
        <v>900</v>
      </c>
      <c r="P129" s="59">
        <v>950</v>
      </c>
      <c r="Q129" s="36">
        <v>4.7359099999999999E-4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6"/>
        <v>(950, 1000]</v>
      </c>
      <c r="B130" s="75">
        <v>17001</v>
      </c>
      <c r="C130" s="75">
        <v>1656429300</v>
      </c>
      <c r="D130" s="36">
        <v>2.4296462285891087E-3</v>
      </c>
      <c r="E130" s="69">
        <v>974.31286394917947</v>
      </c>
      <c r="F130" s="73"/>
      <c r="G130" s="14" t="str">
        <f t="shared" si="7"/>
        <v>(950, 1000]</v>
      </c>
      <c r="H130" s="70">
        <v>0.17960598331774602</v>
      </c>
      <c r="I130" s="36">
        <v>4.3637899999999998E-4</v>
      </c>
      <c r="J130" s="36">
        <v>4.3637900000000003E-4</v>
      </c>
      <c r="K130" s="72">
        <v>436379</v>
      </c>
      <c r="L130" s="36">
        <v>4.3637899999999998E-4</v>
      </c>
      <c r="M130" s="36">
        <v>0.42516967325727895</v>
      </c>
      <c r="N130" s="73"/>
      <c r="O130" s="59">
        <v>950</v>
      </c>
      <c r="P130" s="59">
        <v>1000</v>
      </c>
      <c r="Q130" s="36">
        <v>4.3637899999999998E-4</v>
      </c>
      <c r="R130" s="36">
        <v>0</v>
      </c>
      <c r="T130" s="36"/>
      <c r="U130" s="74">
        <v>0</v>
      </c>
    </row>
    <row r="131" spans="1:21" x14ac:dyDescent="0.3">
      <c r="A131" s="14" t="str">
        <f t="shared" si="6"/>
        <v>(1000, 2000]</v>
      </c>
      <c r="B131" s="75">
        <v>109395</v>
      </c>
      <c r="C131" s="75">
        <v>14362391790</v>
      </c>
      <c r="D131" s="36">
        <v>1.563385384250959E-2</v>
      </c>
      <c r="E131" s="69">
        <v>1312.8928918140684</v>
      </c>
      <c r="F131" s="73"/>
      <c r="G131" s="14" t="str">
        <f t="shared" si="7"/>
        <v>(1000, 2000]</v>
      </c>
      <c r="H131" s="70">
        <v>1.4017081278074868E-2</v>
      </c>
      <c r="I131" s="36">
        <v>2.1914100000000001E-4</v>
      </c>
      <c r="J131" s="36">
        <v>2.1914100000000004E-4</v>
      </c>
      <c r="K131" s="72">
        <v>219141</v>
      </c>
      <c r="L131" s="36">
        <v>2.1914100000000001E-4</v>
      </c>
      <c r="M131" s="36">
        <v>0.28770866120502681</v>
      </c>
      <c r="N131" s="73"/>
      <c r="O131" s="59">
        <v>1000</v>
      </c>
      <c r="P131" s="59">
        <v>2000</v>
      </c>
      <c r="Q131" s="36">
        <v>2.1914100000000001E-4</v>
      </c>
      <c r="R131" s="36">
        <v>0</v>
      </c>
      <c r="T131" s="36"/>
      <c r="U131" s="74">
        <v>0</v>
      </c>
    </row>
    <row r="132" spans="1:21" x14ac:dyDescent="0.3">
      <c r="A132" s="14" t="str">
        <f t="shared" si="6"/>
        <v>(2000, 3000]</v>
      </c>
      <c r="B132" s="75">
        <v>13326</v>
      </c>
      <c r="C132" s="75">
        <v>3153908440</v>
      </c>
      <c r="D132" s="36">
        <v>1.9044447763177732E-3</v>
      </c>
      <c r="E132" s="69">
        <v>2366.7330331682424</v>
      </c>
      <c r="F132" s="73"/>
      <c r="G132" s="14" t="str">
        <f t="shared" si="7"/>
        <v>(2000, 3000]</v>
      </c>
      <c r="H132" s="70">
        <v>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str">
        <f t="shared" si="6"/>
        <v>(3000, 4000]</v>
      </c>
      <c r="B133" s="75">
        <v>2933</v>
      </c>
      <c r="C133" s="75">
        <v>994750330</v>
      </c>
      <c r="D133" s="36">
        <v>4.1916077809845634E-4</v>
      </c>
      <c r="E133" s="69">
        <v>3391.5797136038186</v>
      </c>
      <c r="F133" s="73"/>
      <c r="G133" s="14" t="str">
        <f t="shared" si="7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6"/>
        <v>(4000, 5000]</v>
      </c>
      <c r="B134" s="75">
        <v>882</v>
      </c>
      <c r="C134" s="75">
        <v>389171095</v>
      </c>
      <c r="D134" s="36">
        <v>1.2604834854512052E-4</v>
      </c>
      <c r="E134" s="69">
        <v>4412.3706916099773</v>
      </c>
      <c r="F134" s="73"/>
      <c r="G134" s="14" t="str">
        <f t="shared" si="7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6"/>
        <v>(5000, 6000]</v>
      </c>
      <c r="B135" s="75">
        <v>298</v>
      </c>
      <c r="C135" s="75">
        <v>162368765</v>
      </c>
      <c r="D135" s="36">
        <v>4.2587764020913739E-5</v>
      </c>
      <c r="E135" s="69">
        <v>5448.6162751677857</v>
      </c>
      <c r="F135" s="73"/>
      <c r="G135" s="14" t="str">
        <f t="shared" si="7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6"/>
        <v>(6000, 7000]</v>
      </c>
      <c r="B136" s="75">
        <v>116</v>
      </c>
      <c r="C136" s="75">
        <v>74801250</v>
      </c>
      <c r="D136" s="36">
        <v>1.6577787336999976E-5</v>
      </c>
      <c r="E136" s="69">
        <v>6448.3836206896558</v>
      </c>
      <c r="F136" s="73"/>
      <c r="G136" s="14" t="str">
        <f t="shared" si="7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6"/>
        <v>(7000, 8000]</v>
      </c>
      <c r="B137" s="75">
        <v>55</v>
      </c>
      <c r="C137" s="75">
        <v>40605295</v>
      </c>
      <c r="D137" s="36">
        <v>7.8601577890948167E-6</v>
      </c>
      <c r="E137" s="69">
        <v>7382.7809090909095</v>
      </c>
      <c r="F137" s="73"/>
      <c r="G137" s="14" t="str">
        <f t="shared" si="7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6"/>
        <v>(8000, 9000]</v>
      </c>
      <c r="B138" s="75">
        <v>22</v>
      </c>
      <c r="C138" s="75">
        <v>18835895</v>
      </c>
      <c r="D138" s="36">
        <v>3.144063115637927E-6</v>
      </c>
      <c r="E138" s="69">
        <v>8561.7704545454544</v>
      </c>
      <c r="F138" s="73"/>
      <c r="G138" s="14" t="str">
        <f t="shared" si="7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6"/>
        <v>(9000, 10000]</v>
      </c>
      <c r="B139" s="75">
        <v>11</v>
      </c>
      <c r="C139" s="75">
        <v>10522285</v>
      </c>
      <c r="D139" s="36">
        <v>1.5720315578189635E-6</v>
      </c>
      <c r="E139" s="69">
        <v>9565.7136363636364</v>
      </c>
      <c r="F139" s="73"/>
      <c r="G139" s="14" t="str">
        <f t="shared" si="7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6"/>
        <v>(10000, 20000]</v>
      </c>
      <c r="B140" s="75">
        <v>13</v>
      </c>
      <c r="C140" s="75">
        <v>14889020</v>
      </c>
      <c r="D140" s="36">
        <v>1.8578554774224113E-6</v>
      </c>
      <c r="E140" s="69">
        <v>11453.092307692308</v>
      </c>
      <c r="F140" s="73"/>
      <c r="G140" s="14" t="str">
        <f t="shared" si="7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6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7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6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7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6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7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6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7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6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7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6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7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6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7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6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7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6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7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2" spans="1:21" s="87" customFormat="1" ht="15.6" collapsed="1" x14ac:dyDescent="0.3">
      <c r="A152" s="96" t="s">
        <v>96</v>
      </c>
      <c r="B152" s="96" t="s">
        <v>90</v>
      </c>
      <c r="C152" s="96"/>
      <c r="D152" s="84"/>
      <c r="E152" s="84"/>
      <c r="F152" s="85"/>
      <c r="G152" s="96" t="s">
        <v>96</v>
      </c>
      <c r="H152" s="96" t="s">
        <v>90</v>
      </c>
      <c r="I152" s="86"/>
      <c r="J152" s="86"/>
      <c r="K152" s="86"/>
      <c r="L152" s="86"/>
      <c r="M152" s="86"/>
      <c r="N152" s="85"/>
      <c r="O152" s="96" t="s">
        <v>96</v>
      </c>
      <c r="P152" s="96" t="s">
        <v>90</v>
      </c>
    </row>
    <row r="153" spans="1:21" x14ac:dyDescent="0.3">
      <c r="A153" s="38"/>
      <c r="B153" s="1"/>
      <c r="C153" s="1"/>
      <c r="D153" s="1"/>
      <c r="E153" s="1"/>
      <c r="G153" s="46"/>
      <c r="H153" s="38"/>
      <c r="I153" s="38"/>
      <c r="J153" s="38"/>
      <c r="K153" s="38"/>
      <c r="L153" s="38"/>
      <c r="M153" s="38"/>
    </row>
    <row r="154" spans="1:21" x14ac:dyDescent="0.3">
      <c r="A154" s="65" t="s">
        <v>119</v>
      </c>
      <c r="B154" s="4">
        <v>100000000</v>
      </c>
      <c r="C154" s="1"/>
      <c r="D154" s="1"/>
      <c r="E154" s="1"/>
      <c r="G154" s="65" t="s">
        <v>103</v>
      </c>
      <c r="H154" s="38"/>
      <c r="I154" s="38"/>
      <c r="J154" s="38"/>
      <c r="K154" s="38"/>
      <c r="L154" s="38"/>
      <c r="M154" s="38"/>
    </row>
    <row r="155" spans="1:21" x14ac:dyDescent="0.3">
      <c r="A155" s="9" t="s">
        <v>109</v>
      </c>
      <c r="B155" s="9" t="s">
        <v>106</v>
      </c>
      <c r="C155" s="9" t="s">
        <v>107</v>
      </c>
      <c r="D155" s="9" t="s">
        <v>108</v>
      </c>
      <c r="E155" s="9" t="s">
        <v>87</v>
      </c>
      <c r="G155" s="9" t="s">
        <v>109</v>
      </c>
      <c r="H155" s="9" t="s">
        <v>110</v>
      </c>
      <c r="I155" s="9" t="s">
        <v>111</v>
      </c>
      <c r="J155" s="9" t="s">
        <v>112</v>
      </c>
      <c r="K155" s="9" t="s">
        <v>113</v>
      </c>
      <c r="L155" s="9" t="s">
        <v>88</v>
      </c>
      <c r="M155" s="9" t="s">
        <v>114</v>
      </c>
    </row>
    <row r="156" spans="1:21" x14ac:dyDescent="0.3">
      <c r="A156" s="14" t="s">
        <v>118</v>
      </c>
      <c r="B156" s="75">
        <v>100000000</v>
      </c>
      <c r="C156" s="75">
        <v>0</v>
      </c>
      <c r="D156" s="80">
        <v>1</v>
      </c>
      <c r="E156" s="69">
        <f>C156/B156/B3</f>
        <v>0</v>
      </c>
      <c r="F156" s="77"/>
      <c r="G156" s="14" t="s">
        <v>118</v>
      </c>
      <c r="H156" s="70">
        <v>1</v>
      </c>
      <c r="I156" s="36">
        <f>D156*H156</f>
        <v>1</v>
      </c>
      <c r="J156" s="80">
        <f>I156/SUM(I156)</f>
        <v>1</v>
      </c>
      <c r="K156" s="71">
        <f>INT(J156*$B$2)</f>
        <v>1000000000</v>
      </c>
      <c r="L156" s="36">
        <f>_xlfn.LET(_xlpm.x, K156, _xlpm.x/SUM(_xlpm.x))</f>
        <v>1</v>
      </c>
      <c r="M156" s="36">
        <f>L156*E156</f>
        <v>0</v>
      </c>
    </row>
    <row r="157" spans="1:21" x14ac:dyDescent="0.3">
      <c r="B157" s="1"/>
      <c r="C157" s="1"/>
      <c r="D157" s="1"/>
      <c r="E157" s="1"/>
      <c r="G157" s="46"/>
      <c r="H157" s="38"/>
      <c r="I157" s="38"/>
      <c r="J157" s="38"/>
      <c r="K157" s="38"/>
      <c r="L157" s="38"/>
      <c r="M157" s="38"/>
    </row>
    <row r="159" spans="1:21" s="87" customFormat="1" ht="15.6" x14ac:dyDescent="0.3">
      <c r="A159" s="96" t="s">
        <v>96</v>
      </c>
      <c r="B159" s="96" t="s">
        <v>91</v>
      </c>
      <c r="C159" s="96"/>
      <c r="D159" s="84"/>
      <c r="E159" s="84"/>
      <c r="F159" s="85"/>
      <c r="G159" s="96" t="s">
        <v>96</v>
      </c>
      <c r="H159" s="96" t="s">
        <v>91</v>
      </c>
      <c r="I159" s="86"/>
      <c r="J159" s="86"/>
      <c r="K159" s="86"/>
      <c r="L159" s="86"/>
      <c r="M159" s="86"/>
      <c r="N159" s="85"/>
      <c r="O159" s="96" t="s">
        <v>96</v>
      </c>
      <c r="P159" s="96" t="s">
        <v>91</v>
      </c>
    </row>
    <row r="160" spans="1:21" x14ac:dyDescent="0.3">
      <c r="A160" s="38"/>
      <c r="B160" s="1"/>
      <c r="C160" s="1"/>
      <c r="D160" s="1"/>
      <c r="E160" s="1"/>
      <c r="G160" s="46"/>
      <c r="H160" s="38"/>
      <c r="I160" s="38"/>
      <c r="J160" s="38"/>
      <c r="K160" s="38"/>
      <c r="L160" s="38"/>
      <c r="M160" s="38"/>
    </row>
    <row r="161" spans="1:21" x14ac:dyDescent="0.3">
      <c r="A161" s="65" t="s">
        <v>119</v>
      </c>
      <c r="C161" s="1"/>
      <c r="D161" s="1"/>
      <c r="E161" s="1"/>
      <c r="G161" s="65" t="s">
        <v>103</v>
      </c>
      <c r="H161" s="38"/>
      <c r="I161" s="38"/>
      <c r="J161" s="38"/>
      <c r="L161" s="38"/>
      <c r="M161" s="38"/>
    </row>
    <row r="162" spans="1:21" x14ac:dyDescent="0.3">
      <c r="A162" s="9" t="s">
        <v>109</v>
      </c>
      <c r="B162" s="9" t="s">
        <v>106</v>
      </c>
      <c r="C162" s="9" t="s">
        <v>107</v>
      </c>
      <c r="D162" s="9" t="s">
        <v>108</v>
      </c>
      <c r="E162" s="9" t="s">
        <v>87</v>
      </c>
      <c r="G162" s="9" t="s">
        <v>109</v>
      </c>
      <c r="H162" s="9" t="s">
        <v>110</v>
      </c>
      <c r="I162" s="9" t="s">
        <v>111</v>
      </c>
      <c r="J162" s="9" t="s">
        <v>112</v>
      </c>
      <c r="K162" s="9" t="s">
        <v>113</v>
      </c>
      <c r="L162" s="9" t="s">
        <v>88</v>
      </c>
      <c r="M162" s="9" t="s">
        <v>114</v>
      </c>
      <c r="O162" s="9" t="s">
        <v>104</v>
      </c>
      <c r="P162" s="9" t="s">
        <v>105</v>
      </c>
      <c r="Q162" s="12" t="s">
        <v>120</v>
      </c>
      <c r="R162" s="12" t="s">
        <v>115</v>
      </c>
      <c r="T162" s="12" t="s">
        <v>120</v>
      </c>
      <c r="U162" s="12" t="s">
        <v>116</v>
      </c>
    </row>
    <row r="163" spans="1:21" x14ac:dyDescent="0.3">
      <c r="A163" s="14" t="str">
        <f t="shared" ref="A163:A194" si="8">"("&amp;$O163&amp;", "&amp;$P163&amp;"]"</f>
        <v>(-1, 0]</v>
      </c>
      <c r="B163" s="82" cm="1">
        <f t="array" ref="B163:C226">B86:C149</f>
        <v>25321</v>
      </c>
      <c r="C163" s="82">
        <v>0</v>
      </c>
      <c r="D163" s="36" cm="1">
        <f t="array" ref="D163:D226">_xlfn.LET(_xlpm.x, B163:B226, _xlpm.x/SUM(_xlpm.x))</f>
        <v>3.6186737341394521E-3</v>
      </c>
      <c r="E163" s="68" cm="1">
        <f t="array" ref="E163:E226">_xlfn.LET(_xlpm.x, C163:C226/B163:B226/B3, IF(ISERR(_xlpm.x), 0, _xlpm.x))</f>
        <v>0</v>
      </c>
      <c r="G163" s="14" t="str">
        <f t="shared" ref="G163:G194" si="9">"("&amp;$O163&amp;", "&amp;$P163&amp;"]"</f>
        <v>(-1, 0]</v>
      </c>
      <c r="H163" s="70">
        <v>0</v>
      </c>
      <c r="I163" s="36" cm="1">
        <f t="array" ref="I163:I226">_xlfn.ANCHORARRAY(D163)*H163:H226</f>
        <v>0</v>
      </c>
      <c r="J163" s="36" cm="1">
        <f t="array" ref="J163:J226">I163:I226/SUM(_xlfn.ANCHORARRAY(I163))</f>
        <v>0</v>
      </c>
      <c r="K163" s="71" cm="1">
        <f t="array" ref="K163:K226">INT(_xlfn.ANCHORARRAY(J163)*$B$2)</f>
        <v>0</v>
      </c>
      <c r="L163" s="36" cm="1">
        <f t="array" ref="L163:L226">_xlfn.LET(_xlpm.x, K163:K226, _xlpm.x/SUM(_xlpm.x))</f>
        <v>0</v>
      </c>
      <c r="M163" s="80" cm="1">
        <f t="array" ref="M163:M226">L163:L226*_xlfn.ANCHORARRAY(E163)</f>
        <v>0</v>
      </c>
      <c r="N163" s="73"/>
      <c r="O163" s="66">
        <v>-1</v>
      </c>
      <c r="P163" s="66">
        <v>0</v>
      </c>
      <c r="Q163" s="36" cm="1">
        <f t="array" ref="Q163:Q226">_xlfn.ANCHORARRAY(L163)</f>
        <v>0</v>
      </c>
      <c r="R163" s="36">
        <v>2.069E-2</v>
      </c>
      <c r="T163" s="36"/>
      <c r="U163" s="74" cm="1">
        <f t="array" ref="U163:U226">_xlfn.LET(_xlpm.x, T163:T226/L163:L226, IF(ISERR(_xlpm.x), 0, ROUND(_xlpm.x,2)))</f>
        <v>0</v>
      </c>
    </row>
    <row r="164" spans="1:21" x14ac:dyDescent="0.3">
      <c r="A164" s="14" t="str">
        <f t="shared" si="8"/>
        <v>(0, 1]</v>
      </c>
      <c r="B164" s="83">
        <v>13519</v>
      </c>
      <c r="C164" s="83">
        <v>830135</v>
      </c>
      <c r="D164" s="36">
        <v>1.932026784559506E-3</v>
      </c>
      <c r="E164" s="69">
        <v>0.61405059545824392</v>
      </c>
      <c r="G164" s="14" t="str">
        <f t="shared" si="9"/>
        <v>(0, 1]</v>
      </c>
      <c r="H164" s="70">
        <v>0</v>
      </c>
      <c r="I164" s="36">
        <v>0</v>
      </c>
      <c r="J164" s="36">
        <v>0</v>
      </c>
      <c r="K164" s="71">
        <v>0</v>
      </c>
      <c r="L164" s="36">
        <v>0</v>
      </c>
      <c r="M164" s="36">
        <v>0</v>
      </c>
      <c r="N164" s="73"/>
      <c r="O164" s="59">
        <v>0</v>
      </c>
      <c r="P164" s="59">
        <v>1</v>
      </c>
      <c r="Q164" s="36">
        <v>0</v>
      </c>
      <c r="R164" s="36">
        <v>6.8970000000000004E-3</v>
      </c>
      <c r="T164" s="36"/>
      <c r="U164" s="74">
        <v>0</v>
      </c>
    </row>
    <row r="165" spans="1:21" x14ac:dyDescent="0.3">
      <c r="A165" s="14" t="str">
        <f t="shared" si="8"/>
        <v>(1, 2]</v>
      </c>
      <c r="B165" s="83">
        <v>18233</v>
      </c>
      <c r="C165" s="83">
        <v>2846325</v>
      </c>
      <c r="D165" s="36">
        <v>2.6057137630648326E-3</v>
      </c>
      <c r="E165" s="69">
        <v>1.561084297701969</v>
      </c>
      <c r="F165" s="76"/>
      <c r="G165" s="14" t="str">
        <f t="shared" si="9"/>
        <v>(1, 2]</v>
      </c>
      <c r="H165" s="70">
        <v>0</v>
      </c>
      <c r="I165" s="36">
        <v>0</v>
      </c>
      <c r="J165" s="36">
        <v>0</v>
      </c>
      <c r="K165" s="71">
        <v>0</v>
      </c>
      <c r="L165" s="36">
        <v>0</v>
      </c>
      <c r="M165" s="36">
        <v>0</v>
      </c>
      <c r="N165" s="73"/>
      <c r="O165" s="59">
        <v>1</v>
      </c>
      <c r="P165" s="59">
        <v>2</v>
      </c>
      <c r="Q165" s="36">
        <v>0</v>
      </c>
      <c r="R165" s="36">
        <v>6.8970000000000004E-3</v>
      </c>
      <c r="T165" s="36"/>
      <c r="U165" s="74">
        <v>0</v>
      </c>
    </row>
    <row r="166" spans="1:21" x14ac:dyDescent="0.3">
      <c r="A166" s="14" t="str">
        <f t="shared" si="8"/>
        <v>(2, 3]</v>
      </c>
      <c r="B166" s="83">
        <v>19401</v>
      </c>
      <c r="C166" s="83">
        <v>5010400</v>
      </c>
      <c r="D166" s="36">
        <v>2.7726349321132463E-3</v>
      </c>
      <c r="E166" s="69">
        <v>2.5825472913767333</v>
      </c>
      <c r="F166" s="73"/>
      <c r="G166" s="14" t="str">
        <f t="shared" si="9"/>
        <v>(2, 3]</v>
      </c>
      <c r="H166" s="70">
        <v>0</v>
      </c>
      <c r="I166" s="36">
        <v>0</v>
      </c>
      <c r="J166" s="36">
        <v>0</v>
      </c>
      <c r="K166" s="71">
        <v>0</v>
      </c>
      <c r="L166" s="36">
        <v>0</v>
      </c>
      <c r="M166" s="36">
        <v>0</v>
      </c>
      <c r="N166" s="73"/>
      <c r="O166" s="59">
        <v>2</v>
      </c>
      <c r="P166" s="59">
        <v>3</v>
      </c>
      <c r="Q166" s="36">
        <v>0</v>
      </c>
      <c r="R166" s="36">
        <v>6.8970000000000004E-3</v>
      </c>
      <c r="T166" s="36"/>
      <c r="U166" s="74">
        <v>0</v>
      </c>
    </row>
    <row r="167" spans="1:21" x14ac:dyDescent="0.3">
      <c r="A167" s="14" t="str">
        <f t="shared" si="8"/>
        <v>(3, 4]</v>
      </c>
      <c r="B167" s="83">
        <v>21192</v>
      </c>
      <c r="C167" s="83">
        <v>7594100</v>
      </c>
      <c r="D167" s="36">
        <v>3.0285902521181339E-3</v>
      </c>
      <c r="E167" s="69">
        <v>3.5834748961872407</v>
      </c>
      <c r="F167" s="73"/>
      <c r="G167" s="14" t="str">
        <f t="shared" si="9"/>
        <v>(3, 4]</v>
      </c>
      <c r="H167" s="70">
        <v>0</v>
      </c>
      <c r="I167" s="36">
        <v>0</v>
      </c>
      <c r="J167" s="36">
        <v>0</v>
      </c>
      <c r="K167" s="71">
        <v>0</v>
      </c>
      <c r="L167" s="36">
        <v>0</v>
      </c>
      <c r="M167" s="36">
        <v>0</v>
      </c>
      <c r="N167" s="73"/>
      <c r="O167" s="59">
        <v>3</v>
      </c>
      <c r="P167" s="59">
        <v>4</v>
      </c>
      <c r="Q167" s="36">
        <v>0</v>
      </c>
      <c r="R167" s="36">
        <v>6.8970000000000004E-3</v>
      </c>
      <c r="T167" s="36"/>
      <c r="U167" s="74">
        <v>0</v>
      </c>
    </row>
    <row r="168" spans="1:21" x14ac:dyDescent="0.3">
      <c r="A168" s="14" t="str">
        <f t="shared" si="8"/>
        <v>(4, 5]</v>
      </c>
      <c r="B168" s="83">
        <v>22042</v>
      </c>
      <c r="C168" s="83">
        <v>10092500</v>
      </c>
      <c r="D168" s="36">
        <v>3.150065417949599E-3</v>
      </c>
      <c r="E168" s="69">
        <v>4.5787587333272839</v>
      </c>
      <c r="F168" s="73"/>
      <c r="G168" s="14" t="str">
        <f t="shared" si="9"/>
        <v>(4, 5]</v>
      </c>
      <c r="H168" s="70">
        <v>0</v>
      </c>
      <c r="I168" s="36">
        <v>0</v>
      </c>
      <c r="J168" s="36">
        <v>0</v>
      </c>
      <c r="K168" s="71">
        <v>0</v>
      </c>
      <c r="L168" s="36">
        <v>0</v>
      </c>
      <c r="M168" s="36">
        <v>0</v>
      </c>
      <c r="N168" s="73"/>
      <c r="O168" s="59">
        <v>4</v>
      </c>
      <c r="P168" s="59">
        <v>5</v>
      </c>
      <c r="Q168" s="36">
        <v>0</v>
      </c>
      <c r="R168" s="36">
        <v>6.8970000000000004E-3</v>
      </c>
      <c r="T168" s="36"/>
      <c r="U168" s="74">
        <v>0</v>
      </c>
    </row>
    <row r="169" spans="1:21" x14ac:dyDescent="0.3">
      <c r="A169" s="14" t="str">
        <f t="shared" si="8"/>
        <v>(5, 6]</v>
      </c>
      <c r="B169" s="83">
        <v>24704</v>
      </c>
      <c r="C169" s="83">
        <v>13812490</v>
      </c>
      <c r="D169" s="36">
        <v>3.5304970549417886E-3</v>
      </c>
      <c r="E169" s="69">
        <v>5.5911957577720202</v>
      </c>
      <c r="F169" s="73"/>
      <c r="G169" s="14" t="str">
        <f t="shared" si="9"/>
        <v>(5, 6]</v>
      </c>
      <c r="H169" s="70">
        <v>0</v>
      </c>
      <c r="I169" s="36">
        <v>0</v>
      </c>
      <c r="J169" s="36">
        <v>0</v>
      </c>
      <c r="K169" s="71">
        <v>0</v>
      </c>
      <c r="L169" s="36">
        <v>0</v>
      </c>
      <c r="M169" s="36">
        <v>0</v>
      </c>
      <c r="N169" s="73"/>
      <c r="O169" s="59">
        <v>5</v>
      </c>
      <c r="P169" s="59">
        <v>6</v>
      </c>
      <c r="Q169" s="36">
        <v>0</v>
      </c>
      <c r="R169" s="36">
        <v>6.8970000000000004E-3</v>
      </c>
      <c r="T169" s="36"/>
      <c r="U169" s="74">
        <v>0</v>
      </c>
    </row>
    <row r="170" spans="1:21" x14ac:dyDescent="0.3">
      <c r="A170" s="14" t="str">
        <f t="shared" si="8"/>
        <v>(6, 7]</v>
      </c>
      <c r="B170" s="83">
        <v>23371</v>
      </c>
      <c r="C170" s="83">
        <v>15361185</v>
      </c>
      <c r="D170" s="36">
        <v>3.3399954125260902E-3</v>
      </c>
      <c r="E170" s="69">
        <v>6.5727546959907581</v>
      </c>
      <c r="F170" s="73"/>
      <c r="G170" s="14" t="str">
        <f t="shared" si="9"/>
        <v>(6, 7]</v>
      </c>
      <c r="H170" s="70">
        <v>0</v>
      </c>
      <c r="I170" s="36">
        <v>0</v>
      </c>
      <c r="J170" s="36">
        <v>0</v>
      </c>
      <c r="K170" s="71">
        <v>0</v>
      </c>
      <c r="L170" s="36">
        <v>0</v>
      </c>
      <c r="M170" s="36">
        <v>0</v>
      </c>
      <c r="N170" s="73"/>
      <c r="O170" s="59">
        <v>6</v>
      </c>
      <c r="P170" s="59">
        <v>7</v>
      </c>
      <c r="Q170" s="36">
        <v>0</v>
      </c>
      <c r="R170" s="36">
        <v>2.069E-2</v>
      </c>
      <c r="T170" s="36"/>
      <c r="U170" s="74">
        <v>0</v>
      </c>
    </row>
    <row r="171" spans="1:21" x14ac:dyDescent="0.3">
      <c r="A171" s="14" t="str">
        <f t="shared" si="8"/>
        <v>(7, 8]</v>
      </c>
      <c r="B171" s="83">
        <v>26882</v>
      </c>
      <c r="C171" s="83">
        <v>20329515</v>
      </c>
      <c r="D171" s="36">
        <v>3.8417593033899431E-3</v>
      </c>
      <c r="E171" s="69">
        <v>7.5625009299903283</v>
      </c>
      <c r="F171" s="73"/>
      <c r="G171" s="14" t="str">
        <f t="shared" si="9"/>
        <v>(7, 8]</v>
      </c>
      <c r="H171" s="70">
        <v>0</v>
      </c>
      <c r="I171" s="36">
        <v>0</v>
      </c>
      <c r="J171" s="36">
        <v>0</v>
      </c>
      <c r="K171" s="71">
        <v>0</v>
      </c>
      <c r="L171" s="36">
        <v>0</v>
      </c>
      <c r="M171" s="36">
        <v>0</v>
      </c>
      <c r="N171" s="73"/>
      <c r="O171" s="59">
        <v>7</v>
      </c>
      <c r="P171" s="59">
        <v>8</v>
      </c>
      <c r="Q171" s="36">
        <v>0</v>
      </c>
      <c r="R171" s="36">
        <v>0</v>
      </c>
      <c r="T171" s="36"/>
      <c r="U171" s="74">
        <v>0</v>
      </c>
    </row>
    <row r="172" spans="1:21" x14ac:dyDescent="0.3">
      <c r="A172" s="14" t="str">
        <f t="shared" si="8"/>
        <v>(8, 9]</v>
      </c>
      <c r="B172" s="83">
        <v>27171</v>
      </c>
      <c r="C172" s="83">
        <v>23310120</v>
      </c>
      <c r="D172" s="36">
        <v>3.8830608597726413E-3</v>
      </c>
      <c r="E172" s="69">
        <v>8.5790438334989503</v>
      </c>
      <c r="F172" s="73"/>
      <c r="G172" s="14" t="str">
        <f t="shared" si="9"/>
        <v>(8, 9]</v>
      </c>
      <c r="H172" s="70">
        <v>0</v>
      </c>
      <c r="I172" s="36">
        <v>0</v>
      </c>
      <c r="J172" s="36">
        <v>0</v>
      </c>
      <c r="K172" s="71">
        <v>0</v>
      </c>
      <c r="L172" s="36">
        <v>0</v>
      </c>
      <c r="M172" s="36">
        <v>0</v>
      </c>
      <c r="N172" s="73"/>
      <c r="O172" s="59">
        <v>8</v>
      </c>
      <c r="P172" s="59">
        <v>9</v>
      </c>
      <c r="Q172" s="36">
        <v>0</v>
      </c>
      <c r="R172" s="36">
        <v>6.8970000000000004E-3</v>
      </c>
      <c r="T172" s="36"/>
      <c r="U172" s="74">
        <v>0</v>
      </c>
    </row>
    <row r="173" spans="1:21" x14ac:dyDescent="0.3">
      <c r="A173" s="14" t="str">
        <f t="shared" si="8"/>
        <v>(9, 10]</v>
      </c>
      <c r="B173" s="83">
        <v>27734</v>
      </c>
      <c r="C173" s="83">
        <v>26563225</v>
      </c>
      <c r="D173" s="36">
        <v>3.9635202931410122E-3</v>
      </c>
      <c r="E173" s="69">
        <v>9.5778557005841201</v>
      </c>
      <c r="F173" s="73"/>
      <c r="G173" s="14" t="str">
        <f t="shared" si="9"/>
        <v>(9, 10]</v>
      </c>
      <c r="H173" s="70">
        <v>0</v>
      </c>
      <c r="I173" s="36">
        <v>0</v>
      </c>
      <c r="J173" s="36">
        <v>0</v>
      </c>
      <c r="K173" s="71">
        <v>0</v>
      </c>
      <c r="L173" s="36">
        <v>0</v>
      </c>
      <c r="M173" s="36">
        <v>0</v>
      </c>
      <c r="N173" s="73"/>
      <c r="O173" s="59">
        <v>9</v>
      </c>
      <c r="P173" s="59">
        <v>10</v>
      </c>
      <c r="Q173" s="36">
        <v>0</v>
      </c>
      <c r="R173" s="36">
        <v>0</v>
      </c>
      <c r="T173" s="36"/>
      <c r="U173" s="74">
        <v>0</v>
      </c>
    </row>
    <row r="174" spans="1:21" x14ac:dyDescent="0.3">
      <c r="A174" s="14" t="str">
        <f t="shared" si="8"/>
        <v>(10, 15]</v>
      </c>
      <c r="B174" s="83">
        <v>148515</v>
      </c>
      <c r="C174" s="83">
        <v>187358865</v>
      </c>
      <c r="D174" s="36">
        <v>2.1224569709953033E-2</v>
      </c>
      <c r="E174" s="69">
        <v>12.615484294515706</v>
      </c>
      <c r="F174" s="73"/>
      <c r="G174" s="14" t="str">
        <f t="shared" si="9"/>
        <v>(10, 15]</v>
      </c>
      <c r="H174" s="70">
        <v>0</v>
      </c>
      <c r="I174" s="36">
        <v>0</v>
      </c>
      <c r="J174" s="36">
        <v>0</v>
      </c>
      <c r="K174" s="71">
        <v>0</v>
      </c>
      <c r="L174" s="36">
        <v>0</v>
      </c>
      <c r="M174" s="36">
        <v>0</v>
      </c>
      <c r="N174" s="73"/>
      <c r="O174" s="59">
        <v>10</v>
      </c>
      <c r="P174" s="59">
        <v>15</v>
      </c>
      <c r="Q174" s="36">
        <v>0</v>
      </c>
      <c r="R174" s="36">
        <v>6.2068999999999999E-2</v>
      </c>
      <c r="T174" s="36"/>
      <c r="U174" s="74">
        <v>0</v>
      </c>
    </row>
    <row r="175" spans="1:21" x14ac:dyDescent="0.3">
      <c r="A175" s="14" t="str">
        <f t="shared" si="8"/>
        <v>(15, 20]</v>
      </c>
      <c r="B175" s="83">
        <v>161740</v>
      </c>
      <c r="C175" s="83">
        <v>284486210</v>
      </c>
      <c r="D175" s="36">
        <v>2.3114580378330831E-2</v>
      </c>
      <c r="E175" s="69">
        <v>17.58910659082478</v>
      </c>
      <c r="F175" s="73"/>
      <c r="G175" s="14" t="str">
        <f t="shared" si="9"/>
        <v>(15, 20]</v>
      </c>
      <c r="H175" s="70">
        <v>0</v>
      </c>
      <c r="I175" s="36">
        <v>0</v>
      </c>
      <c r="J175" s="36">
        <v>0</v>
      </c>
      <c r="K175" s="71">
        <v>0</v>
      </c>
      <c r="L175" s="36">
        <v>0</v>
      </c>
      <c r="M175" s="36">
        <v>0</v>
      </c>
      <c r="N175" s="73"/>
      <c r="O175" s="59">
        <v>15</v>
      </c>
      <c r="P175" s="59">
        <v>20</v>
      </c>
      <c r="Q175" s="36">
        <v>0</v>
      </c>
      <c r="R175" s="36">
        <v>2.7585999999999999E-2</v>
      </c>
      <c r="T175" s="36"/>
      <c r="U175" s="74">
        <v>0</v>
      </c>
    </row>
    <row r="176" spans="1:21" x14ac:dyDescent="0.3">
      <c r="A176" s="14" t="str">
        <f t="shared" si="8"/>
        <v>(20, 25]</v>
      </c>
      <c r="B176" s="83">
        <v>167105</v>
      </c>
      <c r="C176" s="83">
        <v>377115540</v>
      </c>
      <c r="D176" s="36">
        <v>2.3881303042667081E-2</v>
      </c>
      <c r="E176" s="69">
        <v>22.567579665479787</v>
      </c>
      <c r="F176" s="73"/>
      <c r="G176" s="14" t="str">
        <f t="shared" si="9"/>
        <v>(20, 25]</v>
      </c>
      <c r="H176" s="70">
        <v>1.4077808878323801</v>
      </c>
      <c r="I176" s="36">
        <v>3.3619641999999984E-2</v>
      </c>
      <c r="J176" s="36">
        <v>3.3619641999999991E-2</v>
      </c>
      <c r="K176" s="71">
        <v>33619642</v>
      </c>
      <c r="L176" s="36">
        <v>3.3619642268957139E-2</v>
      </c>
      <c r="M176" s="36">
        <v>0.75871395522962193</v>
      </c>
      <c r="N176" s="73"/>
      <c r="O176" s="59">
        <v>20</v>
      </c>
      <c r="P176" s="59">
        <v>25</v>
      </c>
      <c r="Q176" s="36">
        <v>3.3619642268957139E-2</v>
      </c>
      <c r="R176" s="36">
        <v>2.069E-2</v>
      </c>
      <c r="T176" s="36"/>
      <c r="U176" s="74">
        <v>0</v>
      </c>
    </row>
    <row r="177" spans="1:21" x14ac:dyDescent="0.3">
      <c r="A177" s="14" t="str">
        <f t="shared" si="8"/>
        <v>(25, 30]</v>
      </c>
      <c r="B177" s="83">
        <v>172723</v>
      </c>
      <c r="C177" s="83">
        <v>476161855</v>
      </c>
      <c r="D177" s="36">
        <v>2.4684182432833164E-2</v>
      </c>
      <c r="E177" s="69">
        <v>27.567947233431564</v>
      </c>
      <c r="F177" s="73"/>
      <c r="G177" s="14" t="str">
        <f t="shared" si="9"/>
        <v>(25, 30]</v>
      </c>
      <c r="H177" s="70">
        <v>5.7719735457184003</v>
      </c>
      <c r="I177" s="36">
        <v>0.14247644799999989</v>
      </c>
      <c r="J177" s="36">
        <v>0.14247644799999992</v>
      </c>
      <c r="K177" s="71">
        <v>142476448</v>
      </c>
      <c r="L177" s="36">
        <v>0.14247644913981158</v>
      </c>
      <c r="M177" s="36">
        <v>3.9277832318930219</v>
      </c>
      <c r="N177" s="73"/>
      <c r="O177" s="59">
        <v>25</v>
      </c>
      <c r="P177" s="59">
        <v>30</v>
      </c>
      <c r="Q177" s="36">
        <v>0.14247644913981158</v>
      </c>
      <c r="R177" s="36">
        <v>8.9654999999999999E-2</v>
      </c>
      <c r="T177" s="36"/>
      <c r="U177" s="74">
        <v>0</v>
      </c>
    </row>
    <row r="178" spans="1:21" x14ac:dyDescent="0.3">
      <c r="A178" s="14" t="str">
        <f t="shared" si="8"/>
        <v>(30, 35]</v>
      </c>
      <c r="B178" s="83">
        <v>171647</v>
      </c>
      <c r="C178" s="83">
        <v>558840920</v>
      </c>
      <c r="D178" s="36">
        <v>2.4530409164086511E-2</v>
      </c>
      <c r="E178" s="69">
        <v>32.557569896357059</v>
      </c>
      <c r="F178" s="73"/>
      <c r="G178" s="14" t="str">
        <f t="shared" si="9"/>
        <v>(30, 35]</v>
      </c>
      <c r="H178" s="70">
        <v>2.1852118177661102</v>
      </c>
      <c r="I178" s="36">
        <v>5.3604139999999932E-2</v>
      </c>
      <c r="J178" s="36">
        <v>5.3604139999999939E-2</v>
      </c>
      <c r="K178" s="71">
        <v>53604139</v>
      </c>
      <c r="L178" s="36">
        <v>5.3604139428833117E-2</v>
      </c>
      <c r="M178" s="36">
        <v>1.7452205161883036</v>
      </c>
      <c r="N178" s="73"/>
      <c r="O178" s="59">
        <v>30</v>
      </c>
      <c r="P178" s="59">
        <v>35</v>
      </c>
      <c r="Q178" s="36">
        <v>5.3604139428833117E-2</v>
      </c>
      <c r="R178" s="36">
        <v>3.4483E-2</v>
      </c>
      <c r="T178" s="36"/>
      <c r="U178" s="74">
        <v>0</v>
      </c>
    </row>
    <row r="179" spans="1:21" x14ac:dyDescent="0.3">
      <c r="A179" s="14" t="str">
        <f t="shared" si="8"/>
        <v>(35, 40]</v>
      </c>
      <c r="B179" s="83">
        <v>172745</v>
      </c>
      <c r="C179" s="83">
        <v>648716530</v>
      </c>
      <c r="D179" s="36">
        <v>2.4687326495948802E-2</v>
      </c>
      <c r="E179" s="69">
        <v>37.553418622825554</v>
      </c>
      <c r="F179" s="73"/>
      <c r="G179" s="14" t="str">
        <f t="shared" si="9"/>
        <v>(35, 40]</v>
      </c>
      <c r="H179" s="70">
        <v>3.8224245146790401</v>
      </c>
      <c r="I179" s="36">
        <v>9.4365442000000105E-2</v>
      </c>
      <c r="J179" s="36">
        <v>9.4365442000000119E-2</v>
      </c>
      <c r="K179" s="71">
        <v>94365442</v>
      </c>
      <c r="L179" s="36">
        <v>9.4365442754923548E-2</v>
      </c>
      <c r="M179" s="36">
        <v>3.5437449753039245</v>
      </c>
      <c r="N179" s="73"/>
      <c r="O179" s="59">
        <v>35</v>
      </c>
      <c r="P179" s="59">
        <v>40</v>
      </c>
      <c r="Q179" s="36">
        <v>9.4365442754923548E-2</v>
      </c>
      <c r="R179" s="36">
        <v>6.2068999999999999E-2</v>
      </c>
      <c r="T179" s="36"/>
      <c r="U179" s="74">
        <v>0</v>
      </c>
    </row>
    <row r="180" spans="1:21" x14ac:dyDescent="0.3">
      <c r="A180" s="14" t="str">
        <f t="shared" si="8"/>
        <v>(40, 45]</v>
      </c>
      <c r="B180" s="83">
        <v>170232</v>
      </c>
      <c r="C180" s="83">
        <v>724358025</v>
      </c>
      <c r="D180" s="36">
        <v>2.432818874096707E-2</v>
      </c>
      <c r="E180" s="69">
        <v>42.551225680248137</v>
      </c>
      <c r="F180" s="73"/>
      <c r="G180" s="14" t="str">
        <f t="shared" si="9"/>
        <v>(40, 45]</v>
      </c>
      <c r="H180" s="70">
        <v>3.3720101760744199</v>
      </c>
      <c r="I180" s="36">
        <v>8.2034900000000091E-2</v>
      </c>
      <c r="J180" s="36">
        <v>8.2034900000000105E-2</v>
      </c>
      <c r="K180" s="71">
        <v>82034900</v>
      </c>
      <c r="L180" s="36">
        <v>8.2034900656279205E-2</v>
      </c>
      <c r="M180" s="36">
        <v>3.4906855714820724</v>
      </c>
      <c r="N180" s="73"/>
      <c r="O180" s="59">
        <v>40</v>
      </c>
      <c r="P180" s="59">
        <v>45</v>
      </c>
      <c r="Q180" s="36">
        <v>8.2034900656279205E-2</v>
      </c>
      <c r="R180" s="36">
        <v>5.5171999999999999E-2</v>
      </c>
      <c r="T180" s="36"/>
      <c r="U180" s="74">
        <v>0</v>
      </c>
    </row>
    <row r="181" spans="1:21" x14ac:dyDescent="0.3">
      <c r="A181" s="14" t="str">
        <f t="shared" si="8"/>
        <v>(45, 50]</v>
      </c>
      <c r="B181" s="83">
        <v>168045</v>
      </c>
      <c r="C181" s="83">
        <v>798977350</v>
      </c>
      <c r="D181" s="36">
        <v>2.40156402848807E-2</v>
      </c>
      <c r="E181" s="69">
        <v>47.545440209467706</v>
      </c>
      <c r="F181" s="73"/>
      <c r="G181" s="14" t="str">
        <f t="shared" si="9"/>
        <v>(45, 50]</v>
      </c>
      <c r="H181" s="70">
        <v>2.9236448900429099</v>
      </c>
      <c r="I181" s="36">
        <v>7.0213204000000112E-2</v>
      </c>
      <c r="J181" s="36">
        <v>7.0213204000000126E-2</v>
      </c>
      <c r="K181" s="71">
        <v>70213204</v>
      </c>
      <c r="L181" s="36">
        <v>7.0213204561705642E-2</v>
      </c>
      <c r="M181" s="36">
        <v>3.3383177194037006</v>
      </c>
      <c r="N181" s="73"/>
      <c r="O181" s="59">
        <v>45</v>
      </c>
      <c r="P181" s="59">
        <v>50</v>
      </c>
      <c r="Q181" s="36">
        <v>7.0213204561705642E-2</v>
      </c>
      <c r="R181" s="36">
        <v>4.8275999999999999E-2</v>
      </c>
      <c r="T181" s="36"/>
      <c r="U181" s="74">
        <v>0</v>
      </c>
    </row>
    <row r="182" spans="1:21" x14ac:dyDescent="0.3">
      <c r="A182" s="14" t="str">
        <f t="shared" si="8"/>
        <v>(50, 60]</v>
      </c>
      <c r="B182" s="83">
        <v>323672</v>
      </c>
      <c r="C182" s="83">
        <v>1780620765</v>
      </c>
      <c r="D182" s="36">
        <v>4.6256599852943593E-2</v>
      </c>
      <c r="E182" s="69">
        <v>55.013123316196641</v>
      </c>
      <c r="F182" s="73"/>
      <c r="G182" s="14" t="str">
        <f t="shared" si="9"/>
        <v>(50, 60]</v>
      </c>
      <c r="H182" s="70">
        <v>1.46831112135186</v>
      </c>
      <c r="I182" s="36">
        <v>6.7919079999999896E-2</v>
      </c>
      <c r="J182" s="36">
        <v>6.791907999999991E-2</v>
      </c>
      <c r="K182" s="71">
        <v>67919079</v>
      </c>
      <c r="L182" s="36">
        <v>6.7919079543352634E-2</v>
      </c>
      <c r="M182" s="36">
        <v>3.7364406984410272</v>
      </c>
      <c r="N182" s="73"/>
      <c r="O182" s="59">
        <v>50</v>
      </c>
      <c r="P182" s="59">
        <v>60</v>
      </c>
      <c r="Q182" s="36">
        <v>6.7919079543352634E-2</v>
      </c>
      <c r="R182" s="36">
        <v>4.8275999999999999E-2</v>
      </c>
      <c r="T182" s="36"/>
      <c r="U182" s="74">
        <v>0</v>
      </c>
    </row>
    <row r="183" spans="1:21" x14ac:dyDescent="0.3">
      <c r="A183" s="14" t="str">
        <f t="shared" si="8"/>
        <v>(60, 70]</v>
      </c>
      <c r="B183" s="83">
        <v>306735</v>
      </c>
      <c r="C183" s="83">
        <v>1993992090</v>
      </c>
      <c r="D183" s="36">
        <v>4.3836099989781795E-2</v>
      </c>
      <c r="E183" s="69">
        <v>65.006995941121815</v>
      </c>
      <c r="F183" s="73"/>
      <c r="G183" s="14" t="str">
        <f t="shared" si="9"/>
        <v>(60, 70]</v>
      </c>
      <c r="H183" s="70">
        <v>2.11739447673575</v>
      </c>
      <c r="I183" s="36">
        <v>9.281831600000004E-2</v>
      </c>
      <c r="J183" s="36">
        <v>9.2818316000000053E-2</v>
      </c>
      <c r="K183" s="71">
        <v>92818316</v>
      </c>
      <c r="L183" s="36">
        <v>9.2818316742546536E-2</v>
      </c>
      <c r="M183" s="36">
        <v>6.0338399397444817</v>
      </c>
      <c r="N183" s="73"/>
      <c r="O183" s="59">
        <v>60</v>
      </c>
      <c r="P183" s="59">
        <v>70</v>
      </c>
      <c r="Q183" s="36">
        <v>9.2818316742546536E-2</v>
      </c>
      <c r="R183" s="36">
        <v>6.8966E-2</v>
      </c>
      <c r="T183" s="36"/>
      <c r="U183" s="74">
        <v>0</v>
      </c>
    </row>
    <row r="184" spans="1:21" x14ac:dyDescent="0.3">
      <c r="A184" s="14" t="str">
        <f t="shared" si="8"/>
        <v>(70, 80]</v>
      </c>
      <c r="B184" s="83">
        <v>291160</v>
      </c>
      <c r="C184" s="83">
        <v>2183653920</v>
      </c>
      <c r="D184" s="36">
        <v>4.1610246215869943E-2</v>
      </c>
      <c r="E184" s="69">
        <v>74.998417365022675</v>
      </c>
      <c r="F184" s="73"/>
      <c r="G184" s="14" t="str">
        <f t="shared" si="9"/>
        <v>(70, 80]</v>
      </c>
      <c r="H184" s="70">
        <v>1.06693201885135</v>
      </c>
      <c r="I184" s="36">
        <v>4.4395303999999865E-2</v>
      </c>
      <c r="J184" s="36">
        <v>4.4395303999999872E-2</v>
      </c>
      <c r="K184" s="71">
        <v>44395303</v>
      </c>
      <c r="L184" s="36">
        <v>4.4395303355162424E-2</v>
      </c>
      <c r="M184" s="36">
        <v>3.3295774900772628</v>
      </c>
      <c r="N184" s="73"/>
      <c r="O184" s="59">
        <v>70</v>
      </c>
      <c r="P184" s="59">
        <v>80</v>
      </c>
      <c r="Q184" s="36">
        <v>4.4395303355162424E-2</v>
      </c>
      <c r="R184" s="36">
        <v>3.4483E-2</v>
      </c>
      <c r="T184" s="36"/>
      <c r="U184" s="74">
        <v>0</v>
      </c>
    </row>
    <row r="185" spans="1:21" x14ac:dyDescent="0.3">
      <c r="A185" s="14" t="str">
        <f t="shared" si="8"/>
        <v>(80, 90]</v>
      </c>
      <c r="B185" s="83">
        <v>272219</v>
      </c>
      <c r="C185" s="83">
        <v>2313514660</v>
      </c>
      <c r="D185" s="36">
        <v>3.8903350785265488E-2</v>
      </c>
      <c r="E185" s="69">
        <v>84.987258787961167</v>
      </c>
      <c r="F185" s="73"/>
      <c r="G185" s="14" t="str">
        <f t="shared" si="9"/>
        <v>(80, 90]</v>
      </c>
      <c r="H185" s="70">
        <v>2.1832732987146599</v>
      </c>
      <c r="I185" s="36">
        <v>8.4936647000000143E-2</v>
      </c>
      <c r="J185" s="36">
        <v>8.4936647000000157E-2</v>
      </c>
      <c r="K185" s="71">
        <v>84936647</v>
      </c>
      <c r="L185" s="36">
        <v>8.4936647679493188E-2</v>
      </c>
      <c r="M185" s="36">
        <v>7.2185328569189693</v>
      </c>
      <c r="N185" s="73"/>
      <c r="O185" s="59">
        <v>80</v>
      </c>
      <c r="P185" s="59">
        <v>90</v>
      </c>
      <c r="Q185" s="36">
        <v>8.4936647679493188E-2</v>
      </c>
      <c r="R185" s="36">
        <v>6.8966E-2</v>
      </c>
      <c r="T185" s="36"/>
      <c r="U185" s="74">
        <v>0</v>
      </c>
    </row>
    <row r="186" spans="1:21" x14ac:dyDescent="0.3">
      <c r="A186" s="14" t="str">
        <f t="shared" si="8"/>
        <v>(90, 100]</v>
      </c>
      <c r="B186" s="83">
        <v>253675</v>
      </c>
      <c r="C186" s="83">
        <v>2409933070</v>
      </c>
      <c r="D186" s="36">
        <v>3.625319140270232E-2</v>
      </c>
      <c r="E186" s="69">
        <v>95.000810880063071</v>
      </c>
      <c r="F186" s="73"/>
      <c r="G186" s="14" t="str">
        <f t="shared" si="9"/>
        <v>(90, 100]</v>
      </c>
      <c r="H186" s="70">
        <v>0.89651001035945599</v>
      </c>
      <c r="I186" s="36">
        <v>3.2501348999999999E-2</v>
      </c>
      <c r="J186" s="36">
        <v>3.2501349000000006E-2</v>
      </c>
      <c r="K186" s="71">
        <v>32501349</v>
      </c>
      <c r="L186" s="36">
        <v>3.2501349260010796E-2</v>
      </c>
      <c r="M186" s="36">
        <v>3.0876545343971635</v>
      </c>
      <c r="N186" s="73"/>
      <c r="O186" s="59">
        <v>90</v>
      </c>
      <c r="P186" s="59">
        <v>100</v>
      </c>
      <c r="Q186" s="36">
        <v>3.2501349260010796E-2</v>
      </c>
      <c r="R186" s="36">
        <v>2.7585999999999999E-2</v>
      </c>
      <c r="T186" s="36"/>
      <c r="U186" s="74">
        <v>0</v>
      </c>
    </row>
    <row r="187" spans="1:21" x14ac:dyDescent="0.3">
      <c r="A187" s="14" t="str">
        <f t="shared" si="8"/>
        <v>(100, 120]</v>
      </c>
      <c r="B187" s="83">
        <v>456793</v>
      </c>
      <c r="C187" s="83">
        <v>5017102950</v>
      </c>
      <c r="D187" s="36">
        <v>6.5281182853708888E-2</v>
      </c>
      <c r="E187" s="69">
        <v>109.83318373968078</v>
      </c>
      <c r="F187" s="73"/>
      <c r="G187" s="14" t="str">
        <f t="shared" si="9"/>
        <v>(100, 120]</v>
      </c>
      <c r="H187" s="70">
        <v>1.16498152569365</v>
      </c>
      <c r="I187" s="36">
        <v>7.6051371999999923E-2</v>
      </c>
      <c r="J187" s="36">
        <v>7.6051371999999937E-2</v>
      </c>
      <c r="K187" s="71">
        <v>76051371</v>
      </c>
      <c r="L187" s="36">
        <v>7.6051371608410967E-2</v>
      </c>
      <c r="M187" s="36">
        <v>8.3529642715213441</v>
      </c>
      <c r="N187" s="73"/>
      <c r="O187" s="59">
        <v>100</v>
      </c>
      <c r="P187" s="59">
        <v>120</v>
      </c>
      <c r="Q187" s="36">
        <v>7.6051371608410967E-2</v>
      </c>
      <c r="R187" s="36">
        <v>6.8966E-2</v>
      </c>
      <c r="T187" s="36"/>
      <c r="U187" s="74">
        <v>0</v>
      </c>
    </row>
    <row r="188" spans="1:21" x14ac:dyDescent="0.3">
      <c r="A188" s="14" t="str">
        <f t="shared" si="8"/>
        <v>(120, 140]</v>
      </c>
      <c r="B188" s="83">
        <v>395813</v>
      </c>
      <c r="C188" s="83">
        <v>5138166890</v>
      </c>
      <c r="D188" s="36">
        <v>5.6566411544999758E-2</v>
      </c>
      <c r="E188" s="69">
        <v>129.81298971989298</v>
      </c>
      <c r="F188" s="73"/>
      <c r="G188" s="14" t="str">
        <f t="shared" si="9"/>
        <v>(120, 140]</v>
      </c>
      <c r="H188" s="70">
        <v>0.49206605545160198</v>
      </c>
      <c r="I188" s="36">
        <v>2.7834410999999989E-2</v>
      </c>
      <c r="J188" s="36">
        <v>2.7834410999999993E-2</v>
      </c>
      <c r="K188" s="71">
        <v>27834411</v>
      </c>
      <c r="L188" s="36">
        <v>2.7834411222675291E-2</v>
      </c>
      <c r="M188" s="36">
        <v>3.6132681379084213</v>
      </c>
      <c r="N188" s="73"/>
      <c r="O188" s="59">
        <v>120</v>
      </c>
      <c r="P188" s="59">
        <v>140</v>
      </c>
      <c r="Q188" s="36">
        <v>2.7834411222675291E-2</v>
      </c>
      <c r="R188" s="36">
        <v>2.7585999999999999E-2</v>
      </c>
      <c r="T188" s="36"/>
      <c r="U188" s="74">
        <v>0</v>
      </c>
    </row>
    <row r="189" spans="1:21" x14ac:dyDescent="0.3">
      <c r="A189" s="14" t="str">
        <f t="shared" si="8"/>
        <v>(140, 160]</v>
      </c>
      <c r="B189" s="83">
        <v>343531</v>
      </c>
      <c r="C189" s="83">
        <v>5146233665</v>
      </c>
      <c r="D189" s="36">
        <v>4.909468846264603E-2</v>
      </c>
      <c r="E189" s="69">
        <v>149.80405451036441</v>
      </c>
      <c r="F189" s="73"/>
      <c r="G189" s="14" t="str">
        <f t="shared" si="9"/>
        <v>(140, 160]</v>
      </c>
      <c r="H189" s="70">
        <v>0.90809355138124404</v>
      </c>
      <c r="I189" s="36">
        <v>4.4582570000000023E-2</v>
      </c>
      <c r="J189" s="36">
        <v>4.458257000000003E-2</v>
      </c>
      <c r="K189" s="71">
        <v>44582570</v>
      </c>
      <c r="L189" s="36">
        <v>4.4582570356660564E-2</v>
      </c>
      <c r="M189" s="36">
        <v>6.6786497999213355</v>
      </c>
      <c r="N189" s="73"/>
      <c r="O189" s="59">
        <v>140</v>
      </c>
      <c r="P189" s="59">
        <v>160</v>
      </c>
      <c r="Q189" s="36">
        <v>4.4582570356660564E-2</v>
      </c>
      <c r="R189" s="36">
        <v>4.8275999999999999E-2</v>
      </c>
      <c r="T189" s="36"/>
      <c r="U189" s="74">
        <v>0</v>
      </c>
    </row>
    <row r="190" spans="1:21" x14ac:dyDescent="0.3">
      <c r="A190" s="14" t="str">
        <f t="shared" si="8"/>
        <v>(160, 180]</v>
      </c>
      <c r="B190" s="83">
        <v>298628</v>
      </c>
      <c r="C190" s="83">
        <v>5070946225</v>
      </c>
      <c r="D190" s="36">
        <v>4.2677512731669219E-2</v>
      </c>
      <c r="E190" s="69">
        <v>169.8081300146001</v>
      </c>
      <c r="F190" s="73"/>
      <c r="G190" s="14" t="str">
        <f t="shared" si="9"/>
        <v>(160, 180]</v>
      </c>
      <c r="H190" s="70">
        <v>0.54619748218603104</v>
      </c>
      <c r="I190" s="36">
        <v>2.3310350000000011E-2</v>
      </c>
      <c r="J190" s="36">
        <v>2.3310350000000014E-2</v>
      </c>
      <c r="K190" s="71">
        <v>23310350</v>
      </c>
      <c r="L190" s="36">
        <v>2.3310350186482802E-2</v>
      </c>
      <c r="M190" s="36">
        <v>3.958286975152129</v>
      </c>
      <c r="N190" s="73"/>
      <c r="O190" s="59">
        <v>160</v>
      </c>
      <c r="P190" s="59">
        <v>180</v>
      </c>
      <c r="Q190" s="36">
        <v>2.3310350186482802E-2</v>
      </c>
      <c r="R190" s="36">
        <v>2.7585999999999999E-2</v>
      </c>
      <c r="T190" s="36"/>
      <c r="U190" s="74">
        <v>0</v>
      </c>
    </row>
    <row r="191" spans="1:21" x14ac:dyDescent="0.3">
      <c r="A191" s="14" t="str">
        <f t="shared" si="8"/>
        <v>(180, 200]</v>
      </c>
      <c r="B191" s="83">
        <v>258337</v>
      </c>
      <c r="C191" s="83">
        <v>4903415715</v>
      </c>
      <c r="D191" s="36">
        <v>3.6919446959297962E-2</v>
      </c>
      <c r="E191" s="69">
        <v>189.80694654656517</v>
      </c>
      <c r="F191" s="73"/>
      <c r="G191" s="14" t="str">
        <f t="shared" si="9"/>
        <v>(180, 200]</v>
      </c>
      <c r="H191" s="70">
        <v>0.72226482778568302</v>
      </c>
      <c r="I191" s="36">
        <v>2.6665618000000002E-2</v>
      </c>
      <c r="J191" s="36">
        <v>2.6665618000000006E-2</v>
      </c>
      <c r="K191" s="71">
        <v>26665618</v>
      </c>
      <c r="L191" s="36">
        <v>2.6665618213324947E-2</v>
      </c>
      <c r="M191" s="36">
        <v>5.061319570847683</v>
      </c>
      <c r="N191" s="73"/>
      <c r="O191" s="59">
        <v>180</v>
      </c>
      <c r="P191" s="59">
        <v>200</v>
      </c>
      <c r="Q191" s="36">
        <v>2.6665618213324947E-2</v>
      </c>
      <c r="R191" s="36">
        <v>3.4483E-2</v>
      </c>
      <c r="T191" s="36"/>
      <c r="U191" s="74">
        <v>0</v>
      </c>
    </row>
    <row r="192" spans="1:21" x14ac:dyDescent="0.3">
      <c r="A192" s="14" t="str">
        <f t="shared" si="8"/>
        <v>(200, 250]</v>
      </c>
      <c r="B192" s="83">
        <v>513423</v>
      </c>
      <c r="C192" s="83">
        <v>11482735530</v>
      </c>
      <c r="D192" s="36">
        <v>7.3374287137280517E-2</v>
      </c>
      <c r="E192" s="69">
        <v>223.65058694293009</v>
      </c>
      <c r="F192" s="73"/>
      <c r="G192" s="14" t="str">
        <f t="shared" si="9"/>
        <v>(200, 250]</v>
      </c>
      <c r="H192" s="70">
        <v>4.810867863555E-3</v>
      </c>
      <c r="I192" s="36">
        <v>3.5299399999999981E-4</v>
      </c>
      <c r="J192" s="36">
        <v>3.5299399999999987E-4</v>
      </c>
      <c r="K192" s="71">
        <v>352994</v>
      </c>
      <c r="L192" s="36">
        <v>3.5299400282395204E-4</v>
      </c>
      <c r="M192" s="36">
        <v>7.8947315918911201E-2</v>
      </c>
      <c r="N192" s="73"/>
      <c r="O192" s="59">
        <v>200</v>
      </c>
      <c r="P192" s="59">
        <v>250</v>
      </c>
      <c r="Q192" s="36">
        <v>3.5299400282395204E-4</v>
      </c>
      <c r="R192" s="36">
        <v>1.3793E-2</v>
      </c>
      <c r="T192" s="36"/>
      <c r="U192" s="74">
        <v>0</v>
      </c>
    </row>
    <row r="193" spans="1:21" x14ac:dyDescent="0.3">
      <c r="A193" s="14" t="str">
        <f t="shared" si="8"/>
        <v>(250, 300]</v>
      </c>
      <c r="B193" s="83">
        <v>370638</v>
      </c>
      <c r="C193" s="83">
        <v>10146620445</v>
      </c>
      <c r="D193" s="36">
        <v>5.2968602956991358E-2</v>
      </c>
      <c r="E193" s="69">
        <v>273.76093236527288</v>
      </c>
      <c r="F193" s="73"/>
      <c r="G193" s="14" t="str">
        <f t="shared" si="9"/>
        <v>(250, 300]</v>
      </c>
      <c r="H193" s="70">
        <v>5.4443761757159304E-3</v>
      </c>
      <c r="I193" s="36">
        <v>2.8838100000000015E-4</v>
      </c>
      <c r="J193" s="36">
        <v>2.8838100000000021E-4</v>
      </c>
      <c r="K193" s="71">
        <v>288381</v>
      </c>
      <c r="L193" s="36">
        <v>2.8838100230704804E-4</v>
      </c>
      <c r="M193" s="36">
        <v>7.8947452068009377E-2</v>
      </c>
      <c r="N193" s="73"/>
      <c r="O193" s="59">
        <v>250</v>
      </c>
      <c r="P193" s="59">
        <v>300</v>
      </c>
      <c r="Q193" s="36">
        <v>2.8838100230704804E-4</v>
      </c>
      <c r="R193" s="36">
        <v>1.3793E-2</v>
      </c>
      <c r="T193" s="36"/>
      <c r="U193" s="74">
        <v>0</v>
      </c>
    </row>
    <row r="194" spans="1:21" x14ac:dyDescent="0.3">
      <c r="A194" s="14" t="str">
        <f t="shared" si="8"/>
        <v>(300, 350]</v>
      </c>
      <c r="B194" s="83">
        <v>274053</v>
      </c>
      <c r="C194" s="83">
        <v>8873479165</v>
      </c>
      <c r="D194" s="36">
        <v>3.9165451319541855E-2</v>
      </c>
      <c r="E194" s="69">
        <v>323.78697423491076</v>
      </c>
      <c r="F194" s="73"/>
      <c r="G194" s="14" t="str">
        <f t="shared" si="9"/>
        <v>(300, 350]</v>
      </c>
      <c r="H194" s="70">
        <v>6.2255123274512596E-3</v>
      </c>
      <c r="I194" s="36">
        <v>2.4382500000000003E-4</v>
      </c>
      <c r="J194" s="36">
        <v>2.4382500000000006E-4</v>
      </c>
      <c r="K194" s="71">
        <v>243825</v>
      </c>
      <c r="L194" s="36">
        <v>2.438250019506E-4</v>
      </c>
      <c r="M194" s="36">
        <v>7.8947359624405994E-2</v>
      </c>
      <c r="N194" s="73"/>
      <c r="O194" s="59">
        <v>300</v>
      </c>
      <c r="P194" s="59">
        <v>350</v>
      </c>
      <c r="Q194" s="36">
        <v>2.438250019506E-4</v>
      </c>
      <c r="R194" s="36">
        <v>6.8970000000000004E-3</v>
      </c>
      <c r="T194" s="36"/>
      <c r="U194" s="74">
        <v>0</v>
      </c>
    </row>
    <row r="195" spans="1:21" x14ac:dyDescent="0.3">
      <c r="A195" s="14" t="str">
        <f t="shared" ref="A195:A226" si="10">"("&amp;$O195&amp;", "&amp;$P195&amp;"]"</f>
        <v>(350, 400]</v>
      </c>
      <c r="B195" s="83">
        <v>205430</v>
      </c>
      <c r="C195" s="83">
        <v>7680838935</v>
      </c>
      <c r="D195" s="36">
        <v>2.9358403902068151E-2</v>
      </c>
      <c r="E195" s="69">
        <v>373.89081122523487</v>
      </c>
      <c r="F195" s="73"/>
      <c r="G195" s="14" t="str">
        <f t="shared" ref="G195:G226" si="11">"("&amp;$O195&amp;", "&amp;$P195&amp;"]"</f>
        <v>(350, 400]</v>
      </c>
      <c r="H195" s="70">
        <v>7.1921825418147303E-3</v>
      </c>
      <c r="I195" s="36">
        <v>2.11151E-4</v>
      </c>
      <c r="J195" s="36">
        <v>2.1115100000000003E-4</v>
      </c>
      <c r="K195" s="71">
        <v>211151</v>
      </c>
      <c r="L195" s="36">
        <v>2.1115100168920802E-4</v>
      </c>
      <c r="M195" s="36">
        <v>7.8947419312598924E-2</v>
      </c>
      <c r="N195" s="73"/>
      <c r="O195" s="59">
        <v>350</v>
      </c>
      <c r="P195" s="59">
        <v>400</v>
      </c>
      <c r="Q195" s="36">
        <v>2.1115100168920802E-4</v>
      </c>
      <c r="R195" s="36">
        <v>6.8970000000000004E-3</v>
      </c>
      <c r="T195" s="36"/>
      <c r="U195" s="74">
        <v>0</v>
      </c>
    </row>
    <row r="196" spans="1:21" x14ac:dyDescent="0.3">
      <c r="A196" s="14" t="str">
        <f t="shared" si="10"/>
        <v>(400, 450]</v>
      </c>
      <c r="B196" s="83">
        <v>155982</v>
      </c>
      <c r="C196" s="83">
        <v>6612380765</v>
      </c>
      <c r="D196" s="36">
        <v>2.2291693313792504E-2</v>
      </c>
      <c r="E196" s="69">
        <v>423.91947564462566</v>
      </c>
      <c r="F196" s="73"/>
      <c r="G196" s="14" t="str">
        <f t="shared" si="11"/>
        <v>(400, 450]</v>
      </c>
      <c r="H196" s="70">
        <v>8.3543227236475993E-3</v>
      </c>
      <c r="I196" s="36">
        <v>1.8623199999999996E-4</v>
      </c>
      <c r="J196" s="36">
        <v>1.8623199999999999E-4</v>
      </c>
      <c r="K196" s="71">
        <v>186232</v>
      </c>
      <c r="L196" s="36">
        <v>1.8623200148985602E-4</v>
      </c>
      <c r="M196" s="36">
        <v>7.894737241982891E-2</v>
      </c>
      <c r="N196" s="73"/>
      <c r="O196" s="59">
        <v>400</v>
      </c>
      <c r="P196" s="59">
        <v>450</v>
      </c>
      <c r="Q196" s="36">
        <v>1.8623200148985602E-4</v>
      </c>
      <c r="R196" s="36">
        <v>0</v>
      </c>
      <c r="T196" s="36"/>
      <c r="U196" s="74">
        <v>0</v>
      </c>
    </row>
    <row r="197" spans="1:21" x14ac:dyDescent="0.3">
      <c r="A197" s="14" t="str">
        <f t="shared" si="10"/>
        <v>(450, 500]</v>
      </c>
      <c r="B197" s="83">
        <v>121473</v>
      </c>
      <c r="C197" s="83">
        <v>5758476855</v>
      </c>
      <c r="D197" s="36">
        <v>1.7359944492994814E-2</v>
      </c>
      <c r="E197" s="69">
        <v>474.05405769183278</v>
      </c>
      <c r="F197" s="73"/>
      <c r="G197" s="14" t="str">
        <f t="shared" si="11"/>
        <v>(450, 500]</v>
      </c>
      <c r="H197" s="70">
        <v>9.5931758345887599E-3</v>
      </c>
      <c r="I197" s="36">
        <v>1.6653700000000008E-4</v>
      </c>
      <c r="J197" s="36">
        <v>1.665370000000001E-4</v>
      </c>
      <c r="K197" s="71">
        <v>166537</v>
      </c>
      <c r="L197" s="36">
        <v>1.66537001332296E-4</v>
      </c>
      <c r="M197" s="36">
        <v>7.8947541237405078E-2</v>
      </c>
      <c r="N197" s="73"/>
      <c r="O197" s="59">
        <v>450</v>
      </c>
      <c r="P197" s="59">
        <v>500</v>
      </c>
      <c r="Q197" s="36">
        <v>1.66537001332296E-4</v>
      </c>
      <c r="R197" s="36">
        <v>0</v>
      </c>
      <c r="T197" s="36"/>
      <c r="U197" s="74">
        <v>0</v>
      </c>
    </row>
    <row r="198" spans="1:21" x14ac:dyDescent="0.3">
      <c r="A198" s="14" t="str">
        <f t="shared" si="10"/>
        <v>(500, 550]</v>
      </c>
      <c r="B198" s="83">
        <v>95846</v>
      </c>
      <c r="C198" s="83">
        <v>5022192925</v>
      </c>
      <c r="D198" s="36">
        <v>1.3697539699156033E-2</v>
      </c>
      <c r="E198" s="69">
        <v>523.98565667842161</v>
      </c>
      <c r="F198" s="73"/>
      <c r="G198" s="14" t="str">
        <f t="shared" si="11"/>
        <v>(500, 550]</v>
      </c>
      <c r="H198" s="70">
        <v>1.09995665870772E-2</v>
      </c>
      <c r="I198" s="36">
        <v>1.5066700000000019E-4</v>
      </c>
      <c r="J198" s="36">
        <v>1.5066700000000022E-4</v>
      </c>
      <c r="K198" s="71">
        <v>150667</v>
      </c>
      <c r="L198" s="36">
        <v>1.5066700120533601E-4</v>
      </c>
      <c r="M198" s="36">
        <v>7.8947347566346526E-2</v>
      </c>
      <c r="N198" s="73"/>
      <c r="O198" s="59">
        <v>500</v>
      </c>
      <c r="P198" s="59">
        <v>550</v>
      </c>
      <c r="Q198" s="36">
        <v>1.5066700120533601E-4</v>
      </c>
      <c r="R198" s="36">
        <v>0</v>
      </c>
      <c r="T198" s="36"/>
      <c r="U198" s="74">
        <v>0</v>
      </c>
    </row>
    <row r="199" spans="1:21" x14ac:dyDescent="0.3">
      <c r="A199" s="14" t="str">
        <f t="shared" si="10"/>
        <v>(550, 600]</v>
      </c>
      <c r="B199" s="83">
        <v>76191</v>
      </c>
      <c r="C199" s="83">
        <v>4374443840</v>
      </c>
      <c r="D199" s="36">
        <v>1.0888605129253149E-2</v>
      </c>
      <c r="E199" s="69">
        <v>574.14180677507841</v>
      </c>
      <c r="F199" s="73"/>
      <c r="G199" s="14" t="str">
        <f t="shared" si="11"/>
        <v>(550, 600]</v>
      </c>
      <c r="H199" s="70">
        <v>1.2628339293026701E-2</v>
      </c>
      <c r="I199" s="36">
        <v>1.3750499999999963E-4</v>
      </c>
      <c r="J199" s="36">
        <v>1.3750499999999965E-4</v>
      </c>
      <c r="K199" s="71">
        <v>137505</v>
      </c>
      <c r="L199" s="36">
        <v>1.3750500110004001E-4</v>
      </c>
      <c r="M199" s="36">
        <v>7.8947369772186124E-2</v>
      </c>
      <c r="N199" s="73"/>
      <c r="O199" s="59">
        <v>550</v>
      </c>
      <c r="P199" s="59">
        <v>600</v>
      </c>
      <c r="Q199" s="36">
        <v>1.3750500110004001E-4</v>
      </c>
      <c r="R199" s="36">
        <v>0</v>
      </c>
      <c r="T199" s="36"/>
      <c r="U199" s="74">
        <v>0</v>
      </c>
    </row>
    <row r="200" spans="1:21" x14ac:dyDescent="0.3">
      <c r="A200" s="14" t="str">
        <f t="shared" si="10"/>
        <v>(600, 650]</v>
      </c>
      <c r="B200" s="83">
        <v>61071</v>
      </c>
      <c r="C200" s="83">
        <v>3811243745</v>
      </c>
      <c r="D200" s="36">
        <v>8.727776297051083E-3</v>
      </c>
      <c r="E200" s="69">
        <v>624.0676826971885</v>
      </c>
      <c r="F200" s="73"/>
      <c r="G200" s="14" t="str">
        <f t="shared" si="11"/>
        <v>(600, 650]</v>
      </c>
      <c r="H200" s="70">
        <v>1.4494413662131E-2</v>
      </c>
      <c r="I200" s="36">
        <v>1.2650400000000032E-4</v>
      </c>
      <c r="J200" s="36">
        <v>1.2650400000000035E-4</v>
      </c>
      <c r="K200" s="71">
        <v>126504</v>
      </c>
      <c r="L200" s="36">
        <v>1.26504001012032E-4</v>
      </c>
      <c r="M200" s="36">
        <v>7.8947058763501596E-2</v>
      </c>
      <c r="N200" s="73"/>
      <c r="O200" s="59">
        <v>600</v>
      </c>
      <c r="P200" s="59">
        <v>650</v>
      </c>
      <c r="Q200" s="36">
        <v>1.26504001012032E-4</v>
      </c>
      <c r="R200" s="36">
        <v>6.8970000000000004E-3</v>
      </c>
      <c r="T200" s="36"/>
      <c r="U200" s="74">
        <v>0</v>
      </c>
    </row>
    <row r="201" spans="1:21" x14ac:dyDescent="0.3">
      <c r="A201" s="14" t="str">
        <f t="shared" si="10"/>
        <v>(650, 700]</v>
      </c>
      <c r="B201" s="83">
        <v>49505</v>
      </c>
      <c r="C201" s="83">
        <v>3337761550</v>
      </c>
      <c r="D201" s="36">
        <v>7.0748565699843436E-3</v>
      </c>
      <c r="E201" s="69">
        <v>674.22715887284107</v>
      </c>
      <c r="F201" s="73"/>
      <c r="G201" s="14" t="str">
        <f t="shared" si="11"/>
        <v>(650, 700]</v>
      </c>
      <c r="H201" s="70">
        <v>1.6550582876376101E-2</v>
      </c>
      <c r="I201" s="36">
        <v>1.1709299999999984E-4</v>
      </c>
      <c r="J201" s="36">
        <v>1.1709299999999985E-4</v>
      </c>
      <c r="K201" s="71">
        <v>117093</v>
      </c>
      <c r="L201" s="36">
        <v>1.1709300093674401E-4</v>
      </c>
      <c r="M201" s="36">
        <v>7.8947281345475837E-2</v>
      </c>
      <c r="N201" s="73"/>
      <c r="O201" s="59">
        <v>650</v>
      </c>
      <c r="P201" s="59">
        <v>700</v>
      </c>
      <c r="Q201" s="36">
        <v>1.1709300093674401E-4</v>
      </c>
      <c r="R201" s="36">
        <v>0</v>
      </c>
      <c r="T201" s="36"/>
      <c r="U201" s="74">
        <v>0</v>
      </c>
    </row>
    <row r="202" spans="1:21" x14ac:dyDescent="0.3">
      <c r="A202" s="14" t="str">
        <f t="shared" si="10"/>
        <v>(700, 750]</v>
      </c>
      <c r="B202" s="83">
        <v>40886</v>
      </c>
      <c r="C202" s="83">
        <v>2961427510</v>
      </c>
      <c r="D202" s="36">
        <v>5.8430983884532857E-3</v>
      </c>
      <c r="E202" s="69">
        <v>724.3133370835983</v>
      </c>
      <c r="F202" s="73"/>
      <c r="G202" s="14" t="str">
        <f t="shared" si="11"/>
        <v>(700, 750]</v>
      </c>
      <c r="H202" s="70">
        <v>1.8653801930734199E-2</v>
      </c>
      <c r="I202" s="36">
        <v>1.0899599999999979E-4</v>
      </c>
      <c r="J202" s="36">
        <v>1.0899599999999981E-4</v>
      </c>
      <c r="K202" s="71">
        <v>108996</v>
      </c>
      <c r="L202" s="36">
        <v>1.0899600087196801E-4</v>
      </c>
      <c r="M202" s="36">
        <v>7.8947257120341938E-2</v>
      </c>
      <c r="N202" s="73"/>
      <c r="O202" s="59">
        <v>700</v>
      </c>
      <c r="P202" s="59">
        <v>750</v>
      </c>
      <c r="Q202" s="36">
        <v>1.0899600087196801E-4</v>
      </c>
      <c r="R202" s="36">
        <v>0</v>
      </c>
      <c r="T202" s="36"/>
      <c r="U202" s="74">
        <v>0</v>
      </c>
    </row>
    <row r="203" spans="1:21" x14ac:dyDescent="0.3">
      <c r="A203" s="14" t="str">
        <f t="shared" si="10"/>
        <v>(750, 800]</v>
      </c>
      <c r="B203" s="83">
        <v>33857</v>
      </c>
      <c r="C203" s="83">
        <v>2621391690</v>
      </c>
      <c r="D203" s="36">
        <v>4.8385702230069674E-3</v>
      </c>
      <c r="E203" s="69">
        <v>774.25397702100008</v>
      </c>
      <c r="F203" s="73"/>
      <c r="G203" s="14" t="str">
        <f t="shared" si="11"/>
        <v>(750, 800]</v>
      </c>
      <c r="H203" s="70">
        <v>2.1073580686120998E-2</v>
      </c>
      <c r="I203" s="36">
        <v>1.019659999999998E-4</v>
      </c>
      <c r="J203" s="36">
        <v>1.0196599999999982E-4</v>
      </c>
      <c r="K203" s="71">
        <v>101966</v>
      </c>
      <c r="L203" s="36">
        <v>1.0196600081572801E-4</v>
      </c>
      <c r="M203" s="36">
        <v>7.8947581652503956E-2</v>
      </c>
      <c r="N203" s="73"/>
      <c r="O203" s="59">
        <v>750</v>
      </c>
      <c r="P203" s="59">
        <v>800</v>
      </c>
      <c r="Q203" s="36">
        <v>1.0196600081572801E-4</v>
      </c>
      <c r="R203" s="36">
        <v>0</v>
      </c>
      <c r="T203" s="36"/>
      <c r="U203" s="74">
        <v>0</v>
      </c>
    </row>
    <row r="204" spans="1:21" x14ac:dyDescent="0.3">
      <c r="A204" s="14" t="str">
        <f t="shared" si="10"/>
        <v>(800, 850]</v>
      </c>
      <c r="B204" s="83">
        <v>28291</v>
      </c>
      <c r="C204" s="83">
        <v>2332011670</v>
      </c>
      <c r="D204" s="36">
        <v>4.0431222547505719E-3</v>
      </c>
      <c r="E204" s="69">
        <v>824.29453536460369</v>
      </c>
      <c r="F204" s="73"/>
      <c r="G204" s="14" t="str">
        <f t="shared" si="11"/>
        <v>(800, 850]</v>
      </c>
      <c r="H204" s="70">
        <v>2.3688623287971399E-2</v>
      </c>
      <c r="I204" s="36">
        <v>9.5775999999999823E-5</v>
      </c>
      <c r="J204" s="36">
        <v>9.5775999999999837E-5</v>
      </c>
      <c r="K204" s="71">
        <v>95775</v>
      </c>
      <c r="L204" s="36">
        <v>9.5775000766200007E-5</v>
      </c>
      <c r="M204" s="36">
        <v>7.8946809756119396E-2</v>
      </c>
      <c r="N204" s="73"/>
      <c r="O204" s="59">
        <v>800</v>
      </c>
      <c r="P204" s="59">
        <v>850</v>
      </c>
      <c r="Q204" s="36">
        <v>9.5775000766200007E-5</v>
      </c>
      <c r="R204" s="36">
        <v>0</v>
      </c>
      <c r="T204" s="36"/>
      <c r="U204" s="74">
        <v>0</v>
      </c>
    </row>
    <row r="205" spans="1:21" x14ac:dyDescent="0.3">
      <c r="A205" s="14" t="str">
        <f t="shared" si="10"/>
        <v>(850, 900]</v>
      </c>
      <c r="B205" s="83">
        <v>23625</v>
      </c>
      <c r="C205" s="83">
        <v>2065488815</v>
      </c>
      <c r="D205" s="36">
        <v>3.3762950503157282E-3</v>
      </c>
      <c r="E205" s="69">
        <v>874.28097989417995</v>
      </c>
      <c r="F205" s="73"/>
      <c r="G205" s="14" t="str">
        <f t="shared" si="11"/>
        <v>(850, 900]</v>
      </c>
      <c r="H205" s="70">
        <v>2.67452928888889E-2</v>
      </c>
      <c r="I205" s="36">
        <v>9.030000000000004E-5</v>
      </c>
      <c r="J205" s="36">
        <v>9.0300000000000054E-5</v>
      </c>
      <c r="K205" s="72">
        <v>90300</v>
      </c>
      <c r="L205" s="36">
        <v>9.0300000722400004E-5</v>
      </c>
      <c r="M205" s="36">
        <v>7.894757311602503E-2</v>
      </c>
      <c r="N205" s="73"/>
      <c r="O205" s="59">
        <v>850</v>
      </c>
      <c r="P205" s="59">
        <v>900</v>
      </c>
      <c r="Q205" s="36">
        <v>9.0300000722400004E-5</v>
      </c>
      <c r="R205" s="36">
        <v>0</v>
      </c>
      <c r="T205" s="36"/>
      <c r="U205" s="74">
        <v>0</v>
      </c>
    </row>
    <row r="206" spans="1:21" x14ac:dyDescent="0.3">
      <c r="A206" s="14" t="str">
        <f t="shared" si="10"/>
        <v>(900, 950]</v>
      </c>
      <c r="B206" s="83">
        <v>20107</v>
      </c>
      <c r="C206" s="83">
        <v>1858657770</v>
      </c>
      <c r="D206" s="36">
        <v>2.8735307757332632E-3</v>
      </c>
      <c r="E206" s="69">
        <v>924.38343363007914</v>
      </c>
      <c r="F206" s="73"/>
      <c r="G206" s="14" t="str">
        <f t="shared" si="11"/>
        <v>(900, 950]</v>
      </c>
      <c r="H206" s="70">
        <v>2.9721275554533199E-2</v>
      </c>
      <c r="I206" s="36">
        <v>8.5404999999999851E-5</v>
      </c>
      <c r="J206" s="36">
        <v>8.5404999999999864E-5</v>
      </c>
      <c r="K206" s="72">
        <v>85404</v>
      </c>
      <c r="L206" s="36">
        <v>8.5404000683232006E-5</v>
      </c>
      <c r="M206" s="36">
        <v>7.8946043397311622E-2</v>
      </c>
      <c r="N206" s="73"/>
      <c r="O206" s="59">
        <v>900</v>
      </c>
      <c r="P206" s="59">
        <v>950</v>
      </c>
      <c r="Q206" s="36">
        <v>8.5404000683232006E-5</v>
      </c>
      <c r="R206" s="36">
        <v>6.8970000000000004E-3</v>
      </c>
      <c r="T206" s="36"/>
      <c r="U206" s="74">
        <v>0</v>
      </c>
    </row>
    <row r="207" spans="1:21" x14ac:dyDescent="0.3">
      <c r="A207" s="14" t="str">
        <f t="shared" si="10"/>
        <v>(950, 1000]</v>
      </c>
      <c r="B207" s="83">
        <v>17001</v>
      </c>
      <c r="C207" s="83">
        <v>1656429300</v>
      </c>
      <c r="D207" s="36">
        <v>2.4296462285891087E-3</v>
      </c>
      <c r="E207" s="69">
        <v>974.31286394917947</v>
      </c>
      <c r="F207" s="73"/>
      <c r="G207" s="14" t="str">
        <f t="shared" si="11"/>
        <v>(950, 1000]</v>
      </c>
      <c r="H207" s="70">
        <v>3.3350122765425601E-2</v>
      </c>
      <c r="I207" s="36">
        <v>8.1029000000000094E-5</v>
      </c>
      <c r="J207" s="36">
        <v>8.1029000000000108E-5</v>
      </c>
      <c r="K207" s="72">
        <v>81029</v>
      </c>
      <c r="L207" s="36">
        <v>8.102900064823201E-5</v>
      </c>
      <c r="M207" s="36">
        <v>7.8947597684518853E-2</v>
      </c>
      <c r="N207" s="73"/>
      <c r="O207" s="59">
        <v>950</v>
      </c>
      <c r="P207" s="59">
        <v>1000</v>
      </c>
      <c r="Q207" s="36">
        <v>8.102900064823201E-5</v>
      </c>
      <c r="R207" s="36">
        <v>0</v>
      </c>
      <c r="T207" s="36"/>
      <c r="U207" s="74">
        <v>0</v>
      </c>
    </row>
    <row r="208" spans="1:21" x14ac:dyDescent="0.3">
      <c r="A208" s="14" t="str">
        <f t="shared" si="10"/>
        <v>(1000, 2000]</v>
      </c>
      <c r="B208" s="83">
        <v>109395</v>
      </c>
      <c r="C208" s="83">
        <v>14362391790</v>
      </c>
      <c r="D208" s="36">
        <v>1.563385384250959E-2</v>
      </c>
      <c r="E208" s="69">
        <v>1312.8928918140684</v>
      </c>
      <c r="F208" s="73"/>
      <c r="G208" s="14" t="str">
        <f t="shared" si="11"/>
        <v>(1000, 2000]</v>
      </c>
      <c r="H208" s="70">
        <v>3.8462685276292301E-3</v>
      </c>
      <c r="I208" s="36">
        <v>6.0131999999999939E-5</v>
      </c>
      <c r="J208" s="36">
        <v>6.0131999999999945E-5</v>
      </c>
      <c r="K208" s="72">
        <v>60131</v>
      </c>
      <c r="L208" s="36">
        <v>6.0131000481048006E-5</v>
      </c>
      <c r="M208" s="36">
        <v>7.8945563109236255E-2</v>
      </c>
      <c r="N208" s="73"/>
      <c r="O208" s="59">
        <v>1000</v>
      </c>
      <c r="P208" s="59">
        <v>2000</v>
      </c>
      <c r="Q208" s="36">
        <v>6.0131000481048006E-5</v>
      </c>
      <c r="R208" s="36">
        <v>0</v>
      </c>
      <c r="T208" s="36"/>
      <c r="U208" s="74">
        <v>0</v>
      </c>
    </row>
    <row r="209" spans="1:21" x14ac:dyDescent="0.3">
      <c r="A209" s="14" t="str">
        <f t="shared" si="10"/>
        <v>(2000, 3000]</v>
      </c>
      <c r="B209" s="83">
        <v>13326</v>
      </c>
      <c r="C209" s="83">
        <v>3153908440</v>
      </c>
      <c r="D209" s="36">
        <v>1.9044447763177732E-3</v>
      </c>
      <c r="E209" s="69">
        <v>2366.7330331682424</v>
      </c>
      <c r="F209" s="73"/>
      <c r="G209" s="14" t="str">
        <f t="shared" si="11"/>
        <v>(2000, 3000]</v>
      </c>
      <c r="H209" s="70">
        <v>3.5030682343538899E-2</v>
      </c>
      <c r="I209" s="36">
        <v>6.6713999999999904E-5</v>
      </c>
      <c r="J209" s="36">
        <v>6.6713999999999917E-5</v>
      </c>
      <c r="K209" s="72">
        <v>66713</v>
      </c>
      <c r="L209" s="36">
        <v>6.6713000533704005E-5</v>
      </c>
      <c r="M209" s="36">
        <v>0.15789186210488784</v>
      </c>
      <c r="N209" s="73"/>
      <c r="O209" s="59">
        <v>2000</v>
      </c>
      <c r="P209" s="59">
        <v>3000</v>
      </c>
      <c r="Q209" s="36">
        <v>6.6713000533704005E-5</v>
      </c>
      <c r="R209" s="36">
        <v>0</v>
      </c>
      <c r="T209" s="36"/>
      <c r="U209" s="74">
        <v>0</v>
      </c>
    </row>
    <row r="210" spans="1:21" x14ac:dyDescent="0.3">
      <c r="A210" s="14" t="str">
        <f t="shared" si="10"/>
        <v>(3000, 4000]</v>
      </c>
      <c r="B210" s="83">
        <v>2933</v>
      </c>
      <c r="C210" s="83">
        <v>994750330</v>
      </c>
      <c r="D210" s="36">
        <v>4.1916077809845634E-4</v>
      </c>
      <c r="E210" s="69">
        <v>3391.5797136038186</v>
      </c>
      <c r="F210" s="73"/>
      <c r="G210" s="14" t="str">
        <f t="shared" si="11"/>
        <v>(3000, 4000]</v>
      </c>
      <c r="H210" s="70">
        <v>0</v>
      </c>
      <c r="I210" s="36">
        <v>0</v>
      </c>
      <c r="J210" s="36">
        <v>0</v>
      </c>
      <c r="K210" s="72">
        <v>0</v>
      </c>
      <c r="L210" s="36">
        <v>0</v>
      </c>
      <c r="M210" s="36">
        <v>0</v>
      </c>
      <c r="N210" s="73"/>
      <c r="O210" s="59">
        <v>3000</v>
      </c>
      <c r="P210" s="59">
        <v>4000</v>
      </c>
      <c r="Q210" s="36">
        <v>0</v>
      </c>
      <c r="R210" s="36">
        <v>0</v>
      </c>
      <c r="T210" s="36"/>
      <c r="U210" s="74">
        <v>0</v>
      </c>
    </row>
    <row r="211" spans="1:21" x14ac:dyDescent="0.3">
      <c r="A211" s="14" t="str">
        <f t="shared" si="10"/>
        <v>(4000, 5000]</v>
      </c>
      <c r="B211" s="83">
        <v>882</v>
      </c>
      <c r="C211" s="83">
        <v>389171095</v>
      </c>
      <c r="D211" s="36">
        <v>1.2604834854512052E-4</v>
      </c>
      <c r="E211" s="69">
        <v>4412.3706916099773</v>
      </c>
      <c r="F211" s="73"/>
      <c r="G211" s="14" t="str">
        <f t="shared" si="11"/>
        <v>(4000, 5000]</v>
      </c>
      <c r="H211" s="70">
        <v>0</v>
      </c>
      <c r="I211" s="36">
        <v>0</v>
      </c>
      <c r="J211" s="36">
        <v>0</v>
      </c>
      <c r="K211" s="72">
        <v>0</v>
      </c>
      <c r="L211" s="36">
        <v>0</v>
      </c>
      <c r="M211" s="36">
        <v>0</v>
      </c>
      <c r="N211" s="73"/>
      <c r="O211" s="59">
        <v>4000</v>
      </c>
      <c r="P211" s="59">
        <v>5000</v>
      </c>
      <c r="Q211" s="36">
        <v>0</v>
      </c>
      <c r="R211" s="36">
        <v>0</v>
      </c>
      <c r="T211" s="36"/>
      <c r="U211" s="74">
        <v>0</v>
      </c>
    </row>
    <row r="212" spans="1:21" x14ac:dyDescent="0.3">
      <c r="A212" s="14" t="str">
        <f t="shared" si="10"/>
        <v>(5000, 6000]</v>
      </c>
      <c r="B212" s="83">
        <v>298</v>
      </c>
      <c r="C212" s="83">
        <v>162368765</v>
      </c>
      <c r="D212" s="36">
        <v>4.2587764020913739E-5</v>
      </c>
      <c r="E212" s="69">
        <v>5448.6162751677857</v>
      </c>
      <c r="F212" s="73"/>
      <c r="G212" s="14" t="str">
        <f t="shared" si="11"/>
        <v>(5000, 6000]</v>
      </c>
      <c r="H212" s="70">
        <v>0</v>
      </c>
      <c r="I212" s="36">
        <v>0</v>
      </c>
      <c r="J212" s="36">
        <v>0</v>
      </c>
      <c r="K212" s="72">
        <v>0</v>
      </c>
      <c r="L212" s="36">
        <v>0</v>
      </c>
      <c r="M212" s="36">
        <v>0</v>
      </c>
      <c r="N212" s="73"/>
      <c r="O212" s="59">
        <v>5000</v>
      </c>
      <c r="P212" s="59">
        <v>6000</v>
      </c>
      <c r="Q212" s="36">
        <v>0</v>
      </c>
      <c r="R212" s="36">
        <v>0</v>
      </c>
      <c r="T212" s="36"/>
      <c r="U212" s="74">
        <v>0</v>
      </c>
    </row>
    <row r="213" spans="1:21" x14ac:dyDescent="0.3">
      <c r="A213" s="14" t="str">
        <f t="shared" si="10"/>
        <v>(6000, 7000]</v>
      </c>
      <c r="B213" s="83">
        <v>116</v>
      </c>
      <c r="C213" s="83">
        <v>74801250</v>
      </c>
      <c r="D213" s="36">
        <v>1.6577787336999976E-5</v>
      </c>
      <c r="E213" s="69">
        <v>6448.3836206896558</v>
      </c>
      <c r="F213" s="73"/>
      <c r="G213" s="14" t="str">
        <f t="shared" si="11"/>
        <v>(6000, 7000]</v>
      </c>
      <c r="H213" s="70">
        <v>0</v>
      </c>
      <c r="I213" s="36">
        <v>0</v>
      </c>
      <c r="J213" s="36">
        <v>0</v>
      </c>
      <c r="K213" s="72">
        <v>0</v>
      </c>
      <c r="L213" s="36">
        <v>0</v>
      </c>
      <c r="M213" s="36">
        <v>0</v>
      </c>
      <c r="N213" s="73"/>
      <c r="O213" s="59">
        <v>6000</v>
      </c>
      <c r="P213" s="59">
        <v>7000</v>
      </c>
      <c r="Q213" s="36">
        <v>0</v>
      </c>
      <c r="R213" s="36">
        <v>0</v>
      </c>
      <c r="T213" s="36"/>
      <c r="U213" s="74">
        <v>0</v>
      </c>
    </row>
    <row r="214" spans="1:21" x14ac:dyDescent="0.3">
      <c r="A214" s="14" t="str">
        <f t="shared" si="10"/>
        <v>(7000, 8000]</v>
      </c>
      <c r="B214" s="83">
        <v>55</v>
      </c>
      <c r="C214" s="83">
        <v>40605295</v>
      </c>
      <c r="D214" s="36">
        <v>7.8601577890948167E-6</v>
      </c>
      <c r="E214" s="69">
        <v>7382.7809090909095</v>
      </c>
      <c r="F214" s="73"/>
      <c r="G214" s="14" t="str">
        <f t="shared" si="11"/>
        <v>(7000, 8000]</v>
      </c>
      <c r="H214" s="70">
        <v>0</v>
      </c>
      <c r="I214" s="36">
        <v>0</v>
      </c>
      <c r="J214" s="36">
        <v>0</v>
      </c>
      <c r="K214" s="72">
        <v>0</v>
      </c>
      <c r="L214" s="36">
        <v>0</v>
      </c>
      <c r="M214" s="36">
        <v>0</v>
      </c>
      <c r="N214" s="73"/>
      <c r="O214" s="59">
        <v>7000</v>
      </c>
      <c r="P214" s="59">
        <v>8000</v>
      </c>
      <c r="Q214" s="36">
        <v>0</v>
      </c>
      <c r="R214" s="36">
        <v>0</v>
      </c>
      <c r="T214" s="36"/>
      <c r="U214" s="74">
        <v>0</v>
      </c>
    </row>
    <row r="215" spans="1:21" x14ac:dyDescent="0.3">
      <c r="A215" s="14" t="str">
        <f t="shared" si="10"/>
        <v>(8000, 9000]</v>
      </c>
      <c r="B215" s="83">
        <v>22</v>
      </c>
      <c r="C215" s="83">
        <v>18835895</v>
      </c>
      <c r="D215" s="36">
        <v>3.144063115637927E-6</v>
      </c>
      <c r="E215" s="69">
        <v>8561.7704545454544</v>
      </c>
      <c r="F215" s="73"/>
      <c r="G215" s="14" t="str">
        <f t="shared" si="11"/>
        <v>(8000, 9000]</v>
      </c>
      <c r="H215" s="70">
        <v>0</v>
      </c>
      <c r="I215" s="36">
        <v>0</v>
      </c>
      <c r="J215" s="36">
        <v>0</v>
      </c>
      <c r="K215" s="72">
        <v>0</v>
      </c>
      <c r="L215" s="36">
        <v>0</v>
      </c>
      <c r="M215" s="36">
        <v>0</v>
      </c>
      <c r="N215" s="73"/>
      <c r="O215" s="59">
        <v>8000</v>
      </c>
      <c r="P215" s="59">
        <v>9000</v>
      </c>
      <c r="Q215" s="36">
        <v>0</v>
      </c>
      <c r="R215" s="36">
        <v>0</v>
      </c>
      <c r="T215" s="36"/>
      <c r="U215" s="74">
        <v>0</v>
      </c>
    </row>
    <row r="216" spans="1:21" x14ac:dyDescent="0.3">
      <c r="A216" s="14" t="str">
        <f t="shared" si="10"/>
        <v>(9000, 10000]</v>
      </c>
      <c r="B216" s="83">
        <v>11</v>
      </c>
      <c r="C216" s="83">
        <v>10522285</v>
      </c>
      <c r="D216" s="36">
        <v>1.5720315578189635E-6</v>
      </c>
      <c r="E216" s="69">
        <v>9565.7136363636364</v>
      </c>
      <c r="F216" s="73"/>
      <c r="G216" s="14" t="str">
        <f t="shared" si="11"/>
        <v>(9000, 10000]</v>
      </c>
      <c r="H216" s="70">
        <v>0</v>
      </c>
      <c r="I216" s="36">
        <v>0</v>
      </c>
      <c r="J216" s="36">
        <v>0</v>
      </c>
      <c r="K216" s="72">
        <v>0</v>
      </c>
      <c r="L216" s="36">
        <v>0</v>
      </c>
      <c r="M216" s="36">
        <v>0</v>
      </c>
      <c r="N216" s="73"/>
      <c r="O216" s="59">
        <v>9000</v>
      </c>
      <c r="P216" s="59">
        <v>10000</v>
      </c>
      <c r="Q216" s="36">
        <v>0</v>
      </c>
      <c r="R216" s="36">
        <v>0</v>
      </c>
      <c r="T216" s="36"/>
      <c r="U216" s="74">
        <v>0</v>
      </c>
    </row>
    <row r="217" spans="1:21" x14ac:dyDescent="0.3">
      <c r="A217" s="14" t="str">
        <f t="shared" si="10"/>
        <v>(10000, 20000]</v>
      </c>
      <c r="B217" s="83">
        <v>13</v>
      </c>
      <c r="C217" s="83">
        <v>14889020</v>
      </c>
      <c r="D217" s="36">
        <v>1.8578554774224113E-6</v>
      </c>
      <c r="E217" s="69">
        <v>11453.092307692308</v>
      </c>
      <c r="F217" s="73"/>
      <c r="G217" s="14" t="str">
        <f t="shared" si="11"/>
        <v>(10000, 20000]</v>
      </c>
      <c r="H217" s="70">
        <v>0</v>
      </c>
      <c r="I217" s="36">
        <v>0</v>
      </c>
      <c r="J217" s="36">
        <v>0</v>
      </c>
      <c r="K217" s="72">
        <v>0</v>
      </c>
      <c r="L217" s="36">
        <v>0</v>
      </c>
      <c r="M217" s="36">
        <v>0</v>
      </c>
      <c r="N217" s="73"/>
      <c r="O217" s="59">
        <v>10000</v>
      </c>
      <c r="P217" s="59">
        <v>20000</v>
      </c>
      <c r="Q217" s="36">
        <v>0</v>
      </c>
      <c r="R217" s="36">
        <v>0</v>
      </c>
      <c r="T217" s="36"/>
      <c r="U217" s="74">
        <v>0</v>
      </c>
    </row>
    <row r="218" spans="1:21" x14ac:dyDescent="0.3">
      <c r="A218" s="14" t="str">
        <f t="shared" si="10"/>
        <v>(20000, 30000]</v>
      </c>
      <c r="B218" s="83">
        <v>0</v>
      </c>
      <c r="C218" s="83">
        <v>0</v>
      </c>
      <c r="D218" s="36">
        <v>0</v>
      </c>
      <c r="E218" s="69">
        <v>0</v>
      </c>
      <c r="F218" s="73"/>
      <c r="G218" s="14" t="str">
        <f t="shared" si="11"/>
        <v>(20000, 30000]</v>
      </c>
      <c r="H218" s="70">
        <v>0</v>
      </c>
      <c r="I218" s="36">
        <v>0</v>
      </c>
      <c r="J218" s="36">
        <v>0</v>
      </c>
      <c r="K218" s="72">
        <v>0</v>
      </c>
      <c r="L218" s="36">
        <v>0</v>
      </c>
      <c r="M218" s="36">
        <v>0</v>
      </c>
      <c r="N218" s="73"/>
      <c r="O218" s="59">
        <v>20000</v>
      </c>
      <c r="P218" s="59">
        <v>30000</v>
      </c>
      <c r="Q218" s="36">
        <v>0</v>
      </c>
      <c r="R218" s="36">
        <v>0</v>
      </c>
      <c r="T218" s="36"/>
      <c r="U218" s="74">
        <v>0</v>
      </c>
    </row>
    <row r="219" spans="1:21" x14ac:dyDescent="0.3">
      <c r="A219" s="14" t="str">
        <f t="shared" si="10"/>
        <v>(30000, 40000]</v>
      </c>
      <c r="B219" s="83">
        <v>0</v>
      </c>
      <c r="C219" s="83">
        <v>0</v>
      </c>
      <c r="D219" s="36">
        <v>0</v>
      </c>
      <c r="E219" s="69">
        <v>0</v>
      </c>
      <c r="F219" s="73"/>
      <c r="G219" s="14" t="str">
        <f t="shared" si="11"/>
        <v>(30000, 40000]</v>
      </c>
      <c r="H219" s="70">
        <v>0</v>
      </c>
      <c r="I219" s="36">
        <v>0</v>
      </c>
      <c r="J219" s="36">
        <v>0</v>
      </c>
      <c r="K219" s="72">
        <v>0</v>
      </c>
      <c r="L219" s="36">
        <v>0</v>
      </c>
      <c r="M219" s="36">
        <v>0</v>
      </c>
      <c r="N219" s="73"/>
      <c r="O219" s="59">
        <v>30000</v>
      </c>
      <c r="P219" s="59">
        <v>40000</v>
      </c>
      <c r="Q219" s="36">
        <v>0</v>
      </c>
      <c r="R219" s="36">
        <v>0</v>
      </c>
      <c r="T219" s="36"/>
      <c r="U219" s="74">
        <v>0</v>
      </c>
    </row>
    <row r="220" spans="1:21" x14ac:dyDescent="0.3">
      <c r="A220" s="14" t="str">
        <f t="shared" si="10"/>
        <v>(40000, 50000]</v>
      </c>
      <c r="B220" s="83">
        <v>0</v>
      </c>
      <c r="C220" s="83">
        <v>0</v>
      </c>
      <c r="D220" s="36">
        <v>0</v>
      </c>
      <c r="E220" s="69">
        <v>0</v>
      </c>
      <c r="F220" s="73"/>
      <c r="G220" s="14" t="str">
        <f t="shared" si="11"/>
        <v>(40000, 50000]</v>
      </c>
      <c r="H220" s="70">
        <v>0</v>
      </c>
      <c r="I220" s="36">
        <v>0</v>
      </c>
      <c r="J220" s="36">
        <v>0</v>
      </c>
      <c r="K220" s="72">
        <v>0</v>
      </c>
      <c r="L220" s="36">
        <v>0</v>
      </c>
      <c r="M220" s="36">
        <v>0</v>
      </c>
      <c r="N220" s="73"/>
      <c r="O220" s="59">
        <v>40000</v>
      </c>
      <c r="P220" s="59">
        <v>50000</v>
      </c>
      <c r="Q220" s="36">
        <v>0</v>
      </c>
      <c r="R220" s="36">
        <v>0</v>
      </c>
      <c r="T220" s="36"/>
      <c r="U220" s="74">
        <v>0</v>
      </c>
    </row>
    <row r="221" spans="1:21" x14ac:dyDescent="0.3">
      <c r="A221" s="14" t="str">
        <f t="shared" si="10"/>
        <v>(50000, 60000]</v>
      </c>
      <c r="B221" s="83">
        <v>0</v>
      </c>
      <c r="C221" s="83">
        <v>0</v>
      </c>
      <c r="D221" s="36">
        <v>0</v>
      </c>
      <c r="E221" s="69">
        <v>0</v>
      </c>
      <c r="F221" s="73"/>
      <c r="G221" s="14" t="str">
        <f t="shared" si="11"/>
        <v>(50000, 60000]</v>
      </c>
      <c r="H221" s="70">
        <v>0</v>
      </c>
      <c r="I221" s="36">
        <v>0</v>
      </c>
      <c r="J221" s="36">
        <v>0</v>
      </c>
      <c r="K221" s="72">
        <v>0</v>
      </c>
      <c r="L221" s="36">
        <v>0</v>
      </c>
      <c r="M221" s="36">
        <v>0</v>
      </c>
      <c r="N221" s="73"/>
      <c r="O221" s="59">
        <v>50000</v>
      </c>
      <c r="P221" s="59">
        <v>60000</v>
      </c>
      <c r="Q221" s="36">
        <v>0</v>
      </c>
      <c r="R221" s="36">
        <v>0</v>
      </c>
      <c r="T221" s="36"/>
      <c r="U221" s="74">
        <v>0</v>
      </c>
    </row>
    <row r="222" spans="1:21" x14ac:dyDescent="0.3">
      <c r="A222" s="14" t="str">
        <f t="shared" si="10"/>
        <v>(60000, 70000]</v>
      </c>
      <c r="B222" s="83">
        <v>0</v>
      </c>
      <c r="C222" s="83">
        <v>0</v>
      </c>
      <c r="D222" s="36">
        <v>0</v>
      </c>
      <c r="E222" s="69">
        <v>0</v>
      </c>
      <c r="F222" s="73"/>
      <c r="G222" s="14" t="str">
        <f t="shared" si="11"/>
        <v>(60000, 70000]</v>
      </c>
      <c r="H222" s="70">
        <v>0</v>
      </c>
      <c r="I222" s="36">
        <v>0</v>
      </c>
      <c r="J222" s="36">
        <v>0</v>
      </c>
      <c r="K222" s="72">
        <v>0</v>
      </c>
      <c r="L222" s="36">
        <v>0</v>
      </c>
      <c r="M222" s="36">
        <v>0</v>
      </c>
      <c r="N222" s="73"/>
      <c r="O222" s="59">
        <v>60000</v>
      </c>
      <c r="P222" s="59">
        <v>70000</v>
      </c>
      <c r="Q222" s="36">
        <v>0</v>
      </c>
      <c r="R222" s="36">
        <v>0</v>
      </c>
      <c r="T222" s="36"/>
      <c r="U222" s="74">
        <v>0</v>
      </c>
    </row>
    <row r="223" spans="1:21" x14ac:dyDescent="0.3">
      <c r="A223" s="14" t="str">
        <f t="shared" si="10"/>
        <v>(70000, 80000]</v>
      </c>
      <c r="B223" s="83">
        <v>0</v>
      </c>
      <c r="C223" s="83">
        <v>0</v>
      </c>
      <c r="D223" s="36">
        <v>0</v>
      </c>
      <c r="E223" s="69">
        <v>0</v>
      </c>
      <c r="F223" s="73"/>
      <c r="G223" s="14" t="str">
        <f t="shared" si="11"/>
        <v>(70000, 80000]</v>
      </c>
      <c r="H223" s="70">
        <v>0</v>
      </c>
      <c r="I223" s="36">
        <v>0</v>
      </c>
      <c r="J223" s="36">
        <v>0</v>
      </c>
      <c r="K223" s="72">
        <v>0</v>
      </c>
      <c r="L223" s="36">
        <v>0</v>
      </c>
      <c r="M223" s="36">
        <v>0</v>
      </c>
      <c r="N223" s="73"/>
      <c r="O223" s="59">
        <v>70000</v>
      </c>
      <c r="P223" s="59">
        <v>80000</v>
      </c>
      <c r="Q223" s="36">
        <v>0</v>
      </c>
      <c r="R223" s="36">
        <v>0</v>
      </c>
      <c r="T223" s="36"/>
      <c r="U223" s="74">
        <v>0</v>
      </c>
    </row>
    <row r="224" spans="1:21" x14ac:dyDescent="0.3">
      <c r="A224" s="14" t="str">
        <f t="shared" si="10"/>
        <v>(80000, 90000]</v>
      </c>
      <c r="B224" s="83">
        <v>0</v>
      </c>
      <c r="C224" s="83">
        <v>0</v>
      </c>
      <c r="D224" s="36">
        <v>0</v>
      </c>
      <c r="E224" s="69">
        <v>0</v>
      </c>
      <c r="F224" s="73"/>
      <c r="G224" s="14" t="str">
        <f t="shared" si="11"/>
        <v>(80000, 90000]</v>
      </c>
      <c r="H224" s="70">
        <v>0</v>
      </c>
      <c r="I224" s="36">
        <v>0</v>
      </c>
      <c r="J224" s="36">
        <v>0</v>
      </c>
      <c r="K224" s="72">
        <v>0</v>
      </c>
      <c r="L224" s="36">
        <v>0</v>
      </c>
      <c r="M224" s="36">
        <v>0</v>
      </c>
      <c r="N224" s="73"/>
      <c r="O224" s="59">
        <v>80000</v>
      </c>
      <c r="P224" s="59">
        <v>90000</v>
      </c>
      <c r="Q224" s="36">
        <v>0</v>
      </c>
      <c r="R224" s="36">
        <v>0</v>
      </c>
      <c r="T224" s="36"/>
      <c r="U224" s="74">
        <v>0</v>
      </c>
    </row>
    <row r="225" spans="1:21" x14ac:dyDescent="0.3">
      <c r="A225" s="14" t="str">
        <f t="shared" si="10"/>
        <v>(90000, 100000]</v>
      </c>
      <c r="B225" s="83">
        <v>0</v>
      </c>
      <c r="C225" s="83">
        <v>0</v>
      </c>
      <c r="D225" s="36">
        <v>0</v>
      </c>
      <c r="E225" s="69">
        <v>0</v>
      </c>
      <c r="F225" s="73"/>
      <c r="G225" s="14" t="str">
        <f t="shared" si="11"/>
        <v>(90000, 100000]</v>
      </c>
      <c r="H225" s="70">
        <v>0</v>
      </c>
      <c r="I225" s="36">
        <v>0</v>
      </c>
      <c r="J225" s="36">
        <v>0</v>
      </c>
      <c r="K225" s="72">
        <v>0</v>
      </c>
      <c r="L225" s="36">
        <v>0</v>
      </c>
      <c r="M225" s="36">
        <v>0</v>
      </c>
      <c r="N225" s="73"/>
      <c r="O225" s="59">
        <v>90000</v>
      </c>
      <c r="P225" s="59">
        <v>100000</v>
      </c>
      <c r="Q225" s="36">
        <v>0</v>
      </c>
      <c r="R225" s="36">
        <v>0</v>
      </c>
      <c r="T225" s="36"/>
      <c r="U225" s="74">
        <v>0</v>
      </c>
    </row>
    <row r="226" spans="1:21" x14ac:dyDescent="0.3">
      <c r="A226" s="14" t="str">
        <f t="shared" si="10"/>
        <v>(100000, 9999999]</v>
      </c>
      <c r="B226" s="83">
        <v>0</v>
      </c>
      <c r="C226" s="83">
        <v>0</v>
      </c>
      <c r="D226" s="36">
        <v>0</v>
      </c>
      <c r="E226" s="69">
        <v>0</v>
      </c>
      <c r="F226" s="73"/>
      <c r="G226" s="14" t="str">
        <f t="shared" si="11"/>
        <v>(100000, 9999999]</v>
      </c>
      <c r="H226" s="70">
        <v>0</v>
      </c>
      <c r="I226" s="36">
        <v>0</v>
      </c>
      <c r="J226" s="36">
        <v>0</v>
      </c>
      <c r="K226" s="72">
        <v>0</v>
      </c>
      <c r="L226" s="36">
        <v>0</v>
      </c>
      <c r="M226" s="36">
        <v>0</v>
      </c>
      <c r="N226" s="73"/>
      <c r="O226" s="59">
        <v>100000</v>
      </c>
      <c r="P226" s="59">
        <v>9999999</v>
      </c>
      <c r="Q226" s="36">
        <v>0</v>
      </c>
      <c r="R226" s="36">
        <v>0</v>
      </c>
      <c r="T226" s="36"/>
      <c r="U226" s="74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>
        <f>Overview!B11</f>
        <v>1</v>
      </c>
      <c r="C7" s="40">
        <f>SUM(M15:M79)</f>
        <v>0.72000000443934908</v>
      </c>
      <c r="D7" s="40">
        <f>SUM(_xlfn.ANCHORARRAY(M86))*F7</f>
        <v>0.20999996282570188</v>
      </c>
      <c r="E7" s="41">
        <f>SUM(C7:D7)</f>
        <v>0.92999996726505096</v>
      </c>
      <c r="F7" s="42">
        <f>L79</f>
        <v>3.5778023710719155E-3</v>
      </c>
      <c r="G7" s="43">
        <f>1/F7</f>
        <v>279.5011843262875</v>
      </c>
      <c r="H7" s="44">
        <f>D7*G7</f>
        <v>58.695238318260024</v>
      </c>
      <c r="I7" s="60" cm="1">
        <f t="array" ref="I7">LOOKUP(2,1/(K15:K78&lt;&gt;0),P15:P78)</f>
        <v>30</v>
      </c>
      <c r="J7" s="60" cm="1">
        <f t="array" ref="J7">LOOKUP(2,1/(_xlfn.ANCHORARRAY(K86)&lt;&gt;0),P15:P78)</f>
        <v>100</v>
      </c>
      <c r="K7" s="48"/>
      <c r="L7" s="49"/>
      <c r="M7" s="58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78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0.62476902099999998</v>
      </c>
      <c r="E15" s="68" cm="1">
        <f t="array" ref="E15:E79">_xlfn.LET(_xlpm.x, C15:C79/B15:B79/B3, IF(ISERR(_xlpm.x), 0, _xlpm.x))</f>
        <v>0</v>
      </c>
      <c r="G15" s="14" t="str">
        <f t="shared" ref="G15:G78" si="1">"("&amp;$O15&amp;", "&amp;$P15&amp;"]"</f>
        <v>(-1, 0]</v>
      </c>
      <c r="H15" s="70">
        <v>1.1738136836973501</v>
      </c>
      <c r="I15" s="36" cm="1">
        <f t="array" ref="I15:I79">D15:D79*H15:H79</f>
        <v>0.73336242599999701</v>
      </c>
      <c r="J15" s="36" cm="1">
        <f t="array" ref="J15:J78">I15:I78/SUM(I15:I78)</f>
        <v>0.73336242599999946</v>
      </c>
      <c r="K15" s="71" cm="1">
        <f t="array" ref="K15:K79">INT(J15:J79*$B$2)</f>
        <v>733362425</v>
      </c>
      <c r="L15" s="36" cm="1">
        <f t="array" ref="L15:L79">_xlfn.LET(_xlpm.x, K15:K79, _xlpm.x/SUM(_xlpm.x))</f>
        <v>0.7307385999077185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0.7307385999077185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0.14326341100000001</v>
      </c>
      <c r="E16" s="69">
        <v>0.43374524218189947</v>
      </c>
      <c r="G16" s="14" t="str">
        <f t="shared" si="1"/>
        <v>(0, 1]</v>
      </c>
      <c r="H16" s="70">
        <v>1.02659501803988</v>
      </c>
      <c r="I16" s="36">
        <v>0.14707350399999974</v>
      </c>
      <c r="J16" s="36">
        <v>0.14707350400000024</v>
      </c>
      <c r="K16" s="71">
        <v>147073504</v>
      </c>
      <c r="L16" s="36">
        <v>0.14654730421521425</v>
      </c>
      <c r="M16" s="36">
        <v>6.3564195957932598E-2</v>
      </c>
      <c r="N16" s="73"/>
      <c r="O16" s="59">
        <v>0</v>
      </c>
      <c r="P16" s="59">
        <v>1</v>
      </c>
      <c r="Q16" s="36">
        <v>0.14654730421521425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5.4932043999999999E-2</v>
      </c>
      <c r="E17" s="69">
        <v>1.5054969518337966</v>
      </c>
      <c r="F17" s="76"/>
      <c r="G17" s="14" t="str">
        <f t="shared" si="1"/>
        <v>(1, 2]</v>
      </c>
      <c r="H17" s="70">
        <v>0.78448737498280596</v>
      </c>
      <c r="I17" s="36">
        <v>4.3093494999999996E-2</v>
      </c>
      <c r="J17" s="36">
        <v>4.3093495000000141E-2</v>
      </c>
      <c r="K17" s="71">
        <v>43093495</v>
      </c>
      <c r="L17" s="36">
        <v>4.2939315034350542E-2</v>
      </c>
      <c r="M17" s="36">
        <v>6.464500789804585E-2</v>
      </c>
      <c r="N17" s="73"/>
      <c r="O17" s="59">
        <v>1</v>
      </c>
      <c r="P17" s="59">
        <v>2</v>
      </c>
      <c r="Q17" s="36">
        <v>4.2939315034350542E-2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3.3042473000000003E-2</v>
      </c>
      <c r="E18" s="69">
        <v>2.5315815102580244</v>
      </c>
      <c r="F18" s="76"/>
      <c r="G18" s="14" t="str">
        <f t="shared" si="1"/>
        <v>(2, 3]</v>
      </c>
      <c r="H18" s="70">
        <v>0.59742955680103005</v>
      </c>
      <c r="I18" s="36">
        <v>1.9740550000000003E-2</v>
      </c>
      <c r="J18" s="36">
        <v>1.9740550000000068E-2</v>
      </c>
      <c r="K18" s="71">
        <v>19740550</v>
      </c>
      <c r="L18" s="36">
        <v>1.9669922233073657E-2</v>
      </c>
      <c r="M18" s="36">
        <v>4.9796011433462496E-2</v>
      </c>
      <c r="N18" s="73"/>
      <c r="O18" s="59">
        <v>2</v>
      </c>
      <c r="P18" s="59">
        <v>3</v>
      </c>
      <c r="Q18" s="36">
        <v>1.9669922233073657E-2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2.2877262999999998E-2</v>
      </c>
      <c r="E19" s="69">
        <v>3.5283067865242446</v>
      </c>
      <c r="F19" s="77"/>
      <c r="G19" s="14" t="str">
        <f t="shared" si="1"/>
        <v>(3, 4]</v>
      </c>
      <c r="H19" s="70">
        <v>0.52929705795662696</v>
      </c>
      <c r="I19" s="36">
        <v>1.2108867999999997E-2</v>
      </c>
      <c r="J19" s="36">
        <v>1.2108868000000036E-2</v>
      </c>
      <c r="K19" s="71">
        <v>12108868</v>
      </c>
      <c r="L19" s="36">
        <v>1.2065544875424147E-2</v>
      </c>
      <c r="M19" s="36">
        <v>4.2570943867071838E-2</v>
      </c>
      <c r="N19" s="73"/>
      <c r="O19" s="59">
        <v>3</v>
      </c>
      <c r="P19" s="59">
        <v>4</v>
      </c>
      <c r="Q19" s="36">
        <v>1.2065544875424147E-2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1.6969191000000002E-2</v>
      </c>
      <c r="E20" s="69">
        <v>4.5325458119953979</v>
      </c>
      <c r="F20" s="77"/>
      <c r="G20" s="14" t="str">
        <f t="shared" si="1"/>
        <v>(4, 5]</v>
      </c>
      <c r="H20" s="70">
        <v>0.463317137511152</v>
      </c>
      <c r="I20" s="36">
        <v>7.8621170000000035E-3</v>
      </c>
      <c r="J20" s="36">
        <v>7.8621170000000296E-3</v>
      </c>
      <c r="K20" s="71">
        <v>7862117</v>
      </c>
      <c r="L20" s="36">
        <v>7.8339879069897426E-3</v>
      </c>
      <c r="M20" s="36">
        <v>3.5507909079048952E-2</v>
      </c>
      <c r="N20" s="73"/>
      <c r="O20" s="59">
        <v>4</v>
      </c>
      <c r="P20" s="59">
        <v>5</v>
      </c>
      <c r="Q20" s="36">
        <v>7.8339879069897426E-3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1.3473297E-2</v>
      </c>
      <c r="E21" s="69">
        <v>5.5523825497203836</v>
      </c>
      <c r="F21" s="77"/>
      <c r="G21" s="14" t="str">
        <f t="shared" si="1"/>
        <v>(5, 6]</v>
      </c>
      <c r="H21" s="70">
        <v>0.45024896281882598</v>
      </c>
      <c r="I21" s="36">
        <v>6.0663380000000001E-3</v>
      </c>
      <c r="J21" s="36">
        <v>6.0663380000000201E-3</v>
      </c>
      <c r="K21" s="71">
        <v>6066338</v>
      </c>
      <c r="L21" s="36">
        <v>6.0446338475645105E-3</v>
      </c>
      <c r="M21" s="36">
        <v>3.3562119494666372E-2</v>
      </c>
      <c r="N21" s="73"/>
      <c r="O21" s="59">
        <v>5</v>
      </c>
      <c r="P21" s="59">
        <v>6</v>
      </c>
      <c r="Q21" s="36">
        <v>6.0446338475645105E-3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1.0639717999999999E-2</v>
      </c>
      <c r="E22" s="69">
        <v>6.5245757406352309</v>
      </c>
      <c r="F22" s="77"/>
      <c r="G22" s="14" t="str">
        <f t="shared" si="1"/>
        <v>(6, 7]</v>
      </c>
      <c r="H22" s="70">
        <v>0.306910389918229</v>
      </c>
      <c r="I22" s="36">
        <v>3.2654399999999992E-3</v>
      </c>
      <c r="J22" s="36">
        <v>3.2654400000000101E-3</v>
      </c>
      <c r="K22" s="71">
        <v>3265440</v>
      </c>
      <c r="L22" s="36">
        <v>3.2537569042791637E-3</v>
      </c>
      <c r="M22" s="36">
        <v>2.1229383363584219E-2</v>
      </c>
      <c r="N22" s="73"/>
      <c r="O22" s="59">
        <v>6</v>
      </c>
      <c r="P22" s="59">
        <v>7</v>
      </c>
      <c r="Q22" s="36">
        <v>3.2537569042791637E-3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8.9536860000000006E-3</v>
      </c>
      <c r="E23" s="69">
        <v>7.5324213848910935</v>
      </c>
      <c r="F23" s="77"/>
      <c r="G23" s="14" t="str">
        <f t="shared" si="1"/>
        <v>(7, 8]</v>
      </c>
      <c r="H23" s="70">
        <v>0.40892890369396501</v>
      </c>
      <c r="I23" s="36">
        <v>3.6614210000000028E-3</v>
      </c>
      <c r="J23" s="36">
        <v>3.661421000000015E-3</v>
      </c>
      <c r="K23" s="71">
        <v>3661421</v>
      </c>
      <c r="L23" s="36">
        <v>3.6483211629130285E-3</v>
      </c>
      <c r="M23" s="36">
        <v>2.7480692346476838E-2</v>
      </c>
      <c r="N23" s="73"/>
      <c r="O23" s="59">
        <v>7</v>
      </c>
      <c r="P23" s="59">
        <v>8</v>
      </c>
      <c r="Q23" s="36">
        <v>3.6483211629130285E-3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7.5278580000000001E-3</v>
      </c>
      <c r="E24" s="69">
        <v>8.5523535911543505</v>
      </c>
      <c r="F24" s="77"/>
      <c r="G24" s="14" t="str">
        <f t="shared" si="1"/>
        <v>(8, 9]</v>
      </c>
      <c r="H24" s="70">
        <v>0.39347328283822602</v>
      </c>
      <c r="I24" s="36">
        <v>2.9620110000000027E-3</v>
      </c>
      <c r="J24" s="36">
        <v>2.9620110000000126E-3</v>
      </c>
      <c r="K24" s="71">
        <v>2962011</v>
      </c>
      <c r="L24" s="36">
        <v>2.9514135129724726E-3</v>
      </c>
      <c r="M24" s="36">
        <v>2.5241531956651603E-2</v>
      </c>
      <c r="N24" s="73"/>
      <c r="O24" s="59">
        <v>8</v>
      </c>
      <c r="P24" s="59">
        <v>9</v>
      </c>
      <c r="Q24" s="36">
        <v>2.9514135129724726E-3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6.2250710000000004E-3</v>
      </c>
      <c r="E25" s="69">
        <v>9.5378655038633298</v>
      </c>
      <c r="F25" s="77"/>
      <c r="G25" s="14" t="str">
        <f t="shared" si="1"/>
        <v>(9, 10]</v>
      </c>
      <c r="H25" s="70">
        <v>0.30851519605157901</v>
      </c>
      <c r="I25" s="36">
        <v>1.9205289999999992E-3</v>
      </c>
      <c r="J25" s="36">
        <v>1.9205290000000055E-3</v>
      </c>
      <c r="K25" s="71">
        <v>1920529</v>
      </c>
      <c r="L25" s="36">
        <v>1.9136577287037454E-3</v>
      </c>
      <c r="M25" s="36">
        <v>1.8252210036804904E-2</v>
      </c>
      <c r="N25" s="73"/>
      <c r="O25" s="59">
        <v>9</v>
      </c>
      <c r="P25" s="59">
        <v>10</v>
      </c>
      <c r="Q25" s="36">
        <v>1.9136577287037454E-3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2.070988E-2</v>
      </c>
      <c r="E26" s="69">
        <v>12.280233864223259</v>
      </c>
      <c r="F26" s="77"/>
      <c r="G26" s="14" t="str">
        <f t="shared" si="1"/>
        <v>(10, 15]</v>
      </c>
      <c r="H26" s="70">
        <v>0.49060414642673</v>
      </c>
      <c r="I26" s="36">
        <v>1.0160353000000007E-2</v>
      </c>
      <c r="J26" s="36">
        <v>1.0160353000000042E-2</v>
      </c>
      <c r="K26" s="71">
        <v>10160353</v>
      </c>
      <c r="L26" s="36">
        <v>1.0124001275069674E-2</v>
      </c>
      <c r="M26" s="36">
        <v>0.12432510329955007</v>
      </c>
      <c r="N26" s="73"/>
      <c r="O26" s="59">
        <v>10</v>
      </c>
      <c r="P26" s="59">
        <v>15</v>
      </c>
      <c r="Q26" s="36">
        <v>1.0124001275069674E-2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1.1154374999999999E-2</v>
      </c>
      <c r="E27" s="69">
        <v>17.336798135260828</v>
      </c>
      <c r="F27" s="77"/>
      <c r="G27" s="14" t="str">
        <f t="shared" si="1"/>
        <v>(15, 20]</v>
      </c>
      <c r="H27" s="70">
        <v>0.39045558357146898</v>
      </c>
      <c r="I27" s="36">
        <v>4.355288000000004E-3</v>
      </c>
      <c r="J27" s="36">
        <v>4.3552880000000188E-3</v>
      </c>
      <c r="K27" s="71">
        <v>4355288</v>
      </c>
      <c r="L27" s="36">
        <v>4.3397056446066043E-3</v>
      </c>
      <c r="M27" s="36">
        <v>7.5236600726996672E-2</v>
      </c>
      <c r="N27" s="73"/>
      <c r="O27" s="59">
        <v>15</v>
      </c>
      <c r="P27" s="59">
        <v>20</v>
      </c>
      <c r="Q27" s="36">
        <v>4.3397056446066043E-3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6.7427499999999996E-3</v>
      </c>
      <c r="E28" s="69">
        <v>22.368289622186794</v>
      </c>
      <c r="F28" s="77"/>
      <c r="G28" s="14" t="str">
        <f t="shared" si="1"/>
        <v>(20, 25]</v>
      </c>
      <c r="H28" s="70">
        <v>0.36047977457268898</v>
      </c>
      <c r="I28" s="36">
        <v>2.4306249999999983E-3</v>
      </c>
      <c r="J28" s="36">
        <v>2.4306250000000066E-3</v>
      </c>
      <c r="K28" s="71">
        <v>2430625</v>
      </c>
      <c r="L28" s="36">
        <v>2.4219287065337419E-3</v>
      </c>
      <c r="M28" s="36">
        <v>5.4174402752034986E-2</v>
      </c>
      <c r="N28" s="73"/>
      <c r="O28" s="59">
        <v>20</v>
      </c>
      <c r="P28" s="59">
        <v>25</v>
      </c>
      <c r="Q28" s="36">
        <v>2.4219287065337419E-3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4.478938E-3</v>
      </c>
      <c r="E29" s="69">
        <v>27.396167651796027</v>
      </c>
      <c r="F29" s="77"/>
      <c r="G29" s="14" t="str">
        <f t="shared" si="1"/>
        <v>(25, 30]</v>
      </c>
      <c r="H29" s="70">
        <v>0.432476404004699</v>
      </c>
      <c r="I29" s="36">
        <v>1.9370349999999986E-3</v>
      </c>
      <c r="J29" s="36">
        <v>1.9370350000000051E-3</v>
      </c>
      <c r="K29" s="71">
        <v>1937035</v>
      </c>
      <c r="L29" s="36">
        <v>1.9301046735142554E-3</v>
      </c>
      <c r="M29" s="36">
        <v>5.2877471221111576E-2</v>
      </c>
      <c r="N29" s="73"/>
      <c r="O29" s="59">
        <v>25</v>
      </c>
      <c r="P29" s="59">
        <v>30</v>
      </c>
      <c r="Q29" s="36">
        <v>1.9301046735142554E-3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3.019117E-3</v>
      </c>
      <c r="E30" s="69">
        <v>32.398337080013796</v>
      </c>
      <c r="F30" s="77"/>
      <c r="G30" s="14" t="str">
        <f t="shared" si="1"/>
        <v>(30, 35]</v>
      </c>
      <c r="H30" s="70">
        <v>0</v>
      </c>
      <c r="I30" s="36">
        <v>0</v>
      </c>
      <c r="J30" s="36">
        <v>0</v>
      </c>
      <c r="K30" s="71">
        <v>0</v>
      </c>
      <c r="L30" s="36">
        <v>0</v>
      </c>
      <c r="M30" s="36">
        <v>0</v>
      </c>
      <c r="N30" s="73"/>
      <c r="O30" s="59">
        <v>30</v>
      </c>
      <c r="P30" s="59">
        <v>35</v>
      </c>
      <c r="Q30" s="36">
        <v>0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2.2076779999999998E-3</v>
      </c>
      <c r="E31" s="69">
        <v>37.438327690904195</v>
      </c>
      <c r="F31" s="77"/>
      <c r="G31" s="14" t="str">
        <f t="shared" si="1"/>
        <v>(35, 40]</v>
      </c>
      <c r="H31" s="70">
        <v>0</v>
      </c>
      <c r="I31" s="36">
        <v>0</v>
      </c>
      <c r="J31" s="36">
        <v>0</v>
      </c>
      <c r="K31" s="71">
        <v>0</v>
      </c>
      <c r="L31" s="36">
        <v>0</v>
      </c>
      <c r="M31" s="36">
        <v>0</v>
      </c>
      <c r="N31" s="73"/>
      <c r="O31" s="59">
        <v>35</v>
      </c>
      <c r="P31" s="59">
        <v>40</v>
      </c>
      <c r="Q31" s="36">
        <v>0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1.647354E-3</v>
      </c>
      <c r="E32" s="69">
        <v>42.437275442922413</v>
      </c>
      <c r="F32" s="77"/>
      <c r="G32" s="14" t="str">
        <f t="shared" si="1"/>
        <v>(40, 45]</v>
      </c>
      <c r="H32" s="70">
        <v>0</v>
      </c>
      <c r="I32" s="36">
        <v>0</v>
      </c>
      <c r="J32" s="36">
        <v>0</v>
      </c>
      <c r="K32" s="71">
        <v>0</v>
      </c>
      <c r="L32" s="36">
        <v>0</v>
      </c>
      <c r="M32" s="36">
        <v>0</v>
      </c>
      <c r="N32" s="73"/>
      <c r="O32" s="59">
        <v>40</v>
      </c>
      <c r="P32" s="59">
        <v>45</v>
      </c>
      <c r="Q32" s="36">
        <v>0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1.231801E-3</v>
      </c>
      <c r="E33" s="69">
        <v>47.460367827270801</v>
      </c>
      <c r="F33" s="77"/>
      <c r="G33" s="14" t="str">
        <f t="shared" si="1"/>
        <v>(45, 50]</v>
      </c>
      <c r="H33" s="70">
        <v>0</v>
      </c>
      <c r="I33" s="36">
        <v>0</v>
      </c>
      <c r="J33" s="36">
        <v>0</v>
      </c>
      <c r="K33" s="71">
        <v>0</v>
      </c>
      <c r="L33" s="36">
        <v>0</v>
      </c>
      <c r="M33" s="36">
        <v>0</v>
      </c>
      <c r="N33" s="73"/>
      <c r="O33" s="59">
        <v>45</v>
      </c>
      <c r="P33" s="59">
        <v>50</v>
      </c>
      <c r="Q33" s="36">
        <v>0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1.7621830000000001E-3</v>
      </c>
      <c r="E34" s="69">
        <v>54.70173080775379</v>
      </c>
      <c r="F34" s="77"/>
      <c r="G34" s="14" t="str">
        <f t="shared" si="1"/>
        <v>(50, 60]</v>
      </c>
      <c r="H34" s="70">
        <v>0</v>
      </c>
      <c r="I34" s="36">
        <v>0</v>
      </c>
      <c r="J34" s="36">
        <v>0</v>
      </c>
      <c r="K34" s="71">
        <v>0</v>
      </c>
      <c r="L34" s="36">
        <v>0</v>
      </c>
      <c r="M34" s="36">
        <v>0</v>
      </c>
      <c r="N34" s="73"/>
      <c r="O34" s="59">
        <v>50</v>
      </c>
      <c r="P34" s="59">
        <v>60</v>
      </c>
      <c r="Q34" s="36">
        <v>0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1.1155550000000001E-3</v>
      </c>
      <c r="E35" s="69">
        <v>64.684526984326183</v>
      </c>
      <c r="F35" s="77"/>
      <c r="G35" s="14" t="str">
        <f t="shared" si="1"/>
        <v>(60, 70]</v>
      </c>
      <c r="H35" s="70">
        <v>0</v>
      </c>
      <c r="I35" s="36">
        <v>0</v>
      </c>
      <c r="J35" s="36">
        <v>0</v>
      </c>
      <c r="K35" s="71">
        <v>0</v>
      </c>
      <c r="L35" s="36">
        <v>0</v>
      </c>
      <c r="M35" s="36">
        <v>0</v>
      </c>
      <c r="N35" s="73"/>
      <c r="O35" s="59">
        <v>60</v>
      </c>
      <c r="P35" s="59">
        <v>70</v>
      </c>
      <c r="Q35" s="36">
        <v>0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7.6576699999999999E-4</v>
      </c>
      <c r="E36" s="69">
        <v>74.831715064765135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5.5210899999999995E-4</v>
      </c>
      <c r="E37" s="69">
        <v>84.768783156949084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3.8498299999999998E-4</v>
      </c>
      <c r="E38" s="69">
        <v>94.820674029762358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5.2597899999999999E-4</v>
      </c>
      <c r="E39" s="69">
        <v>109.28286214848882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3.1033800000000001E-4</v>
      </c>
      <c r="E40" s="69">
        <v>129.13447144726072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1.9965299999999999E-4</v>
      </c>
      <c r="E41" s="69">
        <v>149.5919112159597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1.3623899999999999E-4</v>
      </c>
      <c r="E42" s="69">
        <v>169.34377087324484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8.9017000000000005E-5</v>
      </c>
      <c r="E43" s="69">
        <v>189.41425851241897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1.3427799999999999E-4</v>
      </c>
      <c r="E44" s="69">
        <v>222.3275953618612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6.2285000000000004E-5</v>
      </c>
      <c r="E45" s="69">
        <v>272.26173155655454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3.6356999999999998E-5</v>
      </c>
      <c r="E46" s="69">
        <v>322.7166804191765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si="0"/>
        <v>(350, 400]</v>
      </c>
      <c r="B47" s="75">
        <v>19620</v>
      </c>
      <c r="C47" s="75">
        <v>731097560</v>
      </c>
      <c r="D47" s="36">
        <v>1.9619999999999998E-5</v>
      </c>
      <c r="E47" s="69">
        <v>372.62872579001021</v>
      </c>
      <c r="F47" s="77"/>
      <c r="G47" s="14" t="str">
        <f t="shared" si="1"/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0"/>
        <v>(400, 450]</v>
      </c>
      <c r="B48" s="75">
        <v>11946</v>
      </c>
      <c r="C48" s="75">
        <v>506548265</v>
      </c>
      <c r="D48" s="36">
        <v>1.1946E-5</v>
      </c>
      <c r="E48" s="69">
        <v>424.03169680227694</v>
      </c>
      <c r="F48" s="77"/>
      <c r="G48" s="14" t="str">
        <f t="shared" si="1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0"/>
        <v>(450, 500]</v>
      </c>
      <c r="B49" s="75">
        <v>8650</v>
      </c>
      <c r="C49" s="75">
        <v>409037710</v>
      </c>
      <c r="D49" s="36">
        <v>8.6500000000000002E-6</v>
      </c>
      <c r="E49" s="69">
        <v>472.87596531791911</v>
      </c>
      <c r="F49" s="77"/>
      <c r="G49" s="14" t="str">
        <f t="shared" si="1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0"/>
        <v>(500, 550]</v>
      </c>
      <c r="B50" s="75">
        <v>5172</v>
      </c>
      <c r="C50" s="75">
        <v>270458450</v>
      </c>
      <c r="D50" s="36">
        <v>5.1719999999999998E-6</v>
      </c>
      <c r="E50" s="69">
        <v>522.92817092034022</v>
      </c>
      <c r="F50" s="77"/>
      <c r="G50" s="14" t="str">
        <f t="shared" si="1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0"/>
        <v>(550, 600]</v>
      </c>
      <c r="B51" s="75">
        <v>3564</v>
      </c>
      <c r="C51" s="75">
        <v>204673175</v>
      </c>
      <c r="D51" s="36">
        <v>3.5640000000000001E-6</v>
      </c>
      <c r="E51" s="69">
        <v>574.27939113355785</v>
      </c>
      <c r="F51" s="77"/>
      <c r="G51" s="14" t="str">
        <f t="shared" si="1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0"/>
        <v>(600, 650]</v>
      </c>
      <c r="B52" s="75">
        <v>2635</v>
      </c>
      <c r="C52" s="75">
        <v>164043780</v>
      </c>
      <c r="D52" s="36">
        <v>2.6350000000000002E-6</v>
      </c>
      <c r="E52" s="69">
        <v>622.55703984819729</v>
      </c>
      <c r="F52" s="77"/>
      <c r="G52" s="14" t="str">
        <f t="shared" si="1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0"/>
        <v>(650, 700]</v>
      </c>
      <c r="B53" s="75">
        <v>2071</v>
      </c>
      <c r="C53" s="75">
        <v>139558440</v>
      </c>
      <c r="D53" s="36">
        <v>2.0710000000000002E-6</v>
      </c>
      <c r="E53" s="69">
        <v>673.86982134234665</v>
      </c>
      <c r="F53" s="77"/>
      <c r="G53" s="14" t="str">
        <f t="shared" si="1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0"/>
        <v>(700, 750]</v>
      </c>
      <c r="B54" s="75">
        <v>1406</v>
      </c>
      <c r="C54" s="75">
        <v>101672315</v>
      </c>
      <c r="D54" s="36">
        <v>1.406E-6</v>
      </c>
      <c r="E54" s="69">
        <v>723.13168563300144</v>
      </c>
      <c r="F54" s="77"/>
      <c r="G54" s="14" t="str">
        <f t="shared" si="1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0"/>
        <v>(750, 800]</v>
      </c>
      <c r="B55" s="75">
        <v>1052</v>
      </c>
      <c r="C55" s="75">
        <v>81420500</v>
      </c>
      <c r="D55" s="36">
        <v>1.052E-6</v>
      </c>
      <c r="E55" s="69">
        <v>773.95912547528508</v>
      </c>
      <c r="F55" s="77"/>
      <c r="G55" s="14" t="str">
        <f t="shared" si="1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0"/>
        <v>(800, 850]</v>
      </c>
      <c r="B56" s="75">
        <v>670</v>
      </c>
      <c r="C56" s="75">
        <v>55139855</v>
      </c>
      <c r="D56" s="36">
        <v>6.7000000000000004E-7</v>
      </c>
      <c r="E56" s="69">
        <v>822.98291044776124</v>
      </c>
      <c r="F56" s="77"/>
      <c r="G56" s="14" t="str">
        <f t="shared" si="1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0"/>
        <v>(850, 900]</v>
      </c>
      <c r="B57" s="75">
        <v>615</v>
      </c>
      <c r="C57" s="75">
        <v>53945030</v>
      </c>
      <c r="D57" s="36">
        <v>6.1500000000000004E-7</v>
      </c>
      <c r="E57" s="69">
        <v>877.15495934959358</v>
      </c>
      <c r="F57" s="77"/>
      <c r="G57" s="14" t="str">
        <f t="shared" si="1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0"/>
        <v>(900, 950]</v>
      </c>
      <c r="B58" s="75">
        <v>529</v>
      </c>
      <c r="C58" s="75">
        <v>48772985</v>
      </c>
      <c r="D58" s="36">
        <v>5.2900000000000004E-7</v>
      </c>
      <c r="E58" s="69">
        <v>921.98459357277886</v>
      </c>
      <c r="F58" s="77"/>
      <c r="G58" s="14" t="str">
        <f t="shared" si="1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0"/>
        <v>(950, 1000]</v>
      </c>
      <c r="B59" s="75">
        <v>388</v>
      </c>
      <c r="C59" s="75">
        <v>37807435</v>
      </c>
      <c r="D59" s="36">
        <v>3.8799999999999998E-7</v>
      </c>
      <c r="E59" s="69">
        <v>974.4184278350516</v>
      </c>
      <c r="F59" s="77"/>
      <c r="G59" s="14" t="str">
        <f t="shared" si="1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0"/>
        <v>(1000, 2000]</v>
      </c>
      <c r="B60" s="75">
        <v>1842</v>
      </c>
      <c r="C60" s="75">
        <v>234716490</v>
      </c>
      <c r="D60" s="36">
        <v>1.8419999999999999E-6</v>
      </c>
      <c r="E60" s="69">
        <v>1274.2480456026058</v>
      </c>
      <c r="F60" s="77"/>
      <c r="G60" s="14" t="str">
        <f t="shared" si="1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0"/>
        <v>(2000, 3000]</v>
      </c>
      <c r="B61" s="75">
        <v>135</v>
      </c>
      <c r="C61" s="75">
        <v>31885450</v>
      </c>
      <c r="D61" s="36">
        <v>1.35E-7</v>
      </c>
      <c r="E61" s="69">
        <v>2361.885185185185</v>
      </c>
      <c r="F61" s="77"/>
      <c r="G61" s="14" t="str">
        <f t="shared" si="1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0"/>
        <v>(3000, 4000]</v>
      </c>
      <c r="B62" s="75">
        <v>30</v>
      </c>
      <c r="C62" s="75">
        <v>10026250</v>
      </c>
      <c r="D62" s="36">
        <v>2.9999999999999997E-8</v>
      </c>
      <c r="E62" s="69">
        <v>3342.083333333333</v>
      </c>
      <c r="F62" s="77"/>
      <c r="G62" s="14" t="str">
        <f t="shared" si="1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0"/>
        <v>(4000, 5000]</v>
      </c>
      <c r="B63" s="75">
        <v>5</v>
      </c>
      <c r="C63" s="75">
        <v>2164270</v>
      </c>
      <c r="D63" s="36">
        <v>5.0000000000000001E-9</v>
      </c>
      <c r="E63" s="69">
        <v>4328.54</v>
      </c>
      <c r="F63" s="77"/>
      <c r="G63" s="14" t="str">
        <f t="shared" si="1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0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1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0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1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0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1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0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1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0"/>
        <v>(9000, 10000]</v>
      </c>
      <c r="B68" s="75">
        <v>1</v>
      </c>
      <c r="C68" s="75">
        <v>946050</v>
      </c>
      <c r="D68" s="36">
        <v>1.0000000000000001E-9</v>
      </c>
      <c r="E68" s="69">
        <v>9460.5</v>
      </c>
      <c r="F68" s="77"/>
      <c r="G68" s="14" t="str">
        <f t="shared" si="1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0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1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0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1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0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1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0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1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0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1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0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1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0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1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0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1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0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1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0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1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6.9973149999999996E-3</v>
      </c>
      <c r="E79" s="69">
        <v>8.8144670205643152</v>
      </c>
      <c r="F79" s="77"/>
      <c r="G79" s="14" t="s">
        <v>117</v>
      </c>
      <c r="H79" s="70">
        <v>0.51314668555010001</v>
      </c>
      <c r="I79" s="36">
        <v>3.5906489999999978E-3</v>
      </c>
      <c r="J79" s="36">
        <f>I79</f>
        <v>3.5906489999999978E-3</v>
      </c>
      <c r="K79" s="72">
        <v>3590649</v>
      </c>
      <c r="L79" s="36">
        <v>3.5778023710719155E-3</v>
      </c>
      <c r="M79" s="36">
        <v>3.1536421005910212E-2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49" si="2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3.6186737341394521E-3</v>
      </c>
      <c r="E86" s="68" cm="1">
        <f t="array" ref="E86:E149">_xlfn.LET(_xlpm.x, C86:C149/B86:B149/B3, IF(ISERR(_xlpm.x), 0, _xlpm.x))</f>
        <v>0</v>
      </c>
      <c r="G86" s="14" t="str">
        <f t="shared" ref="G86:G149" si="3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2"/>
        <v>(0, 1]</v>
      </c>
      <c r="B87" s="75">
        <v>13519</v>
      </c>
      <c r="C87" s="75">
        <v>830135</v>
      </c>
      <c r="D87" s="36">
        <v>1.932026784559506E-3</v>
      </c>
      <c r="E87" s="69">
        <v>0.61405059545824392</v>
      </c>
      <c r="G87" s="14" t="str">
        <f t="shared" si="3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2"/>
        <v>(1, 2]</v>
      </c>
      <c r="B88" s="75">
        <v>18233</v>
      </c>
      <c r="C88" s="75">
        <v>2846325</v>
      </c>
      <c r="D88" s="36">
        <v>2.6057137630648326E-3</v>
      </c>
      <c r="E88" s="69">
        <v>1.561084297701969</v>
      </c>
      <c r="F88" s="76"/>
      <c r="G88" s="14" t="str">
        <f t="shared" si="3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2"/>
        <v>(2, 3]</v>
      </c>
      <c r="B89" s="75">
        <v>19401</v>
      </c>
      <c r="C89" s="75">
        <v>5010400</v>
      </c>
      <c r="D89" s="36">
        <v>2.7726349321132463E-3</v>
      </c>
      <c r="E89" s="69">
        <v>2.5825472913767333</v>
      </c>
      <c r="F89" s="73"/>
      <c r="G89" s="14" t="str">
        <f t="shared" si="3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2"/>
        <v>(3, 4]</v>
      </c>
      <c r="B90" s="75">
        <v>21192</v>
      </c>
      <c r="C90" s="75">
        <v>7594100</v>
      </c>
      <c r="D90" s="36">
        <v>3.0285902521181339E-3</v>
      </c>
      <c r="E90" s="69">
        <v>3.5834748961872407</v>
      </c>
      <c r="F90" s="73"/>
      <c r="G90" s="14" t="str">
        <f t="shared" si="3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2"/>
        <v>(4, 5]</v>
      </c>
      <c r="B91" s="75">
        <v>22042</v>
      </c>
      <c r="C91" s="75">
        <v>10092500</v>
      </c>
      <c r="D91" s="36">
        <v>3.150065417949599E-3</v>
      </c>
      <c r="E91" s="69">
        <v>4.5787587333272839</v>
      </c>
      <c r="F91" s="73"/>
      <c r="G91" s="14" t="str">
        <f t="shared" si="3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2"/>
        <v>(5, 6]</v>
      </c>
      <c r="B92" s="75">
        <v>24704</v>
      </c>
      <c r="C92" s="75">
        <v>13812490</v>
      </c>
      <c r="D92" s="36">
        <v>3.5304970549417886E-3</v>
      </c>
      <c r="E92" s="69">
        <v>5.5911957577720202</v>
      </c>
      <c r="F92" s="73"/>
      <c r="G92" s="14" t="str">
        <f t="shared" si="3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2"/>
        <v>(6, 7]</v>
      </c>
      <c r="B93" s="75">
        <v>23371</v>
      </c>
      <c r="C93" s="75">
        <v>15361185</v>
      </c>
      <c r="D93" s="36">
        <v>3.3399954125260902E-3</v>
      </c>
      <c r="E93" s="69">
        <v>6.5727546959907581</v>
      </c>
      <c r="F93" s="73"/>
      <c r="G93" s="14" t="str">
        <f t="shared" si="3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2"/>
        <v>(7, 8]</v>
      </c>
      <c r="B94" s="75">
        <v>26882</v>
      </c>
      <c r="C94" s="75">
        <v>20329515</v>
      </c>
      <c r="D94" s="36">
        <v>3.8417593033899431E-3</v>
      </c>
      <c r="E94" s="69">
        <v>7.5625009299903283</v>
      </c>
      <c r="F94" s="73"/>
      <c r="G94" s="14" t="str">
        <f t="shared" si="3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2"/>
        <v>(8, 9]</v>
      </c>
      <c r="B95" s="75">
        <v>27171</v>
      </c>
      <c r="C95" s="75">
        <v>23310120</v>
      </c>
      <c r="D95" s="36">
        <v>3.8830608597726413E-3</v>
      </c>
      <c r="E95" s="69">
        <v>8.5790438334989503</v>
      </c>
      <c r="F95" s="73"/>
      <c r="G95" s="14" t="str">
        <f t="shared" si="3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2"/>
        <v>(9, 10]</v>
      </c>
      <c r="B96" s="75">
        <v>27734</v>
      </c>
      <c r="C96" s="75">
        <v>26563225</v>
      </c>
      <c r="D96" s="36">
        <v>3.9635202931410122E-3</v>
      </c>
      <c r="E96" s="69">
        <v>9.5778557005841201</v>
      </c>
      <c r="F96" s="73"/>
      <c r="G96" s="14" t="str">
        <f t="shared" si="3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2"/>
        <v>(10, 15]</v>
      </c>
      <c r="B97" s="75">
        <v>148515</v>
      </c>
      <c r="C97" s="75">
        <v>187358865</v>
      </c>
      <c r="D97" s="36">
        <v>2.1224569709953033E-2</v>
      </c>
      <c r="E97" s="69">
        <v>12.615484294515706</v>
      </c>
      <c r="F97" s="73"/>
      <c r="G97" s="14" t="str">
        <f t="shared" si="3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2"/>
        <v>(15, 20]</v>
      </c>
      <c r="B98" s="75">
        <v>161740</v>
      </c>
      <c r="C98" s="75">
        <v>284486210</v>
      </c>
      <c r="D98" s="36">
        <v>2.3114580378330831E-2</v>
      </c>
      <c r="E98" s="69">
        <v>17.58910659082478</v>
      </c>
      <c r="F98" s="73"/>
      <c r="G98" s="14" t="str">
        <f t="shared" si="3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2"/>
        <v>(20, 25]</v>
      </c>
      <c r="B99" s="75">
        <v>167105</v>
      </c>
      <c r="C99" s="75">
        <v>377115540</v>
      </c>
      <c r="D99" s="36">
        <v>2.3881303042667081E-2</v>
      </c>
      <c r="E99" s="69">
        <v>22.567579665479787</v>
      </c>
      <c r="F99" s="73"/>
      <c r="G99" s="14" t="str">
        <f t="shared" si="3"/>
        <v>(20, 25]</v>
      </c>
      <c r="H99" s="70">
        <v>0</v>
      </c>
      <c r="I99" s="36">
        <v>0</v>
      </c>
      <c r="J99" s="36">
        <v>0</v>
      </c>
      <c r="K99" s="71">
        <v>0</v>
      </c>
      <c r="L99" s="36">
        <v>0</v>
      </c>
      <c r="M99" s="36">
        <v>0</v>
      </c>
      <c r="N99" s="73"/>
      <c r="O99" s="59">
        <v>20</v>
      </c>
      <c r="P99" s="59">
        <v>25</v>
      </c>
      <c r="Q99" s="36">
        <v>0</v>
      </c>
      <c r="R99" s="36">
        <v>2.069E-2</v>
      </c>
      <c r="T99" s="36"/>
      <c r="U99" s="74">
        <v>0</v>
      </c>
    </row>
    <row r="100" spans="1:21" x14ac:dyDescent="0.3">
      <c r="A100" s="14" t="str">
        <f t="shared" si="2"/>
        <v>(25, 30]</v>
      </c>
      <c r="B100" s="75">
        <v>172723</v>
      </c>
      <c r="C100" s="75">
        <v>476161855</v>
      </c>
      <c r="D100" s="36">
        <v>2.4684182432833164E-2</v>
      </c>
      <c r="E100" s="69">
        <v>27.567947233431564</v>
      </c>
      <c r="F100" s="73"/>
      <c r="G100" s="14" t="str">
        <f t="shared" si="3"/>
        <v>(25, 30]</v>
      </c>
      <c r="H100" s="70">
        <v>0</v>
      </c>
      <c r="I100" s="36">
        <v>0</v>
      </c>
      <c r="J100" s="36">
        <v>0</v>
      </c>
      <c r="K100" s="71">
        <v>0</v>
      </c>
      <c r="L100" s="36">
        <v>0</v>
      </c>
      <c r="M100" s="36">
        <v>0</v>
      </c>
      <c r="N100" s="73"/>
      <c r="O100" s="59">
        <v>25</v>
      </c>
      <c r="P100" s="59">
        <v>30</v>
      </c>
      <c r="Q100" s="36">
        <v>0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2"/>
        <v>(30, 35]</v>
      </c>
      <c r="B101" s="75">
        <v>171647</v>
      </c>
      <c r="C101" s="75">
        <v>558840920</v>
      </c>
      <c r="D101" s="36">
        <v>2.4530409164086511E-2</v>
      </c>
      <c r="E101" s="69">
        <v>32.557569896357059</v>
      </c>
      <c r="F101" s="73"/>
      <c r="G101" s="14" t="str">
        <f t="shared" si="3"/>
        <v>(30, 35]</v>
      </c>
      <c r="H101" s="70">
        <v>3.1319379341001299</v>
      </c>
      <c r="I101" s="36">
        <v>7.6827719000000003E-2</v>
      </c>
      <c r="J101" s="36">
        <v>7.682771900000003E-2</v>
      </c>
      <c r="K101" s="71">
        <v>76827719</v>
      </c>
      <c r="L101" s="36">
        <v>7.6827719076827714E-2</v>
      </c>
      <c r="M101" s="36">
        <v>2.5013238338215027</v>
      </c>
      <c r="N101" s="73"/>
      <c r="O101" s="59">
        <v>30</v>
      </c>
      <c r="P101" s="59">
        <v>35</v>
      </c>
      <c r="Q101" s="36">
        <v>7.6827719076827714E-2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2"/>
        <v>(35, 40]</v>
      </c>
      <c r="B102" s="75">
        <v>172745</v>
      </c>
      <c r="C102" s="75">
        <v>648716530</v>
      </c>
      <c r="D102" s="36">
        <v>2.4687326495948802E-2</v>
      </c>
      <c r="E102" s="69">
        <v>37.553418622825554</v>
      </c>
      <c r="F102" s="73"/>
      <c r="G102" s="14" t="str">
        <f t="shared" si="3"/>
        <v>(35, 40]</v>
      </c>
      <c r="H102" s="70">
        <v>5.6029508510246604</v>
      </c>
      <c r="I102" s="36">
        <v>0.13832187699999998</v>
      </c>
      <c r="J102" s="36">
        <v>0.13832187700000004</v>
      </c>
      <c r="K102" s="71">
        <v>138321877</v>
      </c>
      <c r="L102" s="36">
        <v>0.13832187713832186</v>
      </c>
      <c r="M102" s="36">
        <v>5.1944593568704445</v>
      </c>
      <c r="N102" s="73"/>
      <c r="O102" s="59">
        <v>35</v>
      </c>
      <c r="P102" s="59">
        <v>40</v>
      </c>
      <c r="Q102" s="36">
        <v>0.13832187713832186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2"/>
        <v>(40, 45]</v>
      </c>
      <c r="B103" s="75">
        <v>170232</v>
      </c>
      <c r="C103" s="75">
        <v>724358025</v>
      </c>
      <c r="D103" s="36">
        <v>2.432818874096707E-2</v>
      </c>
      <c r="E103" s="69">
        <v>42.551225680248137</v>
      </c>
      <c r="F103" s="73"/>
      <c r="G103" s="14" t="str">
        <f t="shared" si="3"/>
        <v>(40, 45]</v>
      </c>
      <c r="H103" s="70">
        <v>5.0550880424940097</v>
      </c>
      <c r="I103" s="36">
        <v>0.12298113600000003</v>
      </c>
      <c r="J103" s="36">
        <v>0.12298113600000009</v>
      </c>
      <c r="K103" s="71">
        <v>122981136</v>
      </c>
      <c r="L103" s="36">
        <v>0.12298113612298113</v>
      </c>
      <c r="M103" s="36">
        <v>5.2329980775822866</v>
      </c>
      <c r="N103" s="73"/>
      <c r="O103" s="59">
        <v>40</v>
      </c>
      <c r="P103" s="59">
        <v>45</v>
      </c>
      <c r="Q103" s="36">
        <v>0.12298113612298113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2"/>
        <v>(45, 50]</v>
      </c>
      <c r="B104" s="75">
        <v>168045</v>
      </c>
      <c r="C104" s="75">
        <v>798977350</v>
      </c>
      <c r="D104" s="36">
        <v>2.40156402848807E-2</v>
      </c>
      <c r="E104" s="69">
        <v>47.545440209467706</v>
      </c>
      <c r="F104" s="73"/>
      <c r="G104" s="14" t="str">
        <f t="shared" si="3"/>
        <v>(45, 50]</v>
      </c>
      <c r="H104" s="70">
        <v>4.4818765489156203</v>
      </c>
      <c r="I104" s="36">
        <v>0.10763513500000006</v>
      </c>
      <c r="J104" s="36">
        <v>0.1076351350000001</v>
      </c>
      <c r="K104" s="71">
        <v>107635135</v>
      </c>
      <c r="L104" s="36">
        <v>0.10763513510763513</v>
      </c>
      <c r="M104" s="36">
        <v>5.1175598806980442</v>
      </c>
      <c r="N104" s="73"/>
      <c r="O104" s="59">
        <v>45</v>
      </c>
      <c r="P104" s="59">
        <v>50</v>
      </c>
      <c r="Q104" s="36">
        <v>0.10763513510763513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2"/>
        <v>(50, 60]</v>
      </c>
      <c r="B105" s="75">
        <v>323672</v>
      </c>
      <c r="C105" s="75">
        <v>1780620765</v>
      </c>
      <c r="D105" s="36">
        <v>4.6256599852943593E-2</v>
      </c>
      <c r="E105" s="69">
        <v>55.013123316196641</v>
      </c>
      <c r="F105" s="73"/>
      <c r="G105" s="14" t="str">
        <f t="shared" si="3"/>
        <v>(50, 60]</v>
      </c>
      <c r="H105" s="70">
        <v>2.32774519403306</v>
      </c>
      <c r="I105" s="36">
        <v>0.1076735779999998</v>
      </c>
      <c r="J105" s="36">
        <v>0.10767357799999984</v>
      </c>
      <c r="K105" s="71">
        <v>107673578</v>
      </c>
      <c r="L105" s="36">
        <v>0.10767357810767358</v>
      </c>
      <c r="M105" s="36">
        <v>5.9234598303335781</v>
      </c>
      <c r="N105" s="73"/>
      <c r="O105" s="59">
        <v>50</v>
      </c>
      <c r="P105" s="59">
        <v>60</v>
      </c>
      <c r="Q105" s="36">
        <v>0.10767357810767358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2"/>
        <v>(60, 70]</v>
      </c>
      <c r="B106" s="75">
        <v>306735</v>
      </c>
      <c r="C106" s="75">
        <v>1993992090</v>
      </c>
      <c r="D106" s="36">
        <v>4.3836099989781795E-2</v>
      </c>
      <c r="E106" s="69">
        <v>65.006995941121815</v>
      </c>
      <c r="F106" s="73"/>
      <c r="G106" s="14" t="str">
        <f t="shared" si="3"/>
        <v>(60, 70]</v>
      </c>
      <c r="H106" s="70">
        <v>3.5106490777207</v>
      </c>
      <c r="I106" s="36">
        <v>0.15389316399999983</v>
      </c>
      <c r="J106" s="36">
        <v>0.15389316399999989</v>
      </c>
      <c r="K106" s="71">
        <v>153893164</v>
      </c>
      <c r="L106" s="36">
        <v>0.15389316415389317</v>
      </c>
      <c r="M106" s="36">
        <v>10.004132297518527</v>
      </c>
      <c r="N106" s="73"/>
      <c r="O106" s="59">
        <v>60</v>
      </c>
      <c r="P106" s="59">
        <v>70</v>
      </c>
      <c r="Q106" s="36">
        <v>0.15389316415389317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2"/>
        <v>(70, 80]</v>
      </c>
      <c r="B107" s="75">
        <v>291160</v>
      </c>
      <c r="C107" s="75">
        <v>2183653920</v>
      </c>
      <c r="D107" s="36">
        <v>4.1610246215869943E-2</v>
      </c>
      <c r="E107" s="69">
        <v>74.998417365022675</v>
      </c>
      <c r="F107" s="73"/>
      <c r="G107" s="14" t="str">
        <f t="shared" si="3"/>
        <v>(70, 80]</v>
      </c>
      <c r="H107" s="70">
        <v>1.8501032558331501</v>
      </c>
      <c r="I107" s="36">
        <v>7.6983251999999988E-2</v>
      </c>
      <c r="J107" s="36">
        <v>7.6983252000000016E-2</v>
      </c>
      <c r="K107" s="71">
        <v>76983252</v>
      </c>
      <c r="L107" s="36">
        <v>7.6983252076983255E-2</v>
      </c>
      <c r="M107" s="36">
        <v>5.7736220693863389</v>
      </c>
      <c r="N107" s="73"/>
      <c r="O107" s="59">
        <v>70</v>
      </c>
      <c r="P107" s="59">
        <v>80</v>
      </c>
      <c r="Q107" s="36">
        <v>7.6983252076983255E-2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2"/>
        <v>(80, 90]</v>
      </c>
      <c r="B108" s="75">
        <v>272219</v>
      </c>
      <c r="C108" s="75">
        <v>2313514660</v>
      </c>
      <c r="D108" s="36">
        <v>3.8903350785265488E-2</v>
      </c>
      <c r="E108" s="69">
        <v>84.987258787961167</v>
      </c>
      <c r="F108" s="73"/>
      <c r="G108" s="14" t="str">
        <f t="shared" si="3"/>
        <v>(80, 90]</v>
      </c>
      <c r="H108" s="70">
        <v>3.9595496503695</v>
      </c>
      <c r="I108" s="36">
        <v>0.15403974899999998</v>
      </c>
      <c r="J108" s="36">
        <v>0.15403974900000003</v>
      </c>
      <c r="K108" s="71">
        <v>154039749</v>
      </c>
      <c r="L108" s="36">
        <v>0.15403974915403976</v>
      </c>
      <c r="M108" s="36">
        <v>13.091416024987</v>
      </c>
      <c r="N108" s="73"/>
      <c r="O108" s="59">
        <v>80</v>
      </c>
      <c r="P108" s="59">
        <v>90</v>
      </c>
      <c r="Q108" s="36">
        <v>0.15403974915403976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2"/>
        <v>(90, 100]</v>
      </c>
      <c r="B109" s="75">
        <v>253675</v>
      </c>
      <c r="C109" s="75">
        <v>2409933070</v>
      </c>
      <c r="D109" s="36">
        <v>3.625319140270232E-2</v>
      </c>
      <c r="E109" s="69">
        <v>95.000810880063071</v>
      </c>
      <c r="F109" s="73"/>
      <c r="G109" s="14" t="str">
        <f t="shared" si="3"/>
        <v>(90, 100]</v>
      </c>
      <c r="H109" s="81">
        <v>1.70038519685759</v>
      </c>
      <c r="I109" s="79">
        <v>6.1644389999999875E-2</v>
      </c>
      <c r="J109" s="79">
        <v>6.1644389999999903E-2</v>
      </c>
      <c r="K109" s="71">
        <v>61644389</v>
      </c>
      <c r="L109" s="79">
        <v>6.1644389061644392E-2</v>
      </c>
      <c r="M109" s="79">
        <v>5.8562669470623074</v>
      </c>
      <c r="N109" s="73"/>
      <c r="O109" s="59">
        <v>90</v>
      </c>
      <c r="P109" s="59">
        <v>100</v>
      </c>
      <c r="Q109" s="36">
        <v>6.1644389061644392E-2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2"/>
        <v>(100, 120]</v>
      </c>
      <c r="B110" s="75">
        <v>456793</v>
      </c>
      <c r="C110" s="75">
        <v>5017102950</v>
      </c>
      <c r="D110" s="36">
        <v>6.5281182853708888E-2</v>
      </c>
      <c r="E110" s="69">
        <v>109.83318373968078</v>
      </c>
      <c r="F110" s="73"/>
      <c r="G110" s="14" t="str">
        <f t="shared" si="3"/>
        <v>(100, 120]</v>
      </c>
      <c r="H110" s="81">
        <v>0</v>
      </c>
      <c r="I110" s="79">
        <v>0</v>
      </c>
      <c r="J110" s="79">
        <v>0</v>
      </c>
      <c r="K110" s="71">
        <v>0</v>
      </c>
      <c r="L110" s="79">
        <v>0</v>
      </c>
      <c r="M110" s="79">
        <v>0</v>
      </c>
      <c r="N110" s="73"/>
      <c r="O110" s="59">
        <v>100</v>
      </c>
      <c r="P110" s="59">
        <v>120</v>
      </c>
      <c r="Q110" s="36">
        <v>0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2"/>
        <v>(120, 140]</v>
      </c>
      <c r="B111" s="75">
        <v>395813</v>
      </c>
      <c r="C111" s="75">
        <v>5138166890</v>
      </c>
      <c r="D111" s="36">
        <v>5.6566411544999758E-2</v>
      </c>
      <c r="E111" s="69">
        <v>129.81298971989298</v>
      </c>
      <c r="F111" s="73"/>
      <c r="G111" s="14" t="str">
        <f t="shared" si="3"/>
        <v>(120, 140]</v>
      </c>
      <c r="H111" s="81">
        <v>0</v>
      </c>
      <c r="I111" s="79">
        <v>0</v>
      </c>
      <c r="J111" s="79">
        <v>0</v>
      </c>
      <c r="K111" s="71">
        <v>0</v>
      </c>
      <c r="L111" s="79">
        <v>0</v>
      </c>
      <c r="M111" s="79">
        <v>0</v>
      </c>
      <c r="N111" s="73"/>
      <c r="O111" s="59">
        <v>120</v>
      </c>
      <c r="P111" s="59">
        <v>140</v>
      </c>
      <c r="Q111" s="36">
        <v>0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2"/>
        <v>(140, 160]</v>
      </c>
      <c r="B112" s="75">
        <v>343531</v>
      </c>
      <c r="C112" s="75">
        <v>5146233665</v>
      </c>
      <c r="D112" s="36">
        <v>4.909468846264603E-2</v>
      </c>
      <c r="E112" s="69">
        <v>149.80405451036441</v>
      </c>
      <c r="F112" s="73"/>
      <c r="G112" s="14" t="str">
        <f t="shared" si="3"/>
        <v>(140, 160]</v>
      </c>
      <c r="H112" s="81">
        <v>0</v>
      </c>
      <c r="I112" s="79">
        <v>0</v>
      </c>
      <c r="J112" s="79">
        <v>0</v>
      </c>
      <c r="K112" s="71">
        <v>0</v>
      </c>
      <c r="L112" s="79">
        <v>0</v>
      </c>
      <c r="M112" s="79">
        <v>0</v>
      </c>
      <c r="N112" s="73"/>
      <c r="O112" s="59">
        <v>140</v>
      </c>
      <c r="P112" s="59">
        <v>160</v>
      </c>
      <c r="Q112" s="36">
        <v>0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2"/>
        <v>(160, 180]</v>
      </c>
      <c r="B113" s="75">
        <v>298628</v>
      </c>
      <c r="C113" s="75">
        <v>5070946225</v>
      </c>
      <c r="D113" s="36">
        <v>4.2677512731669219E-2</v>
      </c>
      <c r="E113" s="69">
        <v>169.8081300146001</v>
      </c>
      <c r="F113" s="73"/>
      <c r="G113" s="14" t="str">
        <f t="shared" si="3"/>
        <v>(160, 180]</v>
      </c>
      <c r="H113" s="81">
        <v>0</v>
      </c>
      <c r="I113" s="79">
        <v>0</v>
      </c>
      <c r="J113" s="79">
        <v>0</v>
      </c>
      <c r="K113" s="71">
        <v>0</v>
      </c>
      <c r="L113" s="79">
        <v>0</v>
      </c>
      <c r="M113" s="79">
        <v>0</v>
      </c>
      <c r="N113" s="73"/>
      <c r="O113" s="59">
        <v>160</v>
      </c>
      <c r="P113" s="59">
        <v>180</v>
      </c>
      <c r="Q113" s="36">
        <v>0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2"/>
        <v>(180, 200]</v>
      </c>
      <c r="B114" s="75">
        <v>258337</v>
      </c>
      <c r="C114" s="75">
        <v>4903415715</v>
      </c>
      <c r="D114" s="36">
        <v>3.6919446959297962E-2</v>
      </c>
      <c r="E114" s="69">
        <v>189.80694654656517</v>
      </c>
      <c r="F114" s="73"/>
      <c r="G114" s="14" t="str">
        <f t="shared" si="3"/>
        <v>(180, 200]</v>
      </c>
      <c r="H114" s="81">
        <v>0</v>
      </c>
      <c r="I114" s="79">
        <v>0</v>
      </c>
      <c r="J114" s="79">
        <v>0</v>
      </c>
      <c r="K114" s="71">
        <v>0</v>
      </c>
      <c r="L114" s="79">
        <v>0</v>
      </c>
      <c r="M114" s="79">
        <v>0</v>
      </c>
      <c r="N114" s="73"/>
      <c r="O114" s="59">
        <v>180</v>
      </c>
      <c r="P114" s="59">
        <v>200</v>
      </c>
      <c r="Q114" s="36">
        <v>0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2"/>
        <v>(200, 250]</v>
      </c>
      <c r="B115" s="75">
        <v>513423</v>
      </c>
      <c r="C115" s="75">
        <v>11482735530</v>
      </c>
      <c r="D115" s="36">
        <v>7.3374287137280517E-2</v>
      </c>
      <c r="E115" s="69">
        <v>223.65058694293009</v>
      </c>
      <c r="F115" s="73"/>
      <c r="G115" s="14" t="str">
        <f t="shared" si="3"/>
        <v>(200, 250]</v>
      </c>
      <c r="H115" s="81">
        <v>0</v>
      </c>
      <c r="I115" s="79">
        <v>0</v>
      </c>
      <c r="J115" s="79">
        <v>0</v>
      </c>
      <c r="K115" s="71">
        <v>0</v>
      </c>
      <c r="L115" s="79">
        <v>0</v>
      </c>
      <c r="M115" s="79">
        <v>0</v>
      </c>
      <c r="N115" s="73"/>
      <c r="O115" s="59">
        <v>200</v>
      </c>
      <c r="P115" s="59">
        <v>250</v>
      </c>
      <c r="Q115" s="36">
        <v>0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2"/>
        <v>(250, 300]</v>
      </c>
      <c r="B116" s="75">
        <v>370638</v>
      </c>
      <c r="C116" s="75">
        <v>10146620445</v>
      </c>
      <c r="D116" s="36">
        <v>5.2968602956991358E-2</v>
      </c>
      <c r="E116" s="69">
        <v>273.76093236527288</v>
      </c>
      <c r="F116" s="73"/>
      <c r="G116" s="14" t="str">
        <f t="shared" si="3"/>
        <v>(250, 300]</v>
      </c>
      <c r="H116" s="81">
        <v>0</v>
      </c>
      <c r="I116" s="79">
        <v>0</v>
      </c>
      <c r="J116" s="79">
        <v>0</v>
      </c>
      <c r="K116" s="71">
        <v>0</v>
      </c>
      <c r="L116" s="79">
        <v>0</v>
      </c>
      <c r="M116" s="79">
        <v>0</v>
      </c>
      <c r="N116" s="73"/>
      <c r="O116" s="59">
        <v>250</v>
      </c>
      <c r="P116" s="59">
        <v>300</v>
      </c>
      <c r="Q116" s="36">
        <v>0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2"/>
        <v>(300, 350]</v>
      </c>
      <c r="B117" s="75">
        <v>274053</v>
      </c>
      <c r="C117" s="75">
        <v>8873479165</v>
      </c>
      <c r="D117" s="36">
        <v>3.9165451319541855E-2</v>
      </c>
      <c r="E117" s="69">
        <v>323.78697423491076</v>
      </c>
      <c r="F117" s="73"/>
      <c r="G117" s="14" t="str">
        <f t="shared" si="3"/>
        <v>(300, 350]</v>
      </c>
      <c r="H117" s="81">
        <v>0</v>
      </c>
      <c r="I117" s="79">
        <v>0</v>
      </c>
      <c r="J117" s="79">
        <v>0</v>
      </c>
      <c r="K117" s="71">
        <v>0</v>
      </c>
      <c r="L117" s="79">
        <v>0</v>
      </c>
      <c r="M117" s="79">
        <v>0</v>
      </c>
      <c r="N117" s="73"/>
      <c r="O117" s="59">
        <v>300</v>
      </c>
      <c r="P117" s="59">
        <v>350</v>
      </c>
      <c r="Q117" s="36">
        <v>0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si="2"/>
        <v>(350, 400]</v>
      </c>
      <c r="B118" s="75">
        <v>205430</v>
      </c>
      <c r="C118" s="75">
        <v>7680838935</v>
      </c>
      <c r="D118" s="36">
        <v>2.9358403902068151E-2</v>
      </c>
      <c r="E118" s="69">
        <v>373.89081122523487</v>
      </c>
      <c r="F118" s="73"/>
      <c r="G118" s="14" t="str">
        <f t="shared" si="3"/>
        <v>(350, 400]</v>
      </c>
      <c r="H118" s="81">
        <v>0</v>
      </c>
      <c r="I118" s="79">
        <v>0</v>
      </c>
      <c r="J118" s="79">
        <v>0</v>
      </c>
      <c r="K118" s="71">
        <v>0</v>
      </c>
      <c r="L118" s="79">
        <v>0</v>
      </c>
      <c r="M118" s="79">
        <v>0</v>
      </c>
      <c r="N118" s="73"/>
      <c r="O118" s="59">
        <v>350</v>
      </c>
      <c r="P118" s="59">
        <v>400</v>
      </c>
      <c r="Q118" s="36">
        <v>0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2"/>
        <v>(400, 450]</v>
      </c>
      <c r="B119" s="75">
        <v>155982</v>
      </c>
      <c r="C119" s="75">
        <v>6612380765</v>
      </c>
      <c r="D119" s="36">
        <v>2.2291693313792504E-2</v>
      </c>
      <c r="E119" s="69">
        <v>423.91947564462566</v>
      </c>
      <c r="F119" s="73"/>
      <c r="G119" s="14" t="str">
        <f t="shared" si="3"/>
        <v>(400, 450]</v>
      </c>
      <c r="H119" s="81">
        <v>0</v>
      </c>
      <c r="I119" s="79">
        <v>0</v>
      </c>
      <c r="J119" s="79">
        <v>0</v>
      </c>
      <c r="K119" s="71">
        <v>0</v>
      </c>
      <c r="L119" s="79">
        <v>0</v>
      </c>
      <c r="M119" s="79">
        <v>0</v>
      </c>
      <c r="N119" s="73"/>
      <c r="O119" s="59">
        <v>400</v>
      </c>
      <c r="P119" s="59">
        <v>450</v>
      </c>
      <c r="Q119" s="36">
        <v>0</v>
      </c>
      <c r="R119" s="36">
        <v>0</v>
      </c>
      <c r="T119" s="36"/>
      <c r="U119" s="74">
        <v>0</v>
      </c>
    </row>
    <row r="120" spans="1:21" x14ac:dyDescent="0.3">
      <c r="A120" s="14" t="str">
        <f t="shared" si="2"/>
        <v>(450, 500]</v>
      </c>
      <c r="B120" s="75">
        <v>121473</v>
      </c>
      <c r="C120" s="75">
        <v>5758476855</v>
      </c>
      <c r="D120" s="36">
        <v>1.7359944492994814E-2</v>
      </c>
      <c r="E120" s="69">
        <v>474.05405769183278</v>
      </c>
      <c r="F120" s="73"/>
      <c r="G120" s="14" t="str">
        <f t="shared" si="3"/>
        <v>(450, 500]</v>
      </c>
      <c r="H120" s="81">
        <v>0</v>
      </c>
      <c r="I120" s="79">
        <v>0</v>
      </c>
      <c r="J120" s="79">
        <v>0</v>
      </c>
      <c r="K120" s="71">
        <v>0</v>
      </c>
      <c r="L120" s="79">
        <v>0</v>
      </c>
      <c r="M120" s="79">
        <v>0</v>
      </c>
      <c r="N120" s="73"/>
      <c r="O120" s="59">
        <v>450</v>
      </c>
      <c r="P120" s="59">
        <v>500</v>
      </c>
      <c r="Q120" s="36">
        <v>0</v>
      </c>
      <c r="R120" s="36">
        <v>0</v>
      </c>
      <c r="T120" s="36"/>
      <c r="U120" s="74">
        <v>0</v>
      </c>
    </row>
    <row r="121" spans="1:21" x14ac:dyDescent="0.3">
      <c r="A121" s="14" t="str">
        <f t="shared" si="2"/>
        <v>(500, 550]</v>
      </c>
      <c r="B121" s="75">
        <v>95846</v>
      </c>
      <c r="C121" s="75">
        <v>5022192925</v>
      </c>
      <c r="D121" s="36">
        <v>1.3697539699156033E-2</v>
      </c>
      <c r="E121" s="69">
        <v>523.98565667842161</v>
      </c>
      <c r="F121" s="73"/>
      <c r="G121" s="14" t="str">
        <f t="shared" si="3"/>
        <v>(500, 550]</v>
      </c>
      <c r="H121" s="81">
        <v>0</v>
      </c>
      <c r="I121" s="79">
        <v>0</v>
      </c>
      <c r="J121" s="79">
        <v>0</v>
      </c>
      <c r="K121" s="71">
        <v>0</v>
      </c>
      <c r="L121" s="79">
        <v>0</v>
      </c>
      <c r="M121" s="79">
        <v>0</v>
      </c>
      <c r="N121" s="73"/>
      <c r="O121" s="59">
        <v>500</v>
      </c>
      <c r="P121" s="59">
        <v>550</v>
      </c>
      <c r="Q121" s="36">
        <v>0</v>
      </c>
      <c r="R121" s="36">
        <v>0</v>
      </c>
      <c r="T121" s="36"/>
      <c r="U121" s="74">
        <v>0</v>
      </c>
    </row>
    <row r="122" spans="1:21" x14ac:dyDescent="0.3">
      <c r="A122" s="14" t="str">
        <f t="shared" si="2"/>
        <v>(550, 600]</v>
      </c>
      <c r="B122" s="75">
        <v>76191</v>
      </c>
      <c r="C122" s="75">
        <v>4374443840</v>
      </c>
      <c r="D122" s="36">
        <v>1.0888605129253149E-2</v>
      </c>
      <c r="E122" s="69">
        <v>574.14180677507841</v>
      </c>
      <c r="F122" s="73"/>
      <c r="G122" s="14" t="str">
        <f t="shared" si="3"/>
        <v>(550, 600]</v>
      </c>
      <c r="H122" s="70">
        <v>0</v>
      </c>
      <c r="I122" s="36">
        <v>0</v>
      </c>
      <c r="J122" s="36">
        <v>0</v>
      </c>
      <c r="K122" s="71">
        <v>0</v>
      </c>
      <c r="L122" s="36">
        <v>0</v>
      </c>
      <c r="M122" s="36">
        <v>0</v>
      </c>
      <c r="N122" s="73"/>
      <c r="O122" s="59">
        <v>550</v>
      </c>
      <c r="P122" s="59">
        <v>600</v>
      </c>
      <c r="Q122" s="36">
        <v>0</v>
      </c>
      <c r="R122" s="36">
        <v>0</v>
      </c>
      <c r="T122" s="36"/>
      <c r="U122" s="74">
        <v>0</v>
      </c>
    </row>
    <row r="123" spans="1:21" x14ac:dyDescent="0.3">
      <c r="A123" s="14" t="str">
        <f t="shared" si="2"/>
        <v>(600, 650]</v>
      </c>
      <c r="B123" s="75">
        <v>61071</v>
      </c>
      <c r="C123" s="75">
        <v>3811243745</v>
      </c>
      <c r="D123" s="36">
        <v>8.727776297051083E-3</v>
      </c>
      <c r="E123" s="69">
        <v>624.0676826971885</v>
      </c>
      <c r="F123" s="73"/>
      <c r="G123" s="14" t="str">
        <f t="shared" si="3"/>
        <v>(600, 650]</v>
      </c>
      <c r="H123" s="70">
        <v>0</v>
      </c>
      <c r="I123" s="36">
        <v>0</v>
      </c>
      <c r="J123" s="36">
        <v>0</v>
      </c>
      <c r="K123" s="71">
        <v>0</v>
      </c>
      <c r="L123" s="36">
        <v>0</v>
      </c>
      <c r="M123" s="36">
        <v>0</v>
      </c>
      <c r="N123" s="73"/>
      <c r="O123" s="59">
        <v>600</v>
      </c>
      <c r="P123" s="59">
        <v>650</v>
      </c>
      <c r="Q123" s="36">
        <v>0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2"/>
        <v>(650, 700]</v>
      </c>
      <c r="B124" s="75">
        <v>49505</v>
      </c>
      <c r="C124" s="75">
        <v>3337761550</v>
      </c>
      <c r="D124" s="36">
        <v>7.0748565699843436E-3</v>
      </c>
      <c r="E124" s="69">
        <v>674.22715887284107</v>
      </c>
      <c r="F124" s="73"/>
      <c r="G124" s="14" t="str">
        <f t="shared" si="3"/>
        <v>(650, 700]</v>
      </c>
      <c r="H124" s="70">
        <v>0</v>
      </c>
      <c r="I124" s="36">
        <v>0</v>
      </c>
      <c r="J124" s="36">
        <v>0</v>
      </c>
      <c r="K124" s="71">
        <v>0</v>
      </c>
      <c r="L124" s="36">
        <v>0</v>
      </c>
      <c r="M124" s="36">
        <v>0</v>
      </c>
      <c r="N124" s="73"/>
      <c r="O124" s="59">
        <v>650</v>
      </c>
      <c r="P124" s="59">
        <v>700</v>
      </c>
      <c r="Q124" s="36">
        <v>0</v>
      </c>
      <c r="R124" s="36">
        <v>0</v>
      </c>
      <c r="T124" s="36"/>
      <c r="U124" s="74">
        <v>0</v>
      </c>
    </row>
    <row r="125" spans="1:21" x14ac:dyDescent="0.3">
      <c r="A125" s="14" t="str">
        <f t="shared" si="2"/>
        <v>(700, 750]</v>
      </c>
      <c r="B125" s="75">
        <v>40886</v>
      </c>
      <c r="C125" s="75">
        <v>2961427510</v>
      </c>
      <c r="D125" s="36">
        <v>5.8430983884532857E-3</v>
      </c>
      <c r="E125" s="69">
        <v>724.3133370835983</v>
      </c>
      <c r="F125" s="73"/>
      <c r="G125" s="14" t="str">
        <f t="shared" si="3"/>
        <v>(700, 750]</v>
      </c>
      <c r="H125" s="70">
        <v>0</v>
      </c>
      <c r="I125" s="36">
        <v>0</v>
      </c>
      <c r="J125" s="36">
        <v>0</v>
      </c>
      <c r="K125" s="71">
        <v>0</v>
      </c>
      <c r="L125" s="36">
        <v>0</v>
      </c>
      <c r="M125" s="36">
        <v>0</v>
      </c>
      <c r="N125" s="73"/>
      <c r="O125" s="59">
        <v>700</v>
      </c>
      <c r="P125" s="59">
        <v>750</v>
      </c>
      <c r="Q125" s="36">
        <v>0</v>
      </c>
      <c r="R125" s="36">
        <v>0</v>
      </c>
      <c r="T125" s="36"/>
      <c r="U125" s="74">
        <v>0</v>
      </c>
    </row>
    <row r="126" spans="1:21" x14ac:dyDescent="0.3">
      <c r="A126" s="14" t="str">
        <f t="shared" si="2"/>
        <v>(750, 800]</v>
      </c>
      <c r="B126" s="75">
        <v>33857</v>
      </c>
      <c r="C126" s="75">
        <v>2621391690</v>
      </c>
      <c r="D126" s="36">
        <v>4.8385702230069674E-3</v>
      </c>
      <c r="E126" s="69">
        <v>774.25397702100008</v>
      </c>
      <c r="F126" s="73"/>
      <c r="G126" s="14" t="str">
        <f t="shared" si="3"/>
        <v>(750, 800]</v>
      </c>
      <c r="H126" s="70">
        <v>0</v>
      </c>
      <c r="I126" s="36">
        <v>0</v>
      </c>
      <c r="J126" s="36">
        <v>0</v>
      </c>
      <c r="K126" s="71">
        <v>0</v>
      </c>
      <c r="L126" s="36">
        <v>0</v>
      </c>
      <c r="M126" s="36">
        <v>0</v>
      </c>
      <c r="N126" s="73"/>
      <c r="O126" s="59">
        <v>750</v>
      </c>
      <c r="P126" s="59">
        <v>800</v>
      </c>
      <c r="Q126" s="36">
        <v>0</v>
      </c>
      <c r="R126" s="36">
        <v>0</v>
      </c>
      <c r="T126" s="36"/>
      <c r="U126" s="74">
        <v>0</v>
      </c>
    </row>
    <row r="127" spans="1:21" x14ac:dyDescent="0.3">
      <c r="A127" s="14" t="str">
        <f t="shared" si="2"/>
        <v>(800, 850]</v>
      </c>
      <c r="B127" s="75">
        <v>28291</v>
      </c>
      <c r="C127" s="75">
        <v>2332011670</v>
      </c>
      <c r="D127" s="36">
        <v>4.0431222547505719E-3</v>
      </c>
      <c r="E127" s="69">
        <v>824.29453536460369</v>
      </c>
      <c r="F127" s="73"/>
      <c r="G127" s="14" t="str">
        <f t="shared" si="3"/>
        <v>(800, 850]</v>
      </c>
      <c r="H127" s="70">
        <v>0</v>
      </c>
      <c r="I127" s="36">
        <v>0</v>
      </c>
      <c r="J127" s="36">
        <v>0</v>
      </c>
      <c r="K127" s="71">
        <v>0</v>
      </c>
      <c r="L127" s="36">
        <v>0</v>
      </c>
      <c r="M127" s="36">
        <v>0</v>
      </c>
      <c r="N127" s="73"/>
      <c r="O127" s="59">
        <v>800</v>
      </c>
      <c r="P127" s="59">
        <v>850</v>
      </c>
      <c r="Q127" s="36">
        <v>0</v>
      </c>
      <c r="R127" s="36">
        <v>0</v>
      </c>
      <c r="T127" s="36"/>
      <c r="U127" s="74">
        <v>0</v>
      </c>
    </row>
    <row r="128" spans="1:21" x14ac:dyDescent="0.3">
      <c r="A128" s="14" t="str">
        <f t="shared" si="2"/>
        <v>(850, 900]</v>
      </c>
      <c r="B128" s="75">
        <v>23625</v>
      </c>
      <c r="C128" s="75">
        <v>2065488815</v>
      </c>
      <c r="D128" s="36">
        <v>3.3762950503157282E-3</v>
      </c>
      <c r="E128" s="69">
        <v>874.28097989417995</v>
      </c>
      <c r="F128" s="73"/>
      <c r="G128" s="14" t="str">
        <f t="shared" si="3"/>
        <v>(850, 900]</v>
      </c>
      <c r="H128" s="70">
        <v>0</v>
      </c>
      <c r="I128" s="36">
        <v>0</v>
      </c>
      <c r="J128" s="36">
        <v>0</v>
      </c>
      <c r="K128" s="72">
        <v>0</v>
      </c>
      <c r="L128" s="36">
        <v>0</v>
      </c>
      <c r="M128" s="36">
        <v>0</v>
      </c>
      <c r="N128" s="73"/>
      <c r="O128" s="59">
        <v>850</v>
      </c>
      <c r="P128" s="59">
        <v>900</v>
      </c>
      <c r="Q128" s="36">
        <v>0</v>
      </c>
      <c r="R128" s="36">
        <v>0</v>
      </c>
      <c r="T128" s="36"/>
      <c r="U128" s="74">
        <v>0</v>
      </c>
    </row>
    <row r="129" spans="1:21" x14ac:dyDescent="0.3">
      <c r="A129" s="14" t="str">
        <f t="shared" si="2"/>
        <v>(900, 950]</v>
      </c>
      <c r="B129" s="75">
        <v>20107</v>
      </c>
      <c r="C129" s="75">
        <v>1858657770</v>
      </c>
      <c r="D129" s="36">
        <v>2.8735307757332632E-3</v>
      </c>
      <c r="E129" s="69">
        <v>924.38343363007914</v>
      </c>
      <c r="F129" s="73"/>
      <c r="G129" s="14" t="str">
        <f t="shared" si="3"/>
        <v>(900, 950]</v>
      </c>
      <c r="H129" s="70">
        <v>0</v>
      </c>
      <c r="I129" s="36">
        <v>0</v>
      </c>
      <c r="J129" s="36">
        <v>0</v>
      </c>
      <c r="K129" s="72">
        <v>0</v>
      </c>
      <c r="L129" s="36">
        <v>0</v>
      </c>
      <c r="M129" s="36">
        <v>0</v>
      </c>
      <c r="N129" s="73"/>
      <c r="O129" s="59">
        <v>900</v>
      </c>
      <c r="P129" s="59">
        <v>950</v>
      </c>
      <c r="Q129" s="36">
        <v>0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2"/>
        <v>(950, 1000]</v>
      </c>
      <c r="B130" s="75">
        <v>17001</v>
      </c>
      <c r="C130" s="75">
        <v>1656429300</v>
      </c>
      <c r="D130" s="36">
        <v>2.4296462285891087E-3</v>
      </c>
      <c r="E130" s="69">
        <v>974.31286394917947</v>
      </c>
      <c r="F130" s="73"/>
      <c r="G130" s="14" t="str">
        <f t="shared" si="3"/>
        <v>(950, 1000]</v>
      </c>
      <c r="H130" s="70">
        <v>0</v>
      </c>
      <c r="I130" s="36">
        <v>0</v>
      </c>
      <c r="J130" s="36">
        <v>0</v>
      </c>
      <c r="K130" s="72">
        <v>0</v>
      </c>
      <c r="L130" s="36">
        <v>0</v>
      </c>
      <c r="M130" s="36">
        <v>0</v>
      </c>
      <c r="N130" s="73"/>
      <c r="O130" s="59">
        <v>950</v>
      </c>
      <c r="P130" s="59">
        <v>1000</v>
      </c>
      <c r="Q130" s="36">
        <v>0</v>
      </c>
      <c r="R130" s="36">
        <v>0</v>
      </c>
      <c r="T130" s="36"/>
      <c r="U130" s="74">
        <v>0</v>
      </c>
    </row>
    <row r="131" spans="1:21" x14ac:dyDescent="0.3">
      <c r="A131" s="14" t="str">
        <f t="shared" si="2"/>
        <v>(1000, 2000]</v>
      </c>
      <c r="B131" s="75">
        <v>109395</v>
      </c>
      <c r="C131" s="75">
        <v>14362391790</v>
      </c>
      <c r="D131" s="36">
        <v>1.563385384250959E-2</v>
      </c>
      <c r="E131" s="69">
        <v>1312.8928918140684</v>
      </c>
      <c r="F131" s="73"/>
      <c r="G131" s="14" t="str">
        <f t="shared" si="3"/>
        <v>(1000, 2000]</v>
      </c>
      <c r="H131" s="70">
        <v>0</v>
      </c>
      <c r="I131" s="36">
        <v>0</v>
      </c>
      <c r="J131" s="36">
        <v>0</v>
      </c>
      <c r="K131" s="72">
        <v>0</v>
      </c>
      <c r="L131" s="36">
        <v>0</v>
      </c>
      <c r="M131" s="36">
        <v>0</v>
      </c>
      <c r="N131" s="73"/>
      <c r="O131" s="59">
        <v>1000</v>
      </c>
      <c r="P131" s="59">
        <v>2000</v>
      </c>
      <c r="Q131" s="36">
        <v>0</v>
      </c>
      <c r="R131" s="36">
        <v>0</v>
      </c>
      <c r="T131" s="36"/>
      <c r="U131" s="74">
        <v>0</v>
      </c>
    </row>
    <row r="132" spans="1:21" x14ac:dyDescent="0.3">
      <c r="A132" s="14" t="str">
        <f t="shared" si="2"/>
        <v>(2000, 3000]</v>
      </c>
      <c r="B132" s="75">
        <v>13326</v>
      </c>
      <c r="C132" s="75">
        <v>3153908440</v>
      </c>
      <c r="D132" s="36">
        <v>1.9044447763177732E-3</v>
      </c>
      <c r="E132" s="69">
        <v>2366.7330331682424</v>
      </c>
      <c r="F132" s="73"/>
      <c r="G132" s="14" t="str">
        <f t="shared" si="3"/>
        <v>(2000, 3000]</v>
      </c>
      <c r="H132" s="70">
        <v>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str">
        <f t="shared" si="2"/>
        <v>(3000, 4000]</v>
      </c>
      <c r="B133" s="75">
        <v>2933</v>
      </c>
      <c r="C133" s="75">
        <v>994750330</v>
      </c>
      <c r="D133" s="36">
        <v>4.1916077809845634E-4</v>
      </c>
      <c r="E133" s="69">
        <v>3391.5797136038186</v>
      </c>
      <c r="F133" s="73"/>
      <c r="G133" s="14" t="str">
        <f t="shared" si="3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2"/>
        <v>(4000, 5000]</v>
      </c>
      <c r="B134" s="75">
        <v>882</v>
      </c>
      <c r="C134" s="75">
        <v>389171095</v>
      </c>
      <c r="D134" s="36">
        <v>1.2604834854512052E-4</v>
      </c>
      <c r="E134" s="69">
        <v>4412.3706916099773</v>
      </c>
      <c r="F134" s="73"/>
      <c r="G134" s="14" t="str">
        <f t="shared" si="3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2"/>
        <v>(5000, 6000]</v>
      </c>
      <c r="B135" s="75">
        <v>298</v>
      </c>
      <c r="C135" s="75">
        <v>162368765</v>
      </c>
      <c r="D135" s="36">
        <v>4.2587764020913739E-5</v>
      </c>
      <c r="E135" s="69">
        <v>5448.6162751677857</v>
      </c>
      <c r="F135" s="73"/>
      <c r="G135" s="14" t="str">
        <f t="shared" si="3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2"/>
        <v>(6000, 7000]</v>
      </c>
      <c r="B136" s="75">
        <v>116</v>
      </c>
      <c r="C136" s="75">
        <v>74801250</v>
      </c>
      <c r="D136" s="36">
        <v>1.6577787336999976E-5</v>
      </c>
      <c r="E136" s="69">
        <v>6448.3836206896558</v>
      </c>
      <c r="F136" s="73"/>
      <c r="G136" s="14" t="str">
        <f t="shared" si="3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2"/>
        <v>(7000, 8000]</v>
      </c>
      <c r="B137" s="75">
        <v>55</v>
      </c>
      <c r="C137" s="75">
        <v>40605295</v>
      </c>
      <c r="D137" s="36">
        <v>7.8601577890948167E-6</v>
      </c>
      <c r="E137" s="69">
        <v>7382.7809090909095</v>
      </c>
      <c r="F137" s="73"/>
      <c r="G137" s="14" t="str">
        <f t="shared" si="3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2"/>
        <v>(8000, 9000]</v>
      </c>
      <c r="B138" s="75">
        <v>22</v>
      </c>
      <c r="C138" s="75">
        <v>18835895</v>
      </c>
      <c r="D138" s="36">
        <v>3.144063115637927E-6</v>
      </c>
      <c r="E138" s="69">
        <v>8561.7704545454544</v>
      </c>
      <c r="F138" s="73"/>
      <c r="G138" s="14" t="str">
        <f t="shared" si="3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2"/>
        <v>(9000, 10000]</v>
      </c>
      <c r="B139" s="75">
        <v>11</v>
      </c>
      <c r="C139" s="75">
        <v>10522285</v>
      </c>
      <c r="D139" s="36">
        <v>1.5720315578189635E-6</v>
      </c>
      <c r="E139" s="69">
        <v>9565.7136363636364</v>
      </c>
      <c r="F139" s="73"/>
      <c r="G139" s="14" t="str">
        <f t="shared" si="3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2"/>
        <v>(10000, 20000]</v>
      </c>
      <c r="B140" s="75">
        <v>13</v>
      </c>
      <c r="C140" s="75">
        <v>14889020</v>
      </c>
      <c r="D140" s="36">
        <v>1.8578554774224113E-6</v>
      </c>
      <c r="E140" s="69">
        <v>11453.092307692308</v>
      </c>
      <c r="F140" s="73"/>
      <c r="G140" s="14" t="str">
        <f t="shared" si="3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2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3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2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3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2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3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2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3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2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3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2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3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2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3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2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3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2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3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7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7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8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80</v>
      </c>
      <c r="C2" s="34">
        <v>10000000000</v>
      </c>
    </row>
    <row r="4" spans="1:3" x14ac:dyDescent="0.3">
      <c r="B4" s="12" t="s">
        <v>5</v>
      </c>
      <c r="C4" s="12" t="s">
        <v>81</v>
      </c>
    </row>
    <row r="5" spans="1:3" x14ac:dyDescent="0.3">
      <c r="A5" s="21"/>
      <c r="B5" s="15" t="s">
        <v>82</v>
      </c>
      <c r="C5" s="22">
        <v>3864674550</v>
      </c>
    </row>
    <row r="6" spans="1:3" x14ac:dyDescent="0.3">
      <c r="A6" s="21"/>
      <c r="B6" s="15" t="s">
        <v>84</v>
      </c>
      <c r="C6" s="22">
        <v>3800982750</v>
      </c>
    </row>
    <row r="7" spans="1:3" x14ac:dyDescent="0.3">
      <c r="A7" s="21"/>
      <c r="B7" s="15" t="s">
        <v>86</v>
      </c>
      <c r="C7" s="22">
        <v>51240310600</v>
      </c>
    </row>
    <row r="8" spans="1:3" x14ac:dyDescent="0.3">
      <c r="B8" s="13"/>
      <c r="C8" s="13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2026-09-01T09:24:00Z</dcterms:modified>
</cp:coreProperties>
</file>