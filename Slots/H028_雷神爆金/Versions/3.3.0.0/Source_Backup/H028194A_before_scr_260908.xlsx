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Project\Slots\H028_雷神爆金\Source\"/>
    </mc:Choice>
  </mc:AlternateContent>
  <xr:revisionPtr revIDLastSave="0" documentId="13_ncr:1_{683BC32D-D3C1-40C2-8D68-20668CFA7020}" xr6:coauthVersionLast="47" xr6:coauthVersionMax="47" xr10:uidLastSave="{00000000-0000-0000-0000-000000000000}"/>
  <bookViews>
    <workbookView xWindow="-23025" yWindow="1770" windowWidth="22965" windowHeight="12210" tabRatio="840" activeTab="1" xr2:uid="{00000000-000D-0000-FFFF-FFFF00000000}"/>
  </bookViews>
  <sheets>
    <sheet name="Overview" sheetId="1" r:id="rId1"/>
    <sheet name="Multiplier_Weight" sheetId="3" r:id="rId2"/>
    <sheet name="Detail" sheetId="5" r:id="rId3"/>
    <sheet name="Detail_Newbie" sheetId="6" r:id="rId4"/>
    <sheet name="OP Jackpot" sheetId="4" r:id="rId5"/>
  </sheets>
  <calcPr calcId="191029" forceFullCalc="1" calcMode="auto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<sst xmlns="http://schemas.openxmlformats.org/spreadsheetml/2006/main" count="289" uniqueCount="129">
  <si>
    <t>Version:</t>
  </si>
  <si>
    <t>Base Bet</t>
  </si>
  <si>
    <t>Multiway</t>
  </si>
  <si>
    <t>Coin in</t>
  </si>
  <si>
    <t>Price(x)</t>
  </si>
  <si>
    <t>Bet Type</t>
  </si>
  <si>
    <t>Normal Bet</t>
  </si>
  <si>
    <t>Buy Feature</t>
  </si>
  <si>
    <t>Total Pay Back Percentage includes the following adjustments.</t>
  </si>
  <si>
    <t xml:space="preserve">Pay Back </t>
  </si>
  <si>
    <t>Hit%</t>
  </si>
  <si>
    <t>Pulls/Hit</t>
  </si>
  <si>
    <t>Description</t>
  </si>
  <si>
    <t>Base Game</t>
  </si>
  <si>
    <t>Free Game</t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</si>
  <si>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</si>
  <si>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</si>
  <si>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</si>
  <si>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</si>
  <si>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</si>
  <si>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</si>
  <si>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</si>
  <si>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</si>
  <si>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</si>
  <si>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</si>
  <si>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</si>
  <si>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</si>
  <si>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</si>
  <si>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</si>
  <si>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</si>
  <si>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</si>
  <si>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</si>
  <si>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</si>
  <si>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</si>
  <si>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</si>
  <si>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</si>
  <si>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</si>
  <si>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</si>
  <si>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</si>
  <si>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</si>
  <si>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</si>
  <si>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</si>
  <si>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</si>
  <si>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</si>
  <si>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</si>
  <si>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</si>
  <si>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</si>
  <si>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</si>
  <si>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</si>
  <si>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</si>
  <si>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</si>
  <si>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</si>
  <si>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</si>
  <si>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</si>
  <si>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</si>
  <si>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</si>
  <si>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</si>
  <si>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</si>
  <si>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</si>
  <si>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</si>
  <si>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</si>
  <si>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</si>
  <si>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</si>
  <si>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</si>
  <si>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</si>
  <si>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</si>
  <si>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</si>
  <si>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</si>
  <si>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</si>
  <si>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</si>
  <si>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</si>
  <si>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</si>
  <si>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</si>
  <si>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</si>
  <si>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</si>
  <si>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</si>
  <si>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</si>
  <si>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</si>
  <si>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</si>
  <si>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</si>
  <si>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Threshold</t>
  </si>
  <si>
    <t>SCR</t>
  </si>
  <si>
    <t>NB_Newbie</t>
  </si>
  <si>
    <t>EB_Newbie</t>
  </si>
  <si>
    <t>NB</t>
  </si>
  <si>
    <t>EB</t>
  </si>
  <si>
    <t>BF</t>
  </si>
  <si>
    <t>Avg. Multi.</t>
    <phoneticPr fontId="20" type="noConversion"/>
  </si>
  <si>
    <t>Hit Rate</t>
    <phoneticPr fontId="24" type="noConversion"/>
  </si>
  <si>
    <t>Bet</t>
    <phoneticPr fontId="20" type="noConversion"/>
  </si>
  <si>
    <t>Base Game</t>
    <phoneticPr fontId="20" type="noConversion"/>
  </si>
  <si>
    <t>Free Game</t>
    <phoneticPr fontId="20" type="noConversion"/>
  </si>
  <si>
    <t>Hit Rate</t>
  </si>
  <si>
    <t>FG Period</t>
  </si>
  <si>
    <t>Avg Multi</t>
    <phoneticPr fontId="20" type="noConversion"/>
  </si>
  <si>
    <t>Normal Bet</t>
    <phoneticPr fontId="20" type="noConversion"/>
  </si>
  <si>
    <t>Buy Feature</t>
    <phoneticPr fontId="20" type="noConversion"/>
  </si>
  <si>
    <t>Total RTP</t>
    <phoneticPr fontId="20" type="noConversion"/>
  </si>
  <si>
    <t>Coin in</t>
    <phoneticPr fontId="20" type="noConversion"/>
  </si>
  <si>
    <t>RTP</t>
  </si>
  <si>
    <t>Total</t>
    <phoneticPr fontId="20" type="noConversion"/>
  </si>
  <si>
    <t>BG</t>
    <phoneticPr fontId="20" type="noConversion"/>
  </si>
  <si>
    <t>FG</t>
    <phoneticPr fontId="20" type="noConversion"/>
  </si>
  <si>
    <t>Calculate</t>
    <phoneticPr fontId="20" type="noConversion"/>
  </si>
  <si>
    <t>Lower</t>
    <phoneticPr fontId="24" type="noConversion"/>
  </si>
  <si>
    <t>Upper</t>
    <phoneticPr fontId="24" type="noConversion"/>
  </si>
  <si>
    <t>Cnt</t>
    <phoneticPr fontId="20" type="noConversion"/>
  </si>
  <si>
    <t>Pay</t>
    <phoneticPr fontId="20" type="noConversion"/>
  </si>
  <si>
    <t>Hit Rate</t>
    <phoneticPr fontId="20" type="noConversion"/>
  </si>
  <si>
    <t>Range</t>
    <phoneticPr fontId="24" type="noConversion"/>
  </si>
  <si>
    <t>Fix Num</t>
    <phoneticPr fontId="24" type="noConversion"/>
  </si>
  <si>
    <t>Fix Rate</t>
    <phoneticPr fontId="24" type="noConversion"/>
  </si>
  <si>
    <t>Final Rate</t>
    <phoneticPr fontId="24" type="noConversion"/>
  </si>
  <si>
    <t>Weight</t>
    <phoneticPr fontId="24" type="noConversion"/>
  </si>
  <si>
    <t>Simulator RTP</t>
    <phoneticPr fontId="24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</si>
  <si>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</si>
  <si>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</si>
  <si>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Free Game</t>
    <phoneticPr fontId="24" type="noConversion"/>
  </si>
  <si>
    <t>Buy Feature</t>
    <phoneticPr fontId="24" type="noConversion"/>
  </si>
  <si>
    <t>Simulate</t>
    <phoneticPr fontId="20" type="noConversion"/>
  </si>
  <si>
    <r>
      <rPr>
        <sz val="12"/>
        <color theme="1"/>
        <rFont val="微軟正黑體"/>
        <family val="2"/>
        <charset val="136"/>
      </rPr>
      <t>目前</t>
    </r>
  </si>
  <si>
    <t>Model:</t>
    <phoneticPr fontId="20" type="noConversion"/>
  </si>
  <si>
    <t>H0281</t>
    <phoneticPr fontId="20" type="noConversion"/>
  </si>
  <si>
    <t>Weight_NB_BG_Newbie</t>
    <phoneticPr fontId="20" type="noConversion"/>
  </si>
  <si>
    <t>Weight_NB_FG_Newbie</t>
    <phoneticPr fontId="20" type="noConversion"/>
  </si>
  <si>
    <t>Weight_NB_BG</t>
    <phoneticPr fontId="20" type="noConversion"/>
  </si>
  <si>
    <t>Weight_NB_FG</t>
    <phoneticPr fontId="20" type="noConversion"/>
  </si>
  <si>
    <t>Weight_BF</t>
    <phoneticPr fontId="20" type="noConversion"/>
  </si>
  <si>
    <t>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</si>
</sst>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_);[Red]\(0.00\)"/>
    <numFmt numFmtId="177" formatCode="0.0000"/>
    <numFmt numFmtId="178" formatCode="_-* #,##0_-;\-* #,##0_-;_-* &quot;-&quot;??_-;_-@_-"/>
    <numFmt numFmtId="179" formatCode="0.0000_);[Red]\(0.0000\)"/>
    <numFmt numFmtId="180" formatCode="0.0000%"/>
    <numFmt numFmtId="181" formatCode="0.000"/>
    <numFmt numFmtId="182" formatCode="0_);[Red]\(0\)"/>
  </numFmts>
  <fonts count="28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9"/>
      <name val="Courier New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12"/>
      <color theme="1"/>
      <name val="微軟正黑體"/>
      <family val="2"/>
      <charset val="136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107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19" fillId="35" borderId="11" xfId="0" applyFont="1" applyFill="1" applyBorder="1"/>
    <xf numFmtId="0" fontId="19" fillId="0" borderId="11" xfId="0" applyFont="1" applyBorder="1"/>
    <xf numFmtId="0" fontId="23" fillId="34" borderId="1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23" fillId="35" borderId="11" xfId="0" applyFont="1" applyFill="1" applyBorder="1" applyAlignment="1">
      <alignment horizontal="center"/>
    </xf>
    <xf numFmtId="10" fontId="19" fillId="0" borderId="11" xfId="1" applyNumberFormat="1" applyFont="1" applyBorder="1" applyAlignment="1">
      <alignment horizontal="center" vertical="center" wrapText="1"/>
    </xf>
    <xf numFmtId="0" fontId="19" fillId="0" borderId="0" xfId="58215" applyFont="1" applyAlignment="1">
      <alignment horizontal="center" vertical="center"/>
    </xf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177" fontId="19" fillId="0" borderId="0" xfId="0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9" fontId="19" fillId="0" borderId="0" xfId="1" applyNumberFormat="1" applyFont="1" applyAlignment="1">
      <alignment vertical="center"/>
    </xf>
    <xf numFmtId="176" fontId="19" fillId="0" borderId="0" xfId="0" applyNumberFormat="1" applyFont="1" applyAlignment="1">
      <alignment vertical="center"/>
    </xf>
    <xf numFmtId="176" fontId="19" fillId="0" borderId="0" xfId="0" applyNumberFormat="1" applyFont="1" applyAlignment="1">
      <alignment horizontal="center" vertical="center" wrapText="1"/>
    </xf>
    <xf numFmtId="3" fontId="19" fillId="35" borderId="11" xfId="0" applyNumberFormat="1" applyFont="1" applyFill="1" applyBorder="1"/>
    <xf numFmtId="178" fontId="23" fillId="35" borderId="10" xfId="61099" applyNumberFormat="1" applyFont="1" applyFill="1" applyBorder="1" applyAlignment="1"/>
    <xf numFmtId="0" fontId="0" fillId="0" borderId="11" xfId="0" applyBorder="1"/>
    <xf numFmtId="10" fontId="23" fillId="0" borderId="11" xfId="1" applyNumberFormat="1" applyFont="1" applyBorder="1">
      <alignment vertical="center"/>
    </xf>
    <xf numFmtId="10" fontId="23" fillId="0" borderId="14" xfId="1" applyNumberFormat="1" applyFont="1" applyBorder="1">
      <alignment vertical="center"/>
    </xf>
    <xf numFmtId="0" fontId="23" fillId="0" borderId="0" xfId="0" applyFont="1" applyAlignment="1">
      <alignment vertical="center"/>
    </xf>
    <xf numFmtId="0" fontId="25" fillId="0" borderId="0" xfId="0" applyFont="1"/>
    <xf numFmtId="180" fontId="23" fillId="37" borderId="11" xfId="1" applyNumberFormat="1" applyFont="1" applyFill="1" applyBorder="1">
      <alignment vertical="center"/>
    </xf>
    <xf numFmtId="180" fontId="23" fillId="36" borderId="11" xfId="1" applyNumberFormat="1" applyFont="1" applyFill="1" applyBorder="1">
      <alignment vertical="center"/>
    </xf>
    <xf numFmtId="10" fontId="23" fillId="37" borderId="11" xfId="1" applyNumberFormat="1" applyFont="1" applyFill="1" applyBorder="1" applyAlignment="1"/>
    <xf numFmtId="1" fontId="23" fillId="37" borderId="11" xfId="1" applyNumberFormat="1" applyFont="1" applyFill="1" applyBorder="1" applyAlignment="1"/>
    <xf numFmtId="2" fontId="23" fillId="37" borderId="11" xfId="1" applyNumberFormat="1" applyFont="1" applyFill="1" applyBorder="1" applyAlignment="1"/>
    <xf numFmtId="10" fontId="23" fillId="37" borderId="11" xfId="1" quotePrefix="1" applyNumberFormat="1" applyFont="1" applyFill="1" applyBorder="1">
      <alignment vertical="center"/>
    </xf>
    <xf numFmtId="0" fontId="23" fillId="0" borderId="0" xfId="0" applyFont="1" applyAlignment="1">
      <alignment horizontal="center" vertical="center"/>
    </xf>
    <xf numFmtId="178" fontId="23" fillId="0" borderId="0" xfId="61099" applyNumberFormat="1" applyFont="1">
      <alignment vertical="center"/>
    </xf>
    <xf numFmtId="10" fontId="23" fillId="0" borderId="0" xfId="1" applyNumberFormat="1" applyFont="1">
      <alignment vertical="center"/>
    </xf>
    <xf numFmtId="10" fontId="23" fillId="0" borderId="0" xfId="1" applyNumberFormat="1" applyFont="1" applyAlignment="1"/>
    <xf numFmtId="1" fontId="19" fillId="0" borderId="0" xfId="0" applyNumberFormat="1" applyFont="1" applyAlignment="1">
      <alignment vertical="center"/>
    </xf>
    <xf numFmtId="1" fontId="23" fillId="0" borderId="0" xfId="1" applyNumberFormat="1" applyFont="1" applyAlignment="1"/>
    <xf numFmtId="181" fontId="25" fillId="0" borderId="0" xfId="1" applyNumberFormat="1" applyFont="1" applyAlignment="1"/>
    <xf numFmtId="181" fontId="25" fillId="0" borderId="0" xfId="0" applyNumberFormat="1" applyFont="1"/>
    <xf numFmtId="1" fontId="23" fillId="0" borderId="0" xfId="1" applyNumberFormat="1" applyFont="1">
      <alignment vertical="center"/>
    </xf>
    <xf numFmtId="0" fontId="23" fillId="34" borderId="11" xfId="0" applyFont="1" applyFill="1" applyBorder="1" applyAlignment="1">
      <alignment vertical="center"/>
    </xf>
    <xf numFmtId="10" fontId="25" fillId="0" borderId="0" xfId="1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0" fontId="25" fillId="0" borderId="0" xfId="1" applyNumberFormat="1" applyFont="1" applyAlignment="1"/>
    <xf numFmtId="0" fontId="23" fillId="0" borderId="11" xfId="0" applyFont="1" applyBorder="1" applyAlignment="1">
      <alignment vertical="center"/>
    </xf>
    <xf numFmtId="182" fontId="25" fillId="0" borderId="0" xfId="1" applyNumberFormat="1" applyFont="1">
      <alignment vertical="center"/>
    </xf>
    <xf numFmtId="182" fontId="25" fillId="0" borderId="0" xfId="0" applyNumberFormat="1" applyFont="1"/>
    <xf numFmtId="10" fontId="23" fillId="0" borderId="0" xfId="0" applyNumberFormat="1" applyFont="1"/>
    <xf numFmtId="180" fontId="19" fillId="0" borderId="0" xfId="0" applyNumberFormat="1" applyFont="1" applyAlignment="1">
      <alignment vertical="center"/>
    </xf>
    <xf numFmtId="10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14" xfId="0" applyFont="1" applyBorder="1" applyAlignment="1">
      <alignment vertical="center"/>
    </xf>
    <xf numFmtId="178" fontId="19" fillId="33" borderId="14" xfId="61099" applyNumberFormat="1" applyFont="1" applyFill="1" applyBorder="1">
      <alignment vertical="center"/>
    </xf>
    <xf numFmtId="176" fontId="23" fillId="0" borderId="14" xfId="1" applyNumberFormat="1" applyFont="1" applyBorder="1">
      <alignment vertical="center"/>
    </xf>
    <xf numFmtId="176" fontId="23" fillId="0" borderId="11" xfId="1" applyNumberFormat="1" applyFont="1" applyBorder="1">
      <alignment vertical="center"/>
    </xf>
    <xf numFmtId="177" fontId="23" fillId="33" borderId="11" xfId="0" applyNumberFormat="1" applyFont="1" applyFill="1" applyBorder="1" applyAlignment="1">
      <alignment vertical="center"/>
    </xf>
    <xf numFmtId="182" fontId="19" fillId="37" borderId="11" xfId="61099" applyNumberFormat="1" applyFont="1" applyFill="1" applyBorder="1">
      <alignment vertical="center"/>
    </xf>
    <xf numFmtId="182" fontId="23" fillId="37" borderId="11" xfId="61099" applyNumberFormat="1" applyFont="1" applyFill="1" applyBorder="1">
      <alignment vertical="center"/>
    </xf>
    <xf numFmtId="177" fontId="25" fillId="0" borderId="0" xfId="0" applyNumberFormat="1" applyFont="1"/>
    <xf numFmtId="10" fontId="23" fillId="0" borderId="11" xfId="1" applyNumberFormat="1" applyFont="1" applyBorder="1" applyAlignment="1"/>
    <xf numFmtId="178" fontId="19" fillId="33" borderId="11" xfId="61099" applyNumberFormat="1" applyFont="1" applyFill="1" applyBorder="1">
      <alignment vertical="center"/>
    </xf>
    <xf numFmtId="2" fontId="25" fillId="0" borderId="0" xfId="0" applyNumberFormat="1" applyFont="1"/>
    <xf numFmtId="177" fontId="25" fillId="0" borderId="0" xfId="1" applyNumberFormat="1" applyFont="1" applyAlignment="1"/>
    <xf numFmtId="178" fontId="19" fillId="0" borderId="0" xfId="0" applyNumberFormat="1" applyFont="1" applyAlignment="1">
      <alignment vertical="center"/>
    </xf>
    <xf numFmtId="10" fontId="19" fillId="0" borderId="11" xfId="1" applyNumberFormat="1" applyFont="1" applyBorder="1">
      <alignment vertical="center"/>
    </xf>
    <xf numFmtId="0" fontId="23" fillId="0" borderId="11" xfId="1" applyNumberFormat="1" applyFont="1" applyBorder="1">
      <alignment vertical="center"/>
    </xf>
    <xf numFmtId="177" fontId="19" fillId="33" borderId="11" xfId="0" applyNumberFormat="1" applyFont="1" applyFill="1" applyBorder="1" applyAlignment="1">
      <alignment vertical="center"/>
    </xf>
    <xf numFmtId="178" fontId="25" fillId="0" borderId="14" xfId="61099" applyNumberFormat="1" applyFont="1" applyBorder="1">
      <alignment vertical="center"/>
    </xf>
    <xf numFmtId="178" fontId="25" fillId="0" borderId="11" xfId="61099" applyNumberFormat="1" applyFont="1" applyBorder="1">
      <alignment vertical="center"/>
    </xf>
    <xf numFmtId="0" fontId="19" fillId="38" borderId="0" xfId="0" applyFont="1" applyFill="1" applyAlignment="1">
      <alignment vertical="center"/>
    </xf>
    <xf numFmtId="0" fontId="25" fillId="38" borderId="0" xfId="0" applyFont="1" applyFill="1"/>
    <xf numFmtId="0" fontId="23" fillId="38" borderId="0" xfId="0" applyFont="1" applyFill="1" applyAlignment="1">
      <alignment vertical="center"/>
    </xf>
    <xf numFmtId="0" fontId="23" fillId="38" borderId="0" xfId="0" applyFont="1" applyFill="1"/>
    <xf numFmtId="0" fontId="23" fillId="39" borderId="0" xfId="0" applyFont="1" applyFill="1" applyAlignment="1">
      <alignment vertical="center"/>
    </xf>
    <xf numFmtId="0" fontId="19" fillId="39" borderId="0" xfId="0" applyFont="1" applyFill="1" applyAlignment="1">
      <alignment vertical="center"/>
    </xf>
    <xf numFmtId="180" fontId="19" fillId="39" borderId="0" xfId="0" applyNumberFormat="1" applyFont="1" applyFill="1" applyAlignment="1">
      <alignment vertical="center"/>
    </xf>
    <xf numFmtId="0" fontId="25" fillId="39" borderId="0" xfId="0" applyFont="1" applyFill="1"/>
    <xf numFmtId="10" fontId="23" fillId="39" borderId="0" xfId="0" applyNumberFormat="1" applyFont="1" applyFill="1" applyAlignment="1">
      <alignment vertical="center"/>
    </xf>
    <xf numFmtId="10" fontId="23" fillId="39" borderId="0" xfId="1" applyNumberFormat="1" applyFont="1" applyFill="1">
      <alignment vertical="center"/>
    </xf>
    <xf numFmtId="0" fontId="23" fillId="39" borderId="0" xfId="0" applyFont="1" applyFill="1"/>
    <xf numFmtId="0" fontId="26" fillId="39" borderId="0" xfId="0" applyFont="1" applyFill="1" applyAlignment="1">
      <alignment vertical="center"/>
    </xf>
    <xf numFmtId="0" fontId="26" fillId="38" borderId="0" xfId="0" applyFont="1" applyFill="1" applyAlignment="1">
      <alignment vertical="center"/>
    </xf>
    <xf numFmtId="178" fontId="23" fillId="0" borderId="11" xfId="61099" applyNumberFormat="1" applyFont="1" applyBorder="1">
      <alignment vertical="center"/>
    </xf>
    <xf numFmtId="0" fontId="19" fillId="0" borderId="0" xfId="0" applyFont="1" applyFill="1" applyAlignment="1">
      <alignment horizontal="center" vertical="center"/>
    </xf>
    <xf numFmtId="10" fontId="19" fillId="0" borderId="13" xfId="1" applyNumberFormat="1" applyFont="1" applyBorder="1" applyAlignment="1">
      <alignment horizontal="center" vertical="center" wrapText="1"/>
    </xf>
    <xf numFmtId="10" fontId="19" fillId="0" borderId="14" xfId="1" applyNumberFormat="1" applyFont="1" applyBorder="1" applyAlignment="1">
      <alignment horizontal="center" vertical="center" wrapText="1"/>
    </xf>
    <xf numFmtId="10" fontId="19" fillId="0" borderId="10" xfId="0" applyNumberFormat="1" applyFont="1" applyBorder="1" applyAlignment="1">
      <alignment horizontal="center" vertical="center" wrapText="1"/>
    </xf>
    <xf numFmtId="0" fontId="0" fillId="0" borderId="14" xfId="0" applyBorder="1"/>
    <xf numFmtId="176" fontId="19" fillId="0" borderId="10" xfId="0" applyNumberFormat="1" applyFont="1" applyBorder="1" applyAlignment="1">
      <alignment horizontal="center" vertical="center" wrapText="1"/>
    </xf>
    <xf numFmtId="176" fontId="19" fillId="33" borderId="10" xfId="0" applyNumberFormat="1" applyFont="1" applyFill="1" applyBorder="1" applyAlignment="1">
      <alignment horizontal="center" vertical="center" wrapText="1"/>
    </xf>
    <xf numFmtId="10" fontId="19" fillId="0" borderId="11" xfId="1" applyNumberFormat="1" applyFont="1" applyBorder="1" applyAlignment="1">
      <alignment horizontal="center" vertical="center" wrapText="1"/>
    </xf>
    <xf numFmtId="0" fontId="0" fillId="0" borderId="12" xfId="0" applyBorder="1"/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6"/>
  <sheetViews>
    <sheetView zoomScale="85" zoomScaleNormal="85" workbookViewId="0">
      <selection activeCell="G9" sqref="G9"/>
    </sheetView>
  </sheetViews>
  <sheetFormatPr defaultColWidth="8.88671875" defaultRowHeight="15.6" x14ac:dyDescent="0.3"/>
  <cols>
    <col min="1" max="1" width="24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2" width="8.88671875" style="1" customWidth="1"/>
    <col min="13" max="16384" width="8.88671875" style="1"/>
  </cols>
  <sheetData>
    <row r="2" spans="1:10" x14ac:dyDescent="0.3">
      <c r="A2" s="3" t="s">
        <v>121</v>
      </c>
      <c r="B2" s="98" t="s">
        <v>122</v>
      </c>
    </row>
    <row r="3" spans="1:10" x14ac:dyDescent="0.3">
      <c r="A3" s="3" t="s">
        <v>0</v>
      </c>
      <c r="B3" s="24" t="inlineStr">
        <is>
          <t>3.3.0.0</t>
        </is>
      </c>
      <c r="C3" s="24"/>
    </row>
    <row r="5" spans="1:10" x14ac:dyDescent="0.3">
      <c r="A5" s="3"/>
      <c r="B5" s="6"/>
      <c r="C5" s="6"/>
    </row>
    <row r="6" spans="1:10" x14ac:dyDescent="0.3">
      <c r="A6" s="9" t="s">
        <v>1</v>
      </c>
      <c r="B6" s="9" t="s">
        <v>2</v>
      </c>
      <c r="E6" s="28"/>
      <c r="F6" s="28"/>
      <c r="G6" s="29"/>
      <c r="H6" s="29"/>
      <c r="I6" s="29"/>
      <c r="J6" s="28"/>
    </row>
    <row r="7" spans="1:10" x14ac:dyDescent="0.3">
      <c r="A7" s="25">
        <v>100</v>
      </c>
      <c r="B7" s="25">
        <v>32400</v>
      </c>
      <c r="H7" s="26"/>
      <c r="I7" s="30"/>
      <c r="J7" s="31"/>
    </row>
    <row r="8" spans="1:10" x14ac:dyDescent="0.3">
      <c r="H8" s="26"/>
      <c r="I8" s="30"/>
      <c r="J8" s="31"/>
    </row>
    <row r="9" spans="1:10" x14ac:dyDescent="0.3">
      <c r="H9" s="26"/>
      <c r="I9" s="30"/>
      <c r="J9" s="31"/>
    </row>
    <row r="10" spans="1:10" x14ac:dyDescent="0.3">
      <c r="A10" s="9" t="s">
        <v>3</v>
      </c>
      <c r="B10" s="9" t="s">
        <v>4</v>
      </c>
      <c r="C10" s="17" t="s">
        <v>97</v>
      </c>
      <c r="D10" s="17" t="s">
        <v>5</v>
      </c>
      <c r="E10" s="26"/>
      <c r="F10" s="30"/>
      <c r="G10" s="31"/>
    </row>
    <row r="11" spans="1:10" x14ac:dyDescent="0.3">
      <c r="A11" s="27">
        <f t="array" ref="A11:A12">B11:B12*A7</f>
        <v>100</v>
      </c>
      <c r="B11" s="25">
        <v>1</v>
      </c>
      <c r="C11" s="23">
        <f>B17+B18</f>
        <v>0.93999977432805881</v>
      </c>
      <c r="D11" s="23" t="s">
        <v>6</v>
      </c>
      <c r="E11" s="26"/>
      <c r="F11" s="30"/>
      <c r="G11" s="31"/>
    </row>
    <row r="12" spans="1:10" x14ac:dyDescent="0.3">
      <c r="A12" s="27">
        <v>7500</v>
      </c>
      <c r="B12" s="25">
        <v>75</v>
      </c>
      <c r="C12" s="23">
        <f>B21+B22</f>
        <v>0.92499987292709762</v>
      </c>
      <c r="D12" s="23" t="s">
        <v>7</v>
      </c>
      <c r="E12" s="26"/>
      <c r="F12" s="30"/>
      <c r="G12" s="31"/>
    </row>
    <row r="13" spans="1:10" x14ac:dyDescent="0.3">
      <c r="H13" s="26"/>
      <c r="I13" s="30"/>
      <c r="J13" s="31"/>
    </row>
    <row r="14" spans="1:10" x14ac:dyDescent="0.3">
      <c r="H14" s="26"/>
      <c r="I14" s="30"/>
      <c r="J14" s="31"/>
    </row>
    <row r="15" spans="1:10" x14ac:dyDescent="0.3">
      <c r="A15" s="5" t="s">
        <v>8</v>
      </c>
      <c r="B15" s="7"/>
      <c r="C15" s="18"/>
      <c r="D15" s="32"/>
      <c r="E15" s="26"/>
      <c r="H15" s="26"/>
      <c r="I15" s="30"/>
      <c r="J15" s="31"/>
    </row>
    <row r="16" spans="1:10" x14ac:dyDescent="0.3">
      <c r="A16" s="17" t="s">
        <v>5</v>
      </c>
      <c r="B16" s="9" t="s">
        <v>9</v>
      </c>
      <c r="C16" s="9" t="s">
        <v>10</v>
      </c>
      <c r="D16" s="9" t="s">
        <v>11</v>
      </c>
      <c r="E16" s="9" t="s">
        <v>12</v>
      </c>
      <c r="H16" s="26"/>
      <c r="I16" s="30"/>
      <c r="J16" s="31"/>
    </row>
    <row r="17" spans="1:10" x14ac:dyDescent="0.3">
      <c r="A17" s="99" t="str">
        <f>D11</f>
        <v>Normal Bet</v>
      </c>
      <c r="B17" s="19">
        <f>Detail!C7</f>
        <v>0.71999982973814702</v>
      </c>
      <c r="C17" s="101">
        <f>1/D17</f>
        <v>3.3333327320111106E-3</v>
      </c>
      <c r="D17" s="104">
        <f>Detail!G7</f>
        <v>300.0000541190098</v>
      </c>
      <c r="E17" s="16" t="s">
        <v>13</v>
      </c>
      <c r="H17" s="26"/>
      <c r="I17" s="30"/>
      <c r="J17" s="31"/>
    </row>
    <row r="18" spans="1:10" ht="15.6" customHeight="1" x14ac:dyDescent="0.3">
      <c r="A18" s="100"/>
      <c r="B18" s="19">
        <f>Detail!D7</f>
        <v>0.21999994458991176</v>
      </c>
      <c r="C18" s="102"/>
      <c r="D18" s="102"/>
      <c r="E18" s="16" t="s">
        <v>14</v>
      </c>
      <c r="H18" s="26"/>
      <c r="I18" s="30"/>
      <c r="J18" s="31"/>
    </row>
    <row r="19" spans="1:10" ht="15.6" customHeight="1" x14ac:dyDescent="0.3">
      <c r="A19" s="20"/>
      <c r="B19" s="7"/>
      <c r="C19" s="18"/>
      <c r="D19" s="32"/>
      <c r="E19" s="26"/>
      <c r="H19" s="26"/>
      <c r="I19" s="30"/>
      <c r="J19" s="31"/>
    </row>
    <row r="20" spans="1:10" x14ac:dyDescent="0.3">
      <c r="A20" s="17" t="s">
        <v>5</v>
      </c>
      <c r="B20" s="9" t="s">
        <v>9</v>
      </c>
      <c r="C20" s="9" t="s">
        <v>10</v>
      </c>
      <c r="D20" s="9" t="s">
        <v>11</v>
      </c>
      <c r="E20" s="9" t="s">
        <v>12</v>
      </c>
      <c r="H20" s="26"/>
      <c r="I20" s="30"/>
      <c r="J20" s="31"/>
    </row>
    <row r="21" spans="1:10" x14ac:dyDescent="0.3">
      <c r="A21" s="105" t="str">
        <f>D12</f>
        <v>Buy Feature</v>
      </c>
      <c r="B21" s="19">
        <f>Detail!C8</f>
        <v>0</v>
      </c>
      <c r="C21" s="101">
        <f>1/D21</f>
        <v>1</v>
      </c>
      <c r="D21" s="103">
        <v>1</v>
      </c>
      <c r="E21" s="16" t="s">
        <v>13</v>
      </c>
      <c r="H21" s="26"/>
      <c r="I21" s="30"/>
      <c r="J21" s="31"/>
    </row>
    <row r="22" spans="1:10" x14ac:dyDescent="0.3">
      <c r="A22" s="106"/>
      <c r="B22" s="19">
        <f>Detail!D8</f>
        <v>0.92499987292709762</v>
      </c>
      <c r="C22" s="102"/>
      <c r="D22" s="102"/>
      <c r="E22" s="16" t="s">
        <v>14</v>
      </c>
      <c r="H22" s="26"/>
      <c r="I22" s="30"/>
      <c r="J22" s="31"/>
    </row>
    <row r="23" spans="1:10" ht="15.6" customHeight="1" x14ac:dyDescent="0.3">
      <c r="H23" s="26"/>
      <c r="I23" s="30"/>
      <c r="J23" s="31"/>
    </row>
    <row r="24" spans="1:10" x14ac:dyDescent="0.3">
      <c r="A24" s="4"/>
      <c r="B24" s="4"/>
      <c r="C24" s="4"/>
      <c r="D24" s="4"/>
      <c r="E24" s="4"/>
      <c r="F24" s="4"/>
      <c r="G24" s="4"/>
      <c r="H24" s="4"/>
      <c r="I24" s="4"/>
    </row>
    <row r="25" spans="1:10" x14ac:dyDescent="0.3">
      <c r="A25" s="4"/>
      <c r="B25" s="4"/>
      <c r="C25" s="4"/>
      <c r="D25" s="4"/>
      <c r="E25" s="4"/>
      <c r="F25" s="4"/>
      <c r="G25" s="4"/>
      <c r="H25" s="4"/>
      <c r="I25" s="4"/>
    </row>
    <row r="26" spans="1:10" x14ac:dyDescent="0.3">
      <c r="A26" s="4"/>
      <c r="B26" s="4"/>
      <c r="C26" s="4"/>
      <c r="D26" s="4"/>
      <c r="E26" s="4"/>
      <c r="F26" s="4"/>
      <c r="G26" s="4"/>
      <c r="H26" s="4"/>
      <c r="I26" s="4"/>
    </row>
    <row r="27" spans="1:10" x14ac:dyDescent="0.3">
      <c r="A27" s="4"/>
      <c r="B27" s="4"/>
      <c r="C27" s="4"/>
      <c r="D27" s="4"/>
      <c r="E27" s="4"/>
      <c r="F27" s="4"/>
      <c r="G27" s="4"/>
      <c r="H27" s="4"/>
      <c r="I27" s="4"/>
    </row>
    <row r="28" spans="1:10" x14ac:dyDescent="0.3">
      <c r="A28" s="4"/>
      <c r="B28" s="4"/>
      <c r="C28" s="4"/>
      <c r="D28" s="4"/>
      <c r="E28" s="4"/>
      <c r="F28" s="4"/>
      <c r="G28" s="4"/>
      <c r="H28" s="4"/>
      <c r="I28" s="4"/>
    </row>
    <row r="29" spans="1:10" x14ac:dyDescent="0.3">
      <c r="A29" s="4"/>
      <c r="B29" s="4"/>
      <c r="C29" s="4"/>
      <c r="D29" s="4"/>
      <c r="E29" s="4"/>
      <c r="F29" s="4"/>
      <c r="G29" s="4"/>
      <c r="H29" s="4"/>
      <c r="I29" s="4"/>
    </row>
    <row r="30" spans="1:10" x14ac:dyDescent="0.3">
      <c r="A30" s="4"/>
      <c r="B30" s="4"/>
      <c r="C30" s="4"/>
      <c r="D30" s="4"/>
      <c r="E30" s="4"/>
      <c r="F30" s="4"/>
      <c r="G30" s="4"/>
      <c r="H30" s="4"/>
      <c r="I30" s="4"/>
    </row>
    <row r="31" spans="1:10" x14ac:dyDescent="0.3">
      <c r="A31" s="4"/>
      <c r="B31" s="4"/>
      <c r="C31" s="4"/>
      <c r="D31" s="4"/>
      <c r="E31" s="4"/>
      <c r="F31" s="4"/>
      <c r="G31" s="4"/>
      <c r="H31" s="4"/>
      <c r="I31" s="4"/>
    </row>
    <row r="32" spans="1:10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">
      <c r="B36" s="2"/>
      <c r="C36" s="2"/>
      <c r="D36" s="2"/>
    </row>
  </sheetData>
  <mergeCells count="6">
    <mergeCell ref="A17:A18"/>
    <mergeCell ref="C17:C18"/>
    <mergeCell ref="D21:D22"/>
    <mergeCell ref="C21:C22"/>
    <mergeCell ref="D17:D18"/>
    <mergeCell ref="A21:A22"/>
  </mergeCells>
  <phoneticPr fontId="20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68"/>
  <sheetViews>
    <sheetView tabSelected="1" zoomScale="85" zoomScaleNormal="85" workbookViewId="0">
      <selection activeCell="J20" sqref="J20"/>
    </sheetView>
  </sheetViews>
  <sheetFormatPr defaultRowHeight="16.2" x14ac:dyDescent="0.3"/>
  <cols>
    <col min="1" max="1" width="27.109375" style="21" bestFit="1" customWidth="1"/>
    <col min="2" max="3" width="28.5546875" bestFit="1" customWidth="1"/>
    <col min="4" max="5" width="18.33203125" bestFit="1" customWidth="1"/>
    <col min="6" max="6" width="13.88671875" bestFit="1" customWidth="1"/>
  </cols>
  <sheetData>
    <row r="2" spans="1:6" x14ac:dyDescent="0.3">
      <c r="A2" s="9" t="s">
        <v>15</v>
      </c>
      <c r="B2" s="9" t="s">
        <v>123</v>
      </c>
      <c r="C2" s="9" t="s">
        <v>124</v>
      </c>
      <c r="D2" s="9" t="s">
        <v>125</v>
      </c>
      <c r="E2" s="9" t="s">
        <v>126</v>
      </c>
      <c r="F2" s="9" t="s">
        <v>127</v>
      </c>
    </row>
    <row r="3" spans="1:6" x14ac:dyDescent="0.3">
      <c r="A3" s="14" t="s">
        <v>16</v>
      </c>
      <c r="B3" s="10">
        <f>Detail_Newbie!K15</f>
        <v>733362425</v>
      </c>
      <c r="C3" s="10">
        <f>Detail_Newbie!K86</f>
        <v>0</v>
      </c>
      <c r="D3" s="10">
        <f>Detail!K15</f>
        <v>725330287</v>
      </c>
      <c r="E3" s="10">
        <f>Detail!K86</f>
        <v>0</v>
      </c>
      <c r="F3" s="10">
        <f>Detail!K163</f>
        <v>0</v>
      </c>
    </row>
    <row r="4" spans="1:6" x14ac:dyDescent="0.3">
      <c r="A4" s="14" t="s">
        <v>17</v>
      </c>
      <c r="B4" s="10">
        <f>Detail_Newbie!K16</f>
        <v>147073504</v>
      </c>
      <c r="C4" s="10">
        <f>Detail_Newbie!K87</f>
        <v>0</v>
      </c>
      <c r="D4" s="10">
        <f>Detail!K16</f>
        <v>154427750</v>
      </c>
      <c r="E4" s="10">
        <f>Detail!K87</f>
        <v>0</v>
      </c>
      <c r="F4" s="10">
        <f>Detail!K164</f>
        <v>0</v>
      </c>
    </row>
    <row r="5" spans="1:6" x14ac:dyDescent="0.3">
      <c r="A5" s="14" t="s">
        <v>18</v>
      </c>
      <c r="B5" s="10">
        <f>Detail_Newbie!K17</f>
        <v>43093495</v>
      </c>
      <c r="C5" s="10">
        <f>Detail_Newbie!K88</f>
        <v>0</v>
      </c>
      <c r="D5" s="10">
        <f>Detail!K17</f>
        <v>45355881</v>
      </c>
      <c r="E5" s="10">
        <f>Detail!K88</f>
        <v>0</v>
      </c>
      <c r="F5" s="10">
        <f>Detail!K165</f>
        <v>0</v>
      </c>
    </row>
    <row r="6" spans="1:6" x14ac:dyDescent="0.3">
      <c r="A6" s="14" t="s">
        <v>19</v>
      </c>
      <c r="B6" s="10">
        <f>Detail_Newbie!K18</f>
        <v>19740552</v>
      </c>
      <c r="C6" s="10">
        <f>Detail_Newbie!K89</f>
        <v>0</v>
      </c>
      <c r="D6" s="10">
        <f>Detail!K18</f>
        <v>20824186</v>
      </c>
      <c r="E6" s="10">
        <f>Detail!K89</f>
        <v>0</v>
      </c>
      <c r="F6" s="10">
        <f>Detail!K166</f>
        <v>0</v>
      </c>
    </row>
    <row r="7" spans="1:6" x14ac:dyDescent="0.3">
      <c r="A7" s="14" t="s">
        <v>20</v>
      </c>
      <c r="B7" s="10">
        <f>Detail_Newbie!K19</f>
        <v>12108868</v>
      </c>
      <c r="C7" s="10">
        <f>Detail_Newbie!K90</f>
        <v>0</v>
      </c>
      <c r="D7" s="10">
        <f>Detail!K19</f>
        <v>12801763</v>
      </c>
      <c r="E7" s="10">
        <f>Detail!K90</f>
        <v>0</v>
      </c>
      <c r="F7" s="10">
        <f>Detail!K167</f>
        <v>0</v>
      </c>
    </row>
    <row r="8" spans="1:6" x14ac:dyDescent="0.3">
      <c r="A8" s="14" t="s">
        <v>21</v>
      </c>
      <c r="B8" s="10">
        <f>Detail_Newbie!K20</f>
        <v>7862117</v>
      </c>
      <c r="C8" s="10">
        <f>Detail_Newbie!K91</f>
        <v>0</v>
      </c>
      <c r="D8" s="10">
        <f>Detail!K20</f>
        <v>8330490</v>
      </c>
      <c r="E8" s="10">
        <f>Detail!K91</f>
        <v>0</v>
      </c>
      <c r="F8" s="10">
        <f>Detail!K168</f>
        <v>0</v>
      </c>
    </row>
    <row r="9" spans="1:6" x14ac:dyDescent="0.3">
      <c r="A9" s="14" t="s">
        <v>22</v>
      </c>
      <c r="B9" s="10">
        <f>Detail_Newbie!K21</f>
        <v>6066338</v>
      </c>
      <c r="C9" s="10">
        <f>Detail_Newbie!K92</f>
        <v>0</v>
      </c>
      <c r="D9" s="10">
        <f>Detail!K21</f>
        <v>6442268</v>
      </c>
      <c r="E9" s="10">
        <f>Detail!K92</f>
        <v>0</v>
      </c>
      <c r="F9" s="10">
        <f>Detail!K169</f>
        <v>0</v>
      </c>
    </row>
    <row r="10" spans="1:6" x14ac:dyDescent="0.3">
      <c r="A10" s="14" t="s">
        <v>23</v>
      </c>
      <c r="B10" s="10">
        <f>Detail_Newbie!K22</f>
        <v>3265440</v>
      </c>
      <c r="C10" s="10">
        <f>Detail_Newbie!K93</f>
        <v>0</v>
      </c>
      <c r="D10" s="10">
        <f>Detail!K22</f>
        <v>3475271</v>
      </c>
      <c r="E10" s="10">
        <f>Detail!K93</f>
        <v>0</v>
      </c>
      <c r="F10" s="10">
        <f>Detail!K170</f>
        <v>0</v>
      </c>
    </row>
    <row r="11" spans="1:6" x14ac:dyDescent="0.3">
      <c r="A11" s="14" t="s">
        <v>24</v>
      </c>
      <c r="B11" s="10">
        <f>Detail_Newbie!K23</f>
        <v>3661420</v>
      </c>
      <c r="C11" s="10">
        <f>Detail_Newbie!K94</f>
        <v>0</v>
      </c>
      <c r="D11" s="10">
        <f>Detail!K23</f>
        <v>3905407</v>
      </c>
      <c r="E11" s="10">
        <f>Detail!K94</f>
        <v>0</v>
      </c>
      <c r="F11" s="10">
        <f>Detail!K171</f>
        <v>0</v>
      </c>
    </row>
    <row r="12" spans="1:6" x14ac:dyDescent="0.3">
      <c r="A12" s="14" t="s">
        <v>25</v>
      </c>
      <c r="B12" s="10">
        <f>Detail_Newbie!K24</f>
        <v>2962011</v>
      </c>
      <c r="C12" s="10">
        <f>Detail_Newbie!K95</f>
        <v>0</v>
      </c>
      <c r="D12" s="10">
        <f>Detail!K24</f>
        <v>3166537</v>
      </c>
      <c r="E12" s="10">
        <f>Detail!K95</f>
        <v>0</v>
      </c>
      <c r="F12" s="10">
        <f>Detail!K172</f>
        <v>0</v>
      </c>
    </row>
    <row r="13" spans="1:6" x14ac:dyDescent="0.3">
      <c r="A13" s="14" t="s">
        <v>26</v>
      </c>
      <c r="B13" s="10">
        <f>Detail_Newbie!K25</f>
        <v>1920529</v>
      </c>
      <c r="C13" s="10">
        <f>Detail_Newbie!K96</f>
        <v>0</v>
      </c>
      <c r="D13" s="10">
        <f>Detail!K25</f>
        <v>2057627</v>
      </c>
      <c r="E13" s="10">
        <f>Detail!K96</f>
        <v>0</v>
      </c>
      <c r="F13" s="10">
        <f>Detail!K173</f>
        <v>0</v>
      </c>
    </row>
    <row r="14" spans="1:6" x14ac:dyDescent="0.3">
      <c r="A14" s="14" t="s">
        <v>27</v>
      </c>
      <c r="B14" s="10">
        <f>Detail_Newbie!K26</f>
        <v>10160353</v>
      </c>
      <c r="C14" s="10">
        <f>Detail_Newbie!K97</f>
        <v>0</v>
      </c>
      <c r="D14" s="10">
        <f>Detail!K26</f>
        <v>6253983</v>
      </c>
      <c r="E14" s="10">
        <f>Detail!K97</f>
        <v>0</v>
      </c>
      <c r="F14" s="10">
        <f>Detail!K174</f>
        <v>0</v>
      </c>
    </row>
    <row r="15" spans="1:6" x14ac:dyDescent="0.3">
      <c r="A15" s="14" t="s">
        <v>28</v>
      </c>
      <c r="B15" s="10">
        <f>Detail_Newbie!K27</f>
        <v>4355288</v>
      </c>
      <c r="C15" s="10">
        <f>Detail_Newbie!K98</f>
        <v>0</v>
      </c>
      <c r="D15" s="10">
        <f>Detail!K27</f>
        <v>2710975</v>
      </c>
      <c r="E15" s="10">
        <f>Detail!K98</f>
        <v>0</v>
      </c>
      <c r="F15" s="10">
        <f>Detail!K175</f>
        <v>0</v>
      </c>
    </row>
    <row r="16" spans="1:6" x14ac:dyDescent="0.3">
      <c r="A16" s="14" t="s">
        <v>29</v>
      </c>
      <c r="B16" s="10">
        <f>Detail_Newbie!K28</f>
        <v>2430625</v>
      </c>
      <c r="C16" s="10">
        <f>Detail_Newbie!K99</f>
        <v>0</v>
      </c>
      <c r="D16" s="10">
        <f>Detail!K28</f>
        <v>1529923</v>
      </c>
      <c r="E16" s="10">
        <f>Detail!K99</f>
        <v>40562596</v>
      </c>
      <c r="F16" s="10">
        <f>Detail!K176</f>
        <v>33624101</v>
      </c>
    </row>
    <row r="17" spans="1:6" x14ac:dyDescent="0.3">
      <c r="A17" s="14" t="s">
        <v>30</v>
      </c>
      <c r="B17" s="10">
        <f>Detail_Newbie!K29</f>
        <v>1937035</v>
      </c>
      <c r="C17" s="10">
        <f>Detail_Newbie!K100</f>
        <v>0</v>
      </c>
      <c r="D17" s="10">
        <f>Detail!K29</f>
        <v>1232886</v>
      </c>
      <c r="E17" s="10">
        <f>Detail!K100</f>
        <v>167906515</v>
      </c>
      <c r="F17" s="10">
        <f>Detail!K177</f>
        <v>142495353</v>
      </c>
    </row>
    <row r="18" spans="1:6" x14ac:dyDescent="0.3">
      <c r="A18" s="14" t="s">
        <v>31</v>
      </c>
      <c r="B18" s="10">
        <f>Detail_Newbie!K30</f>
        <v>0</v>
      </c>
      <c r="C18" s="10">
        <f>Detail_Newbie!K101</f>
        <v>76827719</v>
      </c>
      <c r="D18" s="10">
        <f>Detail!K30</f>
        <v>589501</v>
      </c>
      <c r="E18" s="10">
        <f>Detail!K101</f>
        <v>61717747</v>
      </c>
      <c r="F18" s="10">
        <f>Detail!K178</f>
        <v>53611252</v>
      </c>
    </row>
    <row r="19" spans="1:6" x14ac:dyDescent="0.3">
      <c r="A19" s="14" t="s">
        <v>32</v>
      </c>
      <c r="B19" s="10">
        <f>Detail_Newbie!K31</f>
        <v>0</v>
      </c>
      <c r="C19" s="10">
        <f>Detail_Newbie!K102</f>
        <v>138321877</v>
      </c>
      <c r="D19" s="10">
        <f>Detail!K31</f>
        <v>407639</v>
      </c>
      <c r="E19" s="10">
        <f>Detail!K102</f>
        <v>106127260</v>
      </c>
      <c r="F19" s="10">
        <f>Detail!K179</f>
        <v>94377963</v>
      </c>
    </row>
    <row r="20" spans="1:6" x14ac:dyDescent="0.3">
      <c r="A20" s="14" t="s">
        <v>33</v>
      </c>
      <c r="B20" s="10">
        <f>Detail_Newbie!K32</f>
        <v>0</v>
      </c>
      <c r="C20" s="10">
        <f>Detail_Newbie!K103</f>
        <v>122981136</v>
      </c>
      <c r="D20" s="10">
        <f>Detail!K32</f>
        <v>249181</v>
      </c>
      <c r="E20" s="10">
        <f>Detail!K103</f>
        <v>90117822</v>
      </c>
      <c r="F20" s="10">
        <f>Detail!K180</f>
        <v>82045785</v>
      </c>
    </row>
    <row r="21" spans="1:6" x14ac:dyDescent="0.3">
      <c r="A21" s="14" t="s">
        <v>34</v>
      </c>
      <c r="B21" s="10">
        <f>Detail_Newbie!K33</f>
        <v>0</v>
      </c>
      <c r="C21" s="10">
        <f>Detail_Newbie!K104</f>
        <v>107635135</v>
      </c>
      <c r="D21" s="10">
        <f>Detail!K33</f>
        <v>208692</v>
      </c>
      <c r="E21" s="10">
        <f>Detail!K104</f>
        <v>75352922</v>
      </c>
      <c r="F21" s="10">
        <f>Detail!K181</f>
        <v>70222520</v>
      </c>
    </row>
    <row r="22" spans="1:6" x14ac:dyDescent="0.3">
      <c r="A22" s="14" t="s">
        <v>35</v>
      </c>
      <c r="B22" s="10">
        <f>Detail_Newbie!K34</f>
        <v>0</v>
      </c>
      <c r="C22" s="10">
        <f>Detail_Newbie!K105</f>
        <v>107673578</v>
      </c>
      <c r="D22" s="10">
        <f>Detail!K34</f>
        <v>445900</v>
      </c>
      <c r="E22" s="10">
        <f>Detail!K105</f>
        <v>70377484</v>
      </c>
      <c r="F22" s="10">
        <f>Detail!K182</f>
        <v>67928092</v>
      </c>
    </row>
    <row r="23" spans="1:6" x14ac:dyDescent="0.3">
      <c r="A23" s="14" t="s">
        <v>36</v>
      </c>
      <c r="B23" s="10">
        <f>Detail_Newbie!K35</f>
        <v>0</v>
      </c>
      <c r="C23" s="10">
        <f>Detail_Newbie!K106</f>
        <v>153893164</v>
      </c>
      <c r="D23" s="10">
        <f>Detail!K35</f>
        <v>253853</v>
      </c>
      <c r="E23" s="10">
        <f>Detail!K106</f>
        <v>91776532</v>
      </c>
      <c r="F23" s="10">
        <f>Detail!K183</f>
        <v>92830631</v>
      </c>
    </row>
    <row r="24" spans="1:6" x14ac:dyDescent="0.3">
      <c r="A24" s="14" t="s">
        <v>37</v>
      </c>
      <c r="B24" s="10">
        <f>Detail_Newbie!K36</f>
        <v>0</v>
      </c>
      <c r="C24" s="10">
        <f>Detail_Newbie!K107</f>
        <v>76983252</v>
      </c>
      <c r="D24" s="10">
        <f>Detail!K36</f>
        <v>0</v>
      </c>
      <c r="E24" s="10">
        <f>Detail!K107</f>
        <v>41887540</v>
      </c>
      <c r="F24" s="10">
        <f>Detail!K184</f>
        <v>44401194</v>
      </c>
    </row>
    <row r="25" spans="1:6" x14ac:dyDescent="0.3">
      <c r="A25" s="14" t="s">
        <v>38</v>
      </c>
      <c r="B25" s="10">
        <f>Detail_Newbie!K37</f>
        <v>0</v>
      </c>
      <c r="C25" s="10">
        <f>Detail_Newbie!K108</f>
        <v>154039748</v>
      </c>
      <c r="D25" s="10">
        <f>Detail!K37</f>
        <v>0</v>
      </c>
      <c r="E25" s="10">
        <f>Detail!K108</f>
        <v>76469407</v>
      </c>
      <c r="F25" s="10">
        <f>Detail!K185</f>
        <v>84947917</v>
      </c>
    </row>
    <row r="26" spans="1:6" x14ac:dyDescent="0.3">
      <c r="A26" s="14" t="s">
        <v>39</v>
      </c>
      <c r="B26" s="10">
        <f>Detail_Newbie!K38</f>
        <v>0</v>
      </c>
      <c r="C26" s="10">
        <f>Detail_Newbie!K109</f>
        <v>61644391</v>
      </c>
      <c r="D26" s="10">
        <f>Detail!K38</f>
        <v>0</v>
      </c>
      <c r="E26" s="10">
        <f>Detail!K109</f>
        <v>27923209</v>
      </c>
      <c r="F26" s="10">
        <f>Detail!K186</f>
        <v>32505661</v>
      </c>
    </row>
    <row r="27" spans="1:6" x14ac:dyDescent="0.3">
      <c r="A27" s="14" t="s">
        <v>40</v>
      </c>
      <c r="B27" s="10">
        <f>Detail_Newbie!K39</f>
        <v>0</v>
      </c>
      <c r="C27" s="10">
        <f>Detail_Newbie!K110</f>
        <v>0</v>
      </c>
      <c r="D27" s="10">
        <f>Detail!K39</f>
        <v>0</v>
      </c>
      <c r="E27" s="10">
        <f>Detail!K110</f>
        <v>60927407</v>
      </c>
      <c r="F27" s="10">
        <f>Detail!K187</f>
        <v>76061463</v>
      </c>
    </row>
    <row r="28" spans="1:6" x14ac:dyDescent="0.3">
      <c r="A28" s="14" t="s">
        <v>41</v>
      </c>
      <c r="B28" s="10">
        <f>Detail_Newbie!K40</f>
        <v>0</v>
      </c>
      <c r="C28" s="10">
        <f>Detail_Newbie!K111</f>
        <v>0</v>
      </c>
      <c r="D28" s="10">
        <f>Detail!K40</f>
        <v>0</v>
      </c>
      <c r="E28" s="10">
        <f>Detail!K111</f>
        <v>20302008</v>
      </c>
      <c r="F28" s="10">
        <f>Detail!K188</f>
        <v>27838104</v>
      </c>
    </row>
    <row r="29" spans="1:6" x14ac:dyDescent="0.3">
      <c r="A29" s="14" t="s">
        <v>42</v>
      </c>
      <c r="B29" s="10">
        <f>Detail_Newbie!K41</f>
        <v>0</v>
      </c>
      <c r="C29" s="10">
        <f>Detail_Newbie!K112</f>
        <v>0</v>
      </c>
      <c r="D29" s="10">
        <f>Detail!K41</f>
        <v>0</v>
      </c>
      <c r="E29" s="10">
        <f>Detail!K112</f>
        <v>29614289</v>
      </c>
      <c r="F29" s="10">
        <f>Detail!K189</f>
        <v>44588485</v>
      </c>
    </row>
    <row r="30" spans="1:6" x14ac:dyDescent="0.3">
      <c r="A30" s="14" t="s">
        <v>43</v>
      </c>
      <c r="B30" s="10">
        <f>Detail_Newbie!K42</f>
        <v>0</v>
      </c>
      <c r="C30" s="10">
        <f>Detail_Newbie!K113</f>
        <v>0</v>
      </c>
      <c r="D30" s="10">
        <f>Detail!K42</f>
        <v>0</v>
      </c>
      <c r="E30" s="10">
        <f>Detail!K113</f>
        <v>14097570</v>
      </c>
      <c r="F30" s="10">
        <f>Detail!K190</f>
        <v>23313443</v>
      </c>
    </row>
    <row r="31" spans="1:6" x14ac:dyDescent="0.3">
      <c r="A31" s="14" t="s">
        <v>44</v>
      </c>
      <c r="B31" s="10">
        <f>Detail_Newbie!K43</f>
        <v>0</v>
      </c>
      <c r="C31" s="10">
        <f>Detail_Newbie!K114</f>
        <v>0</v>
      </c>
      <c r="D31" s="10">
        <f>Detail!K43</f>
        <v>0</v>
      </c>
      <c r="E31" s="10">
        <f>Detail!K114</f>
        <v>14684803</v>
      </c>
      <c r="F31" s="10">
        <f>Detail!K191</f>
        <v>26669156</v>
      </c>
    </row>
    <row r="32" spans="1:6" x14ac:dyDescent="0.3">
      <c r="A32" s="14" t="s">
        <v>45</v>
      </c>
      <c r="B32" s="10">
        <f>Detail_Newbie!K44</f>
        <v>0</v>
      </c>
      <c r="C32" s="10">
        <f>Detail_Newbie!K115</f>
        <v>0</v>
      </c>
      <c r="D32" s="10">
        <f>Detail!K44</f>
        <v>0</v>
      </c>
      <c r="E32" s="10">
        <f>Detail!K115</f>
        <v>1338052</v>
      </c>
      <c r="F32" s="10">
        <f>Detail!K192</f>
        <v>334549</v>
      </c>
    </row>
    <row r="33" spans="1:6" x14ac:dyDescent="0.3">
      <c r="A33" s="14" t="s">
        <v>46</v>
      </c>
      <c r="B33" s="10">
        <f>Detail_Newbie!K45</f>
        <v>0</v>
      </c>
      <c r="C33" s="10">
        <f>Detail_Newbie!K116</f>
        <v>0</v>
      </c>
      <c r="D33" s="10">
        <f>Detail!K45</f>
        <v>0</v>
      </c>
      <c r="E33" s="10">
        <f>Detail!K116</f>
        <v>1093128</v>
      </c>
      <c r="F33" s="10">
        <f>Detail!K193</f>
        <v>273312</v>
      </c>
    </row>
    <row r="34" spans="1:6" x14ac:dyDescent="0.3">
      <c r="A34" s="14" t="s">
        <v>47</v>
      </c>
      <c r="B34" s="10">
        <f>Detail_Newbie!K46</f>
        <v>0</v>
      </c>
      <c r="C34" s="10">
        <f>Detail_Newbie!K117</f>
        <v>0</v>
      </c>
      <c r="D34" s="10">
        <f>Detail!K46</f>
        <v>0</v>
      </c>
      <c r="E34" s="10">
        <f>Detail!K117</f>
        <v>924237</v>
      </c>
      <c r="F34" s="10">
        <f>Detail!K194</f>
        <v>231084</v>
      </c>
    </row>
    <row r="35" spans="1:6" x14ac:dyDescent="0.3">
      <c r="A35" s="14" t="s">
        <v>48</v>
      </c>
      <c r="B35" s="10">
        <f>Detail_Newbie!K47</f>
        <v>0</v>
      </c>
      <c r="C35" s="10">
        <f>Detail_Newbie!K118</f>
        <v>0</v>
      </c>
      <c r="D35" s="10">
        <f>Detail!K47</f>
        <v>0</v>
      </c>
      <c r="E35" s="10">
        <f>Detail!K118</f>
        <v>800382</v>
      </c>
      <c r="F35" s="10">
        <f>Detail!K195</f>
        <v>200118</v>
      </c>
    </row>
    <row r="36" spans="1:6" x14ac:dyDescent="0.3">
      <c r="A36" s="14" t="s">
        <v>49</v>
      </c>
      <c r="B36" s="10">
        <f>Detail_Newbie!K48</f>
        <v>0</v>
      </c>
      <c r="C36" s="10">
        <f>Detail_Newbie!K119</f>
        <v>0</v>
      </c>
      <c r="D36" s="10">
        <f>Detail!K48</f>
        <v>0</v>
      </c>
      <c r="E36" s="10">
        <f>Detail!K119</f>
        <v>705926</v>
      </c>
      <c r="F36" s="10">
        <f>Detail!K196</f>
        <v>176501</v>
      </c>
    </row>
    <row r="37" spans="1:6" x14ac:dyDescent="0.3">
      <c r="A37" s="14" t="s">
        <v>50</v>
      </c>
      <c r="B37" s="10">
        <f>Detail_Newbie!K49</f>
        <v>0</v>
      </c>
      <c r="C37" s="10">
        <f>Detail_Newbie!K120</f>
        <v>0</v>
      </c>
      <c r="D37" s="10">
        <f>Detail!K49</f>
        <v>0</v>
      </c>
      <c r="E37" s="10">
        <f>Detail!K120</f>
        <v>631269</v>
      </c>
      <c r="F37" s="10">
        <f>Detail!K197</f>
        <v>157835</v>
      </c>
    </row>
    <row r="38" spans="1:6" x14ac:dyDescent="0.3">
      <c r="A38" s="14" t="s">
        <v>51</v>
      </c>
      <c r="B38" s="10">
        <f>Detail_Newbie!K50</f>
        <v>0</v>
      </c>
      <c r="C38" s="10">
        <f>Detail_Newbie!K121</f>
        <v>0</v>
      </c>
      <c r="D38" s="10">
        <f>Detail!K50</f>
        <v>0</v>
      </c>
      <c r="E38" s="10">
        <f>Detail!K121</f>
        <v>571114</v>
      </c>
      <c r="F38" s="10">
        <f>Detail!K198</f>
        <v>142794</v>
      </c>
    </row>
    <row r="39" spans="1:6" x14ac:dyDescent="0.3">
      <c r="A39" s="14" t="s">
        <v>52</v>
      </c>
      <c r="B39" s="10">
        <f>Detail_Newbie!K51</f>
        <v>0</v>
      </c>
      <c r="C39" s="10">
        <f>Detail_Newbie!K122</f>
        <v>0</v>
      </c>
      <c r="D39" s="10">
        <f>Detail!K51</f>
        <v>0</v>
      </c>
      <c r="E39" s="10">
        <f>Detail!K122</f>
        <v>521223</v>
      </c>
      <c r="F39" s="10">
        <f>Detail!K199</f>
        <v>130319</v>
      </c>
    </row>
    <row r="40" spans="1:6" x14ac:dyDescent="0.3">
      <c r="A40" s="14" t="s">
        <v>53</v>
      </c>
      <c r="B40" s="10">
        <f>Detail_Newbie!K52</f>
        <v>0</v>
      </c>
      <c r="C40" s="10">
        <f>Detail_Newbie!K123</f>
        <v>0</v>
      </c>
      <c r="D40" s="10">
        <f>Detail!K52</f>
        <v>0</v>
      </c>
      <c r="E40" s="10">
        <f>Detail!K123</f>
        <v>479525</v>
      </c>
      <c r="F40" s="10">
        <f>Detail!K200</f>
        <v>119894</v>
      </c>
    </row>
    <row r="41" spans="1:6" x14ac:dyDescent="0.3">
      <c r="A41" s="14" t="s">
        <v>54</v>
      </c>
      <c r="B41" s="10">
        <f>Detail_Newbie!K53</f>
        <v>0</v>
      </c>
      <c r="C41" s="10">
        <f>Detail_Newbie!K124</f>
        <v>0</v>
      </c>
      <c r="D41" s="10">
        <f>Detail!K53</f>
        <v>0</v>
      </c>
      <c r="E41" s="10">
        <f>Detail!K124</f>
        <v>443850</v>
      </c>
      <c r="F41" s="10">
        <f>Detail!K201</f>
        <v>110974</v>
      </c>
    </row>
    <row r="42" spans="1:6" x14ac:dyDescent="0.3">
      <c r="A42" s="14" t="s">
        <v>55</v>
      </c>
      <c r="B42" s="10">
        <f>Detail_Newbie!K54</f>
        <v>0</v>
      </c>
      <c r="C42" s="10">
        <f>Detail_Newbie!K125</f>
        <v>0</v>
      </c>
      <c r="D42" s="10">
        <f>Detail!K54</f>
        <v>0</v>
      </c>
      <c r="E42" s="10">
        <f>Detail!K125</f>
        <v>413158</v>
      </c>
      <c r="F42" s="10">
        <f>Detail!K202</f>
        <v>103301</v>
      </c>
    </row>
    <row r="43" spans="1:6" x14ac:dyDescent="0.3">
      <c r="A43" s="14" t="s">
        <v>56</v>
      </c>
      <c r="B43" s="10">
        <f>Detail_Newbie!K55</f>
        <v>0</v>
      </c>
      <c r="C43" s="10">
        <f>Detail_Newbie!K126</f>
        <v>0</v>
      </c>
      <c r="D43" s="10">
        <f>Detail!K55</f>
        <v>0</v>
      </c>
      <c r="E43" s="10">
        <f>Detail!K126</f>
        <v>386509</v>
      </c>
      <c r="F43" s="10">
        <f>Detail!K203</f>
        <v>96638</v>
      </c>
    </row>
    <row r="44" spans="1:6" x14ac:dyDescent="0.3">
      <c r="A44" s="14" t="s">
        <v>57</v>
      </c>
      <c r="B44" s="10">
        <f>Detail_Newbie!K56</f>
        <v>0</v>
      </c>
      <c r="C44" s="10">
        <f>Detail_Newbie!K127</f>
        <v>0</v>
      </c>
      <c r="D44" s="10">
        <f>Detail!K56</f>
        <v>0</v>
      </c>
      <c r="E44" s="10">
        <f>Detail!K127</f>
        <v>363045</v>
      </c>
      <c r="F44" s="10">
        <f>Detail!K204</f>
        <v>90771</v>
      </c>
    </row>
    <row r="45" spans="1:6" x14ac:dyDescent="0.3">
      <c r="A45" s="14" t="s">
        <v>58</v>
      </c>
      <c r="B45" s="10">
        <f>Detail_Newbie!K57</f>
        <v>0</v>
      </c>
      <c r="C45" s="10">
        <f>Detail_Newbie!K128</f>
        <v>0</v>
      </c>
      <c r="D45" s="10">
        <f>Detail!K57</f>
        <v>0</v>
      </c>
      <c r="E45" s="10">
        <f>Detail!K128</f>
        <v>342288</v>
      </c>
      <c r="F45" s="10">
        <f>Detail!K205</f>
        <v>85581</v>
      </c>
    </row>
    <row r="46" spans="1:6" x14ac:dyDescent="0.3">
      <c r="A46" s="14" t="s">
        <v>59</v>
      </c>
      <c r="B46" s="10">
        <f>Detail_Newbie!K58</f>
        <v>0</v>
      </c>
      <c r="C46" s="10">
        <f>Detail_Newbie!K129</f>
        <v>0</v>
      </c>
      <c r="D46" s="10">
        <f>Detail!K58</f>
        <v>0</v>
      </c>
      <c r="E46" s="10">
        <f>Detail!K129</f>
        <v>323736</v>
      </c>
      <c r="F46" s="10">
        <f>Detail!K206</f>
        <v>80942</v>
      </c>
    </row>
    <row r="47" spans="1:6" x14ac:dyDescent="0.3">
      <c r="A47" s="14" t="s">
        <v>60</v>
      </c>
      <c r="B47" s="10">
        <f>Detail_Newbie!K59</f>
        <v>0</v>
      </c>
      <c r="C47" s="10">
        <f>Detail_Newbie!K130</f>
        <v>0</v>
      </c>
      <c r="D47" s="10">
        <f>Detail!K59</f>
        <v>0</v>
      </c>
      <c r="E47" s="10">
        <f>Detail!K130</f>
        <v>307145</v>
      </c>
      <c r="F47" s="10">
        <f>Detail!K207</f>
        <v>76795</v>
      </c>
    </row>
    <row r="48" spans="1:6" x14ac:dyDescent="0.3">
      <c r="A48" s="14" t="s">
        <v>61</v>
      </c>
      <c r="B48" s="10">
        <f>Detail_Newbie!K60</f>
        <v>0</v>
      </c>
      <c r="C48" s="10">
        <f>Detail_Newbie!K131</f>
        <v>0</v>
      </c>
      <c r="D48" s="10">
        <f>Detail!K60</f>
        <v>0</v>
      </c>
      <c r="E48" s="10">
        <f>Detail!K131</f>
        <v>227936</v>
      </c>
      <c r="F48" s="10">
        <f>Detail!K208</f>
        <v>56990</v>
      </c>
    </row>
    <row r="49" spans="1:6" x14ac:dyDescent="0.3">
      <c r="A49" s="14" t="s">
        <v>62</v>
      </c>
      <c r="B49" s="10">
        <f>Detail_Newbie!K61</f>
        <v>0</v>
      </c>
      <c r="C49" s="10">
        <f>Detail_Newbie!K132</f>
        <v>0</v>
      </c>
      <c r="D49" s="10">
        <f>Detail!K61</f>
        <v>0</v>
      </c>
      <c r="E49" s="10">
        <f>Detail!K132</f>
        <v>252886</v>
      </c>
      <c r="F49" s="10">
        <f>Detail!K209</f>
        <v>63230</v>
      </c>
    </row>
    <row r="50" spans="1:6" x14ac:dyDescent="0.3">
      <c r="A50" s="14" t="s">
        <v>63</v>
      </c>
      <c r="B50" s="10">
        <f>Detail_Newbie!K62</f>
        <v>0</v>
      </c>
      <c r="C50" s="10">
        <f>Detail_Newbie!K133</f>
        <v>0</v>
      </c>
      <c r="D50" s="10">
        <f>Detail!K62</f>
        <v>0</v>
      </c>
      <c r="E50" s="10">
        <f>Detail!K133</f>
        <v>0</v>
      </c>
      <c r="F50" s="10">
        <f>Detail!K210</f>
        <v>0</v>
      </c>
    </row>
    <row r="51" spans="1:6" x14ac:dyDescent="0.3">
      <c r="A51" s="14" t="s">
        <v>64</v>
      </c>
      <c r="B51" s="10">
        <f>Detail_Newbie!K63</f>
        <v>0</v>
      </c>
      <c r="C51" s="10">
        <f>Detail_Newbie!K134</f>
        <v>0</v>
      </c>
      <c r="D51" s="10">
        <f>Detail!K63</f>
        <v>0</v>
      </c>
      <c r="E51" s="10">
        <f>Detail!K134</f>
        <v>0</v>
      </c>
      <c r="F51" s="10">
        <f>Detail!K211</f>
        <v>0</v>
      </c>
    </row>
    <row r="52" spans="1:6" x14ac:dyDescent="0.3">
      <c r="A52" s="14" t="s">
        <v>65</v>
      </c>
      <c r="B52" s="10">
        <f>Detail_Newbie!K64</f>
        <v>0</v>
      </c>
      <c r="C52" s="10">
        <f>Detail_Newbie!K135</f>
        <v>0</v>
      </c>
      <c r="D52" s="10">
        <f>Detail!K64</f>
        <v>0</v>
      </c>
      <c r="E52" s="10">
        <f>Detail!K135</f>
        <v>0</v>
      </c>
      <c r="F52" s="10">
        <f>Detail!K212</f>
        <v>0</v>
      </c>
    </row>
    <row r="53" spans="1:6" x14ac:dyDescent="0.3">
      <c r="A53" s="14" t="s">
        <v>66</v>
      </c>
      <c r="B53" s="10">
        <f>Detail_Newbie!K65</f>
        <v>0</v>
      </c>
      <c r="C53" s="10">
        <f>Detail_Newbie!K136</f>
        <v>0</v>
      </c>
      <c r="D53" s="10">
        <f>Detail!K65</f>
        <v>0</v>
      </c>
      <c r="E53" s="10">
        <f>Detail!K136</f>
        <v>0</v>
      </c>
      <c r="F53" s="10">
        <f>Detail!K213</f>
        <v>0</v>
      </c>
    </row>
    <row r="54" spans="1:6" x14ac:dyDescent="0.3">
      <c r="A54" s="14" t="s">
        <v>67</v>
      </c>
      <c r="B54" s="10">
        <f>Detail_Newbie!K66</f>
        <v>0</v>
      </c>
      <c r="C54" s="10">
        <f>Detail_Newbie!K137</f>
        <v>0</v>
      </c>
      <c r="D54" s="10">
        <f>Detail!K66</f>
        <v>0</v>
      </c>
      <c r="E54" s="10">
        <f>Detail!K137</f>
        <v>0</v>
      </c>
      <c r="F54" s="10">
        <f>Detail!K214</f>
        <v>0</v>
      </c>
    </row>
    <row r="55" spans="1:6" x14ac:dyDescent="0.3">
      <c r="A55" s="14" t="s">
        <v>68</v>
      </c>
      <c r="B55" s="10">
        <f>Detail_Newbie!K67</f>
        <v>0</v>
      </c>
      <c r="C55" s="10">
        <f>Detail_Newbie!K138</f>
        <v>0</v>
      </c>
      <c r="D55" s="10">
        <f>Detail!K67</f>
        <v>0</v>
      </c>
      <c r="E55" s="10">
        <f>Detail!K138</f>
        <v>0</v>
      </c>
      <c r="F55" s="10">
        <f>Detail!K215</f>
        <v>0</v>
      </c>
    </row>
    <row r="56" spans="1:6" x14ac:dyDescent="0.3">
      <c r="A56" s="14" t="s">
        <v>69</v>
      </c>
      <c r="B56" s="10">
        <f>Detail_Newbie!K68</f>
        <v>0</v>
      </c>
      <c r="C56" s="10">
        <f>Detail_Newbie!K139</f>
        <v>0</v>
      </c>
      <c r="D56" s="10">
        <f>Detail!K68</f>
        <v>0</v>
      </c>
      <c r="E56" s="10">
        <f>Detail!K139</f>
        <v>29480</v>
      </c>
      <c r="F56" s="10">
        <f>Detail!K216</f>
        <v>7252</v>
      </c>
    </row>
    <row r="57" spans="1:6" x14ac:dyDescent="0.3">
      <c r="A57" s="14" t="s">
        <v>70</v>
      </c>
      <c r="B57" s="10">
        <f>Detail_Newbie!K69</f>
        <v>0</v>
      </c>
      <c r="C57" s="10">
        <f>Detail_Newbie!K140</f>
        <v>0</v>
      </c>
      <c r="D57" s="10">
        <f>Detail!K69</f>
        <v>0</v>
      </c>
      <c r="E57" s="10">
        <f>Detail!K140</f>
        <v>0</v>
      </c>
      <c r="F57" s="10">
        <f>Detail!K217</f>
        <v>0</v>
      </c>
    </row>
    <row r="58" spans="1:6" x14ac:dyDescent="0.3">
      <c r="A58" s="14" t="s">
        <v>71</v>
      </c>
      <c r="B58" s="10">
        <f>Detail_Newbie!K70</f>
        <v>0</v>
      </c>
      <c r="C58" s="10">
        <f>Detail_Newbie!K141</f>
        <v>0</v>
      </c>
      <c r="D58" s="10">
        <f>Detail!K70</f>
        <v>0</v>
      </c>
      <c r="E58" s="10">
        <f>Detail!K141</f>
        <v>0</v>
      </c>
      <c r="F58" s="10">
        <f>Detail!K218</f>
        <v>0</v>
      </c>
    </row>
    <row r="59" spans="1:6" x14ac:dyDescent="0.3">
      <c r="A59" s="14" t="s">
        <v>72</v>
      </c>
      <c r="B59" s="10">
        <f>Detail_Newbie!K71</f>
        <v>0</v>
      </c>
      <c r="C59" s="10">
        <f>Detail_Newbie!K142</f>
        <v>0</v>
      </c>
      <c r="D59" s="10">
        <f>Detail!K71</f>
        <v>0</v>
      </c>
      <c r="E59" s="10">
        <f>Detail!K142</f>
        <v>0</v>
      </c>
      <c r="F59" s="10">
        <f>Detail!K219</f>
        <v>0</v>
      </c>
    </row>
    <row r="60" spans="1:6" x14ac:dyDescent="0.3">
      <c r="A60" s="14" t="s">
        <v>73</v>
      </c>
      <c r="B60" s="10">
        <f>Detail_Newbie!K72</f>
        <v>0</v>
      </c>
      <c r="C60" s="10">
        <f>Detail_Newbie!K143</f>
        <v>0</v>
      </c>
      <c r="D60" s="10">
        <f>Detail!K72</f>
        <v>0</v>
      </c>
      <c r="E60" s="10">
        <f>Detail!K143</f>
        <v>0</v>
      </c>
      <c r="F60" s="10">
        <f>Detail!K220</f>
        <v>0</v>
      </c>
    </row>
    <row r="61" spans="1:6" x14ac:dyDescent="0.3">
      <c r="A61" s="14" t="s">
        <v>74</v>
      </c>
      <c r="B61" s="10">
        <f>Detail_Newbie!K73</f>
        <v>0</v>
      </c>
      <c r="C61" s="10">
        <f>Detail_Newbie!K144</f>
        <v>0</v>
      </c>
      <c r="D61" s="10">
        <f>Detail!K73</f>
        <v>0</v>
      </c>
      <c r="E61" s="10">
        <f>Detail!K144</f>
        <v>0</v>
      </c>
      <c r="F61" s="10">
        <f>Detail!K221</f>
        <v>0</v>
      </c>
    </row>
    <row r="62" spans="1:6" x14ac:dyDescent="0.3">
      <c r="A62" s="14" t="s">
        <v>75</v>
      </c>
      <c r="B62" s="10">
        <f>Detail_Newbie!K74</f>
        <v>0</v>
      </c>
      <c r="C62" s="10">
        <f>Detail_Newbie!K145</f>
        <v>0</v>
      </c>
      <c r="D62" s="10">
        <f>Detail!K74</f>
        <v>0</v>
      </c>
      <c r="E62" s="10">
        <f>Detail!K145</f>
        <v>0</v>
      </c>
      <c r="F62" s="10">
        <f>Detail!K222</f>
        <v>0</v>
      </c>
    </row>
    <row r="63" spans="1:6" x14ac:dyDescent="0.3">
      <c r="A63" s="14" t="s">
        <v>76</v>
      </c>
      <c r="B63" s="10">
        <f>Detail_Newbie!K75</f>
        <v>0</v>
      </c>
      <c r="C63" s="10">
        <f>Detail_Newbie!K146</f>
        <v>0</v>
      </c>
      <c r="D63" s="10">
        <f>Detail!K75</f>
        <v>0</v>
      </c>
      <c r="E63" s="10">
        <f>Detail!K146</f>
        <v>0</v>
      </c>
      <c r="F63" s="10">
        <f>Detail!K223</f>
        <v>0</v>
      </c>
    </row>
    <row r="64" spans="1:6" x14ac:dyDescent="0.3">
      <c r="A64" s="14" t="s">
        <v>77</v>
      </c>
      <c r="B64" s="10">
        <f>Detail_Newbie!K76</f>
        <v>0</v>
      </c>
      <c r="C64" s="10">
        <f>Detail_Newbie!K147</f>
        <v>0</v>
      </c>
      <c r="D64" s="10">
        <f>Detail!K76</f>
        <v>0</v>
      </c>
      <c r="E64" s="10">
        <f>Detail!K147</f>
        <v>0</v>
      </c>
      <c r="F64" s="10">
        <f>Detail!K224</f>
        <v>0</v>
      </c>
    </row>
    <row r="65" spans="1:7" x14ac:dyDescent="0.3">
      <c r="A65" s="14" t="s">
        <v>78</v>
      </c>
      <c r="B65" s="10">
        <f>Detail_Newbie!K77</f>
        <v>0</v>
      </c>
      <c r="C65" s="10">
        <f>Detail_Newbie!K148</f>
        <v>0</v>
      </c>
      <c r="D65" s="10">
        <f>Detail!K77</f>
        <v>0</v>
      </c>
      <c r="E65" s="10">
        <f>Detail!K148</f>
        <v>0</v>
      </c>
      <c r="F65" s="10">
        <f>Detail!K225</f>
        <v>0</v>
      </c>
    </row>
    <row r="66" spans="1:7" x14ac:dyDescent="0.3">
      <c r="A66" s="14" t="s">
        <v>79</v>
      </c>
      <c r="B66" s="10">
        <f>Detail_Newbie!K78</f>
        <v>0</v>
      </c>
      <c r="C66" s="10">
        <f>Detail_Newbie!K149</f>
        <v>0</v>
      </c>
      <c r="D66" s="10">
        <f>Detail!K78</f>
        <v>0</v>
      </c>
      <c r="E66" s="10">
        <f>Detail!K149</f>
        <v>0</v>
      </c>
      <c r="F66" s="10">
        <f>Detail!K226</f>
        <v>0</v>
      </c>
    </row>
    <row r="67" spans="1:7" x14ac:dyDescent="0.3">
      <c r="A67" s="14" t="s">
        <v>14</v>
      </c>
      <c r="B67" s="10">
        <f>Detail_Newbie!K79</f>
        <v>3590649</v>
      </c>
      <c r="C67" s="35">
        <v>0</v>
      </c>
      <c r="D67" s="33">
        <f>Detail!K79</f>
        <v>3344481</v>
      </c>
      <c r="E67" s="35">
        <v>0</v>
      </c>
      <c r="F67" s="11">
        <v>0</v>
      </c>
      <c r="G67" s="21"/>
    </row>
    <row r="68" spans="1:7" x14ac:dyDescent="0.3">
      <c r="D68" s="21"/>
      <c r="E68" s="21"/>
      <c r="F68" s="21"/>
      <c r="G68" s="21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1CDA0-0F3F-4ACE-B14C-3D862EF9E783}">
  <dimension ref="A1:U226"/>
  <sheetViews>
    <sheetView workbookViewId="0">
      <selection activeCell="P11" sqref="P11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80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98</v>
      </c>
      <c r="B3" s="97">
        <f>Overview!A7</f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99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89</v>
      </c>
      <c r="C6" s="12" t="s">
        <v>90</v>
      </c>
      <c r="D6" s="12" t="s">
        <v>91</v>
      </c>
      <c r="E6" s="12" t="s">
        <v>100</v>
      </c>
      <c r="F6" s="12" t="s">
        <v>92</v>
      </c>
      <c r="G6" s="12" t="s">
        <v>93</v>
      </c>
      <c r="H6" s="12" t="s">
        <v>94</v>
      </c>
      <c r="I6" s="56" t="s">
        <v>101</v>
      </c>
      <c r="J6" s="57" t="s">
        <v>102</v>
      </c>
      <c r="K6" s="49"/>
      <c r="L6" s="49"/>
      <c r="M6" s="58"/>
    </row>
    <row r="7" spans="1:21" x14ac:dyDescent="0.3">
      <c r="A7" s="59" t="s">
        <v>95</v>
      </c>
      <c r="B7" s="59" cm="1">
        <f t="array" ref="B7:B8">Overview!B11:B12</f>
        <v>1</v>
      </c>
      <c r="C7" s="40">
        <f>SUM(M15:M79)</f>
        <v>0.720000001897047</v>
      </c>
      <c r="D7" s="40">
        <f>SUM(_xlfn.ANCHORARRAY(M86))*F7</f>
        <v>0.219999976861601</v>
      </c>
      <c r="E7" s="41">
        <f>SUM(C7:D7)</f>
        <v>0.939999978758647</v>
      </c>
      <c r="F7" s="42">
        <f>L79</f>
        <v>0.003333333</v>
      </c>
      <c r="G7" s="43">
        <f>1/F7</f>
        <v>300.000030000003</v>
      </c>
      <c r="H7" s="44">
        <f>D7*G7</f>
        <v>65.9999996584802</v>
      </c>
      <c r="I7" s="60" cm="1">
        <f t="array" ref="I7">LOOKUP(2,1/(K15:K78&lt;&gt;0),P15:P78)</f>
        <v>70</v>
      </c>
      <c r="J7" s="60" cm="1">
        <f t="array" ref="J7">LOOKUP(2,1/(_xlfn.ANCHORARRAY(K86)&lt;&gt;0),P15:P78)</f>
        <v>20000</v>
      </c>
      <c r="K7" s="48"/>
      <c r="L7" s="49"/>
      <c r="M7" s="58"/>
    </row>
    <row r="8" spans="1:21" x14ac:dyDescent="0.3">
      <c r="A8" s="59" t="s">
        <v>96</v>
      </c>
      <c r="B8" s="59">
        <v>75</v>
      </c>
      <c r="C8" s="40">
        <f>M156/B8</f>
        <v>0</v>
      </c>
      <c r="D8" s="40">
        <f>SUM(_xlfn.ANCHORARRAY(M163))/B8</f>
        <v>0.924999989266378</v>
      </c>
      <c r="E8" s="41">
        <f>SUM(C8:D8)</f>
        <v>0.924999989266378</v>
      </c>
      <c r="F8" s="45">
        <f>D156</f>
        <v>1</v>
      </c>
      <c r="G8" s="43">
        <f>1/F8</f>
        <v>1</v>
      </c>
      <c r="H8" s="44">
        <f>D8*G8*B8</f>
        <v>69.3749991949783</v>
      </c>
      <c r="I8" s="61"/>
      <c r="J8" s="61" cm="1">
        <f t="array" ref="J8">LOOKUP(2,1/(_xlfn.ANCHORARRAY(K163)&lt;&gt;0),P15:P78)</f>
        <v>20000</v>
      </c>
      <c r="K8" s="62"/>
      <c r="L8" s="49"/>
      <c r="M8" s="5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95</v>
      </c>
      <c r="B11" s="95" t="s">
        <v>90</v>
      </c>
      <c r="C11" s="95"/>
      <c r="D11" s="90"/>
      <c r="E11" s="89"/>
      <c r="F11" s="91"/>
      <c r="G11" s="95" t="s">
        <v>95</v>
      </c>
      <c r="H11" s="95" t="s">
        <v>90</v>
      </c>
      <c r="I11" s="88"/>
      <c r="J11" s="88"/>
      <c r="K11" s="92"/>
      <c r="L11" s="93"/>
      <c r="M11" s="93"/>
      <c r="N11" s="91"/>
      <c r="O11" s="95" t="s">
        <v>95</v>
      </c>
      <c r="P11" s="95" t="s">
        <v>90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119</v>
      </c>
      <c r="B13" s="47">
        <v>1000000000</v>
      </c>
      <c r="C13" s="1"/>
      <c r="D13" s="1"/>
      <c r="E13" s="1"/>
      <c r="G13" s="65" t="s">
        <v>103</v>
      </c>
      <c r="H13" s="38"/>
      <c r="I13" s="38"/>
      <c r="J13" s="38"/>
      <c r="K13" s="38"/>
      <c r="L13" s="38"/>
      <c r="M13" s="38"/>
    </row>
    <row r="14" spans="1:21" x14ac:dyDescent="0.3">
      <c r="A14" s="9" t="s">
        <v>109</v>
      </c>
      <c r="B14" s="9" t="s">
        <v>106</v>
      </c>
      <c r="C14" s="9" t="s">
        <v>107</v>
      </c>
      <c r="D14" s="9" t="s">
        <v>108</v>
      </c>
      <c r="E14" s="9" t="s">
        <v>87</v>
      </c>
      <c r="G14" s="9" t="s">
        <v>109</v>
      </c>
      <c r="H14" s="9" t="s">
        <v>110</v>
      </c>
      <c r="I14" s="9" t="s">
        <v>111</v>
      </c>
      <c r="J14" s="9" t="s">
        <v>112</v>
      </c>
      <c r="K14" s="9" t="s">
        <v>113</v>
      </c>
      <c r="L14" s="9" t="s">
        <v>88</v>
      </c>
      <c r="M14" s="9" t="s">
        <v>114</v>
      </c>
      <c r="O14" s="9" t="s">
        <v>104</v>
      </c>
      <c r="P14" s="9" t="s">
        <v>105</v>
      </c>
      <c r="Q14" s="12" t="s">
        <v>120</v>
      </c>
      <c r="R14" s="12" t="s">
        <v>115</v>
      </c>
      <c r="T14" s="12" t="s">
        <v>120</v>
      </c>
      <c r="U14" s="12" t="s">
        <v>116</v>
      </c>
    </row>
    <row r="15" spans="1:21" x14ac:dyDescent="0.3">
      <c r="A15" s="14" t="str">
        <f t="shared" ref="A15:A46" si="0">"("&amp;$O15&amp;", "&amp;$P15&amp;"]"</f>
        <v>(-1, 0]</v>
      </c>
      <c r="B15" s="67">
        <v>624769021</v>
      </c>
      <c r="C15" s="67">
        <v>0</v>
      </c>
      <c r="D15" s="37" cm="1">
        <f t="array" ref="D15:D78">_xlfn.LET(_xlpm.x, B15:B78, _xlpm.x/SUM(_xlpm.x))</f>
        <v>0.624769021</v>
      </c>
      <c r="E15" s="68" cm="1">
        <f t="array" ref="E15:E79">_xlfn.LET(_xlpm.x, C15:C79/B15:B79/B3, IF(ISERR(_xlpm.x), 0, _xlpm.x))</f>
        <v>0</v>
      </c>
      <c r="G15" s="14" t="str">
        <f t="shared" ref="G15:G46" si="1">"("&amp;$O15&amp;", "&amp;$P15&amp;"]"</f>
        <v>(-1, 0]</v>
      </c>
      <c r="H15" s="70">
        <v>1.16095751008756</v>
      </c>
      <c r="I15" s="36" cm="1">
        <f t="array" ref="I15:I79">D15:D79*H15:H79</f>
        <v>0.725330287</v>
      </c>
      <c r="J15" s="36" cm="1">
        <f t="array" ref="J15:J78">I15:I78/SUM(I15:I78)</f>
        <v>0.725330287</v>
      </c>
      <c r="K15" s="71" cm="1">
        <f t="array" ref="K15:K79">INT(J15:J79*$B$2)</f>
        <v>725330287</v>
      </c>
      <c r="L15" s="36" cm="1">
        <f t="array" ref="L15:L79">_xlfn.LET(_xlpm.x, K15:K79, _xlpm.x/SUM(_xlpm.x))</f>
        <v>0.72291252</v>
      </c>
      <c r="M15" s="36" cm="1">
        <f t="array" ref="M15:M79">L15:L79*E15:E79</f>
        <v>0</v>
      </c>
      <c r="N15" s="73"/>
      <c r="O15" s="66">
        <v>-1</v>
      </c>
      <c r="P15" s="66">
        <v>0</v>
      </c>
      <c r="Q15" s="36" cm="1">
        <f t="array" ref="Q15:Q78">L15:L78</f>
        <v>0.72291313276282421</v>
      </c>
      <c r="R15" s="36">
        <v>0.72379899999999997</v>
      </c>
      <c r="T15" s="36"/>
      <c r="U15" s="74" cm="1">
        <f t="array" ref="U15:U78">_xlfn.LET(_xlpm.x, T15:T78/L15:L78, IF(ISERR(_xlpm.x), 0, ROUND(_xlpm.x,2)))</f>
        <v>0</v>
      </c>
    </row>
    <row r="16" spans="1:21" x14ac:dyDescent="0.3">
      <c r="A16" s="14" t="str">
        <f t="shared" si="0"/>
        <v>(0, 1]</v>
      </c>
      <c r="B16" s="75">
        <v>143263411</v>
      </c>
      <c r="C16" s="75">
        <v>6213982290</v>
      </c>
      <c r="D16" s="36">
        <v>0.143263411</v>
      </c>
      <c r="E16" s="69">
        <v>0.433745242181899</v>
      </c>
      <c r="G16" s="14" t="str">
        <f t="shared" si="1"/>
        <v>(0, 1]</v>
      </c>
      <c r="H16" s="70">
        <v>1.0779287532111</v>
      </c>
      <c r="I16" s="36">
        <v>0.15442775</v>
      </c>
      <c r="J16" s="36">
        <v>0.15442775</v>
      </c>
      <c r="K16" s="71">
        <v>154427750</v>
      </c>
      <c r="L16" s="36">
        <v>0.153912991</v>
      </c>
      <c r="M16" s="36">
        <v>0.0667590275562355</v>
      </c>
      <c r="N16" s="73"/>
      <c r="O16" s="59">
        <v>0</v>
      </c>
      <c r="P16" s="59">
        <v>1</v>
      </c>
      <c r="Q16" s="36">
        <v>0.15391303976286086</v>
      </c>
      <c r="R16" s="36">
        <v>0.15426599999999999</v>
      </c>
      <c r="T16" s="36"/>
      <c r="U16" s="74">
        <v>0</v>
      </c>
    </row>
    <row r="17" spans="1:21" x14ac:dyDescent="0.3">
      <c r="A17" s="14" t="str">
        <f t="shared" si="0"/>
        <v>(1, 2]</v>
      </c>
      <c r="B17" s="75">
        <v>54932044</v>
      </c>
      <c r="C17" s="75">
        <v>8270002480</v>
      </c>
      <c r="D17" s="36">
        <v>0.054932044</v>
      </c>
      <c r="E17" s="69">
        <v>1.5054969518338</v>
      </c>
      <c r="F17" s="76"/>
      <c r="G17" s="14" t="str">
        <f t="shared" si="1"/>
        <v>(1, 2]</v>
      </c>
      <c r="H17" s="70">
        <v>0.825672552799965</v>
      </c>
      <c r="I17" s="36">
        <v>0.045355881</v>
      </c>
      <c r="J17" s="36">
        <v>0.045355881</v>
      </c>
      <c r="K17" s="71">
        <v>45355881</v>
      </c>
      <c r="L17" s="36">
        <v>0.045204695</v>
      </c>
      <c r="M17" s="36">
        <v>0.0680555305310765</v>
      </c>
      <c r="N17" s="73"/>
      <c r="O17" s="59">
        <v>1</v>
      </c>
      <c r="P17" s="59">
        <v>2</v>
      </c>
      <c r="Q17" s="36">
        <v>4.5204649907273471E-2</v>
      </c>
      <c r="R17" s="36">
        <v>4.5428000000000003E-2</v>
      </c>
      <c r="T17" s="36"/>
      <c r="U17" s="74">
        <v>0</v>
      </c>
    </row>
    <row r="18" spans="1:21" x14ac:dyDescent="0.3">
      <c r="A18" s="14" t="str">
        <f t="shared" si="0"/>
        <v>(2, 3]</v>
      </c>
      <c r="B18" s="75">
        <v>33042473</v>
      </c>
      <c r="C18" s="75">
        <v>8364971370</v>
      </c>
      <c r="D18" s="36">
        <v>0.033042473</v>
      </c>
      <c r="E18" s="69">
        <v>2.53158151025802</v>
      </c>
      <c r="F18" s="76"/>
      <c r="G18" s="14" t="str">
        <f t="shared" si="1"/>
        <v>(2, 3]</v>
      </c>
      <c r="H18" s="70">
        <v>0.630224801878479</v>
      </c>
      <c r="I18" s="36">
        <v>0.020824186</v>
      </c>
      <c r="J18" s="36">
        <v>0.020824186</v>
      </c>
      <c r="K18" s="71">
        <v>20824186</v>
      </c>
      <c r="L18" s="36">
        <v>0.020754772</v>
      </c>
      <c r="M18" s="36">
        <v>0.052542397044821</v>
      </c>
      <c r="N18" s="73"/>
      <c r="O18" s="59">
        <v>2</v>
      </c>
      <c r="P18" s="59">
        <v>3</v>
      </c>
      <c r="Q18" s="36">
        <v>2.0754725215855353E-2</v>
      </c>
      <c r="R18" s="36">
        <v>2.0910000000000002E-2</v>
      </c>
      <c r="T18" s="36"/>
      <c r="U18" s="74">
        <v>0</v>
      </c>
    </row>
    <row r="19" spans="1:21" x14ac:dyDescent="0.3">
      <c r="A19" s="14" t="str">
        <f t="shared" si="0"/>
        <v>(3, 4]</v>
      </c>
      <c r="B19" s="75">
        <v>22877263</v>
      </c>
      <c r="C19" s="75">
        <v>8071800230</v>
      </c>
      <c r="D19" s="36">
        <v>0.022877263</v>
      </c>
      <c r="E19" s="69">
        <v>3.52830678652424</v>
      </c>
      <c r="F19" s="77"/>
      <c r="G19" s="14" t="str">
        <f t="shared" si="1"/>
        <v>(3, 4]</v>
      </c>
      <c r="H19" s="70">
        <v>0.559584553449423</v>
      </c>
      <c r="I19" s="36">
        <v>0.012801763</v>
      </c>
      <c r="J19" s="36">
        <v>0.012801763</v>
      </c>
      <c r="K19" s="71">
        <v>12801763</v>
      </c>
      <c r="L19" s="36">
        <v>0.012759091</v>
      </c>
      <c r="M19" s="36">
        <v>0.0450179873651804</v>
      </c>
      <c r="N19" s="73"/>
      <c r="O19" s="59">
        <v>3</v>
      </c>
      <c r="P19" s="59">
        <v>4</v>
      </c>
      <c r="Q19" s="36">
        <v>1.2759046611031291E-2</v>
      </c>
      <c r="R19" s="36">
        <v>1.2886E-2</v>
      </c>
      <c r="T19" s="36"/>
      <c r="U19" s="74">
        <v>0</v>
      </c>
    </row>
    <row r="20" spans="1:21" x14ac:dyDescent="0.3">
      <c r="A20" s="14" t="str">
        <f t="shared" si="0"/>
        <v>(4, 5]</v>
      </c>
      <c r="B20" s="75">
        <v>16969191</v>
      </c>
      <c r="C20" s="75">
        <v>7691363560</v>
      </c>
      <c r="D20" s="36">
        <v>0.016969191</v>
      </c>
      <c r="E20" s="69">
        <v>4.5325458119954</v>
      </c>
      <c r="F20" s="77"/>
      <c r="G20" s="14" t="str">
        <f t="shared" si="1"/>
        <v>(4, 5]</v>
      </c>
      <c r="H20" s="70">
        <v>0.490918512261427</v>
      </c>
      <c r="I20" s="36">
        <v>0.00833049</v>
      </c>
      <c r="J20" s="36">
        <v>0.00833049</v>
      </c>
      <c r="K20" s="71">
        <v>8330490</v>
      </c>
      <c r="L20" s="36">
        <v>0.008302722</v>
      </c>
      <c r="M20" s="36">
        <v>0.0376324678292621</v>
      </c>
      <c r="N20" s="73"/>
      <c r="O20" s="59">
        <v>4</v>
      </c>
      <c r="P20" s="59">
        <v>5</v>
      </c>
      <c r="Q20" s="36">
        <v>8.3026828350092861E-3</v>
      </c>
      <c r="R20" s="36">
        <v>8.4060000000000003E-3</v>
      </c>
      <c r="T20" s="36"/>
      <c r="U20" s="74">
        <v>0</v>
      </c>
    </row>
    <row r="21" spans="1:21" x14ac:dyDescent="0.3">
      <c r="A21" s="14" t="str">
        <f t="shared" si="0"/>
        <v>(5, 6]</v>
      </c>
      <c r="B21" s="75">
        <v>13473297</v>
      </c>
      <c r="C21" s="75">
        <v>7480889915</v>
      </c>
      <c r="D21" s="36">
        <v>0.013473297</v>
      </c>
      <c r="E21" s="69">
        <v>5.55238254972038</v>
      </c>
      <c r="F21" s="77"/>
      <c r="G21" s="14" t="str">
        <f t="shared" si="1"/>
        <v>(5, 6]</v>
      </c>
      <c r="H21" s="70">
        <v>0.478150819357727</v>
      </c>
      <c r="I21" s="36">
        <v>0.006442268</v>
      </c>
      <c r="J21" s="36">
        <v>0.006442268</v>
      </c>
      <c r="K21" s="71">
        <v>6442268</v>
      </c>
      <c r="L21" s="36">
        <v>0.006420794</v>
      </c>
      <c r="M21" s="36">
        <v>0.0356507045609493</v>
      </c>
      <c r="N21" s="73"/>
      <c r="O21" s="59">
        <v>5</v>
      </c>
      <c r="P21" s="59">
        <v>6</v>
      </c>
      <c r="Q21" s="36">
        <v>6.4207559038738562E-3</v>
      </c>
      <c r="R21" s="36">
        <v>6.5170000000000002E-3</v>
      </c>
      <c r="T21" s="36"/>
      <c r="U21" s="74">
        <v>0</v>
      </c>
    </row>
    <row r="22" spans="1:21" x14ac:dyDescent="0.3">
      <c r="A22" s="14" t="str">
        <f t="shared" si="0"/>
        <v>(6, 7]</v>
      </c>
      <c r="B22" s="75">
        <v>10639718</v>
      </c>
      <c r="C22" s="75">
        <v>6941964595</v>
      </c>
      <c r="D22" s="36">
        <v>0.010639718</v>
      </c>
      <c r="E22" s="69">
        <v>6.52457574063523</v>
      </c>
      <c r="F22" s="77"/>
      <c r="G22" s="14" t="str">
        <f t="shared" si="1"/>
        <v>(6, 7]</v>
      </c>
      <c r="H22" s="70">
        <v>0.326631871258242</v>
      </c>
      <c r="I22" s="36">
        <v>0.003475271</v>
      </c>
      <c r="J22" s="36">
        <v>0.003475271</v>
      </c>
      <c r="K22" s="71">
        <v>3475271</v>
      </c>
      <c r="L22" s="36">
        <v>0.003463687</v>
      </c>
      <c r="M22" s="36">
        <v>0.0225990881733536</v>
      </c>
      <c r="N22" s="73"/>
      <c r="O22" s="59">
        <v>6</v>
      </c>
      <c r="P22" s="59">
        <v>7</v>
      </c>
      <c r="Q22" s="36">
        <v>3.4636618487564092E-3</v>
      </c>
      <c r="R22" s="36">
        <v>3.5239999999999998E-3</v>
      </c>
      <c r="T22" s="36"/>
      <c r="U22" s="74">
        <v>0</v>
      </c>
    </row>
    <row r="23" spans="1:21" x14ac:dyDescent="0.3">
      <c r="A23" s="14" t="str">
        <f t="shared" si="0"/>
        <v>(7, 8]</v>
      </c>
      <c r="B23" s="75">
        <v>8953686</v>
      </c>
      <c r="C23" s="75">
        <v>6744293590</v>
      </c>
      <c r="D23" s="36">
        <v>0.008953686</v>
      </c>
      <c r="E23" s="69">
        <v>7.53242138489109</v>
      </c>
      <c r="F23" s="77"/>
      <c r="G23" s="14" t="str">
        <f t="shared" si="1"/>
        <v>(7, 8]</v>
      </c>
      <c r="H23" s="70">
        <v>0.436178686632522</v>
      </c>
      <c r="I23" s="36">
        <v>0.003905407</v>
      </c>
      <c r="J23" s="36">
        <v>0.003905407</v>
      </c>
      <c r="K23" s="71">
        <v>3905407</v>
      </c>
      <c r="L23" s="36">
        <v>0.003892389</v>
      </c>
      <c r="M23" s="36">
        <v>0.0293191141419149</v>
      </c>
      <c r="N23" s="73"/>
      <c r="O23" s="59">
        <v>7</v>
      </c>
      <c r="P23" s="59">
        <v>8</v>
      </c>
      <c r="Q23" s="36">
        <v>3.8923560890150549E-3</v>
      </c>
      <c r="R23" s="36">
        <v>3.9699999999999996E-3</v>
      </c>
      <c r="T23" s="36"/>
      <c r="U23" s="74">
        <v>0</v>
      </c>
    </row>
    <row r="24" spans="1:21" x14ac:dyDescent="0.3">
      <c r="A24" s="14" t="str">
        <f t="shared" si="0"/>
        <v>(8, 9]</v>
      </c>
      <c r="B24" s="75">
        <v>7527858</v>
      </c>
      <c r="C24" s="75">
        <v>6438090340</v>
      </c>
      <c r="D24" s="36">
        <v>0.007527858</v>
      </c>
      <c r="E24" s="69">
        <v>8.55235359115435</v>
      </c>
      <c r="F24" s="77"/>
      <c r="G24" s="14" t="str">
        <f t="shared" si="1"/>
        <v>(8, 9]</v>
      </c>
      <c r="H24" s="70">
        <v>0.420642498835658</v>
      </c>
      <c r="I24" s="36">
        <v>0.003166537</v>
      </c>
      <c r="J24" s="36">
        <v>0.003166537</v>
      </c>
      <c r="K24" s="71">
        <v>3166537</v>
      </c>
      <c r="L24" s="36">
        <v>0.003155982</v>
      </c>
      <c r="M24" s="36">
        <v>0.0269910739913185</v>
      </c>
      <c r="N24" s="73"/>
      <c r="O24" s="59">
        <v>8</v>
      </c>
      <c r="P24" s="59">
        <v>9</v>
      </c>
      <c r="Q24" s="36">
        <v>3.1559519785707576E-3</v>
      </c>
      <c r="R24" s="36">
        <v>3.2269999999999998E-3</v>
      </c>
      <c r="T24" s="36"/>
      <c r="U24" s="74">
        <v>0</v>
      </c>
    </row>
    <row r="25" spans="1:21" x14ac:dyDescent="0.3">
      <c r="A25" s="14" t="str">
        <f t="shared" si="0"/>
        <v>(9, 10]</v>
      </c>
      <c r="B25" s="75">
        <v>6225071</v>
      </c>
      <c r="C25" s="75">
        <v>5937388995</v>
      </c>
      <c r="D25" s="36">
        <v>0.006225071</v>
      </c>
      <c r="E25" s="69">
        <v>9.53786550386333</v>
      </c>
      <c r="F25" s="77"/>
      <c r="G25" s="14" t="str">
        <f t="shared" si="1"/>
        <v>(9, 10]</v>
      </c>
      <c r="H25" s="70">
        <v>0.330538719959981</v>
      </c>
      <c r="I25" s="36">
        <v>0.002057627</v>
      </c>
      <c r="J25" s="36">
        <v>0.002057627</v>
      </c>
      <c r="K25" s="71">
        <v>2057627</v>
      </c>
      <c r="L25" s="36">
        <v>0.002050768</v>
      </c>
      <c r="M25" s="36">
        <v>0.0195599493636268</v>
      </c>
      <c r="N25" s="73"/>
      <c r="O25" s="59">
        <v>9</v>
      </c>
      <c r="P25" s="59">
        <v>10</v>
      </c>
      <c r="Q25" s="36">
        <v>2.0507463179039501E-3</v>
      </c>
      <c r="R25" s="36">
        <v>2.1020000000000001E-3</v>
      </c>
      <c r="T25" s="36"/>
      <c r="U25" s="74">
        <v>0</v>
      </c>
    </row>
    <row r="26" spans="1:21" x14ac:dyDescent="0.3">
      <c r="A26" s="14" t="str">
        <f t="shared" si="0"/>
        <v>(10, 15]</v>
      </c>
      <c r="B26" s="75">
        <v>20709880</v>
      </c>
      <c r="C26" s="75">
        <v>25432216970</v>
      </c>
      <c r="D26" s="36">
        <v>0.02070988</v>
      </c>
      <c r="E26" s="69">
        <v>12.2802338642233</v>
      </c>
      <c r="F26" s="77"/>
      <c r="G26" s="14" t="str">
        <f t="shared" si="1"/>
        <v>(10, 15]</v>
      </c>
      <c r="H26" s="70">
        <v>0.301980648849728</v>
      </c>
      <c r="I26" s="36">
        <v>0.006253983</v>
      </c>
      <c r="J26" s="36">
        <v>0.006253983</v>
      </c>
      <c r="K26" s="71">
        <v>6253983</v>
      </c>
      <c r="L26" s="36">
        <v>0.006233136</v>
      </c>
      <c r="M26" s="36">
        <v>0.0765443677875091</v>
      </c>
      <c r="N26" s="73"/>
      <c r="O26" s="59">
        <v>10</v>
      </c>
      <c r="P26" s="59">
        <v>15</v>
      </c>
      <c r="Q26" s="36">
        <v>6.233047690427272E-3</v>
      </c>
      <c r="R26" s="36">
        <v>6.4320000000000002E-3</v>
      </c>
      <c r="T26" s="36"/>
      <c r="U26" s="74">
        <v>0</v>
      </c>
    </row>
    <row r="27" spans="1:21" x14ac:dyDescent="0.3">
      <c r="A27" s="14" t="str">
        <f t="shared" si="0"/>
        <v>(15, 20]</v>
      </c>
      <c r="B27" s="75">
        <v>11154375</v>
      </c>
      <c r="C27" s="75">
        <v>19338114770</v>
      </c>
      <c r="D27" s="36">
        <v>0.011154375</v>
      </c>
      <c r="E27" s="69">
        <v>17.3367981352608</v>
      </c>
      <c r="F27" s="77"/>
      <c r="G27" s="14" t="str">
        <f t="shared" si="1"/>
        <v>(15, 20]</v>
      </c>
      <c r="H27" s="70">
        <v>0.243041407519471</v>
      </c>
      <c r="I27" s="36">
        <v>0.002710975</v>
      </c>
      <c r="J27" s="36">
        <v>0.002710975</v>
      </c>
      <c r="K27" s="71">
        <v>2710975</v>
      </c>
      <c r="L27" s="36">
        <v>0.002701938</v>
      </c>
      <c r="M27" s="36">
        <v>0.0468429536799904</v>
      </c>
      <c r="N27" s="73"/>
      <c r="O27" s="59">
        <v>15</v>
      </c>
      <c r="P27" s="59">
        <v>20</v>
      </c>
      <c r="Q27" s="36">
        <v>2.7018826049634691E-3</v>
      </c>
      <c r="R27" s="36">
        <v>2.823E-3</v>
      </c>
      <c r="T27" s="36"/>
      <c r="U27" s="74">
        <v>0</v>
      </c>
    </row>
    <row r="28" spans="1:21" x14ac:dyDescent="0.3">
      <c r="A28" s="14" t="str">
        <f t="shared" si="0"/>
        <v>(20, 25]</v>
      </c>
      <c r="B28" s="75">
        <v>6742750</v>
      </c>
      <c r="C28" s="75">
        <v>15082378485</v>
      </c>
      <c r="D28" s="36">
        <v>0.00674275</v>
      </c>
      <c r="E28" s="69">
        <v>22.3682896221868</v>
      </c>
      <c r="F28" s="77"/>
      <c r="G28" s="14" t="str">
        <f t="shared" si="1"/>
        <v>(20, 25]</v>
      </c>
      <c r="H28" s="70">
        <v>0.226898965555597</v>
      </c>
      <c r="I28" s="36">
        <v>0.001529923</v>
      </c>
      <c r="J28" s="36">
        <v>0.001529923</v>
      </c>
      <c r="K28" s="71">
        <v>1529923</v>
      </c>
      <c r="L28" s="36">
        <v>0.001524823</v>
      </c>
      <c r="M28" s="36">
        <v>0.0341076824865717</v>
      </c>
      <c r="N28" s="73"/>
      <c r="O28" s="59">
        <v>20</v>
      </c>
      <c r="P28" s="59">
        <v>25</v>
      </c>
      <c r="Q28" s="36">
        <v>1.5247823942532853E-3</v>
      </c>
      <c r="R28" s="36">
        <v>1.6130000000000001E-3</v>
      </c>
      <c r="T28" s="36"/>
      <c r="U28" s="74">
        <v>0</v>
      </c>
    </row>
    <row r="29" spans="1:21" x14ac:dyDescent="0.3">
      <c r="A29" s="14" t="str">
        <f t="shared" si="0"/>
        <v>(25, 30]</v>
      </c>
      <c r="B29" s="75">
        <v>4478938</v>
      </c>
      <c r="C29" s="75">
        <v>12270573635</v>
      </c>
      <c r="D29" s="36">
        <v>0.004478938</v>
      </c>
      <c r="E29" s="69">
        <v>27.396167651796</v>
      </c>
      <c r="F29" s="77"/>
      <c r="G29" s="14" t="str">
        <f t="shared" si="1"/>
        <v>(25, 30]</v>
      </c>
      <c r="H29" s="70">
        <v>0.275263019939102</v>
      </c>
      <c r="I29" s="36">
        <v>0.001232886</v>
      </c>
      <c r="J29" s="36">
        <v>0.001232886</v>
      </c>
      <c r="K29" s="71">
        <v>1232886</v>
      </c>
      <c r="L29" s="36">
        <v>0.001228776</v>
      </c>
      <c r="M29" s="36">
        <v>0.0336637533025033</v>
      </c>
      <c r="N29" s="73"/>
      <c r="O29" s="59">
        <v>25</v>
      </c>
      <c r="P29" s="59">
        <v>30</v>
      </c>
      <c r="Q29" s="36">
        <v>1.2287365140746711E-3</v>
      </c>
      <c r="R29" s="36">
        <v>1.3159999999999999E-3</v>
      </c>
      <c r="T29" s="36"/>
      <c r="U29" s="74">
        <v>0</v>
      </c>
    </row>
    <row r="30" spans="1:21" x14ac:dyDescent="0.3">
      <c r="A30" s="14" t="str">
        <f t="shared" si="0"/>
        <v>(30, 35]</v>
      </c>
      <c r="B30" s="75">
        <v>3019117</v>
      </c>
      <c r="C30" s="75">
        <v>9781437025</v>
      </c>
      <c r="D30" s="36">
        <v>0.003019117</v>
      </c>
      <c r="E30" s="69">
        <v>32.3983370800138</v>
      </c>
      <c r="F30" s="77"/>
      <c r="G30" s="14" t="str">
        <f t="shared" si="1"/>
        <v>(30, 35]</v>
      </c>
      <c r="H30" s="70">
        <v>0.195256096401696</v>
      </c>
      <c r="I30" s="36">
        <v>0.000589501</v>
      </c>
      <c r="J30" s="36">
        <v>0.000589501</v>
      </c>
      <c r="K30" s="71">
        <v>589501</v>
      </c>
      <c r="L30" s="36">
        <v>0.000587536</v>
      </c>
      <c r="M30" s="36">
        <v>0.019035189374643</v>
      </c>
      <c r="N30" s="73"/>
      <c r="O30" s="59">
        <v>30</v>
      </c>
      <c r="P30" s="59">
        <v>35</v>
      </c>
      <c r="Q30" s="36">
        <v>5.8751307368779958E-4</v>
      </c>
      <c r="R30" s="36">
        <v>6.3699999999999998E-4</v>
      </c>
      <c r="T30" s="36"/>
      <c r="U30" s="74">
        <v>0</v>
      </c>
    </row>
    <row r="31" spans="1:21" x14ac:dyDescent="0.3">
      <c r="A31" s="14" t="str">
        <f t="shared" si="0"/>
        <v>(35, 40]</v>
      </c>
      <c r="B31" s="75">
        <v>2207678</v>
      </c>
      <c r="C31" s="75">
        <v>8265177240</v>
      </c>
      <c r="D31" s="36">
        <v>0.002207678</v>
      </c>
      <c r="E31" s="69">
        <v>37.4383276909042</v>
      </c>
      <c r="F31" s="77"/>
      <c r="G31" s="14" t="str">
        <f t="shared" si="1"/>
        <v>(35, 40]</v>
      </c>
      <c r="H31" s="70">
        <v>0.184646039866321</v>
      </c>
      <c r="I31" s="36">
        <v>0.000407639</v>
      </c>
      <c r="J31" s="36">
        <v>0.000407639</v>
      </c>
      <c r="K31" s="71">
        <v>407639</v>
      </c>
      <c r="L31" s="36">
        <v>0.00040628</v>
      </c>
      <c r="M31" s="36">
        <v>0.0152104437742606</v>
      </c>
      <c r="N31" s="73"/>
      <c r="O31" s="59">
        <v>35</v>
      </c>
      <c r="P31" s="59">
        <v>40</v>
      </c>
      <c r="Q31" s="36">
        <v>4.0626226357844489E-4</v>
      </c>
      <c r="R31" s="36">
        <v>4.46E-4</v>
      </c>
      <c r="T31" s="36"/>
      <c r="U31" s="74">
        <v>0</v>
      </c>
    </row>
    <row r="32" spans="1:21" x14ac:dyDescent="0.3">
      <c r="A32" s="14" t="str">
        <f t="shared" si="0"/>
        <v>(40, 45]</v>
      </c>
      <c r="B32" s="75">
        <v>1647354</v>
      </c>
      <c r="C32" s="75">
        <v>6990921545</v>
      </c>
      <c r="D32" s="36">
        <v>0.001647354</v>
      </c>
      <c r="E32" s="69">
        <v>42.4372754429224</v>
      </c>
      <c r="F32" s="77"/>
      <c r="G32" s="14" t="str">
        <f t="shared" si="1"/>
        <v>(40, 45]</v>
      </c>
      <c r="H32" s="70">
        <v>0.151261356089826</v>
      </c>
      <c r="I32" s="36">
        <v>0.000249181</v>
      </c>
      <c r="J32" s="36">
        <v>0.000249181</v>
      </c>
      <c r="K32" s="71">
        <v>249181</v>
      </c>
      <c r="L32" s="36">
        <v>0.00024835</v>
      </c>
      <c r="M32" s="36">
        <v>0.0105392973562498</v>
      </c>
      <c r="N32" s="73"/>
      <c r="O32" s="59">
        <v>40</v>
      </c>
      <c r="P32" s="59">
        <v>45</v>
      </c>
      <c r="Q32" s="36">
        <v>2.4833744014983027E-4</v>
      </c>
      <c r="R32" s="36">
        <v>2.7599999999999999E-4</v>
      </c>
      <c r="T32" s="36"/>
      <c r="U32" s="74">
        <v>0</v>
      </c>
    </row>
    <row r="33" spans="1:21" x14ac:dyDescent="0.3">
      <c r="A33" s="14" t="str">
        <f t="shared" si="0"/>
        <v>(45, 50]</v>
      </c>
      <c r="B33" s="75">
        <v>1231801</v>
      </c>
      <c r="C33" s="75">
        <v>5846172855</v>
      </c>
      <c r="D33" s="36">
        <v>0.001231801</v>
      </c>
      <c r="E33" s="69">
        <v>47.4603678272708</v>
      </c>
      <c r="F33" s="77"/>
      <c r="G33" s="14" t="str">
        <f t="shared" si="1"/>
        <v>(45, 50]</v>
      </c>
      <c r="H33" s="70">
        <v>0.169420222909382</v>
      </c>
      <c r="I33" s="36">
        <v>0.000208692</v>
      </c>
      <c r="J33" s="36">
        <v>0.000208692</v>
      </c>
      <c r="K33" s="71">
        <v>208692</v>
      </c>
      <c r="L33" s="36">
        <v>0.000207996</v>
      </c>
      <c r="M33" s="36">
        <v>0.00987156666660102</v>
      </c>
      <c r="N33" s="73"/>
      <c r="O33" s="59">
        <v>45</v>
      </c>
      <c r="P33" s="59">
        <v>50</v>
      </c>
      <c r="Q33" s="36">
        <v>2.0798440012548391E-4</v>
      </c>
      <c r="R33" s="36">
        <v>2.34E-4</v>
      </c>
      <c r="T33" s="36"/>
      <c r="U33" s="74">
        <v>0</v>
      </c>
    </row>
    <row r="34" spans="1:21" x14ac:dyDescent="0.3">
      <c r="A34" s="14" t="str">
        <f t="shared" si="0"/>
        <v>(50, 60]</v>
      </c>
      <c r="B34" s="75">
        <v>1762183</v>
      </c>
      <c r="C34" s="75">
        <v>9639446010</v>
      </c>
      <c r="D34" s="36">
        <v>0.001762183</v>
      </c>
      <c r="E34" s="69">
        <v>54.7017308077538</v>
      </c>
      <c r="F34" s="77"/>
      <c r="G34" s="14" t="str">
        <f t="shared" si="1"/>
        <v>(50, 60]</v>
      </c>
      <c r="H34" s="70">
        <v>0.253038418824833</v>
      </c>
      <c r="I34" s="36">
        <v>0.0004459</v>
      </c>
      <c r="J34" s="36">
        <v>0.0004459</v>
      </c>
      <c r="K34" s="71">
        <v>445900</v>
      </c>
      <c r="L34" s="36">
        <v>0.000444414</v>
      </c>
      <c r="M34" s="36">
        <v>0.0243102149951971</v>
      </c>
      <c r="N34" s="73"/>
      <c r="O34" s="59">
        <v>50</v>
      </c>
      <c r="P34" s="59">
        <v>60</v>
      </c>
      <c r="Q34" s="36">
        <v>4.4438476360144545E-4</v>
      </c>
      <c r="R34" s="36">
        <v>5.0900000000000001E-4</v>
      </c>
      <c r="T34" s="36"/>
      <c r="U34" s="74">
        <v>0</v>
      </c>
    </row>
    <row r="35" spans="1:21" x14ac:dyDescent="0.3">
      <c r="A35" s="14" t="str">
        <f t="shared" si="0"/>
        <v>(60, 70]</v>
      </c>
      <c r="B35" s="75">
        <v>1115555</v>
      </c>
      <c r="C35" s="75">
        <v>7215914750</v>
      </c>
      <c r="D35" s="36">
        <v>0.001115555</v>
      </c>
      <c r="E35" s="69">
        <v>64.6845269843262</v>
      </c>
      <c r="F35" s="77"/>
      <c r="G35" s="14" t="str">
        <f t="shared" si="1"/>
        <v>(60, 70]</v>
      </c>
      <c r="H35" s="70">
        <v>0.227557583445012</v>
      </c>
      <c r="I35" s="36">
        <v>0.000253853</v>
      </c>
      <c r="J35" s="36">
        <v>0.000253853</v>
      </c>
      <c r="K35" s="71">
        <v>253853</v>
      </c>
      <c r="L35" s="36">
        <v>0.000253007</v>
      </c>
      <c r="M35" s="36">
        <v>0.0163656381187234</v>
      </c>
      <c r="N35" s="73"/>
      <c r="O35" s="59">
        <v>60</v>
      </c>
      <c r="P35" s="59">
        <v>70</v>
      </c>
      <c r="Q35" s="36">
        <v>2.5298689015263543E-4</v>
      </c>
      <c r="R35" s="36">
        <v>2.9700000000000001E-4</v>
      </c>
      <c r="T35" s="36"/>
      <c r="U35" s="74">
        <v>0</v>
      </c>
    </row>
    <row r="36" spans="1:21" x14ac:dyDescent="0.3">
      <c r="A36" s="14" t="str">
        <f t="shared" si="0"/>
        <v>(70, 80]</v>
      </c>
      <c r="B36" s="75">
        <v>765767</v>
      </c>
      <c r="C36" s="75">
        <v>5730365795</v>
      </c>
      <c r="D36" s="36">
        <v>0.000765767</v>
      </c>
      <c r="E36" s="69">
        <v>74.8317150647651</v>
      </c>
      <c r="F36" s="77"/>
      <c r="G36" s="14" t="str">
        <f t="shared" si="1"/>
        <v>(70, 80]</v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str">
        <f t="shared" si="0"/>
        <v>(80, 90]</v>
      </c>
      <c r="B37" s="75">
        <v>552109</v>
      </c>
      <c r="C37" s="75">
        <v>4680160810</v>
      </c>
      <c r="D37" s="36">
        <v>0.000552109</v>
      </c>
      <c r="E37" s="69">
        <v>84.7687831569491</v>
      </c>
      <c r="F37" s="77"/>
      <c r="G37" s="14" t="str">
        <f t="shared" si="1"/>
        <v>(80, 90]</v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str">
        <f t="shared" si="0"/>
        <v>(90, 100]</v>
      </c>
      <c r="B38" s="75">
        <v>384983</v>
      </c>
      <c r="C38" s="75">
        <v>3650434755</v>
      </c>
      <c r="D38" s="36">
        <v>0.000384983</v>
      </c>
      <c r="E38" s="69">
        <v>94.8206740297624</v>
      </c>
      <c r="F38" s="77"/>
      <c r="G38" s="14" t="str">
        <f t="shared" si="1"/>
        <v>(90, 100]</v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str">
        <f t="shared" si="0"/>
        <v>(100, 120]</v>
      </c>
      <c r="B39" s="75">
        <v>525979</v>
      </c>
      <c r="C39" s="75">
        <v>5748049055</v>
      </c>
      <c r="D39" s="36">
        <v>0.000525979</v>
      </c>
      <c r="E39" s="69">
        <v>109.282862148489</v>
      </c>
      <c r="F39" s="77"/>
      <c r="G39" s="14" t="str">
        <f t="shared" si="1"/>
        <v>(100, 120]</v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str">
        <f t="shared" si="0"/>
        <v>(120, 140]</v>
      </c>
      <c r="B40" s="75">
        <v>310338</v>
      </c>
      <c r="C40" s="75">
        <v>4007533360</v>
      </c>
      <c r="D40" s="36">
        <v>0.000310338</v>
      </c>
      <c r="E40" s="69">
        <v>129.134471447261</v>
      </c>
      <c r="F40" s="77"/>
      <c r="G40" s="14" t="str">
        <f t="shared" si="1"/>
        <v>(120, 140]</v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str">
        <f t="shared" si="0"/>
        <v>(140, 160]</v>
      </c>
      <c r="B41" s="75">
        <v>199653</v>
      </c>
      <c r="C41" s="75">
        <v>2986647385</v>
      </c>
      <c r="D41" s="36">
        <v>0.000199653</v>
      </c>
      <c r="E41" s="69">
        <v>149.59191121596</v>
      </c>
      <c r="F41" s="77"/>
      <c r="G41" s="14" t="str">
        <f t="shared" si="1"/>
        <v>(140, 160]</v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str">
        <f t="shared" si="0"/>
        <v>(160, 180]</v>
      </c>
      <c r="B42" s="75">
        <v>136239</v>
      </c>
      <c r="C42" s="75">
        <v>2307122600</v>
      </c>
      <c r="D42" s="36">
        <v>0.000136239</v>
      </c>
      <c r="E42" s="69">
        <v>169.343770873245</v>
      </c>
      <c r="F42" s="77"/>
      <c r="G42" s="14" t="str">
        <f t="shared" si="1"/>
        <v>(160, 180]</v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str">
        <f t="shared" si="0"/>
        <v>(180, 200]</v>
      </c>
      <c r="B43" s="75">
        <v>89017</v>
      </c>
      <c r="C43" s="75">
        <v>1686108905</v>
      </c>
      <c r="D43" s="36">
        <v>8.9017e-05</v>
      </c>
      <c r="E43" s="69">
        <v>189.414258512419</v>
      </c>
      <c r="F43" s="77"/>
      <c r="G43" s="14" t="str">
        <f t="shared" si="1"/>
        <v>(180, 200]</v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str">
        <f t="shared" si="0"/>
        <v>(200, 250]</v>
      </c>
      <c r="B44" s="75">
        <v>134278</v>
      </c>
      <c r="C44" s="75">
        <v>2985370485</v>
      </c>
      <c r="D44" s="36">
        <v>0.000134278</v>
      </c>
      <c r="E44" s="69">
        <v>222.327595361861</v>
      </c>
      <c r="F44" s="77"/>
      <c r="G44" s="14" t="str">
        <f t="shared" si="1"/>
        <v>(200, 250]</v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str">
        <f t="shared" si="0"/>
        <v>(250, 300]</v>
      </c>
      <c r="B45" s="75">
        <v>62285</v>
      </c>
      <c r="C45" s="75">
        <v>1695782195</v>
      </c>
      <c r="D45" s="36">
        <v>6.2285e-05</v>
      </c>
      <c r="E45" s="69">
        <v>272.261731556555</v>
      </c>
      <c r="F45" s="77"/>
      <c r="G45" s="14" t="str">
        <f t="shared" si="1"/>
        <v>(250, 300]</v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str">
        <f t="shared" si="0"/>
        <v>(300, 350]</v>
      </c>
      <c r="B46" s="75">
        <v>36357</v>
      </c>
      <c r="C46" s="75">
        <v>1173301035</v>
      </c>
      <c r="D46" s="36">
        <v>3.6357e-05</v>
      </c>
      <c r="E46" s="69">
        <v>322.716680419176</v>
      </c>
      <c r="F46" s="77"/>
      <c r="G46" s="14" t="str">
        <f t="shared" si="1"/>
        <v>(300, 350]</v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str">
        <f t="shared" ref="A47:A78" si="2">"("&amp;$O47&amp;", "&amp;$P47&amp;"]"</f>
        <v>(350, 400]</v>
      </c>
      <c r="B47" s="75">
        <v>19620</v>
      </c>
      <c r="C47" s="75">
        <v>731097560</v>
      </c>
      <c r="D47" s="36">
        <v>1.962e-05</v>
      </c>
      <c r="E47" s="69">
        <v>372.62872579001</v>
      </c>
      <c r="F47" s="77"/>
      <c r="G47" s="14" t="str">
        <f t="shared" ref="G47:G78" si="3">"("&amp;$O47&amp;", "&amp;$P47&amp;"]"</f>
        <v>(350, 400]</v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str">
        <f t="shared" si="2"/>
        <v>(400, 450]</v>
      </c>
      <c r="B48" s="75">
        <v>11946</v>
      </c>
      <c r="C48" s="75">
        <v>506548265</v>
      </c>
      <c r="D48" s="36">
        <v>1.1946e-05</v>
      </c>
      <c r="E48" s="69">
        <v>424.031696802277</v>
      </c>
      <c r="F48" s="77"/>
      <c r="G48" s="14" t="str">
        <f t="shared" si="3"/>
        <v>(400, 450]</v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str">
        <f t="shared" si="2"/>
        <v>(450, 500]</v>
      </c>
      <c r="B49" s="75">
        <v>8650</v>
      </c>
      <c r="C49" s="75">
        <v>409037710</v>
      </c>
      <c r="D49" s="36">
        <v>8.65e-06</v>
      </c>
      <c r="E49" s="69">
        <v>472.875965317919</v>
      </c>
      <c r="F49" s="77"/>
      <c r="G49" s="14" t="str">
        <f t="shared" si="3"/>
        <v>(450, 500]</v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str">
        <f t="shared" si="2"/>
        <v>(500, 550]</v>
      </c>
      <c r="B50" s="75">
        <v>5172</v>
      </c>
      <c r="C50" s="75">
        <v>270458450</v>
      </c>
      <c r="D50" s="36">
        <v>5.172e-06</v>
      </c>
      <c r="E50" s="69">
        <v>522.92817092034</v>
      </c>
      <c r="F50" s="77"/>
      <c r="G50" s="14" t="str">
        <f t="shared" si="3"/>
        <v>(500, 550]</v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str">
        <f t="shared" si="2"/>
        <v>(550, 600]</v>
      </c>
      <c r="B51" s="75">
        <v>3564</v>
      </c>
      <c r="C51" s="75">
        <v>204673175</v>
      </c>
      <c r="D51" s="36">
        <v>3.564e-06</v>
      </c>
      <c r="E51" s="69">
        <v>574.279391133558</v>
      </c>
      <c r="F51" s="77"/>
      <c r="G51" s="14" t="str">
        <f t="shared" si="3"/>
        <v>(550, 600]</v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str">
        <f t="shared" si="2"/>
        <v>(600, 650]</v>
      </c>
      <c r="B52" s="75">
        <v>2635</v>
      </c>
      <c r="C52" s="75">
        <v>164043780</v>
      </c>
      <c r="D52" s="36">
        <v>2.635e-06</v>
      </c>
      <c r="E52" s="69">
        <v>622.557039848197</v>
      </c>
      <c r="F52" s="77"/>
      <c r="G52" s="14" t="str">
        <f t="shared" si="3"/>
        <v>(600, 650]</v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str">
        <f t="shared" si="2"/>
        <v>(650, 700]</v>
      </c>
      <c r="B53" s="75">
        <v>2071</v>
      </c>
      <c r="C53" s="75">
        <v>139558440</v>
      </c>
      <c r="D53" s="36">
        <v>2.071e-06</v>
      </c>
      <c r="E53" s="69">
        <v>673.869821342347</v>
      </c>
      <c r="F53" s="77"/>
      <c r="G53" s="14" t="str">
        <f t="shared" si="3"/>
        <v>(650, 700]</v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str">
        <f t="shared" si="2"/>
        <v>(700, 750]</v>
      </c>
      <c r="B54" s="75">
        <v>1406</v>
      </c>
      <c r="C54" s="75">
        <v>101672315</v>
      </c>
      <c r="D54" s="36">
        <v>1.406e-06</v>
      </c>
      <c r="E54" s="69">
        <v>723.131685633001</v>
      </c>
      <c r="F54" s="77"/>
      <c r="G54" s="14" t="str">
        <f t="shared" si="3"/>
        <v>(700, 750]</v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str">
        <f t="shared" si="2"/>
        <v>(750, 800]</v>
      </c>
      <c r="B55" s="75">
        <v>1052</v>
      </c>
      <c r="C55" s="75">
        <v>81420500</v>
      </c>
      <c r="D55" s="36">
        <v>1.052e-06</v>
      </c>
      <c r="E55" s="69">
        <v>773.959125475285</v>
      </c>
      <c r="F55" s="77"/>
      <c r="G55" s="14" t="str">
        <f t="shared" si="3"/>
        <v>(750, 800]</v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str">
        <f t="shared" si="2"/>
        <v>(800, 850]</v>
      </c>
      <c r="B56" s="75">
        <v>670</v>
      </c>
      <c r="C56" s="75">
        <v>55139855</v>
      </c>
      <c r="D56" s="36">
        <v>6.7e-07</v>
      </c>
      <c r="E56" s="69">
        <v>822.982910447761</v>
      </c>
      <c r="F56" s="77"/>
      <c r="G56" s="14" t="str">
        <f t="shared" si="3"/>
        <v>(800, 850]</v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str">
        <f t="shared" si="2"/>
        <v>(850, 900]</v>
      </c>
      <c r="B57" s="75">
        <v>615</v>
      </c>
      <c r="C57" s="75">
        <v>53945030</v>
      </c>
      <c r="D57" s="36">
        <v>6.15e-07</v>
      </c>
      <c r="E57" s="69">
        <v>877.154959349594</v>
      </c>
      <c r="F57" s="77"/>
      <c r="G57" s="14" t="str">
        <f t="shared" si="3"/>
        <v>(850, 900]</v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str">
        <f t="shared" si="2"/>
        <v>(900, 950]</v>
      </c>
      <c r="B58" s="75">
        <v>529</v>
      </c>
      <c r="C58" s="75">
        <v>48772985</v>
      </c>
      <c r="D58" s="36">
        <v>5.29e-07</v>
      </c>
      <c r="E58" s="69">
        <v>921.984593572779</v>
      </c>
      <c r="F58" s="77"/>
      <c r="G58" s="14" t="str">
        <f t="shared" si="3"/>
        <v>(900, 950]</v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str">
        <f t="shared" si="2"/>
        <v>(950, 1000]</v>
      </c>
      <c r="B59" s="75">
        <v>388</v>
      </c>
      <c r="C59" s="75">
        <v>37807435</v>
      </c>
      <c r="D59" s="36">
        <v>3.88e-07</v>
      </c>
      <c r="E59" s="69">
        <v>974.418427835052</v>
      </c>
      <c r="F59" s="77"/>
      <c r="G59" s="14" t="str">
        <f t="shared" si="3"/>
        <v>(950, 1000]</v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str">
        <f t="shared" si="2"/>
        <v>(1000, 2000]</v>
      </c>
      <c r="B60" s="75">
        <v>1842</v>
      </c>
      <c r="C60" s="75">
        <v>234716490</v>
      </c>
      <c r="D60" s="36">
        <v>1.842e-06</v>
      </c>
      <c r="E60" s="69">
        <v>1274.24804560261</v>
      </c>
      <c r="F60" s="77"/>
      <c r="G60" s="14" t="str">
        <f t="shared" si="3"/>
        <v>(1000, 2000]</v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str">
        <f t="shared" si="2"/>
        <v>(2000, 3000]</v>
      </c>
      <c r="B61" s="75">
        <v>135</v>
      </c>
      <c r="C61" s="75">
        <v>31885450</v>
      </c>
      <c r="D61" s="36">
        <v>1.35e-07</v>
      </c>
      <c r="E61" s="69">
        <v>2361.88518518519</v>
      </c>
      <c r="F61" s="77"/>
      <c r="G61" s="14" t="str">
        <f t="shared" si="3"/>
        <v>(2000, 3000]</v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str">
        <f t="shared" si="2"/>
        <v>(3000, 4000]</v>
      </c>
      <c r="B62" s="75">
        <v>30</v>
      </c>
      <c r="C62" s="75">
        <v>10026250</v>
      </c>
      <c r="D62" s="36">
        <v>3e-08</v>
      </c>
      <c r="E62" s="69">
        <v>3342.08333333333</v>
      </c>
      <c r="F62" s="77"/>
      <c r="G62" s="14" t="str">
        <f t="shared" si="3"/>
        <v>(3000, 4000]</v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str">
        <f t="shared" si="2"/>
        <v>(4000, 5000]</v>
      </c>
      <c r="B63" s="75">
        <v>5</v>
      </c>
      <c r="C63" s="75">
        <v>2164270</v>
      </c>
      <c r="D63" s="36">
        <v>5e-09</v>
      </c>
      <c r="E63" s="69">
        <v>4328.54</v>
      </c>
      <c r="F63" s="77"/>
      <c r="G63" s="14" t="str">
        <f t="shared" si="3"/>
        <v>(4000, 5000]</v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str">
        <f t="shared" si="2"/>
        <v>(5000, 6000]</v>
      </c>
      <c r="B64" s="75">
        <v>0</v>
      </c>
      <c r="C64" s="75">
        <v>0</v>
      </c>
      <c r="D64" s="36">
        <v>0</v>
      </c>
      <c r="E64" s="69">
        <v>0</v>
      </c>
      <c r="F64" s="77"/>
      <c r="G64" s="14" t="str">
        <f t="shared" si="3"/>
        <v>(5000, 6000]</v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str">
        <f t="shared" si="2"/>
        <v>(6000, 7000]</v>
      </c>
      <c r="B65" s="75">
        <v>0</v>
      </c>
      <c r="C65" s="75">
        <v>0</v>
      </c>
      <c r="D65" s="36">
        <v>0</v>
      </c>
      <c r="E65" s="69">
        <v>0</v>
      </c>
      <c r="F65" s="77"/>
      <c r="G65" s="14" t="str">
        <f t="shared" si="3"/>
        <v>(6000, 7000]</v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str">
        <f t="shared" si="2"/>
        <v>(7000, 8000]</v>
      </c>
      <c r="B66" s="75">
        <v>0</v>
      </c>
      <c r="C66" s="75">
        <v>0</v>
      </c>
      <c r="D66" s="36">
        <v>0</v>
      </c>
      <c r="E66" s="69">
        <v>0</v>
      </c>
      <c r="F66" s="77"/>
      <c r="G66" s="14" t="str">
        <f t="shared" si="3"/>
        <v>(7000, 8000]</v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str">
        <f t="shared" si="2"/>
        <v>(8000, 9000]</v>
      </c>
      <c r="B67" s="75">
        <v>0</v>
      </c>
      <c r="C67" s="75">
        <v>0</v>
      </c>
      <c r="D67" s="36">
        <v>0</v>
      </c>
      <c r="E67" s="69">
        <v>0</v>
      </c>
      <c r="F67" s="77"/>
      <c r="G67" s="14" t="str">
        <f t="shared" si="3"/>
        <v>(8000, 9000]</v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str">
        <f t="shared" si="2"/>
        <v>(9000, 10000]</v>
      </c>
      <c r="B68" s="75">
        <v>1</v>
      </c>
      <c r="C68" s="75">
        <v>946050</v>
      </c>
      <c r="D68" s="36">
        <v>1e-09</v>
      </c>
      <c r="E68" s="69">
        <v>9460.5</v>
      </c>
      <c r="F68" s="77"/>
      <c r="G68" s="14" t="str">
        <f t="shared" si="3"/>
        <v>(9000, 10000]</v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str">
        <f t="shared" si="2"/>
        <v>(10000, 20000]</v>
      </c>
      <c r="B69" s="75">
        <v>0</v>
      </c>
      <c r="C69" s="75">
        <v>0</v>
      </c>
      <c r="D69" s="36">
        <v>0</v>
      </c>
      <c r="E69" s="69">
        <v>0</v>
      </c>
      <c r="F69" s="77"/>
      <c r="G69" s="14" t="str">
        <f t="shared" si="3"/>
        <v>(10000, 20000]</v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str">
        <f t="shared" si="2"/>
        <v>(20000, 30000]</v>
      </c>
      <c r="B70" s="75">
        <v>0</v>
      </c>
      <c r="C70" s="75">
        <v>0</v>
      </c>
      <c r="D70" s="36">
        <v>0</v>
      </c>
      <c r="E70" s="69">
        <v>0</v>
      </c>
      <c r="F70" s="77"/>
      <c r="G70" s="14" t="str">
        <f t="shared" si="3"/>
        <v>(20000, 30000]</v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str">
        <f t="shared" si="2"/>
        <v>(30000, 40000]</v>
      </c>
      <c r="B71" s="75">
        <v>0</v>
      </c>
      <c r="C71" s="75">
        <v>0</v>
      </c>
      <c r="D71" s="36">
        <v>0</v>
      </c>
      <c r="E71" s="69">
        <v>0</v>
      </c>
      <c r="F71" s="77"/>
      <c r="G71" s="14" t="str">
        <f t="shared" si="3"/>
        <v>(30000, 40000]</v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str">
        <f t="shared" si="2"/>
        <v>(40000, 50000]</v>
      </c>
      <c r="B72" s="75">
        <v>0</v>
      </c>
      <c r="C72" s="75">
        <v>0</v>
      </c>
      <c r="D72" s="36">
        <v>0</v>
      </c>
      <c r="E72" s="69">
        <v>0</v>
      </c>
      <c r="F72" s="77"/>
      <c r="G72" s="14" t="str">
        <f t="shared" si="3"/>
        <v>(40000, 50000]</v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str">
        <f t="shared" si="2"/>
        <v>(50000, 60000]</v>
      </c>
      <c r="B73" s="75">
        <v>0</v>
      </c>
      <c r="C73" s="75">
        <v>0</v>
      </c>
      <c r="D73" s="36">
        <v>0</v>
      </c>
      <c r="E73" s="69">
        <v>0</v>
      </c>
      <c r="F73" s="77"/>
      <c r="G73" s="14" t="str">
        <f t="shared" si="3"/>
        <v>(50000, 60000]</v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str">
        <f t="shared" si="2"/>
        <v>(60000, 70000]</v>
      </c>
      <c r="B74" s="75">
        <v>0</v>
      </c>
      <c r="C74" s="75">
        <v>0</v>
      </c>
      <c r="D74" s="36">
        <v>0</v>
      </c>
      <c r="E74" s="69">
        <v>0</v>
      </c>
      <c r="F74" s="77"/>
      <c r="G74" s="14" t="str">
        <f t="shared" si="3"/>
        <v>(60000, 70000]</v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str">
        <f t="shared" si="2"/>
        <v>(70000, 80000]</v>
      </c>
      <c r="B75" s="75">
        <v>0</v>
      </c>
      <c r="C75" s="75">
        <v>0</v>
      </c>
      <c r="D75" s="36">
        <v>0</v>
      </c>
      <c r="E75" s="69">
        <v>0</v>
      </c>
      <c r="F75" s="77"/>
      <c r="G75" s="14" t="str">
        <f t="shared" si="3"/>
        <v>(70000, 80000]</v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str">
        <f t="shared" si="2"/>
        <v>(80000, 90000]</v>
      </c>
      <c r="B76" s="75">
        <v>0</v>
      </c>
      <c r="C76" s="75">
        <v>0</v>
      </c>
      <c r="D76" s="36">
        <v>0</v>
      </c>
      <c r="E76" s="69">
        <v>0</v>
      </c>
      <c r="F76" s="77"/>
      <c r="G76" s="14" t="str">
        <f t="shared" si="3"/>
        <v>(80000, 90000]</v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str">
        <f t="shared" si="2"/>
        <v>(90000, 100000]</v>
      </c>
      <c r="B77" s="75">
        <v>0</v>
      </c>
      <c r="C77" s="75">
        <v>0</v>
      </c>
      <c r="D77" s="36">
        <v>0</v>
      </c>
      <c r="E77" s="69">
        <v>0</v>
      </c>
      <c r="F77" s="77"/>
      <c r="G77" s="14" t="str">
        <f t="shared" si="3"/>
        <v>(90000, 100000]</v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str">
        <f t="shared" si="2"/>
        <v>(100000, 9999999]</v>
      </c>
      <c r="B78" s="75">
        <v>0</v>
      </c>
      <c r="C78" s="75">
        <v>0</v>
      </c>
      <c r="D78" s="36">
        <v>0</v>
      </c>
      <c r="E78" s="69">
        <v>0</v>
      </c>
      <c r="F78" s="77"/>
      <c r="G78" s="14" t="str">
        <f t="shared" si="3"/>
        <v>(100000, 9999999]</v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117</v>
      </c>
      <c r="B79" s="75">
        <v>6997315</v>
      </c>
      <c r="C79" s="75">
        <v>6167760230</v>
      </c>
      <c r="D79" s="36">
        <f>B79/B13</f>
        <v>0.006997315</v>
      </c>
      <c r="E79" s="69">
        <v>8.81446702056432</v>
      </c>
      <c r="F79" s="77"/>
      <c r="G79" s="14" t="s">
        <v>117</v>
      </c>
      <c r="H79" s="70">
        <v>0.47796633422963</v>
      </c>
      <c r="I79" s="36">
        <v>0.003344481</v>
      </c>
      <c r="J79" s="36">
        <f>I79</f>
        <v>0.003344481</v>
      </c>
      <c r="K79" s="72">
        <v>3344481</v>
      </c>
      <c r="L79" s="36">
        <v>0.003333333</v>
      </c>
      <c r="M79" s="36">
        <v>0.0293815537970587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95</v>
      </c>
      <c r="B82" s="95" t="s">
        <v>91</v>
      </c>
      <c r="C82" s="95"/>
      <c r="D82" s="90"/>
      <c r="E82" s="89"/>
      <c r="F82" s="91"/>
      <c r="G82" s="95" t="s">
        <v>95</v>
      </c>
      <c r="H82" s="95" t="s">
        <v>91</v>
      </c>
      <c r="I82" s="88"/>
      <c r="J82" s="88"/>
      <c r="K82" s="92"/>
      <c r="L82" s="93"/>
      <c r="M82" s="93"/>
      <c r="N82" s="91"/>
      <c r="O82" s="95" t="s">
        <v>95</v>
      </c>
      <c r="P82" s="95" t="s">
        <v>91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119</v>
      </c>
      <c r="B84" s="65"/>
      <c r="C84" s="1"/>
      <c r="D84" s="1"/>
      <c r="E84" s="1"/>
      <c r="G84" s="65" t="s">
        <v>103</v>
      </c>
      <c r="H84" s="38"/>
      <c r="I84" s="38"/>
      <c r="J84" s="38"/>
      <c r="K84" s="38"/>
      <c r="L84" s="38"/>
      <c r="M84" s="38"/>
    </row>
    <row r="85" spans="1:21" x14ac:dyDescent="0.3">
      <c r="A85" s="9" t="s">
        <v>109</v>
      </c>
      <c r="B85" s="9" t="s">
        <v>106</v>
      </c>
      <c r="C85" s="9" t="s">
        <v>107</v>
      </c>
      <c r="D85" s="9" t="s">
        <v>108</v>
      </c>
      <c r="E85" s="9" t="s">
        <v>87</v>
      </c>
      <c r="G85" s="9" t="s">
        <v>109</v>
      </c>
      <c r="H85" s="9" t="s">
        <v>110</v>
      </c>
      <c r="I85" s="9" t="s">
        <v>111</v>
      </c>
      <c r="J85" s="9" t="s">
        <v>112</v>
      </c>
      <c r="K85" s="9" t="s">
        <v>113</v>
      </c>
      <c r="L85" s="9" t="s">
        <v>88</v>
      </c>
      <c r="M85" s="9" t="s">
        <v>114</v>
      </c>
      <c r="O85" s="9" t="s">
        <v>104</v>
      </c>
      <c r="P85" s="9" t="s">
        <v>105</v>
      </c>
      <c r="Q85" s="12" t="s">
        <v>120</v>
      </c>
      <c r="R85" s="12" t="s">
        <v>115</v>
      </c>
      <c r="T85" s="12" t="s">
        <v>120</v>
      </c>
      <c r="U85" s="12" t="s">
        <v>116</v>
      </c>
    </row>
    <row r="86" spans="1:21" x14ac:dyDescent="0.3">
      <c r="A86" s="14" t="str">
        <f t="shared" ref="A86:A117" si="4">"("&amp;$O86&amp;", "&amp;$P86&amp;"]"</f>
        <v>(-1, 0]</v>
      </c>
      <c r="B86" s="67">
        <v>25321</v>
      </c>
      <c r="C86" s="67">
        <v>0</v>
      </c>
      <c r="D86" s="36" cm="1">
        <f t="array" ref="D86:D149">_xlfn.LET(_xlpm.x, B86:B149, _xlpm.x/SUM(_xlpm.x))</f>
        <v>0.00361867373413945</v>
      </c>
      <c r="E86" s="68" cm="1">
        <f t="array" ref="E86:E149">_xlfn.LET(_xlpm.x, C86:C149/B86:B149/B3, IF(ISERR(_xlpm.x), 0, _xlpm.x))</f>
        <v>0</v>
      </c>
      <c r="G86" s="14" t="str">
        <f t="shared" ref="G86:G117" si="5">"("&amp;$O86&amp;", "&amp;$P86&amp;"]"</f>
        <v>(-1, 0]</v>
      </c>
      <c r="H86" s="70">
        <v>0</v>
      </c>
      <c r="I86" s="36" cm="1">
        <f t="array" ref="I86:I149">_xlfn.ANCHORARRAY(D86)*H86:H149</f>
        <v>0</v>
      </c>
      <c r="J86" s="36" cm="1">
        <f t="array" ref="J86:J149">I86:I149/SUM(_xlfn.ANCHORARRAY(I86))</f>
        <v>0</v>
      </c>
      <c r="K86" s="71" cm="1">
        <f t="array" ref="K86:K149">INT(_xlfn.ANCHORARRAY(J86)*$B$2)</f>
        <v>0</v>
      </c>
      <c r="L86" s="36" cm="1">
        <f t="array" ref="L86:L149">_xlfn.LET(_xlpm.x, K86:K149, _xlpm.x/SUM(_xlpm.x))</f>
        <v>0</v>
      </c>
      <c r="M86" s="80" cm="1">
        <f t="array" ref="M86:M149">L86:L149*_xlfn.ANCHORARRAY(E86)</f>
        <v>0</v>
      </c>
      <c r="N86" s="73"/>
      <c r="O86" s="66">
        <v>-1</v>
      </c>
      <c r="P86" s="66">
        <v>0</v>
      </c>
      <c r="Q86" s="36" cm="1">
        <f t="array" ref="Q86:Q149">_xlfn.ANCHORARRAY(L86)</f>
        <v>0</v>
      </c>
      <c r="R86" s="36">
        <v>2.069E-2</v>
      </c>
      <c r="T86" s="36"/>
      <c r="U86" s="74" cm="1">
        <f t="array" ref="U86:U149">_xlfn.LET(_xlpm.x, T86:T149/L86:L149, IF(ISERR(_xlpm.x), 0, ROUND(_xlpm.x,2)))</f>
        <v>0</v>
      </c>
    </row>
    <row r="87" spans="1:21" x14ac:dyDescent="0.3">
      <c r="A87" s="14" t="str">
        <f t="shared" si="4"/>
        <v>(0, 1]</v>
      </c>
      <c r="B87" s="75">
        <v>13519</v>
      </c>
      <c r="C87" s="75">
        <v>830135</v>
      </c>
      <c r="D87" s="36">
        <v>0.00193202678455951</v>
      </c>
      <c r="E87" s="69">
        <v>0.614050595458244</v>
      </c>
      <c r="G87" s="14" t="str">
        <f t="shared" si="5"/>
        <v>(0, 1]</v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str">
        <f t="shared" si="4"/>
        <v>(1, 2]</v>
      </c>
      <c r="B88" s="75">
        <v>18233</v>
      </c>
      <c r="C88" s="75">
        <v>2846325</v>
      </c>
      <c r="D88" s="36">
        <v>0.00260571376306483</v>
      </c>
      <c r="E88" s="69">
        <v>1.56108429770197</v>
      </c>
      <c r="F88" s="76"/>
      <c r="G88" s="14" t="str">
        <f t="shared" si="5"/>
        <v>(1, 2]</v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str">
        <f t="shared" si="4"/>
        <v>(2, 3]</v>
      </c>
      <c r="B89" s="75">
        <v>19401</v>
      </c>
      <c r="C89" s="75">
        <v>5010400</v>
      </c>
      <c r="D89" s="36">
        <v>0.00277263493211325</v>
      </c>
      <c r="E89" s="69">
        <v>2.58254729137673</v>
      </c>
      <c r="F89" s="73"/>
      <c r="G89" s="14" t="str">
        <f t="shared" si="5"/>
        <v>(2, 3]</v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str">
        <f t="shared" si="4"/>
        <v>(3, 4]</v>
      </c>
      <c r="B90" s="75">
        <v>21192</v>
      </c>
      <c r="C90" s="75">
        <v>7594100</v>
      </c>
      <c r="D90" s="36">
        <v>0.00302859025211813</v>
      </c>
      <c r="E90" s="69">
        <v>3.58347489618724</v>
      </c>
      <c r="F90" s="73"/>
      <c r="G90" s="14" t="str">
        <f t="shared" si="5"/>
        <v>(3, 4]</v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str">
        <f t="shared" si="4"/>
        <v>(4, 5]</v>
      </c>
      <c r="B91" s="75">
        <v>22042</v>
      </c>
      <c r="C91" s="75">
        <v>10092500</v>
      </c>
      <c r="D91" s="36">
        <v>0.0031500654179496</v>
      </c>
      <c r="E91" s="69">
        <v>4.57875873332728</v>
      </c>
      <c r="F91" s="73"/>
      <c r="G91" s="14" t="str">
        <f t="shared" si="5"/>
        <v>(4, 5]</v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str">
        <f t="shared" si="4"/>
        <v>(5, 6]</v>
      </c>
      <c r="B92" s="75">
        <v>24704</v>
      </c>
      <c r="C92" s="75">
        <v>13812490</v>
      </c>
      <c r="D92" s="36">
        <v>0.00353049705494179</v>
      </c>
      <c r="E92" s="69">
        <v>5.59119575777202</v>
      </c>
      <c r="F92" s="73"/>
      <c r="G92" s="14" t="str">
        <f t="shared" si="5"/>
        <v>(5, 6]</v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str">
        <f t="shared" si="4"/>
        <v>(6, 7]</v>
      </c>
      <c r="B93" s="75">
        <v>23371</v>
      </c>
      <c r="C93" s="75">
        <v>15361185</v>
      </c>
      <c r="D93" s="36">
        <v>0.00333999541252609</v>
      </c>
      <c r="E93" s="69">
        <v>6.57275469599076</v>
      </c>
      <c r="F93" s="73"/>
      <c r="G93" s="14" t="str">
        <f t="shared" si="5"/>
        <v>(6, 7]</v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str">
        <f t="shared" si="4"/>
        <v>(7, 8]</v>
      </c>
      <c r="B94" s="75">
        <v>26882</v>
      </c>
      <c r="C94" s="75">
        <v>20329515</v>
      </c>
      <c r="D94" s="36">
        <v>0.00384175930338994</v>
      </c>
      <c r="E94" s="69">
        <v>7.56250092999033</v>
      </c>
      <c r="F94" s="73"/>
      <c r="G94" s="14" t="str">
        <f t="shared" si="5"/>
        <v>(7, 8]</v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str">
        <f t="shared" si="4"/>
        <v>(8, 9]</v>
      </c>
      <c r="B95" s="75">
        <v>27171</v>
      </c>
      <c r="C95" s="75">
        <v>23310120</v>
      </c>
      <c r="D95" s="36">
        <v>0.00388306085977264</v>
      </c>
      <c r="E95" s="69">
        <v>8.57904383349895</v>
      </c>
      <c r="F95" s="73"/>
      <c r="G95" s="14" t="str">
        <f t="shared" si="5"/>
        <v>(8, 9]</v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str">
        <f t="shared" si="4"/>
        <v>(9, 10]</v>
      </c>
      <c r="B96" s="75">
        <v>27734</v>
      </c>
      <c r="C96" s="75">
        <v>26563225</v>
      </c>
      <c r="D96" s="36">
        <v>0.00396352029314101</v>
      </c>
      <c r="E96" s="69">
        <v>9.57785570058412</v>
      </c>
      <c r="F96" s="73"/>
      <c r="G96" s="14" t="str">
        <f t="shared" si="5"/>
        <v>(9, 10]</v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str">
        <f t="shared" si="4"/>
        <v>(10, 15]</v>
      </c>
      <c r="B97" s="75">
        <v>148515</v>
      </c>
      <c r="C97" s="75">
        <v>187358865</v>
      </c>
      <c r="D97" s="36">
        <v>0.021224569709953</v>
      </c>
      <c r="E97" s="69">
        <v>12.6154842945157</v>
      </c>
      <c r="F97" s="73"/>
      <c r="G97" s="14" t="str">
        <f t="shared" si="5"/>
        <v>(10, 15]</v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str">
        <f t="shared" si="4"/>
        <v>(15, 20]</v>
      </c>
      <c r="B98" s="75">
        <v>161740</v>
      </c>
      <c r="C98" s="75">
        <v>284486210</v>
      </c>
      <c r="D98" s="36">
        <v>0.0231145803783308</v>
      </c>
      <c r="E98" s="69">
        <v>17.5891065908248</v>
      </c>
      <c r="F98" s="73"/>
      <c r="G98" s="14" t="str">
        <f t="shared" si="5"/>
        <v>(15, 20]</v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str">
        <f t="shared" si="4"/>
        <v>(20, 25]</v>
      </c>
      <c r="B99" s="75">
        <v>167105</v>
      </c>
      <c r="C99" s="75">
        <v>377115540</v>
      </c>
      <c r="D99" s="36">
        <v>0.0238813030426671</v>
      </c>
      <c r="E99" s="69">
        <v>22.5675796654798</v>
      </c>
      <c r="F99" s="73"/>
      <c r="G99" s="14" t="str">
        <f t="shared" si="5"/>
        <v>(20, 25]</v>
      </c>
      <c r="H99" s="70">
        <v>1.69850849124646</v>
      </c>
      <c r="I99" s="36">
        <v>0.040562596</v>
      </c>
      <c r="J99" s="36">
        <v>0.040562596</v>
      </c>
      <c r="K99" s="71">
        <v>40562596</v>
      </c>
      <c r="L99" s="36">
        <v>0.040562596</v>
      </c>
      <c r="M99" s="36">
        <v>0.915399616668672</v>
      </c>
      <c r="N99" s="73"/>
      <c r="O99" s="59">
        <v>20</v>
      </c>
      <c r="P99" s="59">
        <v>25</v>
      </c>
      <c r="Q99" s="36">
        <v>4.0859217122577653E-2</v>
      </c>
      <c r="R99" s="36">
        <v>2.069E-2</v>
      </c>
      <c r="T99" s="36"/>
      <c r="U99" s="74">
        <v>0</v>
      </c>
    </row>
    <row r="100" spans="1:21" x14ac:dyDescent="0.3">
      <c r="A100" s="14" t="str">
        <f t="shared" si="4"/>
        <v>(25, 30]</v>
      </c>
      <c r="B100" s="75">
        <v>172723</v>
      </c>
      <c r="C100" s="75">
        <v>476161855</v>
      </c>
      <c r="D100" s="36">
        <v>0.0246841824328332</v>
      </c>
      <c r="E100" s="69">
        <v>27.5679472334316</v>
      </c>
      <c r="F100" s="73"/>
      <c r="G100" s="14" t="str">
        <f t="shared" si="5"/>
        <v>(25, 30]</v>
      </c>
      <c r="H100" s="70">
        <v>6.80219065212638</v>
      </c>
      <c r="I100" s="36">
        <v>0.167906515</v>
      </c>
      <c r="J100" s="36">
        <v>0.167906515</v>
      </c>
      <c r="K100" s="71">
        <v>167906515</v>
      </c>
      <c r="L100" s="36">
        <v>0.167906515</v>
      </c>
      <c r="M100" s="36">
        <v>4.62883794566939</v>
      </c>
      <c r="N100" s="73"/>
      <c r="O100" s="59">
        <v>25</v>
      </c>
      <c r="P100" s="59">
        <v>30</v>
      </c>
      <c r="Q100" s="36">
        <v>0.16901935350705807</v>
      </c>
      <c r="R100" s="36">
        <v>8.9654999999999999E-2</v>
      </c>
      <c r="T100" s="36"/>
      <c r="U100" s="74">
        <v>0</v>
      </c>
    </row>
    <row r="101" spans="1:21" x14ac:dyDescent="0.3">
      <c r="A101" s="14" t="str">
        <f t="shared" si="4"/>
        <v>(30, 35]</v>
      </c>
      <c r="B101" s="75">
        <v>171647</v>
      </c>
      <c r="C101" s="75">
        <v>558840920</v>
      </c>
      <c r="D101" s="36">
        <v>0.0245304091640865</v>
      </c>
      <c r="E101" s="69">
        <v>32.5575698963571</v>
      </c>
      <c r="F101" s="73"/>
      <c r="G101" s="14" t="str">
        <f t="shared" si="5"/>
        <v>(30, 35]</v>
      </c>
      <c r="H101" s="70">
        <v>2.5159689178914</v>
      </c>
      <c r="I101" s="36">
        <v>0.061717747</v>
      </c>
      <c r="J101" s="36">
        <v>0.061717747</v>
      </c>
      <c r="K101" s="71">
        <v>61717747</v>
      </c>
      <c r="L101" s="36">
        <v>0.061717747</v>
      </c>
      <c r="M101" s="36">
        <v>2.00937986179818</v>
      </c>
      <c r="N101" s="73"/>
      <c r="O101" s="59">
        <v>30</v>
      </c>
      <c r="P101" s="59">
        <v>35</v>
      </c>
      <c r="Q101" s="36">
        <v>6.208464418625393E-2</v>
      </c>
      <c r="R101" s="36">
        <v>3.4483E-2</v>
      </c>
      <c r="T101" s="36"/>
      <c r="U101" s="74">
        <v>0</v>
      </c>
    </row>
    <row r="102" spans="1:21" x14ac:dyDescent="0.3">
      <c r="A102" s="14" t="str">
        <f t="shared" si="4"/>
        <v>(35, 40]</v>
      </c>
      <c r="B102" s="75">
        <v>172745</v>
      </c>
      <c r="C102" s="75">
        <v>648716530</v>
      </c>
      <c r="D102" s="36">
        <v>0.0246873264959488</v>
      </c>
      <c r="E102" s="69">
        <v>37.5534186228256</v>
      </c>
      <c r="F102" s="73"/>
      <c r="G102" s="14" t="str">
        <f t="shared" si="5"/>
        <v>(35, 40]</v>
      </c>
      <c r="H102" s="70">
        <v>4.29885593393094</v>
      </c>
      <c r="I102" s="36">
        <v>0.10612726</v>
      </c>
      <c r="J102" s="36">
        <v>0.10612726</v>
      </c>
      <c r="K102" s="71">
        <v>106127260</v>
      </c>
      <c r="L102" s="36">
        <v>0.10612726</v>
      </c>
      <c r="M102" s="36">
        <v>3.98544142207345</v>
      </c>
      <c r="N102" s="73"/>
      <c r="O102" s="59">
        <v>35</v>
      </c>
      <c r="P102" s="59">
        <v>40</v>
      </c>
      <c r="Q102" s="36">
        <v>0.10668563632005691</v>
      </c>
      <c r="R102" s="36">
        <v>6.2068999999999999E-2</v>
      </c>
      <c r="T102" s="36"/>
      <c r="U102" s="74">
        <v>0</v>
      </c>
    </row>
    <row r="103" spans="1:21" x14ac:dyDescent="0.3">
      <c r="A103" s="14" t="str">
        <f t="shared" si="4"/>
        <v>(40, 45]</v>
      </c>
      <c r="B103" s="75">
        <v>170232</v>
      </c>
      <c r="C103" s="75">
        <v>724358025</v>
      </c>
      <c r="D103" s="36">
        <v>0.0243281887409671</v>
      </c>
      <c r="E103" s="69">
        <v>42.5512256802481</v>
      </c>
      <c r="F103" s="73"/>
      <c r="G103" s="14" t="str">
        <f t="shared" si="5"/>
        <v>(40, 45]</v>
      </c>
      <c r="H103" s="70">
        <v>3.70425529658308</v>
      </c>
      <c r="I103" s="36">
        <v>0.090117822</v>
      </c>
      <c r="J103" s="36">
        <v>0.090117822</v>
      </c>
      <c r="K103" s="71">
        <v>90117822</v>
      </c>
      <c r="L103" s="36">
        <v>0.090117822</v>
      </c>
      <c r="M103" s="36">
        <v>3.83462378173443</v>
      </c>
      <c r="N103" s="73"/>
      <c r="O103" s="59">
        <v>40</v>
      </c>
      <c r="P103" s="59">
        <v>45</v>
      </c>
      <c r="Q103" s="36">
        <v>9.0530400271591205E-2</v>
      </c>
      <c r="R103" s="36">
        <v>5.5171999999999999E-2</v>
      </c>
      <c r="T103" s="36"/>
      <c r="U103" s="74">
        <v>0</v>
      </c>
    </row>
    <row r="104" spans="1:21" x14ac:dyDescent="0.3">
      <c r="A104" s="14" t="str">
        <f t="shared" si="4"/>
        <v>(45, 50]</v>
      </c>
      <c r="B104" s="75">
        <v>168045</v>
      </c>
      <c r="C104" s="75">
        <v>798977350</v>
      </c>
      <c r="D104" s="36">
        <v>0.0240156402848807</v>
      </c>
      <c r="E104" s="69">
        <v>47.5454402094677</v>
      </c>
      <c r="F104" s="73"/>
      <c r="G104" s="14" t="str">
        <f t="shared" si="5"/>
        <v>(45, 50]</v>
      </c>
      <c r="H104" s="70">
        <v>3.13766033743598</v>
      </c>
      <c r="I104" s="36">
        <v>0.075352922</v>
      </c>
      <c r="J104" s="36">
        <v>0.075352922</v>
      </c>
      <c r="K104" s="71">
        <v>75352922</v>
      </c>
      <c r="L104" s="36">
        <v>0.075352922</v>
      </c>
      <c r="M104" s="36">
        <v>3.58268784755968</v>
      </c>
      <c r="N104" s="73"/>
      <c r="O104" s="59">
        <v>45</v>
      </c>
      <c r="P104" s="59">
        <v>50</v>
      </c>
      <c r="Q104" s="36">
        <v>7.5646497226939488E-2</v>
      </c>
      <c r="R104" s="36">
        <v>4.8275999999999999E-2</v>
      </c>
      <c r="T104" s="36"/>
      <c r="U104" s="74">
        <v>0</v>
      </c>
    </row>
    <row r="105" spans="1:21" x14ac:dyDescent="0.3">
      <c r="A105" s="14" t="str">
        <f t="shared" si="4"/>
        <v>(50, 60]</v>
      </c>
      <c r="B105" s="75">
        <v>323672</v>
      </c>
      <c r="C105" s="75">
        <v>1780620765</v>
      </c>
      <c r="D105" s="36">
        <v>0.0462565998529436</v>
      </c>
      <c r="E105" s="69">
        <v>55.0131233161966</v>
      </c>
      <c r="F105" s="73"/>
      <c r="G105" s="14" t="str">
        <f t="shared" si="5"/>
        <v>(50, 60]</v>
      </c>
      <c r="H105" s="70">
        <v>1.52145821836754</v>
      </c>
      <c r="I105" s="36">
        <v>0.070377484</v>
      </c>
      <c r="J105" s="36">
        <v>0.070377484</v>
      </c>
      <c r="K105" s="71">
        <v>70377484</v>
      </c>
      <c r="L105" s="36">
        <v>0.070377484</v>
      </c>
      <c r="M105" s="36">
        <v>3.87168520597566</v>
      </c>
      <c r="N105" s="73"/>
      <c r="O105" s="59">
        <v>50</v>
      </c>
      <c r="P105" s="59">
        <v>60</v>
      </c>
      <c r="Q105" s="36">
        <v>7.0579942211739827E-2</v>
      </c>
      <c r="R105" s="36">
        <v>4.8275999999999999E-2</v>
      </c>
      <c r="T105" s="36"/>
      <c r="U105" s="74">
        <v>0</v>
      </c>
    </row>
    <row r="106" spans="1:21" x14ac:dyDescent="0.3">
      <c r="A106" s="14" t="str">
        <f t="shared" si="4"/>
        <v>(60, 70]</v>
      </c>
      <c r="B106" s="75">
        <v>306735</v>
      </c>
      <c r="C106" s="75">
        <v>1993992090</v>
      </c>
      <c r="D106" s="36">
        <v>0.0438360999897818</v>
      </c>
      <c r="E106" s="69">
        <v>65.0069959411218</v>
      </c>
      <c r="F106" s="73"/>
      <c r="G106" s="14" t="str">
        <f t="shared" si="5"/>
        <v>(60, 70]</v>
      </c>
      <c r="H106" s="70">
        <v>2.09362904139267</v>
      </c>
      <c r="I106" s="36">
        <v>0.091776532</v>
      </c>
      <c r="J106" s="36">
        <v>0.091776532</v>
      </c>
      <c r="K106" s="71">
        <v>91776532</v>
      </c>
      <c r="L106" s="36">
        <v>0.091776532</v>
      </c>
      <c r="M106" s="36">
        <v>5.96611664321424</v>
      </c>
      <c r="N106" s="73"/>
      <c r="O106" s="59">
        <v>60</v>
      </c>
      <c r="P106" s="59">
        <v>70</v>
      </c>
      <c r="Q106" s="36">
        <v>9.191551427574654E-2</v>
      </c>
      <c r="R106" s="36">
        <v>6.8966E-2</v>
      </c>
      <c r="T106" s="36"/>
      <c r="U106" s="74">
        <v>0</v>
      </c>
    </row>
    <row r="107" spans="1:21" x14ac:dyDescent="0.3">
      <c r="A107" s="14" t="str">
        <f t="shared" si="4"/>
        <v>(70, 80]</v>
      </c>
      <c r="B107" s="75">
        <v>291160</v>
      </c>
      <c r="C107" s="75">
        <v>2183653920</v>
      </c>
      <c r="D107" s="36">
        <v>0.0416102462158699</v>
      </c>
      <c r="E107" s="69">
        <v>74.9984173650227</v>
      </c>
      <c r="F107" s="73"/>
      <c r="G107" s="14" t="str">
        <f t="shared" si="5"/>
        <v>(70, 80]</v>
      </c>
      <c r="H107" s="70">
        <v>1.00666407458133</v>
      </c>
      <c r="I107" s="36">
        <v>0.04188754</v>
      </c>
      <c r="J107" s="36">
        <v>0.04188754</v>
      </c>
      <c r="K107" s="71">
        <v>41887540</v>
      </c>
      <c r="L107" s="36">
        <v>0.04188754</v>
      </c>
      <c r="M107" s="36">
        <v>3.14149920731408</v>
      </c>
      <c r="N107" s="73"/>
      <c r="O107" s="59">
        <v>70</v>
      </c>
      <c r="P107" s="59">
        <v>80</v>
      </c>
      <c r="Q107" s="36">
        <v>4.1893996125681988E-2</v>
      </c>
      <c r="R107" s="36">
        <v>3.4483E-2</v>
      </c>
      <c r="T107" s="36"/>
      <c r="U107" s="74">
        <v>0</v>
      </c>
    </row>
    <row r="108" spans="1:21" x14ac:dyDescent="0.3">
      <c r="A108" s="14" t="str">
        <f t="shared" si="4"/>
        <v>(80, 90]</v>
      </c>
      <c r="B108" s="75">
        <v>272219</v>
      </c>
      <c r="C108" s="75">
        <v>2313514660</v>
      </c>
      <c r="D108" s="36">
        <v>0.0389033507852655</v>
      </c>
      <c r="E108" s="69">
        <v>84.9872587879612</v>
      </c>
      <c r="F108" s="73"/>
      <c r="G108" s="14" t="str">
        <f t="shared" si="5"/>
        <v>(80, 90]</v>
      </c>
      <c r="H108" s="70">
        <v>1.96562520853506</v>
      </c>
      <c r="I108" s="36">
        <v>0.076469407</v>
      </c>
      <c r="J108" s="36">
        <v>0.076469407</v>
      </c>
      <c r="K108" s="71">
        <v>76469407</v>
      </c>
      <c r="L108" s="36">
        <v>0.076469407</v>
      </c>
      <c r="M108" s="36">
        <v>6.49892528207093</v>
      </c>
      <c r="N108" s="73"/>
      <c r="O108" s="59">
        <v>80</v>
      </c>
      <c r="P108" s="59">
        <v>90</v>
      </c>
      <c r="Q108" s="36">
        <v>7.6377346229132045E-2</v>
      </c>
      <c r="R108" s="36">
        <v>6.8966E-2</v>
      </c>
      <c r="T108" s="36"/>
      <c r="U108" s="74">
        <v>0</v>
      </c>
    </row>
    <row r="109" spans="1:21" x14ac:dyDescent="0.3">
      <c r="A109" s="14" t="str">
        <f t="shared" si="4"/>
        <v>(90, 100]</v>
      </c>
      <c r="B109" s="75">
        <v>253675</v>
      </c>
      <c r="C109" s="75">
        <v>2409933070</v>
      </c>
      <c r="D109" s="36">
        <v>0.0362531914027023</v>
      </c>
      <c r="E109" s="69">
        <v>95.0008108800631</v>
      </c>
      <c r="F109" s="73"/>
      <c r="G109" s="14" t="str">
        <f t="shared" si="5"/>
        <v>(90, 100]</v>
      </c>
      <c r="H109" s="81">
        <v>0.77022761085576</v>
      </c>
      <c r="I109" s="79">
        <v>0.027923209</v>
      </c>
      <c r="J109" s="79">
        <v>0.027923209</v>
      </c>
      <c r="K109" s="71">
        <v>27923209</v>
      </c>
      <c r="L109" s="79">
        <v>0.027923209</v>
      </c>
      <c r="M109" s="79">
        <v>2.65272749737348</v>
      </c>
      <c r="N109" s="73"/>
      <c r="O109" s="59">
        <v>90</v>
      </c>
      <c r="P109" s="59">
        <v>100</v>
      </c>
      <c r="Q109" s="36">
        <v>2.7851631083554894E-2</v>
      </c>
      <c r="R109" s="36">
        <v>2.7585999999999999E-2</v>
      </c>
      <c r="T109" s="36"/>
      <c r="U109" s="74">
        <v>0</v>
      </c>
    </row>
    <row r="110" spans="1:21" x14ac:dyDescent="0.3">
      <c r="A110" s="14" t="str">
        <f t="shared" si="4"/>
        <v>(100, 120]</v>
      </c>
      <c r="B110" s="75">
        <v>456793</v>
      </c>
      <c r="C110" s="75">
        <v>5017102950</v>
      </c>
      <c r="D110" s="36">
        <v>0.0652811828537089</v>
      </c>
      <c r="E110" s="69">
        <v>109.833183739681</v>
      </c>
      <c r="F110" s="73"/>
      <c r="G110" s="14" t="str">
        <f t="shared" si="5"/>
        <v>(100, 120]</v>
      </c>
      <c r="H110" s="81">
        <v>0.933307338142671</v>
      </c>
      <c r="I110" s="79">
        <v>0.060927407</v>
      </c>
      <c r="J110" s="79">
        <v>0.060927407</v>
      </c>
      <c r="K110" s="71">
        <v>60927407</v>
      </c>
      <c r="L110" s="79">
        <v>0.060927407</v>
      </c>
      <c r="M110" s="79">
        <v>6.69185108781331</v>
      </c>
      <c r="N110" s="73"/>
      <c r="O110" s="59">
        <v>100</v>
      </c>
      <c r="P110" s="59">
        <v>120</v>
      </c>
      <c r="Q110" s="36">
        <v>6.0648738181946216E-2</v>
      </c>
      <c r="R110" s="36">
        <v>6.8966E-2</v>
      </c>
      <c r="T110" s="36"/>
      <c r="U110" s="74">
        <v>0</v>
      </c>
    </row>
    <row r="111" spans="1:21" x14ac:dyDescent="0.3">
      <c r="A111" s="14" t="str">
        <f t="shared" si="4"/>
        <v>(120, 140]</v>
      </c>
      <c r="B111" s="75">
        <v>395813</v>
      </c>
      <c r="C111" s="75">
        <v>5138166890</v>
      </c>
      <c r="D111" s="36">
        <v>0.0565664115449998</v>
      </c>
      <c r="E111" s="69">
        <v>129.812989719893</v>
      </c>
      <c r="F111" s="73"/>
      <c r="G111" s="14" t="str">
        <f t="shared" si="5"/>
        <v>(120, 140]</v>
      </c>
      <c r="H111" s="81">
        <v>0.358905708272644</v>
      </c>
      <c r="I111" s="79">
        <v>0.020302008</v>
      </c>
      <c r="J111" s="79">
        <v>0.020302008</v>
      </c>
      <c r="K111" s="71">
        <v>20302008</v>
      </c>
      <c r="L111" s="79">
        <v>0.020302008</v>
      </c>
      <c r="M111" s="79">
        <v>2.63546435579718</v>
      </c>
      <c r="N111" s="73"/>
      <c r="O111" s="59">
        <v>120</v>
      </c>
      <c r="P111" s="59">
        <v>140</v>
      </c>
      <c r="Q111" s="36">
        <v>2.0154302060462904E-2</v>
      </c>
      <c r="R111" s="36">
        <v>2.7585999999999999E-2</v>
      </c>
      <c r="T111" s="36"/>
      <c r="U111" s="74">
        <v>0</v>
      </c>
    </row>
    <row r="112" spans="1:21" x14ac:dyDescent="0.3">
      <c r="A112" s="14" t="str">
        <f t="shared" si="4"/>
        <v>(140, 160]</v>
      </c>
      <c r="B112" s="75">
        <v>343531</v>
      </c>
      <c r="C112" s="75">
        <v>5146233665</v>
      </c>
      <c r="D112" s="36">
        <v>0.049094688462646</v>
      </c>
      <c r="E112" s="69">
        <v>149.804054510364</v>
      </c>
      <c r="F112" s="73"/>
      <c r="G112" s="14" t="str">
        <f t="shared" si="5"/>
        <v>(140, 160]</v>
      </c>
      <c r="H112" s="81">
        <v>0.603207595920121</v>
      </c>
      <c r="I112" s="79">
        <v>0.029614289</v>
      </c>
      <c r="J112" s="79">
        <v>0.029614289</v>
      </c>
      <c r="K112" s="71">
        <v>29614289</v>
      </c>
      <c r="L112" s="79">
        <v>0.029614289</v>
      </c>
      <c r="M112" s="79">
        <v>4.43634056364168</v>
      </c>
      <c r="N112" s="73"/>
      <c r="O112" s="59">
        <v>140</v>
      </c>
      <c r="P112" s="59">
        <v>160</v>
      </c>
      <c r="Q112" s="36">
        <v>2.9318996087956989E-2</v>
      </c>
      <c r="R112" s="36">
        <v>4.8275999999999999E-2</v>
      </c>
      <c r="T112" s="36"/>
      <c r="U112" s="74">
        <v>0</v>
      </c>
    </row>
    <row r="113" spans="1:21" x14ac:dyDescent="0.3">
      <c r="A113" s="14" t="str">
        <f t="shared" si="4"/>
        <v>(160, 180]</v>
      </c>
      <c r="B113" s="75">
        <v>298628</v>
      </c>
      <c r="C113" s="75">
        <v>5070946225</v>
      </c>
      <c r="D113" s="36">
        <v>0.0426775127316692</v>
      </c>
      <c r="E113" s="69">
        <v>169.8081300146</v>
      </c>
      <c r="F113" s="73"/>
      <c r="G113" s="14" t="str">
        <f t="shared" si="5"/>
        <v>(160, 180]</v>
      </c>
      <c r="H113" s="81">
        <v>0.330327826006101</v>
      </c>
      <c r="I113" s="79">
        <v>0.01409757</v>
      </c>
      <c r="J113" s="79">
        <v>0.01409757</v>
      </c>
      <c r="K113" s="71">
        <v>14097570</v>
      </c>
      <c r="L113" s="79">
        <v>0.01409757</v>
      </c>
      <c r="M113" s="79">
        <v>2.39388199944993</v>
      </c>
      <c r="N113" s="73"/>
      <c r="O113" s="59">
        <v>160</v>
      </c>
      <c r="P113" s="59">
        <v>180</v>
      </c>
      <c r="Q113" s="36">
        <v>1.3919072041757217E-2</v>
      </c>
      <c r="R113" s="36">
        <v>2.7585999999999999E-2</v>
      </c>
      <c r="T113" s="36"/>
      <c r="U113" s="74">
        <v>0</v>
      </c>
    </row>
    <row r="114" spans="1:21" x14ac:dyDescent="0.3">
      <c r="A114" s="14" t="str">
        <f t="shared" si="4"/>
        <v>(180, 200]</v>
      </c>
      <c r="B114" s="75">
        <v>258337</v>
      </c>
      <c r="C114" s="75">
        <v>4903415715</v>
      </c>
      <c r="D114" s="36">
        <v>0.036919446959298</v>
      </c>
      <c r="E114" s="69">
        <v>189.806946546565</v>
      </c>
      <c r="F114" s="73"/>
      <c r="G114" s="14" t="str">
        <f t="shared" si="5"/>
        <v>(180, 200]</v>
      </c>
      <c r="H114" s="81">
        <v>0.397752518237593</v>
      </c>
      <c r="I114" s="79">
        <v>0.014684803</v>
      </c>
      <c r="J114" s="79">
        <v>0.014684803</v>
      </c>
      <c r="K114" s="71">
        <v>14684803</v>
      </c>
      <c r="L114" s="79">
        <v>0.014684803</v>
      </c>
      <c r="M114" s="79">
        <v>2.78727761806784</v>
      </c>
      <c r="N114" s="73"/>
      <c r="O114" s="59">
        <v>180</v>
      </c>
      <c r="P114" s="59">
        <v>200</v>
      </c>
      <c r="Q114" s="36">
        <v>1.4459482043378446E-2</v>
      </c>
      <c r="R114" s="36">
        <v>3.4483E-2</v>
      </c>
      <c r="T114" s="36"/>
      <c r="U114" s="74">
        <v>0</v>
      </c>
    </row>
    <row r="115" spans="1:21" x14ac:dyDescent="0.3">
      <c r="A115" s="14" t="str">
        <f t="shared" si="4"/>
        <v>(200, 250]</v>
      </c>
      <c r="B115" s="75">
        <v>513423</v>
      </c>
      <c r="C115" s="75">
        <v>11482735530</v>
      </c>
      <c r="D115" s="36">
        <v>0.0733742871372805</v>
      </c>
      <c r="E115" s="69">
        <v>223.65058694293</v>
      </c>
      <c r="F115" s="73"/>
      <c r="G115" s="14" t="str">
        <f t="shared" si="5"/>
        <v>(200, 250]</v>
      </c>
      <c r="H115" s="81">
        <v>0.0182359795536624</v>
      </c>
      <c r="I115" s="79">
        <v>0.001338052</v>
      </c>
      <c r="J115" s="79">
        <v>0.001338052</v>
      </c>
      <c r="K115" s="71">
        <v>1338052</v>
      </c>
      <c r="L115" s="79">
        <v>0.001338052</v>
      </c>
      <c r="M115" s="79">
        <v>0.299256115160161</v>
      </c>
      <c r="N115" s="73"/>
      <c r="O115" s="59">
        <v>200</v>
      </c>
      <c r="P115" s="59">
        <v>250</v>
      </c>
      <c r="Q115" s="36">
        <v>1.0281150030843451E-3</v>
      </c>
      <c r="R115" s="36">
        <v>1.3793E-2</v>
      </c>
      <c r="T115" s="36"/>
      <c r="U115" s="74">
        <v>0</v>
      </c>
    </row>
    <row r="116" spans="1:21" x14ac:dyDescent="0.3">
      <c r="A116" s="14" t="str">
        <f t="shared" si="4"/>
        <v>(250, 300]</v>
      </c>
      <c r="B116" s="75">
        <v>370638</v>
      </c>
      <c r="C116" s="75">
        <v>10146620445</v>
      </c>
      <c r="D116" s="36">
        <v>0.0529686029569914</v>
      </c>
      <c r="E116" s="69">
        <v>273.760932365273</v>
      </c>
      <c r="F116" s="73"/>
      <c r="G116" s="14" t="str">
        <f t="shared" si="5"/>
        <v>(250, 300]</v>
      </c>
      <c r="H116" s="81">
        <v>0.0206372820685413</v>
      </c>
      <c r="I116" s="79">
        <v>0.001093128</v>
      </c>
      <c r="J116" s="79">
        <v>0.001093128</v>
      </c>
      <c r="K116" s="71">
        <v>1093128</v>
      </c>
      <c r="L116" s="79">
        <v>0.001093128</v>
      </c>
      <c r="M116" s="79">
        <v>0.299255740474586</v>
      </c>
      <c r="N116" s="73"/>
      <c r="O116" s="59">
        <v>250</v>
      </c>
      <c r="P116" s="59">
        <v>300</v>
      </c>
      <c r="Q116" s="36">
        <v>8.4073100252219301E-4</v>
      </c>
      <c r="R116" s="36">
        <v>1.3793E-2</v>
      </c>
      <c r="T116" s="36"/>
      <c r="U116" s="74">
        <v>0</v>
      </c>
    </row>
    <row r="117" spans="1:21" x14ac:dyDescent="0.3">
      <c r="A117" s="14" t="str">
        <f t="shared" si="4"/>
        <v>(300, 350]</v>
      </c>
      <c r="B117" s="75">
        <v>274053</v>
      </c>
      <c r="C117" s="75">
        <v>8873479165</v>
      </c>
      <c r="D117" s="36">
        <v>0.0391654513195419</v>
      </c>
      <c r="E117" s="69">
        <v>323.786974234911</v>
      </c>
      <c r="F117" s="73"/>
      <c r="G117" s="14" t="str">
        <f t="shared" si="5"/>
        <v>(300, 350]</v>
      </c>
      <c r="H117" s="81">
        <v>0.0235982726832219</v>
      </c>
      <c r="I117" s="79">
        <v>0.000924237</v>
      </c>
      <c r="J117" s="79">
        <v>0.000924237</v>
      </c>
      <c r="K117" s="71">
        <v>924237</v>
      </c>
      <c r="L117" s="79">
        <v>0.000924237</v>
      </c>
      <c r="M117" s="79">
        <v>0.299255901705951</v>
      </c>
      <c r="N117" s="73"/>
      <c r="O117" s="59">
        <v>300</v>
      </c>
      <c r="P117" s="59">
        <v>350</v>
      </c>
      <c r="Q117" s="36">
        <v>7.11196002133588E-4</v>
      </c>
      <c r="R117" s="36">
        <v>6.8970000000000004E-3</v>
      </c>
      <c r="T117" s="36"/>
      <c r="U117" s="74">
        <v>0</v>
      </c>
    </row>
    <row r="118" spans="1:21" x14ac:dyDescent="0.3">
      <c r="A118" s="14" t="str">
        <f t="shared" ref="A118:A149" si="6">"("&amp;$O118&amp;", "&amp;$P118&amp;"]"</f>
        <v>(350, 400]</v>
      </c>
      <c r="B118" s="75">
        <v>205430</v>
      </c>
      <c r="C118" s="75">
        <v>7680838935</v>
      </c>
      <c r="D118" s="36">
        <v>0.0293584039020682</v>
      </c>
      <c r="E118" s="69">
        <v>373.890811225235</v>
      </c>
      <c r="F118" s="73"/>
      <c r="G118" s="14" t="str">
        <f t="shared" ref="G118:G149" si="7">"("&amp;$O118&amp;", "&amp;$P118&amp;"]"</f>
        <v>(350, 400]</v>
      </c>
      <c r="H118" s="81">
        <v>0.0272624493712213</v>
      </c>
      <c r="I118" s="79">
        <v>0.000800382</v>
      </c>
      <c r="J118" s="79">
        <v>0.000800382</v>
      </c>
      <c r="K118" s="71">
        <v>800382</v>
      </c>
      <c r="L118" s="79">
        <v>0.000800382</v>
      </c>
      <c r="M118" s="79">
        <v>0.299255475270076</v>
      </c>
      <c r="N118" s="73"/>
      <c r="O118" s="59">
        <v>350</v>
      </c>
      <c r="P118" s="59">
        <v>400</v>
      </c>
      <c r="Q118" s="36">
        <v>6.1617400184852203E-4</v>
      </c>
      <c r="R118" s="36">
        <v>6.8970000000000004E-3</v>
      </c>
      <c r="T118" s="36"/>
      <c r="U118" s="74">
        <v>0</v>
      </c>
    </row>
    <row r="119" spans="1:21" x14ac:dyDescent="0.3">
      <c r="A119" s="14" t="str">
        <f t="shared" si="6"/>
        <v>(400, 450]</v>
      </c>
      <c r="B119" s="75">
        <v>155982</v>
      </c>
      <c r="C119" s="75">
        <v>6612380765</v>
      </c>
      <c r="D119" s="36">
        <v>0.0222916933137925</v>
      </c>
      <c r="E119" s="69">
        <v>423.919475644626</v>
      </c>
      <c r="F119" s="73"/>
      <c r="G119" s="14" t="str">
        <f t="shared" si="7"/>
        <v>(400, 450]</v>
      </c>
      <c r="H119" s="81">
        <v>0.0316676705561539</v>
      </c>
      <c r="I119" s="79">
        <v>0.000705926</v>
      </c>
      <c r="J119" s="79">
        <v>0.000705926</v>
      </c>
      <c r="K119" s="71">
        <v>705926</v>
      </c>
      <c r="L119" s="79">
        <v>0.000705926</v>
      </c>
      <c r="M119" s="79">
        <v>0.299255779763908</v>
      </c>
      <c r="N119" s="73"/>
      <c r="O119" s="59">
        <v>400</v>
      </c>
      <c r="P119" s="59">
        <v>450</v>
      </c>
      <c r="Q119" s="36">
        <v>5.4362800163088401E-4</v>
      </c>
      <c r="R119" s="36">
        <v>0</v>
      </c>
      <c r="T119" s="36"/>
      <c r="U119" s="74">
        <v>0</v>
      </c>
    </row>
    <row r="120" spans="1:21" x14ac:dyDescent="0.3">
      <c r="A120" s="14" t="str">
        <f t="shared" si="6"/>
        <v>(450, 500]</v>
      </c>
      <c r="B120" s="75">
        <v>121473</v>
      </c>
      <c r="C120" s="75">
        <v>5758476855</v>
      </c>
      <c r="D120" s="36">
        <v>0.0173599444929948</v>
      </c>
      <c r="E120" s="69">
        <v>474.054057691833</v>
      </c>
      <c r="F120" s="73"/>
      <c r="G120" s="14" t="str">
        <f t="shared" si="7"/>
        <v>(450, 500]</v>
      </c>
      <c r="H120" s="81">
        <v>0.0363635379280581</v>
      </c>
      <c r="I120" s="79">
        <v>0.000631269</v>
      </c>
      <c r="J120" s="79">
        <v>0.000631269</v>
      </c>
      <c r="K120" s="71">
        <v>631269</v>
      </c>
      <c r="L120" s="79">
        <v>0.000631269</v>
      </c>
      <c r="M120" s="79">
        <v>0.299255630945066</v>
      </c>
      <c r="N120" s="73"/>
      <c r="O120" s="59">
        <v>450</v>
      </c>
      <c r="P120" s="59">
        <v>500</v>
      </c>
      <c r="Q120" s="36">
        <v>4.8631700145895101E-4</v>
      </c>
      <c r="R120" s="36">
        <v>0</v>
      </c>
      <c r="T120" s="36"/>
      <c r="U120" s="74">
        <v>0</v>
      </c>
    </row>
    <row r="121" spans="1:21" x14ac:dyDescent="0.3">
      <c r="A121" s="14" t="str">
        <f t="shared" si="6"/>
        <v>(500, 550]</v>
      </c>
      <c r="B121" s="75">
        <v>95846</v>
      </c>
      <c r="C121" s="75">
        <v>5022192925</v>
      </c>
      <c r="D121" s="36">
        <v>0.013697539699156</v>
      </c>
      <c r="E121" s="69">
        <v>523.985656678422</v>
      </c>
      <c r="F121" s="73"/>
      <c r="G121" s="14" t="str">
        <f t="shared" si="7"/>
        <v>(500, 550]</v>
      </c>
      <c r="H121" s="81">
        <v>0.0416946409752102</v>
      </c>
      <c r="I121" s="79">
        <v>0.000571114</v>
      </c>
      <c r="J121" s="79">
        <v>0.000571114</v>
      </c>
      <c r="K121" s="71">
        <v>571114</v>
      </c>
      <c r="L121" s="79">
        <v>0.000571114</v>
      </c>
      <c r="M121" s="79">
        <v>0.29925554432824</v>
      </c>
      <c r="N121" s="73"/>
      <c r="O121" s="59">
        <v>500</v>
      </c>
      <c r="P121" s="59">
        <v>550</v>
      </c>
      <c r="Q121" s="36">
        <v>4.39923001319769E-4</v>
      </c>
      <c r="R121" s="36">
        <v>0</v>
      </c>
      <c r="T121" s="36"/>
      <c r="U121" s="74">
        <v>0</v>
      </c>
    </row>
    <row r="122" spans="1:21" x14ac:dyDescent="0.3">
      <c r="A122" s="14" t="str">
        <f t="shared" si="6"/>
        <v>(550, 600]</v>
      </c>
      <c r="B122" s="75">
        <v>76191</v>
      </c>
      <c r="C122" s="75">
        <v>4374443840</v>
      </c>
      <c r="D122" s="36">
        <v>0.0108886051292531</v>
      </c>
      <c r="E122" s="69">
        <v>574.141806775078</v>
      </c>
      <c r="F122" s="73"/>
      <c r="G122" s="14" t="str">
        <f t="shared" si="7"/>
        <v>(550, 600]</v>
      </c>
      <c r="H122" s="70">
        <v>0.0478686658036382</v>
      </c>
      <c r="I122" s="36">
        <v>0.000521223</v>
      </c>
      <c r="J122" s="36">
        <v>0.000521223</v>
      </c>
      <c r="K122" s="71">
        <v>521223</v>
      </c>
      <c r="L122" s="36">
        <v>0.000521223</v>
      </c>
      <c r="M122" s="36">
        <v>0.299255914952727</v>
      </c>
      <c r="N122" s="73"/>
      <c r="O122" s="59">
        <v>550</v>
      </c>
      <c r="P122" s="59">
        <v>600</v>
      </c>
      <c r="Q122" s="36">
        <v>4.0164300120492898E-4</v>
      </c>
      <c r="R122" s="36">
        <v>0</v>
      </c>
      <c r="T122" s="36"/>
      <c r="U122" s="74">
        <v>0</v>
      </c>
    </row>
    <row r="123" spans="1:21" x14ac:dyDescent="0.3">
      <c r="A123" s="14" t="str">
        <f t="shared" si="6"/>
        <v>(600, 650]</v>
      </c>
      <c r="B123" s="75">
        <v>61071</v>
      </c>
      <c r="C123" s="75">
        <v>3811243745</v>
      </c>
      <c r="D123" s="36">
        <v>0.00872777629705108</v>
      </c>
      <c r="E123" s="69">
        <v>624.067682697189</v>
      </c>
      <c r="F123" s="73"/>
      <c r="G123" s="14" t="str">
        <f t="shared" si="7"/>
        <v>(600, 650]</v>
      </c>
      <c r="H123" s="70">
        <v>0.054942402701364</v>
      </c>
      <c r="I123" s="36">
        <v>0.000479525</v>
      </c>
      <c r="J123" s="36">
        <v>0.000479525</v>
      </c>
      <c r="K123" s="71">
        <v>479525</v>
      </c>
      <c r="L123" s="36">
        <v>0.000479525</v>
      </c>
      <c r="M123" s="36">
        <v>0.299256055545369</v>
      </c>
      <c r="N123" s="73"/>
      <c r="O123" s="59">
        <v>600</v>
      </c>
      <c r="P123" s="59">
        <v>650</v>
      </c>
      <c r="Q123" s="36">
        <v>3.69498001108494E-4</v>
      </c>
      <c r="R123" s="36">
        <v>6.8970000000000004E-3</v>
      </c>
      <c r="T123" s="36"/>
      <c r="U123" s="74">
        <v>0</v>
      </c>
    </row>
    <row r="124" spans="1:21" x14ac:dyDescent="0.3">
      <c r="A124" s="14" t="str">
        <f t="shared" si="6"/>
        <v>(650, 700]</v>
      </c>
      <c r="B124" s="75">
        <v>49505</v>
      </c>
      <c r="C124" s="75">
        <v>3337761550</v>
      </c>
      <c r="D124" s="36">
        <v>0.00707485656998434</v>
      </c>
      <c r="E124" s="69">
        <v>674.227158872841</v>
      </c>
      <c r="F124" s="73"/>
      <c r="G124" s="14" t="str">
        <f t="shared" si="7"/>
        <v>(650, 700]</v>
      </c>
      <c r="H124" s="70">
        <v>0.0627362541712958</v>
      </c>
      <c r="I124" s="36">
        <v>0.00044385</v>
      </c>
      <c r="J124" s="36">
        <v>0.00044385</v>
      </c>
      <c r="K124" s="71">
        <v>443850</v>
      </c>
      <c r="L124" s="36">
        <v>0.00044385</v>
      </c>
      <c r="M124" s="36">
        <v>0.29925572446571</v>
      </c>
      <c r="N124" s="73"/>
      <c r="O124" s="59">
        <v>650</v>
      </c>
      <c r="P124" s="59">
        <v>700</v>
      </c>
      <c r="Q124" s="36">
        <v>3.4211600102634801E-4</v>
      </c>
      <c r="R124" s="36">
        <v>0</v>
      </c>
      <c r="T124" s="36"/>
      <c r="U124" s="74">
        <v>0</v>
      </c>
    </row>
    <row r="125" spans="1:21" x14ac:dyDescent="0.3">
      <c r="A125" s="14" t="str">
        <f t="shared" si="6"/>
        <v>(700, 750]</v>
      </c>
      <c r="B125" s="75">
        <v>40886</v>
      </c>
      <c r="C125" s="75">
        <v>2961427510</v>
      </c>
      <c r="D125" s="36">
        <v>0.00584309838845329</v>
      </c>
      <c r="E125" s="69">
        <v>724.313337083598</v>
      </c>
      <c r="F125" s="73"/>
      <c r="G125" s="14" t="str">
        <f t="shared" si="7"/>
        <v>(700, 750]</v>
      </c>
      <c r="H125" s="70">
        <v>0.0707087186511275</v>
      </c>
      <c r="I125" s="36">
        <v>0.000413158</v>
      </c>
      <c r="J125" s="36">
        <v>0.000413158</v>
      </c>
      <c r="K125" s="71">
        <v>413158</v>
      </c>
      <c r="L125" s="36">
        <v>0.000413158</v>
      </c>
      <c r="M125" s="36">
        <v>0.299255849722785</v>
      </c>
      <c r="N125" s="73"/>
      <c r="O125" s="59">
        <v>700</v>
      </c>
      <c r="P125" s="59">
        <v>750</v>
      </c>
      <c r="Q125" s="36">
        <v>3.18458000955374E-4</v>
      </c>
      <c r="R125" s="36">
        <v>0</v>
      </c>
      <c r="T125" s="36"/>
      <c r="U125" s="74">
        <v>0</v>
      </c>
    </row>
    <row r="126" spans="1:21" x14ac:dyDescent="0.3">
      <c r="A126" s="14" t="str">
        <f t="shared" si="6"/>
        <v>(750, 800]</v>
      </c>
      <c r="B126" s="75">
        <v>33857</v>
      </c>
      <c r="C126" s="75">
        <v>2621391690</v>
      </c>
      <c r="D126" s="36">
        <v>0.00483857022300697</v>
      </c>
      <c r="E126" s="69">
        <v>774.253977021</v>
      </c>
      <c r="F126" s="73"/>
      <c r="G126" s="14" t="str">
        <f t="shared" si="7"/>
        <v>(750, 800]</v>
      </c>
      <c r="H126" s="70">
        <v>0.0798808288783708</v>
      </c>
      <c r="I126" s="36">
        <v>0.000386509</v>
      </c>
      <c r="J126" s="36">
        <v>0.000386509</v>
      </c>
      <c r="K126" s="71">
        <v>386509</v>
      </c>
      <c r="L126" s="36">
        <v>0.000386509</v>
      </c>
      <c r="M126" s="36">
        <v>0.29925613040441</v>
      </c>
      <c r="N126" s="73"/>
      <c r="O126" s="59">
        <v>750</v>
      </c>
      <c r="P126" s="59">
        <v>800</v>
      </c>
      <c r="Q126" s="36">
        <v>2.9791500089374498E-4</v>
      </c>
      <c r="R126" s="36">
        <v>0</v>
      </c>
      <c r="T126" s="36"/>
      <c r="U126" s="74">
        <v>0</v>
      </c>
    </row>
    <row r="127" spans="1:21" x14ac:dyDescent="0.3">
      <c r="A127" s="14" t="str">
        <f t="shared" si="6"/>
        <v>(800, 850]</v>
      </c>
      <c r="B127" s="75">
        <v>28291</v>
      </c>
      <c r="C127" s="75">
        <v>2332011670</v>
      </c>
      <c r="D127" s="36">
        <v>0.00404312225475057</v>
      </c>
      <c r="E127" s="69">
        <v>824.294535364604</v>
      </c>
      <c r="F127" s="73"/>
      <c r="G127" s="14" t="str">
        <f t="shared" si="7"/>
        <v>(800, 850]</v>
      </c>
      <c r="H127" s="70">
        <v>0.0897932283827012</v>
      </c>
      <c r="I127" s="36">
        <v>0.000363045</v>
      </c>
      <c r="J127" s="36">
        <v>0.000363045</v>
      </c>
      <c r="K127" s="71">
        <v>363045</v>
      </c>
      <c r="L127" s="36">
        <v>0.000363045</v>
      </c>
      <c r="M127" s="36">
        <v>0.299256009591443</v>
      </c>
      <c r="N127" s="73"/>
      <c r="O127" s="59">
        <v>800</v>
      </c>
      <c r="P127" s="59">
        <v>850</v>
      </c>
      <c r="Q127" s="36">
        <v>2.7985200083955599E-4</v>
      </c>
      <c r="R127" s="36">
        <v>0</v>
      </c>
      <c r="T127" s="36"/>
      <c r="U127" s="74">
        <v>0</v>
      </c>
    </row>
    <row r="128" spans="1:21" x14ac:dyDescent="0.3">
      <c r="A128" s="14" t="str">
        <f t="shared" si="6"/>
        <v>(850, 900]</v>
      </c>
      <c r="B128" s="75">
        <v>23625</v>
      </c>
      <c r="C128" s="75">
        <v>2065488815</v>
      </c>
      <c r="D128" s="36">
        <v>0.00337629505031573</v>
      </c>
      <c r="E128" s="69">
        <v>874.28097989418</v>
      </c>
      <c r="F128" s="73"/>
      <c r="G128" s="14" t="str">
        <f t="shared" si="7"/>
        <v>(850, 900]</v>
      </c>
      <c r="H128" s="70">
        <v>0.10137976536381</v>
      </c>
      <c r="I128" s="36">
        <v>0.000342288</v>
      </c>
      <c r="J128" s="36">
        <v>0.000342288</v>
      </c>
      <c r="K128" s="72">
        <v>342288</v>
      </c>
      <c r="L128" s="36">
        <v>0.000342288</v>
      </c>
      <c r="M128" s="36">
        <v>0.299255888046019</v>
      </c>
      <c r="N128" s="73"/>
      <c r="O128" s="59">
        <v>850</v>
      </c>
      <c r="P128" s="59">
        <v>900</v>
      </c>
      <c r="Q128" s="36">
        <v>2.6381600079144801E-4</v>
      </c>
      <c r="R128" s="36">
        <v>0</v>
      </c>
      <c r="T128" s="36"/>
      <c r="U128" s="74">
        <v>0</v>
      </c>
    </row>
    <row r="129" spans="1:21" x14ac:dyDescent="0.3">
      <c r="A129" s="14" t="str">
        <f t="shared" si="6"/>
        <v>(900, 950]</v>
      </c>
      <c r="B129" s="75">
        <v>20107</v>
      </c>
      <c r="C129" s="75">
        <v>1858657770</v>
      </c>
      <c r="D129" s="36">
        <v>0.00287353077573326</v>
      </c>
      <c r="E129" s="69">
        <v>924.383433630079</v>
      </c>
      <c r="F129" s="73"/>
      <c r="G129" s="14" t="str">
        <f t="shared" si="7"/>
        <v>(900, 950]</v>
      </c>
      <c r="H129" s="70">
        <v>0.112661399952255</v>
      </c>
      <c r="I129" s="36">
        <v>0.000323736</v>
      </c>
      <c r="J129" s="36">
        <v>0.000323736</v>
      </c>
      <c r="K129" s="72">
        <v>323736</v>
      </c>
      <c r="L129" s="36">
        <v>0.000323736</v>
      </c>
      <c r="M129" s="36">
        <v>0.299256195269667</v>
      </c>
      <c r="N129" s="73"/>
      <c r="O129" s="59">
        <v>900</v>
      </c>
      <c r="P129" s="59">
        <v>950</v>
      </c>
      <c r="Q129" s="36">
        <v>2.49579000748737E-4</v>
      </c>
      <c r="R129" s="36">
        <v>6.8970000000000004E-3</v>
      </c>
      <c r="T129" s="36"/>
      <c r="U129" s="74">
        <v>0</v>
      </c>
    </row>
    <row r="130" spans="1:21" x14ac:dyDescent="0.3">
      <c r="A130" s="14" t="str">
        <f t="shared" si="6"/>
        <v>(950, 1000]</v>
      </c>
      <c r="B130" s="75">
        <v>17001</v>
      </c>
      <c r="C130" s="75">
        <v>1656429300</v>
      </c>
      <c r="D130" s="36">
        <v>0.00242964622858911</v>
      </c>
      <c r="E130" s="69">
        <v>974.312863949179</v>
      </c>
      <c r="F130" s="73"/>
      <c r="G130" s="14" t="str">
        <f t="shared" si="7"/>
        <v>(950, 1000]</v>
      </c>
      <c r="H130" s="70">
        <v>0.126415523538321</v>
      </c>
      <c r="I130" s="36">
        <v>0.000307145</v>
      </c>
      <c r="J130" s="36">
        <v>0.000307145</v>
      </c>
      <c r="K130" s="72">
        <v>307145</v>
      </c>
      <c r="L130" s="36">
        <v>0.000307145</v>
      </c>
      <c r="M130" s="36">
        <v>0.299255324597671</v>
      </c>
      <c r="N130" s="73"/>
      <c r="O130" s="59">
        <v>950</v>
      </c>
      <c r="P130" s="59">
        <v>1000</v>
      </c>
      <c r="Q130" s="36">
        <v>2.36735000710205E-4</v>
      </c>
      <c r="R130" s="36">
        <v>0</v>
      </c>
      <c r="T130" s="36"/>
      <c r="U130" s="74">
        <v>0</v>
      </c>
    </row>
    <row r="131" spans="1:21" x14ac:dyDescent="0.3">
      <c r="A131" s="14" t="str">
        <f t="shared" si="6"/>
        <v>(1000, 2000]</v>
      </c>
      <c r="B131" s="75">
        <v>109395</v>
      </c>
      <c r="C131" s="75">
        <v>14362391790</v>
      </c>
      <c r="D131" s="36">
        <v>0.0156338538425096</v>
      </c>
      <c r="E131" s="69">
        <v>1312.89289181407</v>
      </c>
      <c r="F131" s="73"/>
      <c r="G131" s="14" t="str">
        <f t="shared" si="7"/>
        <v>(1000, 2000]</v>
      </c>
      <c r="H131" s="70">
        <v>0.0145796425050505</v>
      </c>
      <c r="I131" s="36">
        <v>0.000227936</v>
      </c>
      <c r="J131" s="36">
        <v>0.000227936</v>
      </c>
      <c r="K131" s="72">
        <v>227936</v>
      </c>
      <c r="L131" s="36">
        <v>0.000227936</v>
      </c>
      <c r="M131" s="36">
        <v>0.299255554188532</v>
      </c>
      <c r="N131" s="73"/>
      <c r="O131" s="59">
        <v>1000</v>
      </c>
      <c r="P131" s="59">
        <v>2000</v>
      </c>
      <c r="Q131" s="36">
        <v>1.6616400049849201E-4</v>
      </c>
      <c r="R131" s="36">
        <v>0</v>
      </c>
      <c r="T131" s="36"/>
      <c r="U131" s="74">
        <v>0</v>
      </c>
    </row>
    <row r="132" spans="1:21" x14ac:dyDescent="0.3">
      <c r="A132" s="14" t="str">
        <f t="shared" si="6"/>
        <v>(2000, 3000]</v>
      </c>
      <c r="B132" s="75">
        <v>13326</v>
      </c>
      <c r="C132" s="75">
        <v>3153908440</v>
      </c>
      <c r="D132" s="36">
        <v>0.00190444477631777</v>
      </c>
      <c r="E132" s="69">
        <v>2366.73303316824</v>
      </c>
      <c r="F132" s="73"/>
      <c r="G132" s="14" t="str">
        <f t="shared" si="7"/>
        <v>(2000, 3000]</v>
      </c>
      <c r="H132" s="70">
        <v>0.132787258073691</v>
      </c>
      <c r="I132" s="36">
        <v>0.000252886</v>
      </c>
      <c r="J132" s="36">
        <v>0.000252886</v>
      </c>
      <c r="K132" s="72">
        <v>252886</v>
      </c>
      <c r="L132" s="36">
        <v>0.000252886</v>
      </c>
      <c r="M132" s="36">
        <v>0.598513649825784</v>
      </c>
      <c r="N132" s="73"/>
      <c r="O132" s="59">
        <v>2000</v>
      </c>
      <c r="P132" s="59">
        <v>3000</v>
      </c>
      <c r="Q132" s="36">
        <v>1.9043900057131701E-4</v>
      </c>
      <c r="R132" s="36">
        <v>0</v>
      </c>
      <c r="T132" s="36"/>
      <c r="U132" s="74">
        <v>0</v>
      </c>
    </row>
    <row r="133" spans="1:21" x14ac:dyDescent="0.3">
      <c r="A133" s="14" t="str">
        <f t="shared" si="6"/>
        <v>(3000, 4000]</v>
      </c>
      <c r="B133" s="75">
        <v>2933</v>
      </c>
      <c r="C133" s="75">
        <v>994750330</v>
      </c>
      <c r="D133" s="36">
        <v>0.000419160778098456</v>
      </c>
      <c r="E133" s="69">
        <v>3391.57971360382</v>
      </c>
      <c r="F133" s="73"/>
      <c r="G133" s="14" t="str">
        <f t="shared" si="7"/>
        <v>(3000, 4000]</v>
      </c>
      <c r="H133" s="70">
        <v>0</v>
      </c>
      <c r="I133" s="36">
        <v>0</v>
      </c>
      <c r="J133" s="36">
        <v>0</v>
      </c>
      <c r="K133" s="72">
        <v>0</v>
      </c>
      <c r="L133" s="36">
        <v>0</v>
      </c>
      <c r="M133" s="36">
        <v>0</v>
      </c>
      <c r="N133" s="73"/>
      <c r="O133" s="59">
        <v>3000</v>
      </c>
      <c r="P133" s="59">
        <v>4000</v>
      </c>
      <c r="Q133" s="36">
        <v>6.7076000201227997E-5</v>
      </c>
      <c r="R133" s="36">
        <v>0</v>
      </c>
      <c r="T133" s="36"/>
      <c r="U133" s="74">
        <v>0</v>
      </c>
    </row>
    <row r="134" spans="1:21" x14ac:dyDescent="0.3">
      <c r="A134" s="14" t="str">
        <f t="shared" si="6"/>
        <v>(4000, 5000]</v>
      </c>
      <c r="B134" s="75">
        <v>882</v>
      </c>
      <c r="C134" s="75">
        <v>389171095</v>
      </c>
      <c r="D134" s="36">
        <v>0.000126048348545121</v>
      </c>
      <c r="E134" s="69">
        <v>4412.37069160998</v>
      </c>
      <c r="F134" s="73"/>
      <c r="G134" s="14" t="str">
        <f t="shared" si="7"/>
        <v>(4000, 5000]</v>
      </c>
      <c r="H134" s="70">
        <v>0</v>
      </c>
      <c r="I134" s="36">
        <v>0</v>
      </c>
      <c r="J134" s="36">
        <v>0</v>
      </c>
      <c r="K134" s="72">
        <v>0</v>
      </c>
      <c r="L134" s="36">
        <v>0</v>
      </c>
      <c r="M134" s="36">
        <v>0</v>
      </c>
      <c r="N134" s="73"/>
      <c r="O134" s="59">
        <v>4000</v>
      </c>
      <c r="P134" s="59">
        <v>5000</v>
      </c>
      <c r="Q134" s="36">
        <v>5.1846000155538002E-5</v>
      </c>
      <c r="R134" s="36">
        <v>0</v>
      </c>
      <c r="T134" s="36"/>
      <c r="U134" s="74">
        <v>0</v>
      </c>
    </row>
    <row r="135" spans="1:21" x14ac:dyDescent="0.3">
      <c r="A135" s="14" t="str">
        <f t="shared" si="6"/>
        <v>(5000, 6000]</v>
      </c>
      <c r="B135" s="75">
        <v>298</v>
      </c>
      <c r="C135" s="75">
        <v>162368765</v>
      </c>
      <c r="D135" s="36">
        <v>4.25877640209137e-05</v>
      </c>
      <c r="E135" s="69">
        <v>5448.61627516779</v>
      </c>
      <c r="F135" s="73"/>
      <c r="G135" s="14" t="str">
        <f t="shared" si="7"/>
        <v>(5000, 6000]</v>
      </c>
      <c r="H135" s="70">
        <v>0</v>
      </c>
      <c r="I135" s="36">
        <v>0</v>
      </c>
      <c r="J135" s="36">
        <v>0</v>
      </c>
      <c r="K135" s="72">
        <v>0</v>
      </c>
      <c r="L135" s="36">
        <v>0</v>
      </c>
      <c r="M135" s="36">
        <v>0</v>
      </c>
      <c r="N135" s="73"/>
      <c r="O135" s="59">
        <v>5000</v>
      </c>
      <c r="P135" s="59">
        <v>6000</v>
      </c>
      <c r="Q135" s="36">
        <v>4.2283000126848999E-5</v>
      </c>
      <c r="R135" s="36">
        <v>0</v>
      </c>
      <c r="T135" s="36"/>
      <c r="U135" s="74">
        <v>0</v>
      </c>
    </row>
    <row r="136" spans="1:21" x14ac:dyDescent="0.3">
      <c r="A136" s="14" t="str">
        <f t="shared" si="6"/>
        <v>(6000, 7000]</v>
      </c>
      <c r="B136" s="75">
        <v>116</v>
      </c>
      <c r="C136" s="75">
        <v>74801250</v>
      </c>
      <c r="D136" s="36">
        <v>1.6577787337e-05</v>
      </c>
      <c r="E136" s="69">
        <v>6448.38362068966</v>
      </c>
      <c r="F136" s="73"/>
      <c r="G136" s="14" t="str">
        <f t="shared" si="7"/>
        <v>(6000, 7000]</v>
      </c>
      <c r="H136" s="70">
        <v>0</v>
      </c>
      <c r="I136" s="36">
        <v>0</v>
      </c>
      <c r="J136" s="36">
        <v>0</v>
      </c>
      <c r="K136" s="72">
        <v>0</v>
      </c>
      <c r="L136" s="36">
        <v>0</v>
      </c>
      <c r="M136" s="36">
        <v>0</v>
      </c>
      <c r="N136" s="73"/>
      <c r="O136" s="59">
        <v>6000</v>
      </c>
      <c r="P136" s="59">
        <v>7000</v>
      </c>
      <c r="Q136" s="36">
        <v>3.5711000107133002E-5</v>
      </c>
      <c r="R136" s="36">
        <v>0</v>
      </c>
      <c r="T136" s="36"/>
      <c r="U136" s="74">
        <v>0</v>
      </c>
    </row>
    <row r="137" spans="1:21" x14ac:dyDescent="0.3">
      <c r="A137" s="14" t="str">
        <f t="shared" si="6"/>
        <v>(7000, 8000]</v>
      </c>
      <c r="B137" s="75">
        <v>55</v>
      </c>
      <c r="C137" s="75">
        <v>40605295</v>
      </c>
      <c r="D137" s="36">
        <v>7.86015778909482e-06</v>
      </c>
      <c r="E137" s="69">
        <v>7382.78090909091</v>
      </c>
      <c r="F137" s="73"/>
      <c r="G137" s="14" t="str">
        <f t="shared" si="7"/>
        <v>(7000, 8000]</v>
      </c>
      <c r="H137" s="70">
        <v>0</v>
      </c>
      <c r="I137" s="36">
        <v>0</v>
      </c>
      <c r="J137" s="36">
        <v>0</v>
      </c>
      <c r="K137" s="72">
        <v>0</v>
      </c>
      <c r="L137" s="36">
        <v>0</v>
      </c>
      <c r="M137" s="36">
        <v>0</v>
      </c>
      <c r="N137" s="73"/>
      <c r="O137" s="59">
        <v>7000</v>
      </c>
      <c r="P137" s="59">
        <v>8000</v>
      </c>
      <c r="Q137" s="36">
        <v>3.0917000092750998E-5</v>
      </c>
      <c r="R137" s="36">
        <v>0</v>
      </c>
      <c r="T137" s="36"/>
      <c r="U137" s="74">
        <v>0</v>
      </c>
    </row>
    <row r="138" spans="1:21" x14ac:dyDescent="0.3">
      <c r="A138" s="14" t="str">
        <f t="shared" si="6"/>
        <v>(8000, 9000]</v>
      </c>
      <c r="B138" s="75">
        <v>22</v>
      </c>
      <c r="C138" s="75">
        <v>18835895</v>
      </c>
      <c r="D138" s="36">
        <v>3.14406311563793e-06</v>
      </c>
      <c r="E138" s="69">
        <v>8561.77045454545</v>
      </c>
      <c r="F138" s="73"/>
      <c r="G138" s="14" t="str">
        <f t="shared" si="7"/>
        <v>(8000, 9000]</v>
      </c>
      <c r="H138" s="70">
        <v>0</v>
      </c>
      <c r="I138" s="36">
        <v>0</v>
      </c>
      <c r="J138" s="36">
        <v>0</v>
      </c>
      <c r="K138" s="72">
        <v>0</v>
      </c>
      <c r="L138" s="36">
        <v>0</v>
      </c>
      <c r="M138" s="36">
        <v>0</v>
      </c>
      <c r="N138" s="73"/>
      <c r="O138" s="59">
        <v>8000</v>
      </c>
      <c r="P138" s="59">
        <v>9000</v>
      </c>
      <c r="Q138" s="36">
        <v>2.7253000081759E-5</v>
      </c>
      <c r="R138" s="36">
        <v>0</v>
      </c>
      <c r="T138" s="36"/>
      <c r="U138" s="74">
        <v>0</v>
      </c>
    </row>
    <row r="139" spans="1:21" x14ac:dyDescent="0.3">
      <c r="A139" s="14" t="str">
        <f t="shared" si="6"/>
        <v>(9000, 10000]</v>
      </c>
      <c r="B139" s="75">
        <v>11</v>
      </c>
      <c r="C139" s="75">
        <v>10522285</v>
      </c>
      <c r="D139" s="36">
        <v>1.57203155781896e-06</v>
      </c>
      <c r="E139" s="69">
        <v>9565.71363636364</v>
      </c>
      <c r="F139" s="73"/>
      <c r="G139" s="14" t="str">
        <f t="shared" si="7"/>
        <v>(9000, 10000]</v>
      </c>
      <c r="H139" s="70">
        <v>18.7528042</v>
      </c>
      <c r="I139" s="36">
        <v>2.948e-05</v>
      </c>
      <c r="J139" s="36">
        <v>2.948e-05</v>
      </c>
      <c r="K139" s="72">
        <v>29480</v>
      </c>
      <c r="L139" s="36">
        <v>2.948e-05</v>
      </c>
      <c r="M139" s="36">
        <v>0.281997238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str">
        <f t="shared" si="6"/>
        <v>(10000, 20000]</v>
      </c>
      <c r="B140" s="75">
        <v>13</v>
      </c>
      <c r="C140" s="75">
        <v>14889020</v>
      </c>
      <c r="D140" s="36">
        <v>1.85785547742241e-06</v>
      </c>
      <c r="E140" s="69">
        <v>11453.0923076923</v>
      </c>
      <c r="F140" s="73"/>
      <c r="G140" s="14" t="str">
        <f t="shared" si="7"/>
        <v>(10000, 20000]</v>
      </c>
      <c r="H140" s="70">
        <v>0</v>
      </c>
      <c r="I140" s="36">
        <v>0</v>
      </c>
      <c r="J140" s="36">
        <v>0</v>
      </c>
      <c r="K140" s="72">
        <v>0</v>
      </c>
      <c r="L140" s="36">
        <v>0</v>
      </c>
      <c r="M140" s="36">
        <v>0</v>
      </c>
      <c r="N140" s="73"/>
      <c r="O140" s="59">
        <v>10000</v>
      </c>
      <c r="P140" s="59">
        <v>20000</v>
      </c>
      <c r="Q140" s="36">
        <v>1.7846000053538E-5</v>
      </c>
      <c r="R140" s="36">
        <v>0</v>
      </c>
      <c r="T140" s="36"/>
      <c r="U140" s="74">
        <v>0</v>
      </c>
    </row>
    <row r="141" spans="1:21" x14ac:dyDescent="0.3">
      <c r="A141" s="14" t="str">
        <f t="shared" si="6"/>
        <v>(20000, 30000]</v>
      </c>
      <c r="B141" s="75">
        <v>0</v>
      </c>
      <c r="C141" s="75">
        <v>0</v>
      </c>
      <c r="D141" s="36">
        <v>0</v>
      </c>
      <c r="E141" s="69">
        <v>0</v>
      </c>
      <c r="F141" s="73"/>
      <c r="G141" s="14" t="str">
        <f t="shared" si="7"/>
        <v>(20000, 30000]</v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str">
        <f t="shared" si="6"/>
        <v>(30000, 40000]</v>
      </c>
      <c r="B142" s="75">
        <v>0</v>
      </c>
      <c r="C142" s="75">
        <v>0</v>
      </c>
      <c r="D142" s="36">
        <v>0</v>
      </c>
      <c r="E142" s="69">
        <v>0</v>
      </c>
      <c r="F142" s="73"/>
      <c r="G142" s="14" t="str">
        <f t="shared" si="7"/>
        <v>(30000, 40000]</v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str">
        <f t="shared" si="6"/>
        <v>(40000, 50000]</v>
      </c>
      <c r="B143" s="75">
        <v>0</v>
      </c>
      <c r="C143" s="75">
        <v>0</v>
      </c>
      <c r="D143" s="36">
        <v>0</v>
      </c>
      <c r="E143" s="69">
        <v>0</v>
      </c>
      <c r="F143" s="73"/>
      <c r="G143" s="14" t="str">
        <f t="shared" si="7"/>
        <v>(40000, 50000]</v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str">
        <f t="shared" si="6"/>
        <v>(50000, 60000]</v>
      </c>
      <c r="B144" s="75">
        <v>0</v>
      </c>
      <c r="C144" s="75">
        <v>0</v>
      </c>
      <c r="D144" s="36">
        <v>0</v>
      </c>
      <c r="E144" s="69">
        <v>0</v>
      </c>
      <c r="F144" s="73"/>
      <c r="G144" s="14" t="str">
        <f t="shared" si="7"/>
        <v>(50000, 60000]</v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str">
        <f t="shared" si="6"/>
        <v>(60000, 70000]</v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str">
        <f t="shared" si="7"/>
        <v>(60000, 70000]</v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str">
        <f t="shared" si="6"/>
        <v>(70000, 80000]</v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str">
        <f t="shared" si="7"/>
        <v>(70000, 80000]</v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str">
        <f t="shared" si="6"/>
        <v>(80000, 90000]</v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str">
        <f t="shared" si="7"/>
        <v>(80000, 90000]</v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str">
        <f t="shared" si="6"/>
        <v>(90000, 100000]</v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str">
        <f t="shared" si="7"/>
        <v>(90000, 100000]</v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str">
        <f t="shared" si="6"/>
        <v>(100000, 9999999]</v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str">
        <f t="shared" si="7"/>
        <v>(100000, 9999999]</v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2" spans="1:21" s="87" customFormat="1" ht="15.6" collapsed="1" x14ac:dyDescent="0.3">
      <c r="A152" s="96" t="s">
        <v>96</v>
      </c>
      <c r="B152" s="96" t="s">
        <v>90</v>
      </c>
      <c r="C152" s="96"/>
      <c r="D152" s="84"/>
      <c r="E152" s="84"/>
      <c r="F152" s="85"/>
      <c r="G152" s="96" t="s">
        <v>96</v>
      </c>
      <c r="H152" s="96" t="s">
        <v>90</v>
      </c>
      <c r="I152" s="86"/>
      <c r="J152" s="86"/>
      <c r="K152" s="86"/>
      <c r="L152" s="86"/>
      <c r="M152" s="86"/>
      <c r="N152" s="85"/>
      <c r="O152" s="96" t="s">
        <v>96</v>
      </c>
      <c r="P152" s="96" t="s">
        <v>90</v>
      </c>
    </row>
    <row r="153" spans="1:21" x14ac:dyDescent="0.3">
      <c r="A153" s="38"/>
      <c r="B153" s="1"/>
      <c r="C153" s="1"/>
      <c r="D153" s="1"/>
      <c r="E153" s="1"/>
      <c r="G153" s="46"/>
      <c r="H153" s="38"/>
      <c r="I153" s="38"/>
      <c r="J153" s="38"/>
      <c r="K153" s="38"/>
      <c r="L153" s="38"/>
      <c r="M153" s="38"/>
    </row>
    <row r="154" spans="1:21" x14ac:dyDescent="0.3">
      <c r="A154" s="65" t="s">
        <v>119</v>
      </c>
      <c r="B154" s="4">
        <v>100000000</v>
      </c>
      <c r="C154" s="1"/>
      <c r="D154" s="1"/>
      <c r="E154" s="1"/>
      <c r="G154" s="65" t="s">
        <v>103</v>
      </c>
      <c r="H154" s="38"/>
      <c r="I154" s="38"/>
      <c r="J154" s="38"/>
      <c r="K154" s="38"/>
      <c r="L154" s="38"/>
      <c r="M154" s="38"/>
    </row>
    <row r="155" spans="1:21" x14ac:dyDescent="0.3">
      <c r="A155" s="9" t="s">
        <v>109</v>
      </c>
      <c r="B155" s="9" t="s">
        <v>106</v>
      </c>
      <c r="C155" s="9" t="s">
        <v>107</v>
      </c>
      <c r="D155" s="9" t="s">
        <v>108</v>
      </c>
      <c r="E155" s="9" t="s">
        <v>87</v>
      </c>
      <c r="G155" s="9" t="s">
        <v>109</v>
      </c>
      <c r="H155" s="9" t="s">
        <v>110</v>
      </c>
      <c r="I155" s="9" t="s">
        <v>111</v>
      </c>
      <c r="J155" s="9" t="s">
        <v>112</v>
      </c>
      <c r="K155" s="9" t="s">
        <v>113</v>
      </c>
      <c r="L155" s="9" t="s">
        <v>88</v>
      </c>
      <c r="M155" s="9" t="s">
        <v>114</v>
      </c>
    </row>
    <row r="156" spans="1:21" x14ac:dyDescent="0.3">
      <c r="A156" s="14" t="s">
        <v>118</v>
      </c>
      <c r="B156" s="75">
        <v>100000000</v>
      </c>
      <c r="C156" s="75">
        <v>0</v>
      </c>
      <c r="D156" s="80">
        <v>1</v>
      </c>
      <c r="E156" s="69">
        <f>C156/B156/B3</f>
        <v>0</v>
      </c>
      <c r="F156" s="77"/>
      <c r="G156" s="14" t="s">
        <v>118</v>
      </c>
      <c r="H156" s="70">
        <v>1</v>
      </c>
      <c r="I156" s="36">
        <f>D156*H156</f>
        <v>1</v>
      </c>
      <c r="J156" s="80">
        <f>I156/SUM(I156)</f>
        <v>1</v>
      </c>
      <c r="K156" s="71">
        <f>INT(J156*$B$2)</f>
        <v>1000000000</v>
      </c>
      <c r="L156" s="36">
        <f>_xlfn.LET(_xlpm.x, K156, _xlpm.x/SUM(_xlpm.x))</f>
        <v>1</v>
      </c>
      <c r="M156" s="36">
        <f>L156*E156</f>
        <v>0</v>
      </c>
    </row>
    <row r="157" spans="1:21" x14ac:dyDescent="0.3">
      <c r="B157" s="1"/>
      <c r="C157" s="1"/>
      <c r="D157" s="1"/>
      <c r="E157" s="1"/>
      <c r="G157" s="46"/>
      <c r="H157" s="38"/>
      <c r="I157" s="38"/>
      <c r="J157" s="38"/>
      <c r="K157" s="38"/>
      <c r="L157" s="38"/>
      <c r="M157" s="38"/>
    </row>
    <row r="159" spans="1:21" s="87" customFormat="1" ht="15.6" x14ac:dyDescent="0.3">
      <c r="A159" s="96" t="s">
        <v>96</v>
      </c>
      <c r="B159" s="96" t="s">
        <v>91</v>
      </c>
      <c r="C159" s="96"/>
      <c r="D159" s="84"/>
      <c r="E159" s="84"/>
      <c r="F159" s="85"/>
      <c r="G159" s="96" t="s">
        <v>96</v>
      </c>
      <c r="H159" s="96" t="s">
        <v>91</v>
      </c>
      <c r="I159" s="86"/>
      <c r="J159" s="86"/>
      <c r="K159" s="86"/>
      <c r="L159" s="86"/>
      <c r="M159" s="86"/>
      <c r="N159" s="85"/>
      <c r="O159" s="96" t="s">
        <v>96</v>
      </c>
      <c r="P159" s="96" t="s">
        <v>91</v>
      </c>
    </row>
    <row r="160" spans="1:21" x14ac:dyDescent="0.3">
      <c r="A160" s="38"/>
      <c r="B160" s="1"/>
      <c r="C160" s="1"/>
      <c r="D160" s="1"/>
      <c r="E160" s="1"/>
      <c r="G160" s="46"/>
      <c r="H160" s="38"/>
      <c r="I160" s="38"/>
      <c r="J160" s="38"/>
      <c r="K160" s="38"/>
      <c r="L160" s="38"/>
      <c r="M160" s="38"/>
    </row>
    <row r="161" spans="1:21" x14ac:dyDescent="0.3">
      <c r="A161" s="65" t="s">
        <v>119</v>
      </c>
      <c r="C161" s="1"/>
      <c r="D161" s="1"/>
      <c r="E161" s="1"/>
      <c r="G161" s="65" t="s">
        <v>103</v>
      </c>
      <c r="H161" s="38"/>
      <c r="I161" s="38"/>
      <c r="J161" s="38"/>
      <c r="L161" s="38"/>
      <c r="M161" s="38"/>
    </row>
    <row r="162" spans="1:21" x14ac:dyDescent="0.3">
      <c r="A162" s="9" t="s">
        <v>109</v>
      </c>
      <c r="B162" s="9" t="s">
        <v>106</v>
      </c>
      <c r="C162" s="9" t="s">
        <v>107</v>
      </c>
      <c r="D162" s="9" t="s">
        <v>108</v>
      </c>
      <c r="E162" s="9" t="s">
        <v>87</v>
      </c>
      <c r="G162" s="9" t="s">
        <v>109</v>
      </c>
      <c r="H162" s="9" t="s">
        <v>110</v>
      </c>
      <c r="I162" s="9" t="s">
        <v>111</v>
      </c>
      <c r="J162" s="9" t="s">
        <v>112</v>
      </c>
      <c r="K162" s="9" t="s">
        <v>113</v>
      </c>
      <c r="L162" s="9" t="s">
        <v>88</v>
      </c>
      <c r="M162" s="9" t="s">
        <v>114</v>
      </c>
      <c r="O162" s="9" t="s">
        <v>104</v>
      </c>
      <c r="P162" s="9" t="s">
        <v>105</v>
      </c>
      <c r="Q162" s="12" t="s">
        <v>120</v>
      </c>
      <c r="R162" s="12" t="s">
        <v>115</v>
      </c>
      <c r="T162" s="12" t="s">
        <v>120</v>
      </c>
      <c r="U162" s="12" t="s">
        <v>116</v>
      </c>
    </row>
    <row r="163" spans="1:21" x14ac:dyDescent="0.3">
      <c r="A163" s="14" t="str">
        <f t="shared" ref="A163:A194" si="8">"("&amp;$O163&amp;", "&amp;$P163&amp;"]"</f>
        <v>(-1, 0]</v>
      </c>
      <c r="B163" s="82" cm="1">
        <f t="array" ref="B163:C226">B86:C149</f>
        <v>25321</v>
      </c>
      <c r="C163" s="82">
        <v>0</v>
      </c>
      <c r="D163" s="36" cm="1">
        <f t="array" ref="D163:D226">_xlfn.LET(_xlpm.x, B163:B226, _xlpm.x/SUM(_xlpm.x))</f>
        <v>0.00361867373413945</v>
      </c>
      <c r="E163" s="68" cm="1">
        <f t="array" ref="E163:E226">_xlfn.LET(_xlpm.x, C163:C226/B163:B226/B3, IF(ISERR(_xlpm.x), 0, _xlpm.x))</f>
        <v>0</v>
      </c>
      <c r="G163" s="14" t="str">
        <f t="shared" ref="G163:G194" si="9">"("&amp;$O163&amp;", "&amp;$P163&amp;"]"</f>
        <v>(-1, 0]</v>
      </c>
      <c r="H163" s="70">
        <v>0</v>
      </c>
      <c r="I163" s="36" cm="1">
        <f t="array" ref="I163:I226">_xlfn.ANCHORARRAY(D163)*H163:H226</f>
        <v>0</v>
      </c>
      <c r="J163" s="36" cm="1">
        <f t="array" ref="J163:J226">I163:I226/SUM(_xlfn.ANCHORARRAY(I163))</f>
        <v>0</v>
      </c>
      <c r="K163" s="71" cm="1">
        <f t="array" ref="K163:K226">INT(_xlfn.ANCHORARRAY(J163)*$B$2)</f>
        <v>0</v>
      </c>
      <c r="L163" s="36" cm="1">
        <f t="array" ref="L163:L226">_xlfn.LET(_xlpm.x, K163:K226, _xlpm.x/SUM(_xlpm.x))</f>
        <v>0</v>
      </c>
      <c r="M163" s="80" cm="1">
        <f t="array" ref="M163:M226">L163:L226*_xlfn.ANCHORARRAY(E163)</f>
        <v>0</v>
      </c>
      <c r="N163" s="73"/>
      <c r="O163" s="66">
        <v>-1</v>
      </c>
      <c r="P163" s="66">
        <v>0</v>
      </c>
      <c r="Q163" s="36" cm="1">
        <f t="array" ref="Q163:Q226">_xlfn.ANCHORARRAY(L163)</f>
        <v>0</v>
      </c>
      <c r="R163" s="36">
        <v>2.069E-2</v>
      </c>
      <c r="T163" s="36"/>
      <c r="U163" s="74" cm="1">
        <f t="array" ref="U163:U226">_xlfn.LET(_xlpm.x, T163:T226/L163:L226, IF(ISERR(_xlpm.x), 0, ROUND(_xlpm.x,2)))</f>
        <v>0</v>
      </c>
    </row>
    <row r="164" spans="1:21" x14ac:dyDescent="0.3">
      <c r="A164" s="14" t="str">
        <f t="shared" si="8"/>
        <v>(0, 1]</v>
      </c>
      <c r="B164" s="83">
        <v>13519</v>
      </c>
      <c r="C164" s="83">
        <v>830135</v>
      </c>
      <c r="D164" s="36">
        <v>0.00193202678455951</v>
      </c>
      <c r="E164" s="69">
        <v>0.614050595458244</v>
      </c>
      <c r="G164" s="14" t="str">
        <f t="shared" si="9"/>
        <v>(0, 1]</v>
      </c>
      <c r="H164" s="70">
        <v>0</v>
      </c>
      <c r="I164" s="36">
        <v>0</v>
      </c>
      <c r="J164" s="36">
        <v>0</v>
      </c>
      <c r="K164" s="71">
        <v>0</v>
      </c>
      <c r="L164" s="36">
        <v>0</v>
      </c>
      <c r="M164" s="36">
        <v>0</v>
      </c>
      <c r="N164" s="73"/>
      <c r="O164" s="59">
        <v>0</v>
      </c>
      <c r="P164" s="59">
        <v>1</v>
      </c>
      <c r="Q164" s="36">
        <v>0</v>
      </c>
      <c r="R164" s="36">
        <v>6.8970000000000004E-3</v>
      </c>
      <c r="T164" s="36"/>
      <c r="U164" s="74">
        <v>0</v>
      </c>
    </row>
    <row r="165" spans="1:21" x14ac:dyDescent="0.3">
      <c r="A165" s="14" t="str">
        <f t="shared" si="8"/>
        <v>(1, 2]</v>
      </c>
      <c r="B165" s="83">
        <v>18233</v>
      </c>
      <c r="C165" s="83">
        <v>2846325</v>
      </c>
      <c r="D165" s="36">
        <v>0.00260571376306483</v>
      </c>
      <c r="E165" s="69">
        <v>1.56108429770197</v>
      </c>
      <c r="F165" s="76"/>
      <c r="G165" s="14" t="str">
        <f t="shared" si="9"/>
        <v>(1, 2]</v>
      </c>
      <c r="H165" s="70">
        <v>0</v>
      </c>
      <c r="I165" s="36">
        <v>0</v>
      </c>
      <c r="J165" s="36">
        <v>0</v>
      </c>
      <c r="K165" s="71">
        <v>0</v>
      </c>
      <c r="L165" s="36">
        <v>0</v>
      </c>
      <c r="M165" s="36">
        <v>0</v>
      </c>
      <c r="N165" s="73"/>
      <c r="O165" s="59">
        <v>1</v>
      </c>
      <c r="P165" s="59">
        <v>2</v>
      </c>
      <c r="Q165" s="36">
        <v>0</v>
      </c>
      <c r="R165" s="36">
        <v>6.8970000000000004E-3</v>
      </c>
      <c r="T165" s="36"/>
      <c r="U165" s="74">
        <v>0</v>
      </c>
    </row>
    <row r="166" spans="1:21" x14ac:dyDescent="0.3">
      <c r="A166" s="14" t="str">
        <f t="shared" si="8"/>
        <v>(2, 3]</v>
      </c>
      <c r="B166" s="83">
        <v>19401</v>
      </c>
      <c r="C166" s="83">
        <v>5010400</v>
      </c>
      <c r="D166" s="36">
        <v>0.00277263493211325</v>
      </c>
      <c r="E166" s="69">
        <v>2.58254729137673</v>
      </c>
      <c r="F166" s="73"/>
      <c r="G166" s="14" t="str">
        <f t="shared" si="9"/>
        <v>(2, 3]</v>
      </c>
      <c r="H166" s="70">
        <v>0</v>
      </c>
      <c r="I166" s="36">
        <v>0</v>
      </c>
      <c r="J166" s="36">
        <v>0</v>
      </c>
      <c r="K166" s="71">
        <v>0</v>
      </c>
      <c r="L166" s="36">
        <v>0</v>
      </c>
      <c r="M166" s="36">
        <v>0</v>
      </c>
      <c r="N166" s="73"/>
      <c r="O166" s="59">
        <v>2</v>
      </c>
      <c r="P166" s="59">
        <v>3</v>
      </c>
      <c r="Q166" s="36">
        <v>0</v>
      </c>
      <c r="R166" s="36">
        <v>6.8970000000000004E-3</v>
      </c>
      <c r="T166" s="36"/>
      <c r="U166" s="74">
        <v>0</v>
      </c>
    </row>
    <row r="167" spans="1:21" x14ac:dyDescent="0.3">
      <c r="A167" s="14" t="str">
        <f t="shared" si="8"/>
        <v>(3, 4]</v>
      </c>
      <c r="B167" s="83">
        <v>21192</v>
      </c>
      <c r="C167" s="83">
        <v>7594100</v>
      </c>
      <c r="D167" s="36">
        <v>0.00302859025211813</v>
      </c>
      <c r="E167" s="69">
        <v>3.58347489618724</v>
      </c>
      <c r="F167" s="73"/>
      <c r="G167" s="14" t="str">
        <f t="shared" si="9"/>
        <v>(3, 4]</v>
      </c>
      <c r="H167" s="70">
        <v>0</v>
      </c>
      <c r="I167" s="36">
        <v>0</v>
      </c>
      <c r="J167" s="36">
        <v>0</v>
      </c>
      <c r="K167" s="71">
        <v>0</v>
      </c>
      <c r="L167" s="36">
        <v>0</v>
      </c>
      <c r="M167" s="36">
        <v>0</v>
      </c>
      <c r="N167" s="73"/>
      <c r="O167" s="59">
        <v>3</v>
      </c>
      <c r="P167" s="59">
        <v>4</v>
      </c>
      <c r="Q167" s="36">
        <v>0</v>
      </c>
      <c r="R167" s="36">
        <v>6.8970000000000004E-3</v>
      </c>
      <c r="T167" s="36"/>
      <c r="U167" s="74">
        <v>0</v>
      </c>
    </row>
    <row r="168" spans="1:21" x14ac:dyDescent="0.3">
      <c r="A168" s="14" t="str">
        <f t="shared" si="8"/>
        <v>(4, 5]</v>
      </c>
      <c r="B168" s="83">
        <v>22042</v>
      </c>
      <c r="C168" s="83">
        <v>10092500</v>
      </c>
      <c r="D168" s="36">
        <v>0.0031500654179496</v>
      </c>
      <c r="E168" s="69">
        <v>4.57875873332728</v>
      </c>
      <c r="F168" s="73"/>
      <c r="G168" s="14" t="str">
        <f t="shared" si="9"/>
        <v>(4, 5]</v>
      </c>
      <c r="H168" s="70">
        <v>0</v>
      </c>
      <c r="I168" s="36">
        <v>0</v>
      </c>
      <c r="J168" s="36">
        <v>0</v>
      </c>
      <c r="K168" s="71">
        <v>0</v>
      </c>
      <c r="L168" s="36">
        <v>0</v>
      </c>
      <c r="M168" s="36">
        <v>0</v>
      </c>
      <c r="N168" s="73"/>
      <c r="O168" s="59">
        <v>4</v>
      </c>
      <c r="P168" s="59">
        <v>5</v>
      </c>
      <c r="Q168" s="36">
        <v>0</v>
      </c>
      <c r="R168" s="36">
        <v>6.8970000000000004E-3</v>
      </c>
      <c r="T168" s="36"/>
      <c r="U168" s="74">
        <v>0</v>
      </c>
    </row>
    <row r="169" spans="1:21" x14ac:dyDescent="0.3">
      <c r="A169" s="14" t="str">
        <f t="shared" si="8"/>
        <v>(5, 6]</v>
      </c>
      <c r="B169" s="83">
        <v>24704</v>
      </c>
      <c r="C169" s="83">
        <v>13812490</v>
      </c>
      <c r="D169" s="36">
        <v>0.00353049705494179</v>
      </c>
      <c r="E169" s="69">
        <v>5.59119575777202</v>
      </c>
      <c r="F169" s="73"/>
      <c r="G169" s="14" t="str">
        <f t="shared" si="9"/>
        <v>(5, 6]</v>
      </c>
      <c r="H169" s="70">
        <v>0</v>
      </c>
      <c r="I169" s="36">
        <v>0</v>
      </c>
      <c r="J169" s="36">
        <v>0</v>
      </c>
      <c r="K169" s="71">
        <v>0</v>
      </c>
      <c r="L169" s="36">
        <v>0</v>
      </c>
      <c r="M169" s="36">
        <v>0</v>
      </c>
      <c r="N169" s="73"/>
      <c r="O169" s="59">
        <v>5</v>
      </c>
      <c r="P169" s="59">
        <v>6</v>
      </c>
      <c r="Q169" s="36">
        <v>0</v>
      </c>
      <c r="R169" s="36">
        <v>6.8970000000000004E-3</v>
      </c>
      <c r="T169" s="36"/>
      <c r="U169" s="74">
        <v>0</v>
      </c>
    </row>
    <row r="170" spans="1:21" x14ac:dyDescent="0.3">
      <c r="A170" s="14" t="str">
        <f t="shared" si="8"/>
        <v>(6, 7]</v>
      </c>
      <c r="B170" s="83">
        <v>23371</v>
      </c>
      <c r="C170" s="83">
        <v>15361185</v>
      </c>
      <c r="D170" s="36">
        <v>0.00333999541252609</v>
      </c>
      <c r="E170" s="69">
        <v>6.57275469599076</v>
      </c>
      <c r="F170" s="73"/>
      <c r="G170" s="14" t="str">
        <f t="shared" si="9"/>
        <v>(6, 7]</v>
      </c>
      <c r="H170" s="70">
        <v>0</v>
      </c>
      <c r="I170" s="36">
        <v>0</v>
      </c>
      <c r="J170" s="36">
        <v>0</v>
      </c>
      <c r="K170" s="71">
        <v>0</v>
      </c>
      <c r="L170" s="36">
        <v>0</v>
      </c>
      <c r="M170" s="36">
        <v>0</v>
      </c>
      <c r="N170" s="73"/>
      <c r="O170" s="59">
        <v>6</v>
      </c>
      <c r="P170" s="59">
        <v>7</v>
      </c>
      <c r="Q170" s="36">
        <v>0</v>
      </c>
      <c r="R170" s="36">
        <v>2.069E-2</v>
      </c>
      <c r="T170" s="36"/>
      <c r="U170" s="74">
        <v>0</v>
      </c>
    </row>
    <row r="171" spans="1:21" x14ac:dyDescent="0.3">
      <c r="A171" s="14" t="str">
        <f t="shared" si="8"/>
        <v>(7, 8]</v>
      </c>
      <c r="B171" s="83">
        <v>26882</v>
      </c>
      <c r="C171" s="83">
        <v>20329515</v>
      </c>
      <c r="D171" s="36">
        <v>0.00384175930338994</v>
      </c>
      <c r="E171" s="69">
        <v>7.56250092999033</v>
      </c>
      <c r="F171" s="73"/>
      <c r="G171" s="14" t="str">
        <f t="shared" si="9"/>
        <v>(7, 8]</v>
      </c>
      <c r="H171" s="70">
        <v>0</v>
      </c>
      <c r="I171" s="36">
        <v>0</v>
      </c>
      <c r="J171" s="36">
        <v>0</v>
      </c>
      <c r="K171" s="71">
        <v>0</v>
      </c>
      <c r="L171" s="36">
        <v>0</v>
      </c>
      <c r="M171" s="36">
        <v>0</v>
      </c>
      <c r="N171" s="73"/>
      <c r="O171" s="59">
        <v>7</v>
      </c>
      <c r="P171" s="59">
        <v>8</v>
      </c>
      <c r="Q171" s="36">
        <v>0</v>
      </c>
      <c r="R171" s="36">
        <v>0</v>
      </c>
      <c r="T171" s="36"/>
      <c r="U171" s="74">
        <v>0</v>
      </c>
    </row>
    <row r="172" spans="1:21" x14ac:dyDescent="0.3">
      <c r="A172" s="14" t="str">
        <f t="shared" si="8"/>
        <v>(8, 9]</v>
      </c>
      <c r="B172" s="83">
        <v>27171</v>
      </c>
      <c r="C172" s="83">
        <v>23310120</v>
      </c>
      <c r="D172" s="36">
        <v>0.00388306085977264</v>
      </c>
      <c r="E172" s="69">
        <v>8.57904383349895</v>
      </c>
      <c r="F172" s="73"/>
      <c r="G172" s="14" t="str">
        <f t="shared" si="9"/>
        <v>(8, 9]</v>
      </c>
      <c r="H172" s="70">
        <v>0</v>
      </c>
      <c r="I172" s="36">
        <v>0</v>
      </c>
      <c r="J172" s="36">
        <v>0</v>
      </c>
      <c r="K172" s="71">
        <v>0</v>
      </c>
      <c r="L172" s="36">
        <v>0</v>
      </c>
      <c r="M172" s="36">
        <v>0</v>
      </c>
      <c r="N172" s="73"/>
      <c r="O172" s="59">
        <v>8</v>
      </c>
      <c r="P172" s="59">
        <v>9</v>
      </c>
      <c r="Q172" s="36">
        <v>0</v>
      </c>
      <c r="R172" s="36">
        <v>6.8970000000000004E-3</v>
      </c>
      <c r="T172" s="36"/>
      <c r="U172" s="74">
        <v>0</v>
      </c>
    </row>
    <row r="173" spans="1:21" x14ac:dyDescent="0.3">
      <c r="A173" s="14" t="str">
        <f t="shared" si="8"/>
        <v>(9, 10]</v>
      </c>
      <c r="B173" s="83">
        <v>27734</v>
      </c>
      <c r="C173" s="83">
        <v>26563225</v>
      </c>
      <c r="D173" s="36">
        <v>0.00396352029314101</v>
      </c>
      <c r="E173" s="69">
        <v>9.57785570058412</v>
      </c>
      <c r="F173" s="73"/>
      <c r="G173" s="14" t="str">
        <f t="shared" si="9"/>
        <v>(9, 10]</v>
      </c>
      <c r="H173" s="70">
        <v>0</v>
      </c>
      <c r="I173" s="36">
        <v>0</v>
      </c>
      <c r="J173" s="36">
        <v>0</v>
      </c>
      <c r="K173" s="71">
        <v>0</v>
      </c>
      <c r="L173" s="36">
        <v>0</v>
      </c>
      <c r="M173" s="36">
        <v>0</v>
      </c>
      <c r="N173" s="73"/>
      <c r="O173" s="59">
        <v>9</v>
      </c>
      <c r="P173" s="59">
        <v>10</v>
      </c>
      <c r="Q173" s="36">
        <v>0</v>
      </c>
      <c r="R173" s="36">
        <v>0</v>
      </c>
      <c r="T173" s="36"/>
      <c r="U173" s="74">
        <v>0</v>
      </c>
    </row>
    <row r="174" spans="1:21" x14ac:dyDescent="0.3">
      <c r="A174" s="14" t="str">
        <f t="shared" si="8"/>
        <v>(10, 15]</v>
      </c>
      <c r="B174" s="83">
        <v>148515</v>
      </c>
      <c r="C174" s="83">
        <v>187358865</v>
      </c>
      <c r="D174" s="36">
        <v>0.021224569709953</v>
      </c>
      <c r="E174" s="69">
        <v>12.6154842945157</v>
      </c>
      <c r="F174" s="73"/>
      <c r="G174" s="14" t="str">
        <f t="shared" si="9"/>
        <v>(10, 15]</v>
      </c>
      <c r="H174" s="70">
        <v>0</v>
      </c>
      <c r="I174" s="36">
        <v>0</v>
      </c>
      <c r="J174" s="36">
        <v>0</v>
      </c>
      <c r="K174" s="71">
        <v>0</v>
      </c>
      <c r="L174" s="36">
        <v>0</v>
      </c>
      <c r="M174" s="36">
        <v>0</v>
      </c>
      <c r="N174" s="73"/>
      <c r="O174" s="59">
        <v>10</v>
      </c>
      <c r="P174" s="59">
        <v>15</v>
      </c>
      <c r="Q174" s="36">
        <v>0</v>
      </c>
      <c r="R174" s="36">
        <v>6.2068999999999999E-2</v>
      </c>
      <c r="T174" s="36"/>
      <c r="U174" s="74">
        <v>0</v>
      </c>
    </row>
    <row r="175" spans="1:21" x14ac:dyDescent="0.3">
      <c r="A175" s="14" t="str">
        <f t="shared" si="8"/>
        <v>(15, 20]</v>
      </c>
      <c r="B175" s="83">
        <v>161740</v>
      </c>
      <c r="C175" s="83">
        <v>284486210</v>
      </c>
      <c r="D175" s="36">
        <v>0.0231145803783308</v>
      </c>
      <c r="E175" s="69">
        <v>17.5891065908248</v>
      </c>
      <c r="F175" s="73"/>
      <c r="G175" s="14" t="str">
        <f t="shared" si="9"/>
        <v>(15, 20]</v>
      </c>
      <c r="H175" s="70">
        <v>0</v>
      </c>
      <c r="I175" s="36">
        <v>0</v>
      </c>
      <c r="J175" s="36">
        <v>0</v>
      </c>
      <c r="K175" s="71">
        <v>0</v>
      </c>
      <c r="L175" s="36">
        <v>0</v>
      </c>
      <c r="M175" s="36">
        <v>0</v>
      </c>
      <c r="N175" s="73"/>
      <c r="O175" s="59">
        <v>15</v>
      </c>
      <c r="P175" s="59">
        <v>20</v>
      </c>
      <c r="Q175" s="36">
        <v>0</v>
      </c>
      <c r="R175" s="36">
        <v>2.7585999999999999E-2</v>
      </c>
      <c r="T175" s="36"/>
      <c r="U175" s="74">
        <v>0</v>
      </c>
    </row>
    <row r="176" spans="1:21" x14ac:dyDescent="0.3">
      <c r="A176" s="14" t="str">
        <f t="shared" si="8"/>
        <v>(20, 25]</v>
      </c>
      <c r="B176" s="83">
        <v>167105</v>
      </c>
      <c r="C176" s="83">
        <v>377115540</v>
      </c>
      <c r="D176" s="36">
        <v>0.0238813030426671</v>
      </c>
      <c r="E176" s="69">
        <v>22.5675796654798</v>
      </c>
      <c r="F176" s="73"/>
      <c r="G176" s="14" t="str">
        <f t="shared" si="9"/>
        <v>(20, 25]</v>
      </c>
      <c r="H176" s="70">
        <v>1.40796760293717</v>
      </c>
      <c r="I176" s="36">
        <v>0.033624101</v>
      </c>
      <c r="J176" s="36">
        <v>0.033624101</v>
      </c>
      <c r="K176" s="71">
        <v>33624101</v>
      </c>
      <c r="L176" s="36">
        <v>0.033624101</v>
      </c>
      <c r="M176" s="36">
        <v>0.758814577997639</v>
      </c>
      <c r="N176" s="73"/>
      <c r="O176" s="59">
        <v>20</v>
      </c>
      <c r="P176" s="59">
        <v>25</v>
      </c>
      <c r="Q176" s="36">
        <v>3.3710771134843082E-2</v>
      </c>
      <c r="R176" s="36">
        <v>2.069E-2</v>
      </c>
      <c r="T176" s="36"/>
      <c r="U176" s="74">
        <v>0</v>
      </c>
    </row>
    <row r="177" spans="1:21" x14ac:dyDescent="0.3">
      <c r="A177" s="14" t="str">
        <f t="shared" si="8"/>
        <v>(25, 30]</v>
      </c>
      <c r="B177" s="83">
        <v>172723</v>
      </c>
      <c r="C177" s="83">
        <v>476161855</v>
      </c>
      <c r="D177" s="36">
        <v>0.0246841824328332</v>
      </c>
      <c r="E177" s="69">
        <v>27.5679472334316</v>
      </c>
      <c r="F177" s="73"/>
      <c r="G177" s="14" t="str">
        <f t="shared" si="9"/>
        <v>(25, 30]</v>
      </c>
      <c r="H177" s="70">
        <v>5.77273942079049</v>
      </c>
      <c r="I177" s="36">
        <v>0.142495353</v>
      </c>
      <c r="J177" s="36">
        <v>0.142495353</v>
      </c>
      <c r="K177" s="71">
        <v>142495353</v>
      </c>
      <c r="L177" s="36">
        <v>0.142495353</v>
      </c>
      <c r="M177" s="36">
        <v>3.9283043725132</v>
      </c>
      <c r="N177" s="73"/>
      <c r="O177" s="59">
        <v>25</v>
      </c>
      <c r="P177" s="59">
        <v>30</v>
      </c>
      <c r="Q177" s="36">
        <v>0.14283045857132184</v>
      </c>
      <c r="R177" s="36">
        <v>8.9654999999999999E-2</v>
      </c>
      <c r="T177" s="36"/>
      <c r="U177" s="74">
        <v>0</v>
      </c>
    </row>
    <row r="178" spans="1:21" x14ac:dyDescent="0.3">
      <c r="A178" s="14" t="str">
        <f t="shared" si="8"/>
        <v>(30, 35]</v>
      </c>
      <c r="B178" s="83">
        <v>171647</v>
      </c>
      <c r="C178" s="83">
        <v>558840920</v>
      </c>
      <c r="D178" s="36">
        <v>0.0245304091640865</v>
      </c>
      <c r="E178" s="69">
        <v>32.5575698963571</v>
      </c>
      <c r="F178" s="73"/>
      <c r="G178" s="14" t="str">
        <f t="shared" si="9"/>
        <v>(30, 35]</v>
      </c>
      <c r="H178" s="70">
        <v>2.18550174362721</v>
      </c>
      <c r="I178" s="36">
        <v>0.053611252</v>
      </c>
      <c r="J178" s="36">
        <v>0.053611252</v>
      </c>
      <c r="K178" s="71">
        <v>53611252</v>
      </c>
      <c r="L178" s="36">
        <v>0.053611252</v>
      </c>
      <c r="M178" s="36">
        <v>1.74545208422121</v>
      </c>
      <c r="N178" s="73"/>
      <c r="O178" s="59">
        <v>30</v>
      </c>
      <c r="P178" s="59">
        <v>35</v>
      </c>
      <c r="Q178" s="36">
        <v>5.3725249214900996E-2</v>
      </c>
      <c r="R178" s="36">
        <v>3.4483E-2</v>
      </c>
      <c r="T178" s="36"/>
      <c r="U178" s="74">
        <v>0</v>
      </c>
    </row>
    <row r="179" spans="1:21" x14ac:dyDescent="0.3">
      <c r="A179" s="14" t="str">
        <f t="shared" si="8"/>
        <v>(35, 40]</v>
      </c>
      <c r="B179" s="83">
        <v>172745</v>
      </c>
      <c r="C179" s="83">
        <v>648716530</v>
      </c>
      <c r="D179" s="36">
        <v>0.0246873264959488</v>
      </c>
      <c r="E179" s="69">
        <v>37.5534186228256</v>
      </c>
      <c r="F179" s="73"/>
      <c r="G179" s="14" t="str">
        <f t="shared" si="9"/>
        <v>(35, 40]</v>
      </c>
      <c r="H179" s="70">
        <v>3.82293169799036</v>
      </c>
      <c r="I179" s="36">
        <v>0.094377963</v>
      </c>
      <c r="J179" s="36">
        <v>0.094377963</v>
      </c>
      <c r="K179" s="71">
        <v>94377963</v>
      </c>
      <c r="L179" s="36">
        <v>0.094377963</v>
      </c>
      <c r="M179" s="36">
        <v>3.54421515330854</v>
      </c>
      <c r="N179" s="73"/>
      <c r="O179" s="59">
        <v>35</v>
      </c>
      <c r="P179" s="59">
        <v>40</v>
      </c>
      <c r="Q179" s="36">
        <v>9.4557355378229416E-2</v>
      </c>
      <c r="R179" s="36">
        <v>6.2068999999999999E-2</v>
      </c>
      <c r="T179" s="36"/>
      <c r="U179" s="74">
        <v>0</v>
      </c>
    </row>
    <row r="180" spans="1:21" x14ac:dyDescent="0.3">
      <c r="A180" s="14" t="str">
        <f t="shared" si="8"/>
        <v>(40, 45]</v>
      </c>
      <c r="B180" s="83">
        <v>170232</v>
      </c>
      <c r="C180" s="83">
        <v>724358025</v>
      </c>
      <c r="D180" s="36">
        <v>0.0243281887409671</v>
      </c>
      <c r="E180" s="69">
        <v>42.5512256802481</v>
      </c>
      <c r="F180" s="73"/>
      <c r="G180" s="14" t="str">
        <f t="shared" si="9"/>
        <v>(40, 45]</v>
      </c>
      <c r="H180" s="70">
        <v>3.3724575994365</v>
      </c>
      <c r="I180" s="36">
        <v>0.082045785</v>
      </c>
      <c r="J180" s="36">
        <v>0.082045785</v>
      </c>
      <c r="K180" s="71">
        <v>82045785</v>
      </c>
      <c r="L180" s="36">
        <v>0.082045785</v>
      </c>
      <c r="M180" s="36">
        <v>3.49114871364812</v>
      </c>
      <c r="N180" s="73"/>
      <c r="O180" s="59">
        <v>40</v>
      </c>
      <c r="P180" s="59">
        <v>45</v>
      </c>
      <c r="Q180" s="36">
        <v>8.21832263287329E-2</v>
      </c>
      <c r="R180" s="36">
        <v>5.5171999999999999E-2</v>
      </c>
      <c r="T180" s="36"/>
      <c r="U180" s="74">
        <v>0</v>
      </c>
    </row>
    <row r="181" spans="1:21" x14ac:dyDescent="0.3">
      <c r="A181" s="14" t="str">
        <f t="shared" si="8"/>
        <v>(45, 50]</v>
      </c>
      <c r="B181" s="83">
        <v>168045</v>
      </c>
      <c r="C181" s="83">
        <v>798977350</v>
      </c>
      <c r="D181" s="36">
        <v>0.0240156402848807</v>
      </c>
      <c r="E181" s="69">
        <v>47.5454402094677</v>
      </c>
      <c r="F181" s="73"/>
      <c r="G181" s="14" t="str">
        <f t="shared" si="9"/>
        <v>(45, 50]</v>
      </c>
      <c r="H181" s="70">
        <v>2.92403280391443</v>
      </c>
      <c r="I181" s="36">
        <v>0.07022252</v>
      </c>
      <c r="J181" s="36">
        <v>0.07022252</v>
      </c>
      <c r="K181" s="71">
        <v>70222520</v>
      </c>
      <c r="L181" s="36">
        <v>0.07022252</v>
      </c>
      <c r="M181" s="36">
        <v>3.33876062601815</v>
      </c>
      <c r="N181" s="73"/>
      <c r="O181" s="59">
        <v>45</v>
      </c>
      <c r="P181" s="59">
        <v>50</v>
      </c>
      <c r="Q181" s="36">
        <v>7.0324327281297311E-2</v>
      </c>
      <c r="R181" s="36">
        <v>4.8275999999999999E-2</v>
      </c>
      <c r="T181" s="36"/>
      <c r="U181" s="74">
        <v>0</v>
      </c>
    </row>
    <row r="182" spans="1:21" x14ac:dyDescent="0.3">
      <c r="A182" s="14" t="str">
        <f t="shared" si="8"/>
        <v>(50, 60]</v>
      </c>
      <c r="B182" s="83">
        <v>323672</v>
      </c>
      <c r="C182" s="83">
        <v>1780620765</v>
      </c>
      <c r="D182" s="36">
        <v>0.0462565998529436</v>
      </c>
      <c r="E182" s="69">
        <v>55.0131233161966</v>
      </c>
      <c r="F182" s="73"/>
      <c r="G182" s="14" t="str">
        <f t="shared" si="9"/>
        <v>(50, 60]</v>
      </c>
      <c r="H182" s="70">
        <v>1.4685059476043</v>
      </c>
      <c r="I182" s="36">
        <v>0.067928092</v>
      </c>
      <c r="J182" s="36">
        <v>0.067928092</v>
      </c>
      <c r="K182" s="71">
        <v>67928092</v>
      </c>
      <c r="L182" s="36">
        <v>0.067928092</v>
      </c>
      <c r="M182" s="36">
        <v>3.73693650182995</v>
      </c>
      <c r="N182" s="73"/>
      <c r="O182" s="59">
        <v>50</v>
      </c>
      <c r="P182" s="59">
        <v>60</v>
      </c>
      <c r="Q182" s="36">
        <v>6.8003685272014738E-2</v>
      </c>
      <c r="R182" s="36">
        <v>4.8275999999999999E-2</v>
      </c>
      <c r="T182" s="36"/>
      <c r="U182" s="74">
        <v>0</v>
      </c>
    </row>
    <row r="183" spans="1:21" x14ac:dyDescent="0.3">
      <c r="A183" s="14" t="str">
        <f t="shared" si="8"/>
        <v>(60, 70]</v>
      </c>
      <c r="B183" s="83">
        <v>306735</v>
      </c>
      <c r="C183" s="83">
        <v>1993992090</v>
      </c>
      <c r="D183" s="36">
        <v>0.0438360999897818</v>
      </c>
      <c r="E183" s="69">
        <v>65.0069959411218</v>
      </c>
      <c r="F183" s="73"/>
      <c r="G183" s="14" t="str">
        <f t="shared" si="9"/>
        <v>(60, 70]</v>
      </c>
      <c r="H183" s="70">
        <v>2.11767540957427</v>
      </c>
      <c r="I183" s="36">
        <v>0.092830631</v>
      </c>
      <c r="J183" s="36">
        <v>0.092830631</v>
      </c>
      <c r="K183" s="71">
        <v>92830631</v>
      </c>
      <c r="L183" s="36">
        <v>0.092830631</v>
      </c>
      <c r="M183" s="36">
        <v>6.03464045262878</v>
      </c>
      <c r="N183" s="73"/>
      <c r="O183" s="59">
        <v>60</v>
      </c>
      <c r="P183" s="59">
        <v>70</v>
      </c>
      <c r="Q183" s="36">
        <v>9.2892095371568381E-2</v>
      </c>
      <c r="R183" s="36">
        <v>6.8966E-2</v>
      </c>
      <c r="T183" s="36"/>
      <c r="U183" s="74">
        <v>0</v>
      </c>
    </row>
    <row r="184" spans="1:21" x14ac:dyDescent="0.3">
      <c r="A184" s="14" t="str">
        <f t="shared" si="8"/>
        <v>(70, 80]</v>
      </c>
      <c r="B184" s="83">
        <v>291160</v>
      </c>
      <c r="C184" s="83">
        <v>2183653920</v>
      </c>
      <c r="D184" s="36">
        <v>0.0416102462158699</v>
      </c>
      <c r="E184" s="69">
        <v>74.9984173650227</v>
      </c>
      <c r="F184" s="73"/>
      <c r="G184" s="14" t="str">
        <f t="shared" si="9"/>
        <v>(70, 80]</v>
      </c>
      <c r="H184" s="70">
        <v>1.06707357052518</v>
      </c>
      <c r="I184" s="36">
        <v>0.044401194</v>
      </c>
      <c r="J184" s="36">
        <v>0.044401194</v>
      </c>
      <c r="K184" s="71">
        <v>44401194</v>
      </c>
      <c r="L184" s="36">
        <v>0.044401194</v>
      </c>
      <c r="M184" s="36">
        <v>3.33001927911734</v>
      </c>
      <c r="N184" s="73"/>
      <c r="O184" s="59">
        <v>70</v>
      </c>
      <c r="P184" s="59">
        <v>80</v>
      </c>
      <c r="Q184" s="36">
        <v>4.4410593177642371E-2</v>
      </c>
      <c r="R184" s="36">
        <v>3.4483E-2</v>
      </c>
      <c r="T184" s="36"/>
      <c r="U184" s="74">
        <v>0</v>
      </c>
    </row>
    <row r="185" spans="1:21" x14ac:dyDescent="0.3">
      <c r="A185" s="14" t="str">
        <f t="shared" si="8"/>
        <v>(80, 90]</v>
      </c>
      <c r="B185" s="83">
        <v>272219</v>
      </c>
      <c r="C185" s="83">
        <v>2313514660</v>
      </c>
      <c r="D185" s="36">
        <v>0.0389033507852655</v>
      </c>
      <c r="E185" s="69">
        <v>84.9872587879612</v>
      </c>
      <c r="F185" s="73"/>
      <c r="G185" s="14" t="str">
        <f t="shared" si="9"/>
        <v>(80, 90]</v>
      </c>
      <c r="H185" s="70">
        <v>2.18356299098467</v>
      </c>
      <c r="I185" s="36">
        <v>0.084947917</v>
      </c>
      <c r="J185" s="36">
        <v>0.084947917</v>
      </c>
      <c r="K185" s="71">
        <v>84947917</v>
      </c>
      <c r="L185" s="36">
        <v>0.084947917</v>
      </c>
      <c r="M185" s="36">
        <v>7.21949060557725</v>
      </c>
      <c r="N185" s="73"/>
      <c r="O185" s="59">
        <v>80</v>
      </c>
      <c r="P185" s="59">
        <v>90</v>
      </c>
      <c r="Q185" s="36">
        <v>8.4927663339710649E-2</v>
      </c>
      <c r="R185" s="36">
        <v>6.8966E-2</v>
      </c>
      <c r="T185" s="36"/>
      <c r="U185" s="74">
        <v>0</v>
      </c>
    </row>
    <row r="186" spans="1:21" x14ac:dyDescent="0.3">
      <c r="A186" s="14" t="str">
        <f t="shared" si="8"/>
        <v>(90, 100]</v>
      </c>
      <c r="B186" s="83">
        <v>253675</v>
      </c>
      <c r="C186" s="83">
        <v>2409933070</v>
      </c>
      <c r="D186" s="36">
        <v>0.0362531914027023</v>
      </c>
      <c r="E186" s="69">
        <v>95.0008108800631</v>
      </c>
      <c r="F186" s="73"/>
      <c r="G186" s="14" t="str">
        <f t="shared" si="9"/>
        <v>(90, 100]</v>
      </c>
      <c r="H186" s="70">
        <v>0.896628951612161</v>
      </c>
      <c r="I186" s="36">
        <v>0.032505661</v>
      </c>
      <c r="J186" s="36">
        <v>0.032505661</v>
      </c>
      <c r="K186" s="71">
        <v>32505661</v>
      </c>
      <c r="L186" s="36">
        <v>0.032505661</v>
      </c>
      <c r="M186" s="36">
        <v>3.08806415319244</v>
      </c>
      <c r="N186" s="73"/>
      <c r="O186" s="59">
        <v>90</v>
      </c>
      <c r="P186" s="59">
        <v>100</v>
      </c>
      <c r="Q186" s="36">
        <v>3.2483251129933007E-2</v>
      </c>
      <c r="R186" s="36">
        <v>2.7585999999999999E-2</v>
      </c>
      <c r="T186" s="36"/>
      <c r="U186" s="74">
        <v>0</v>
      </c>
    </row>
    <row r="187" spans="1:21" x14ac:dyDescent="0.3">
      <c r="A187" s="14" t="str">
        <f t="shared" si="8"/>
        <v>(100, 120]</v>
      </c>
      <c r="B187" s="83">
        <v>456793</v>
      </c>
      <c r="C187" s="83">
        <v>5017102950</v>
      </c>
      <c r="D187" s="36">
        <v>0.0652811828537089</v>
      </c>
      <c r="E187" s="69">
        <v>109.833183739681</v>
      </c>
      <c r="F187" s="73"/>
      <c r="G187" s="14" t="str">
        <f t="shared" si="9"/>
        <v>(100, 120]</v>
      </c>
      <c r="H187" s="70">
        <v>1.16513610316236</v>
      </c>
      <c r="I187" s="36">
        <v>0.076061463</v>
      </c>
      <c r="J187" s="36">
        <v>0.076061463</v>
      </c>
      <c r="K187" s="71">
        <v>76061463</v>
      </c>
      <c r="L187" s="36">
        <v>0.076061463</v>
      </c>
      <c r="M187" s="36">
        <v>8.35407264118793</v>
      </c>
      <c r="N187" s="73"/>
      <c r="O187" s="59">
        <v>100</v>
      </c>
      <c r="P187" s="59">
        <v>120</v>
      </c>
      <c r="Q187" s="36">
        <v>7.5958238303832956E-2</v>
      </c>
      <c r="R187" s="36">
        <v>6.8966E-2</v>
      </c>
      <c r="T187" s="36"/>
      <c r="U187" s="74">
        <v>0</v>
      </c>
    </row>
    <row r="188" spans="1:21" x14ac:dyDescent="0.3">
      <c r="A188" s="14" t="str">
        <f t="shared" si="8"/>
        <v>(120, 140]</v>
      </c>
      <c r="B188" s="83">
        <v>395813</v>
      </c>
      <c r="C188" s="83">
        <v>5138166890</v>
      </c>
      <c r="D188" s="36">
        <v>0.0565664115449998</v>
      </c>
      <c r="E188" s="69">
        <v>129.812989719893</v>
      </c>
      <c r="F188" s="73"/>
      <c r="G188" s="14" t="str">
        <f t="shared" si="9"/>
        <v>(120, 140]</v>
      </c>
      <c r="H188" s="70">
        <v>0.492131341544517</v>
      </c>
      <c r="I188" s="36">
        <v>0.027838104</v>
      </c>
      <c r="J188" s="36">
        <v>0.027838104</v>
      </c>
      <c r="K188" s="71">
        <v>27838104</v>
      </c>
      <c r="L188" s="36">
        <v>0.027838104</v>
      </c>
      <c r="M188" s="36">
        <v>3.61374750837331</v>
      </c>
      <c r="N188" s="73"/>
      <c r="O188" s="59">
        <v>120</v>
      </c>
      <c r="P188" s="59">
        <v>140</v>
      </c>
      <c r="Q188" s="36">
        <v>2.7775307111101228E-2</v>
      </c>
      <c r="R188" s="36">
        <v>2.7585999999999999E-2</v>
      </c>
      <c r="T188" s="36"/>
      <c r="U188" s="74">
        <v>0</v>
      </c>
    </row>
    <row r="189" spans="1:21" x14ac:dyDescent="0.3">
      <c r="A189" s="14" t="str">
        <f t="shared" si="8"/>
        <v>(140, 160]</v>
      </c>
      <c r="B189" s="83">
        <v>343531</v>
      </c>
      <c r="C189" s="83">
        <v>5146233665</v>
      </c>
      <c r="D189" s="36">
        <v>0.049094688462646</v>
      </c>
      <c r="E189" s="69">
        <v>149.804054510364</v>
      </c>
      <c r="F189" s="73"/>
      <c r="G189" s="14" t="str">
        <f t="shared" si="9"/>
        <v>(140, 160]</v>
      </c>
      <c r="H189" s="70">
        <v>0.908214032846453</v>
      </c>
      <c r="I189" s="36">
        <v>0.044588485</v>
      </c>
      <c r="J189" s="36">
        <v>0.044588485</v>
      </c>
      <c r="K189" s="71">
        <v>44588485</v>
      </c>
      <c r="L189" s="36">
        <v>0.044588485</v>
      </c>
      <c r="M189" s="36">
        <v>6.67953583747457</v>
      </c>
      <c r="N189" s="73"/>
      <c r="O189" s="59">
        <v>140</v>
      </c>
      <c r="P189" s="59">
        <v>160</v>
      </c>
      <c r="Q189" s="36">
        <v>4.4447845177791379E-2</v>
      </c>
      <c r="R189" s="36">
        <v>4.8275999999999999E-2</v>
      </c>
      <c r="T189" s="36"/>
      <c r="U189" s="74">
        <v>0</v>
      </c>
    </row>
    <row r="190" spans="1:21" x14ac:dyDescent="0.3">
      <c r="A190" s="14" t="str">
        <f t="shared" si="8"/>
        <v>(160, 180]</v>
      </c>
      <c r="B190" s="83">
        <v>298628</v>
      </c>
      <c r="C190" s="83">
        <v>5070946225</v>
      </c>
      <c r="D190" s="36">
        <v>0.0426775127316692</v>
      </c>
      <c r="E190" s="69">
        <v>169.8081300146</v>
      </c>
      <c r="F190" s="73"/>
      <c r="G190" s="14" t="str">
        <f t="shared" si="9"/>
        <v>(160, 180]</v>
      </c>
      <c r="H190" s="70">
        <v>0.546269955950363</v>
      </c>
      <c r="I190" s="36">
        <v>0.023313443</v>
      </c>
      <c r="J190" s="36">
        <v>0.023313443</v>
      </c>
      <c r="K190" s="71">
        <v>23313443</v>
      </c>
      <c r="L190" s="36">
        <v>0.023313443</v>
      </c>
      <c r="M190" s="36">
        <v>3.95881216003197</v>
      </c>
      <c r="N190" s="73"/>
      <c r="O190" s="59">
        <v>160</v>
      </c>
      <c r="P190" s="59">
        <v>180</v>
      </c>
      <c r="Q190" s="36">
        <v>2.3218968092875873E-2</v>
      </c>
      <c r="R190" s="36">
        <v>2.7585999999999999E-2</v>
      </c>
      <c r="T190" s="36"/>
      <c r="U190" s="74">
        <v>0</v>
      </c>
    </row>
    <row r="191" spans="1:21" x14ac:dyDescent="0.3">
      <c r="A191" s="14" t="str">
        <f t="shared" si="8"/>
        <v>(180, 200]</v>
      </c>
      <c r="B191" s="83">
        <v>258337</v>
      </c>
      <c r="C191" s="83">
        <v>4903415715</v>
      </c>
      <c r="D191" s="36">
        <v>0.036919446959298</v>
      </c>
      <c r="E191" s="69">
        <v>189.806946546565</v>
      </c>
      <c r="F191" s="73"/>
      <c r="G191" s="14" t="str">
        <f t="shared" si="9"/>
        <v>(180, 200]</v>
      </c>
      <c r="H191" s="70">
        <v>0.722360658040234</v>
      </c>
      <c r="I191" s="36">
        <v>0.026669156</v>
      </c>
      <c r="J191" s="36">
        <v>0.026669156</v>
      </c>
      <c r="K191" s="71">
        <v>26669156</v>
      </c>
      <c r="L191" s="36">
        <v>0.026669156</v>
      </c>
      <c r="M191" s="36">
        <v>5.06199106733401</v>
      </c>
      <c r="N191" s="73"/>
      <c r="O191" s="59">
        <v>180</v>
      </c>
      <c r="P191" s="59">
        <v>200</v>
      </c>
      <c r="Q191" s="36">
        <v>2.6537158106148633E-2</v>
      </c>
      <c r="R191" s="36">
        <v>3.4483E-2</v>
      </c>
      <c r="T191" s="36"/>
      <c r="U191" s="74">
        <v>0</v>
      </c>
    </row>
    <row r="192" spans="1:21" x14ac:dyDescent="0.3">
      <c r="A192" s="14" t="str">
        <f t="shared" si="8"/>
        <v>(200, 250]</v>
      </c>
      <c r="B192" s="83">
        <v>513423</v>
      </c>
      <c r="C192" s="83">
        <v>11482735530</v>
      </c>
      <c r="D192" s="36">
        <v>0.0733742871372805</v>
      </c>
      <c r="E192" s="69">
        <v>223.65058694293</v>
      </c>
      <c r="F192" s="73"/>
      <c r="G192" s="14" t="str">
        <f t="shared" si="9"/>
        <v>(200, 250]</v>
      </c>
      <c r="H192" s="70">
        <v>0.00455948552350596</v>
      </c>
      <c r="I192" s="36">
        <v>0.000334549</v>
      </c>
      <c r="J192" s="36">
        <v>0.000334549</v>
      </c>
      <c r="K192" s="71">
        <v>334549</v>
      </c>
      <c r="L192" s="36">
        <v>0.000334549</v>
      </c>
      <c r="M192" s="36">
        <v>0.0748220802111703</v>
      </c>
      <c r="N192" s="73"/>
      <c r="O192" s="59">
        <v>200</v>
      </c>
      <c r="P192" s="59">
        <v>250</v>
      </c>
      <c r="Q192" s="36">
        <v>2.57029001028116E-4</v>
      </c>
      <c r="R192" s="36">
        <v>1.3793E-2</v>
      </c>
      <c r="T192" s="36"/>
      <c r="U192" s="74">
        <v>0</v>
      </c>
    </row>
    <row r="193" spans="1:21" x14ac:dyDescent="0.3">
      <c r="A193" s="14" t="str">
        <f t="shared" si="8"/>
        <v>(250, 300]</v>
      </c>
      <c r="B193" s="83">
        <v>370638</v>
      </c>
      <c r="C193" s="83">
        <v>10146620445</v>
      </c>
      <c r="D193" s="36">
        <v>0.0529686029569914</v>
      </c>
      <c r="E193" s="69">
        <v>273.760932365273</v>
      </c>
      <c r="F193" s="73"/>
      <c r="G193" s="14" t="str">
        <f t="shared" si="9"/>
        <v>(250, 300]</v>
      </c>
      <c r="H193" s="70">
        <v>0.00515988689038901</v>
      </c>
      <c r="I193" s="36">
        <v>0.000273312</v>
      </c>
      <c r="J193" s="36">
        <v>0.000273312</v>
      </c>
      <c r="K193" s="71">
        <v>273312</v>
      </c>
      <c r="L193" s="36">
        <v>0.000273312</v>
      </c>
      <c r="M193" s="36">
        <v>0.0748221479466175</v>
      </c>
      <c r="N193" s="73"/>
      <c r="O193" s="59">
        <v>250</v>
      </c>
      <c r="P193" s="59">
        <v>300</v>
      </c>
      <c r="Q193" s="36">
        <v>2.1018300084073201E-4</v>
      </c>
      <c r="R193" s="36">
        <v>1.3793E-2</v>
      </c>
      <c r="T193" s="36"/>
      <c r="U193" s="74">
        <v>0</v>
      </c>
    </row>
    <row r="194" spans="1:21" x14ac:dyDescent="0.3">
      <c r="A194" s="14" t="str">
        <f t="shared" si="8"/>
        <v>(300, 350]</v>
      </c>
      <c r="B194" s="83">
        <v>274053</v>
      </c>
      <c r="C194" s="83">
        <v>8873479165</v>
      </c>
      <c r="D194" s="36">
        <v>0.0391654513195419</v>
      </c>
      <c r="E194" s="69">
        <v>323.786974234911</v>
      </c>
      <c r="F194" s="73"/>
      <c r="G194" s="14" t="str">
        <f t="shared" si="9"/>
        <v>(300, 350]</v>
      </c>
      <c r="H194" s="70">
        <v>0.0059002001053081</v>
      </c>
      <c r="I194" s="36">
        <v>0.000231084</v>
      </c>
      <c r="J194" s="36">
        <v>0.000231084</v>
      </c>
      <c r="K194" s="71">
        <v>231084</v>
      </c>
      <c r="L194" s="36">
        <v>0.000231084</v>
      </c>
      <c r="M194" s="36">
        <v>0.0748219891541001</v>
      </c>
      <c r="N194" s="73"/>
      <c r="O194" s="59">
        <v>300</v>
      </c>
      <c r="P194" s="59">
        <v>350</v>
      </c>
      <c r="Q194" s="36">
        <v>1.7779900071119599E-4</v>
      </c>
      <c r="R194" s="36">
        <v>6.8970000000000004E-3</v>
      </c>
      <c r="T194" s="36"/>
      <c r="U194" s="74">
        <v>0</v>
      </c>
    </row>
    <row r="195" spans="1:21" x14ac:dyDescent="0.3">
      <c r="A195" s="14" t="str">
        <f t="shared" ref="A195:A226" si="10">"("&amp;$O195&amp;", "&amp;$P195&amp;"]"</f>
        <v>(350, 400]</v>
      </c>
      <c r="B195" s="83">
        <v>205430</v>
      </c>
      <c r="C195" s="83">
        <v>7680838935</v>
      </c>
      <c r="D195" s="36">
        <v>0.0293584039020682</v>
      </c>
      <c r="E195" s="69">
        <v>373.890811225235</v>
      </c>
      <c r="F195" s="73"/>
      <c r="G195" s="14" t="str">
        <f t="shared" ref="G195:G226" si="11">"("&amp;$O195&amp;", "&amp;$P195&amp;"]"</f>
        <v>(350, 400]</v>
      </c>
      <c r="H195" s="70">
        <v>0.00681637873324247</v>
      </c>
      <c r="I195" s="36">
        <v>0.000200118</v>
      </c>
      <c r="J195" s="36">
        <v>0.000200118</v>
      </c>
      <c r="K195" s="71">
        <v>200118</v>
      </c>
      <c r="L195" s="36">
        <v>0.000200118</v>
      </c>
      <c r="M195" s="36">
        <v>0.0748222813607716</v>
      </c>
      <c r="N195" s="73"/>
      <c r="O195" s="59">
        <v>350</v>
      </c>
      <c r="P195" s="59">
        <v>400</v>
      </c>
      <c r="Q195" s="36">
        <v>1.5404400061617599E-4</v>
      </c>
      <c r="R195" s="36">
        <v>6.8970000000000004E-3</v>
      </c>
      <c r="T195" s="36"/>
      <c r="U195" s="74">
        <v>0</v>
      </c>
    </row>
    <row r="196" spans="1:21" x14ac:dyDescent="0.3">
      <c r="A196" s="14" t="str">
        <f t="shared" si="10"/>
        <v>(400, 450]</v>
      </c>
      <c r="B196" s="83">
        <v>155982</v>
      </c>
      <c r="C196" s="83">
        <v>6612380765</v>
      </c>
      <c r="D196" s="36">
        <v>0.0222916933137925</v>
      </c>
      <c r="E196" s="69">
        <v>423.919475644626</v>
      </c>
      <c r="F196" s="73"/>
      <c r="G196" s="14" t="str">
        <f t="shared" si="11"/>
        <v>(400, 450]</v>
      </c>
      <c r="H196" s="70">
        <v>0.00791779240434794</v>
      </c>
      <c r="I196" s="36">
        <v>0.000176501</v>
      </c>
      <c r="J196" s="36">
        <v>0.000176501</v>
      </c>
      <c r="K196" s="71">
        <v>176501</v>
      </c>
      <c r="L196" s="36">
        <v>0.000176501</v>
      </c>
      <c r="M196" s="36">
        <v>0.0748222113707521</v>
      </c>
      <c r="N196" s="73"/>
      <c r="O196" s="59">
        <v>400</v>
      </c>
      <c r="P196" s="59">
        <v>450</v>
      </c>
      <c r="Q196" s="36">
        <v>1.3590700054362799E-4</v>
      </c>
      <c r="R196" s="36">
        <v>0</v>
      </c>
      <c r="T196" s="36"/>
      <c r="U196" s="74">
        <v>0</v>
      </c>
    </row>
    <row r="197" spans="1:21" x14ac:dyDescent="0.3">
      <c r="A197" s="14" t="str">
        <f t="shared" si="10"/>
        <v>(450, 500]</v>
      </c>
      <c r="B197" s="83">
        <v>121473</v>
      </c>
      <c r="C197" s="83">
        <v>5758476855</v>
      </c>
      <c r="D197" s="36">
        <v>0.0173599444929948</v>
      </c>
      <c r="E197" s="69">
        <v>474.054057691833</v>
      </c>
      <c r="F197" s="73"/>
      <c r="G197" s="14" t="str">
        <f t="shared" si="11"/>
        <v>(450, 500]</v>
      </c>
      <c r="H197" s="70">
        <v>0.00909190695072156</v>
      </c>
      <c r="I197" s="36">
        <v>0.000157835</v>
      </c>
      <c r="J197" s="36">
        <v>0.000157835</v>
      </c>
      <c r="K197" s="71">
        <v>157835</v>
      </c>
      <c r="L197" s="36">
        <v>0.000157835</v>
      </c>
      <c r="M197" s="36">
        <v>0.0748223221957904</v>
      </c>
      <c r="N197" s="73"/>
      <c r="O197" s="59">
        <v>450</v>
      </c>
      <c r="P197" s="59">
        <v>500</v>
      </c>
      <c r="Q197" s="36">
        <v>1.2157900048631601E-4</v>
      </c>
      <c r="R197" s="36">
        <v>0</v>
      </c>
      <c r="T197" s="36"/>
      <c r="U197" s="74">
        <v>0</v>
      </c>
    </row>
    <row r="198" spans="1:21" x14ac:dyDescent="0.3">
      <c r="A198" s="14" t="str">
        <f t="shared" si="10"/>
        <v>(500, 550]</v>
      </c>
      <c r="B198" s="83">
        <v>95846</v>
      </c>
      <c r="C198" s="83">
        <v>5022192925</v>
      </c>
      <c r="D198" s="36">
        <v>0.013697539699156</v>
      </c>
      <c r="E198" s="69">
        <v>523.985656678422</v>
      </c>
      <c r="F198" s="73"/>
      <c r="G198" s="14" t="str">
        <f t="shared" si="11"/>
        <v>(500, 550]</v>
      </c>
      <c r="H198" s="70">
        <v>0.0104247918338793</v>
      </c>
      <c r="I198" s="36">
        <v>0.000142794</v>
      </c>
      <c r="J198" s="36">
        <v>0.000142794</v>
      </c>
      <c r="K198" s="71">
        <v>142794</v>
      </c>
      <c r="L198" s="36">
        <v>0.000142794</v>
      </c>
      <c r="M198" s="36">
        <v>0.0748220078597385</v>
      </c>
      <c r="N198" s="73"/>
      <c r="O198" s="59">
        <v>500</v>
      </c>
      <c r="P198" s="59">
        <v>550</v>
      </c>
      <c r="Q198" s="36">
        <v>1.0998100043992401E-4</v>
      </c>
      <c r="R198" s="36">
        <v>0</v>
      </c>
      <c r="T198" s="36"/>
      <c r="U198" s="74">
        <v>0</v>
      </c>
    </row>
    <row r="199" spans="1:21" x14ac:dyDescent="0.3">
      <c r="A199" s="14" t="str">
        <f t="shared" si="10"/>
        <v>(550, 600]</v>
      </c>
      <c r="B199" s="83">
        <v>76191</v>
      </c>
      <c r="C199" s="83">
        <v>4374443840</v>
      </c>
      <c r="D199" s="36">
        <v>0.0108886051292531</v>
      </c>
      <c r="E199" s="69">
        <v>574.141806775078</v>
      </c>
      <c r="F199" s="73"/>
      <c r="G199" s="14" t="str">
        <f t="shared" si="11"/>
        <v>(550, 600]</v>
      </c>
      <c r="H199" s="70">
        <v>0.0119683833193553</v>
      </c>
      <c r="I199" s="36">
        <v>0.000130319</v>
      </c>
      <c r="J199" s="36">
        <v>0.000130319</v>
      </c>
      <c r="K199" s="71">
        <v>130319</v>
      </c>
      <c r="L199" s="36">
        <v>0.000130319</v>
      </c>
      <c r="M199" s="36">
        <v>0.0748215861171214</v>
      </c>
      <c r="N199" s="73"/>
      <c r="O199" s="59">
        <v>550</v>
      </c>
      <c r="P199" s="59">
        <v>600</v>
      </c>
      <c r="Q199" s="36">
        <v>1.0041100040164401E-4</v>
      </c>
      <c r="R199" s="36">
        <v>0</v>
      </c>
      <c r="T199" s="36"/>
      <c r="U199" s="74">
        <v>0</v>
      </c>
    </row>
    <row r="200" spans="1:21" x14ac:dyDescent="0.3">
      <c r="A200" s="14" t="str">
        <f t="shared" si="10"/>
        <v>(600, 650]</v>
      </c>
      <c r="B200" s="83">
        <v>61071</v>
      </c>
      <c r="C200" s="83">
        <v>3811243745</v>
      </c>
      <c r="D200" s="36">
        <v>0.00872777629705108</v>
      </c>
      <c r="E200" s="69">
        <v>624.067682697189</v>
      </c>
      <c r="F200" s="73"/>
      <c r="G200" s="14" t="str">
        <f t="shared" si="11"/>
        <v>(600, 650]</v>
      </c>
      <c r="H200" s="70">
        <v>0.0137370615285487</v>
      </c>
      <c r="I200" s="36">
        <v>0.000119894</v>
      </c>
      <c r="J200" s="36">
        <v>0.000119894</v>
      </c>
      <c r="K200" s="71">
        <v>119894</v>
      </c>
      <c r="L200" s="36">
        <v>0.000119894</v>
      </c>
      <c r="M200" s="36">
        <v>0.0748219707492967</v>
      </c>
      <c r="N200" s="73"/>
      <c r="O200" s="59">
        <v>600</v>
      </c>
      <c r="P200" s="59">
        <v>650</v>
      </c>
      <c r="Q200" s="36">
        <v>9.2374000369495999E-5</v>
      </c>
      <c r="R200" s="36">
        <v>6.8970000000000004E-3</v>
      </c>
      <c r="T200" s="36"/>
      <c r="U200" s="74">
        <v>0</v>
      </c>
    </row>
    <row r="201" spans="1:21" x14ac:dyDescent="0.3">
      <c r="A201" s="14" t="str">
        <f t="shared" si="10"/>
        <v>(650, 700]</v>
      </c>
      <c r="B201" s="83">
        <v>49505</v>
      </c>
      <c r="C201" s="83">
        <v>3337761550</v>
      </c>
      <c r="D201" s="36">
        <v>0.00707485656998434</v>
      </c>
      <c r="E201" s="69">
        <v>674.227158872841</v>
      </c>
      <c r="F201" s="73"/>
      <c r="G201" s="14" t="str">
        <f t="shared" si="11"/>
        <v>(650, 700]</v>
      </c>
      <c r="H201" s="70">
        <v>0.015685689017473</v>
      </c>
      <c r="I201" s="36">
        <v>0.000110974</v>
      </c>
      <c r="J201" s="36">
        <v>0.000110974</v>
      </c>
      <c r="K201" s="71">
        <v>110974</v>
      </c>
      <c r="L201" s="36">
        <v>0.000110974</v>
      </c>
      <c r="M201" s="36">
        <v>0.0748216847287547</v>
      </c>
      <c r="N201" s="73"/>
      <c r="O201" s="59">
        <v>650</v>
      </c>
      <c r="P201" s="59">
        <v>700</v>
      </c>
      <c r="Q201" s="36">
        <v>8.5529000342115998E-5</v>
      </c>
      <c r="R201" s="36">
        <v>0</v>
      </c>
      <c r="T201" s="36"/>
      <c r="U201" s="74">
        <v>0</v>
      </c>
    </row>
    <row r="202" spans="1:21" x14ac:dyDescent="0.3">
      <c r="A202" s="14" t="str">
        <f t="shared" si="10"/>
        <v>(700, 750]</v>
      </c>
      <c r="B202" s="83">
        <v>40886</v>
      </c>
      <c r="C202" s="83">
        <v>2961427510</v>
      </c>
      <c r="D202" s="36">
        <v>0.00584309838845329</v>
      </c>
      <c r="E202" s="69">
        <v>724.313337083598</v>
      </c>
      <c r="F202" s="73"/>
      <c r="G202" s="14" t="str">
        <f t="shared" si="11"/>
        <v>(700, 750]</v>
      </c>
      <c r="H202" s="70">
        <v>0.0176791477966786</v>
      </c>
      <c r="I202" s="36">
        <v>0.000103301</v>
      </c>
      <c r="J202" s="36">
        <v>0.000103301</v>
      </c>
      <c r="K202" s="71">
        <v>103301</v>
      </c>
      <c r="L202" s="36">
        <v>0.000103301</v>
      </c>
      <c r="M202" s="36">
        <v>0.0748222920340728</v>
      </c>
      <c r="N202" s="73"/>
      <c r="O202" s="59">
        <v>700</v>
      </c>
      <c r="P202" s="59">
        <v>750</v>
      </c>
      <c r="Q202" s="36">
        <v>7.9613000318451996E-5</v>
      </c>
      <c r="R202" s="36">
        <v>0</v>
      </c>
      <c r="T202" s="36"/>
      <c r="U202" s="74">
        <v>0</v>
      </c>
    </row>
    <row r="203" spans="1:21" x14ac:dyDescent="0.3">
      <c r="A203" s="14" t="str">
        <f t="shared" si="10"/>
        <v>(750, 800]</v>
      </c>
      <c r="B203" s="83">
        <v>33857</v>
      </c>
      <c r="C203" s="83">
        <v>2621391690</v>
      </c>
      <c r="D203" s="36">
        <v>0.00483857022300697</v>
      </c>
      <c r="E203" s="69">
        <v>774.253977021</v>
      </c>
      <c r="F203" s="73"/>
      <c r="G203" s="14" t="str">
        <f t="shared" si="11"/>
        <v>(750, 800]</v>
      </c>
      <c r="H203" s="70">
        <v>0.0199724289502909</v>
      </c>
      <c r="I203" s="36">
        <v>9.6638e-05</v>
      </c>
      <c r="J203" s="36">
        <v>9.6638e-05</v>
      </c>
      <c r="K203" s="71">
        <v>96638</v>
      </c>
      <c r="L203" s="36">
        <v>9.6638e-05</v>
      </c>
      <c r="M203" s="36">
        <v>0.0748223558313554</v>
      </c>
      <c r="N203" s="73"/>
      <c r="O203" s="59">
        <v>750</v>
      </c>
      <c r="P203" s="59">
        <v>800</v>
      </c>
      <c r="Q203" s="36">
        <v>7.4479000297916005E-5</v>
      </c>
      <c r="R203" s="36">
        <v>0</v>
      </c>
      <c r="T203" s="36"/>
      <c r="U203" s="74">
        <v>0</v>
      </c>
    </row>
    <row r="204" spans="1:21" x14ac:dyDescent="0.3">
      <c r="A204" s="14" t="str">
        <f t="shared" si="10"/>
        <v>(800, 850]</v>
      </c>
      <c r="B204" s="83">
        <v>28291</v>
      </c>
      <c r="C204" s="83">
        <v>2332011670</v>
      </c>
      <c r="D204" s="36">
        <v>0.00404312225475057</v>
      </c>
      <c r="E204" s="69">
        <v>824.294535364604</v>
      </c>
      <c r="F204" s="73"/>
      <c r="G204" s="14" t="str">
        <f t="shared" si="11"/>
        <v>(800, 850]</v>
      </c>
      <c r="H204" s="70">
        <v>0.0224507185983175</v>
      </c>
      <c r="I204" s="36">
        <v>9.0771e-05</v>
      </c>
      <c r="J204" s="36">
        <v>9.0771e-05</v>
      </c>
      <c r="K204" s="71">
        <v>90771</v>
      </c>
      <c r="L204" s="36">
        <v>9.0771e-05</v>
      </c>
      <c r="M204" s="36">
        <v>0.0748220392695804</v>
      </c>
      <c r="N204" s="73"/>
      <c r="O204" s="59">
        <v>800</v>
      </c>
      <c r="P204" s="59">
        <v>850</v>
      </c>
      <c r="Q204" s="36">
        <v>6.9963000279851996E-5</v>
      </c>
      <c r="R204" s="36">
        <v>0</v>
      </c>
      <c r="T204" s="36"/>
      <c r="U204" s="74">
        <v>0</v>
      </c>
    </row>
    <row r="205" spans="1:21" x14ac:dyDescent="0.3">
      <c r="A205" s="14" t="str">
        <f t="shared" si="10"/>
        <v>(850, 900]</v>
      </c>
      <c r="B205" s="83">
        <v>23625</v>
      </c>
      <c r="C205" s="83">
        <v>2065488815</v>
      </c>
      <c r="D205" s="36">
        <v>0.00337629505031573</v>
      </c>
      <c r="E205" s="69">
        <v>874.28097989418</v>
      </c>
      <c r="F205" s="73"/>
      <c r="G205" s="14" t="str">
        <f t="shared" si="11"/>
        <v>(850, 900]</v>
      </c>
      <c r="H205" s="70">
        <v>0.0253476069847619</v>
      </c>
      <c r="I205" s="36">
        <v>8.5581e-05</v>
      </c>
      <c r="J205" s="36">
        <v>8.5581e-05</v>
      </c>
      <c r="K205" s="72">
        <v>85581</v>
      </c>
      <c r="L205" s="36">
        <v>8.5581e-05</v>
      </c>
      <c r="M205" s="36">
        <v>0.0748218405403238</v>
      </c>
      <c r="N205" s="73"/>
      <c r="O205" s="59">
        <v>850</v>
      </c>
      <c r="P205" s="59">
        <v>900</v>
      </c>
      <c r="Q205" s="36">
        <v>6.5954000263816E-5</v>
      </c>
      <c r="R205" s="36">
        <v>0</v>
      </c>
      <c r="T205" s="36"/>
      <c r="U205" s="74">
        <v>0</v>
      </c>
    </row>
    <row r="206" spans="1:21" x14ac:dyDescent="0.3">
      <c r="A206" s="14" t="str">
        <f t="shared" si="10"/>
        <v>(900, 950]</v>
      </c>
      <c r="B206" s="83">
        <v>20107</v>
      </c>
      <c r="C206" s="83">
        <v>1858657770</v>
      </c>
      <c r="D206" s="36">
        <v>0.00287353077573326</v>
      </c>
      <c r="E206" s="69">
        <v>924.383433630079</v>
      </c>
      <c r="F206" s="73"/>
      <c r="G206" s="14" t="str">
        <f t="shared" si="11"/>
        <v>(900, 950]</v>
      </c>
      <c r="H206" s="70">
        <v>0.0281681340194957</v>
      </c>
      <c r="I206" s="36">
        <v>8.0942e-05</v>
      </c>
      <c r="J206" s="36">
        <v>8.0942e-05</v>
      </c>
      <c r="K206" s="72">
        <v>80942</v>
      </c>
      <c r="L206" s="36">
        <v>8.0942e-05</v>
      </c>
      <c r="M206" s="36">
        <v>0.0748214438848859</v>
      </c>
      <c r="N206" s="73"/>
      <c r="O206" s="59">
        <v>900</v>
      </c>
      <c r="P206" s="59">
        <v>950</v>
      </c>
      <c r="Q206" s="36">
        <v>6.2395000249580008E-5</v>
      </c>
      <c r="R206" s="36">
        <v>6.8970000000000004E-3</v>
      </c>
      <c r="T206" s="36"/>
      <c r="U206" s="74">
        <v>0</v>
      </c>
    </row>
    <row r="207" spans="1:21" x14ac:dyDescent="0.3">
      <c r="A207" s="14" t="str">
        <f t="shared" si="10"/>
        <v>(950, 1000]</v>
      </c>
      <c r="B207" s="83">
        <v>17001</v>
      </c>
      <c r="C207" s="83">
        <v>1656429300</v>
      </c>
      <c r="D207" s="36">
        <v>0.00242964622858911</v>
      </c>
      <c r="E207" s="69">
        <v>974.312863949179</v>
      </c>
      <c r="F207" s="73"/>
      <c r="G207" s="14" t="str">
        <f t="shared" si="11"/>
        <v>(950, 1000]</v>
      </c>
      <c r="H207" s="70">
        <v>0.0316074822319275</v>
      </c>
      <c r="I207" s="36">
        <v>7.6795e-05</v>
      </c>
      <c r="J207" s="36">
        <v>7.6795e-05</v>
      </c>
      <c r="K207" s="72">
        <v>76795</v>
      </c>
      <c r="L207" s="36">
        <v>7.6795e-05</v>
      </c>
      <c r="M207" s="36">
        <v>0.0748223563869772</v>
      </c>
      <c r="N207" s="73"/>
      <c r="O207" s="59">
        <v>950</v>
      </c>
      <c r="P207" s="59">
        <v>1000</v>
      </c>
      <c r="Q207" s="36">
        <v>5.9184000236736E-5</v>
      </c>
      <c r="R207" s="36">
        <v>0</v>
      </c>
      <c r="T207" s="36"/>
      <c r="U207" s="74">
        <v>0</v>
      </c>
    </row>
    <row r="208" spans="1:21" x14ac:dyDescent="0.3">
      <c r="A208" s="14" t="str">
        <f t="shared" si="10"/>
        <v>(1000, 2000]</v>
      </c>
      <c r="B208" s="83">
        <v>109395</v>
      </c>
      <c r="C208" s="83">
        <v>14362391790</v>
      </c>
      <c r="D208" s="36">
        <v>0.0156338538425096</v>
      </c>
      <c r="E208" s="69">
        <v>1312.89289181407</v>
      </c>
      <c r="F208" s="73"/>
      <c r="G208" s="14" t="str">
        <f t="shared" si="11"/>
        <v>(1000, 2000]</v>
      </c>
      <c r="H208" s="70">
        <v>0.00364529440879382</v>
      </c>
      <c r="I208" s="36">
        <v>5.699e-05</v>
      </c>
      <c r="J208" s="36">
        <v>5.699e-05</v>
      </c>
      <c r="K208" s="72">
        <v>56990</v>
      </c>
      <c r="L208" s="36">
        <v>5.699e-05</v>
      </c>
      <c r="M208" s="36">
        <v>0.0748217659044838</v>
      </c>
      <c r="N208" s="73"/>
      <c r="O208" s="59">
        <v>1000</v>
      </c>
      <c r="P208" s="59">
        <v>2000</v>
      </c>
      <c r="Q208" s="36">
        <v>4.1541000166163999E-5</v>
      </c>
      <c r="R208" s="36">
        <v>0</v>
      </c>
      <c r="T208" s="36"/>
      <c r="U208" s="74">
        <v>0</v>
      </c>
    </row>
    <row r="209" spans="1:21" x14ac:dyDescent="0.3">
      <c r="A209" s="14" t="str">
        <f t="shared" si="10"/>
        <v>(2000, 3000]</v>
      </c>
      <c r="B209" s="83">
        <v>13326</v>
      </c>
      <c r="C209" s="83">
        <v>3153908440</v>
      </c>
      <c r="D209" s="36">
        <v>0.00190444477631777</v>
      </c>
      <c r="E209" s="69">
        <v>2366.73303316824</v>
      </c>
      <c r="F209" s="73"/>
      <c r="G209" s="14" t="str">
        <f t="shared" si="11"/>
        <v>(2000, 3000]</v>
      </c>
      <c r="H209" s="70">
        <v>0.0332012777615188</v>
      </c>
      <c r="I209" s="36">
        <v>6.323e-05</v>
      </c>
      <c r="J209" s="36">
        <v>6.323e-05</v>
      </c>
      <c r="K209" s="72">
        <v>63230</v>
      </c>
      <c r="L209" s="36">
        <v>6.323e-05</v>
      </c>
      <c r="M209" s="36">
        <v>0.149648529687228</v>
      </c>
      <c r="N209" s="73"/>
      <c r="O209" s="59">
        <v>2000</v>
      </c>
      <c r="P209" s="59">
        <v>3000</v>
      </c>
      <c r="Q209" s="36">
        <v>4.7610000190440003E-5</v>
      </c>
      <c r="R209" s="36">
        <v>0</v>
      </c>
      <c r="T209" s="36"/>
      <c r="U209" s="74">
        <v>0</v>
      </c>
    </row>
    <row r="210" spans="1:21" x14ac:dyDescent="0.3">
      <c r="A210" s="14" t="str">
        <f t="shared" si="10"/>
        <v>(3000, 4000]</v>
      </c>
      <c r="B210" s="83">
        <v>2933</v>
      </c>
      <c r="C210" s="83">
        <v>994750330</v>
      </c>
      <c r="D210" s="36">
        <v>0.000419160778098456</v>
      </c>
      <c r="E210" s="69">
        <v>3391.57971360382</v>
      </c>
      <c r="F210" s="73"/>
      <c r="G210" s="14" t="str">
        <f t="shared" si="11"/>
        <v>(3000, 4000]</v>
      </c>
      <c r="H210" s="70">
        <v>0</v>
      </c>
      <c r="I210" s="36">
        <v>0</v>
      </c>
      <c r="J210" s="36">
        <v>0</v>
      </c>
      <c r="K210" s="72">
        <v>0</v>
      </c>
      <c r="L210" s="36">
        <v>0</v>
      </c>
      <c r="M210" s="36">
        <v>0</v>
      </c>
      <c r="N210" s="73"/>
      <c r="O210" s="59">
        <v>3000</v>
      </c>
      <c r="P210" s="59">
        <v>4000</v>
      </c>
      <c r="Q210" s="36">
        <v>1.6768000067072002E-5</v>
      </c>
      <c r="R210" s="36">
        <v>0</v>
      </c>
      <c r="T210" s="36"/>
      <c r="U210" s="74">
        <v>0</v>
      </c>
    </row>
    <row r="211" spans="1:21" x14ac:dyDescent="0.3">
      <c r="A211" s="14" t="str">
        <f t="shared" si="10"/>
        <v>(4000, 5000]</v>
      </c>
      <c r="B211" s="83">
        <v>882</v>
      </c>
      <c r="C211" s="83">
        <v>389171095</v>
      </c>
      <c r="D211" s="36">
        <v>0.000126048348545121</v>
      </c>
      <c r="E211" s="69">
        <v>4412.37069160998</v>
      </c>
      <c r="F211" s="73"/>
      <c r="G211" s="14" t="str">
        <f t="shared" si="11"/>
        <v>(4000, 5000]</v>
      </c>
      <c r="H211" s="70">
        <v>0</v>
      </c>
      <c r="I211" s="36">
        <v>0</v>
      </c>
      <c r="J211" s="36">
        <v>0</v>
      </c>
      <c r="K211" s="72">
        <v>0</v>
      </c>
      <c r="L211" s="36">
        <v>0</v>
      </c>
      <c r="M211" s="36">
        <v>0</v>
      </c>
      <c r="N211" s="73"/>
      <c r="O211" s="59">
        <v>4000</v>
      </c>
      <c r="P211" s="59">
        <v>5000</v>
      </c>
      <c r="Q211" s="36">
        <v>1.2962000051848E-5</v>
      </c>
      <c r="R211" s="36">
        <v>0</v>
      </c>
      <c r="T211" s="36"/>
      <c r="U211" s="74">
        <v>0</v>
      </c>
    </row>
    <row r="212" spans="1:21" x14ac:dyDescent="0.3">
      <c r="A212" s="14" t="str">
        <f t="shared" si="10"/>
        <v>(5000, 6000]</v>
      </c>
      <c r="B212" s="83">
        <v>298</v>
      </c>
      <c r="C212" s="83">
        <v>162368765</v>
      </c>
      <c r="D212" s="36">
        <v>4.25877640209137e-05</v>
      </c>
      <c r="E212" s="69">
        <v>5448.61627516779</v>
      </c>
      <c r="F212" s="73"/>
      <c r="G212" s="14" t="str">
        <f t="shared" si="11"/>
        <v>(5000, 6000]</v>
      </c>
      <c r="H212" s="70">
        <v>0</v>
      </c>
      <c r="I212" s="36">
        <v>0</v>
      </c>
      <c r="J212" s="36">
        <v>0</v>
      </c>
      <c r="K212" s="72">
        <v>0</v>
      </c>
      <c r="L212" s="36">
        <v>0</v>
      </c>
      <c r="M212" s="36">
        <v>0</v>
      </c>
      <c r="N212" s="73"/>
      <c r="O212" s="59">
        <v>5000</v>
      </c>
      <c r="P212" s="59">
        <v>6000</v>
      </c>
      <c r="Q212" s="36">
        <v>1.0571000042284001E-5</v>
      </c>
      <c r="R212" s="36">
        <v>0</v>
      </c>
      <c r="T212" s="36"/>
      <c r="U212" s="74">
        <v>0</v>
      </c>
    </row>
    <row r="213" spans="1:21" x14ac:dyDescent="0.3">
      <c r="A213" s="14" t="str">
        <f t="shared" si="10"/>
        <v>(6000, 7000]</v>
      </c>
      <c r="B213" s="83">
        <v>116</v>
      </c>
      <c r="C213" s="83">
        <v>74801250</v>
      </c>
      <c r="D213" s="36">
        <v>1.6577787337e-05</v>
      </c>
      <c r="E213" s="69">
        <v>6448.38362068966</v>
      </c>
      <c r="F213" s="73"/>
      <c r="G213" s="14" t="str">
        <f t="shared" si="11"/>
        <v>(6000, 7000]</v>
      </c>
      <c r="H213" s="70">
        <v>0</v>
      </c>
      <c r="I213" s="36">
        <v>0</v>
      </c>
      <c r="J213" s="36">
        <v>0</v>
      </c>
      <c r="K213" s="72">
        <v>0</v>
      </c>
      <c r="L213" s="36">
        <v>0</v>
      </c>
      <c r="M213" s="36">
        <v>0</v>
      </c>
      <c r="N213" s="73"/>
      <c r="O213" s="59">
        <v>6000</v>
      </c>
      <c r="P213" s="59">
        <v>7000</v>
      </c>
      <c r="Q213" s="36">
        <v>8.9280000357119999E-6</v>
      </c>
      <c r="R213" s="36">
        <v>0</v>
      </c>
      <c r="T213" s="36"/>
      <c r="U213" s="74">
        <v>0</v>
      </c>
    </row>
    <row r="214" spans="1:21" x14ac:dyDescent="0.3">
      <c r="A214" s="14" t="str">
        <f t="shared" si="10"/>
        <v>(7000, 8000]</v>
      </c>
      <c r="B214" s="83">
        <v>55</v>
      </c>
      <c r="C214" s="83">
        <v>40605295</v>
      </c>
      <c r="D214" s="36">
        <v>7.86015778909482e-06</v>
      </c>
      <c r="E214" s="69">
        <v>7382.78090909091</v>
      </c>
      <c r="F214" s="73"/>
      <c r="G214" s="14" t="str">
        <f t="shared" si="11"/>
        <v>(7000, 8000]</v>
      </c>
      <c r="H214" s="70">
        <v>0</v>
      </c>
      <c r="I214" s="36">
        <v>0</v>
      </c>
      <c r="J214" s="36">
        <v>0</v>
      </c>
      <c r="K214" s="72">
        <v>0</v>
      </c>
      <c r="L214" s="36">
        <v>0</v>
      </c>
      <c r="M214" s="36">
        <v>0</v>
      </c>
      <c r="N214" s="73"/>
      <c r="O214" s="59">
        <v>7000</v>
      </c>
      <c r="P214" s="59">
        <v>8000</v>
      </c>
      <c r="Q214" s="36">
        <v>7.7290000309159996E-6</v>
      </c>
      <c r="R214" s="36">
        <v>0</v>
      </c>
      <c r="T214" s="36"/>
      <c r="U214" s="74">
        <v>0</v>
      </c>
    </row>
    <row r="215" spans="1:21" x14ac:dyDescent="0.3">
      <c r="A215" s="14" t="str">
        <f t="shared" si="10"/>
        <v>(8000, 9000]</v>
      </c>
      <c r="B215" s="83">
        <v>22</v>
      </c>
      <c r="C215" s="83">
        <v>18835895</v>
      </c>
      <c r="D215" s="36">
        <v>3.14406311563793e-06</v>
      </c>
      <c r="E215" s="69">
        <v>8561.77045454545</v>
      </c>
      <c r="F215" s="73"/>
      <c r="G215" s="14" t="str">
        <f t="shared" si="11"/>
        <v>(8000, 9000]</v>
      </c>
      <c r="H215" s="70">
        <v>0</v>
      </c>
      <c r="I215" s="36">
        <v>0</v>
      </c>
      <c r="J215" s="36">
        <v>0</v>
      </c>
      <c r="K215" s="72">
        <v>0</v>
      </c>
      <c r="L215" s="36">
        <v>0</v>
      </c>
      <c r="M215" s="36">
        <v>0</v>
      </c>
      <c r="N215" s="73"/>
      <c r="O215" s="59">
        <v>8000</v>
      </c>
      <c r="P215" s="59">
        <v>9000</v>
      </c>
      <c r="Q215" s="36">
        <v>6.813000027252E-6</v>
      </c>
      <c r="R215" s="36">
        <v>0</v>
      </c>
      <c r="T215" s="36"/>
      <c r="U215" s="74">
        <v>0</v>
      </c>
    </row>
    <row r="216" spans="1:21" x14ac:dyDescent="0.3">
      <c r="A216" s="14" t="str">
        <f t="shared" si="10"/>
        <v>(9000, 10000]</v>
      </c>
      <c r="B216" s="83">
        <v>11</v>
      </c>
      <c r="C216" s="83">
        <v>10522285</v>
      </c>
      <c r="D216" s="36">
        <v>1.57203155781896e-06</v>
      </c>
      <c r="E216" s="69">
        <v>9565.71363636364</v>
      </c>
      <c r="F216" s="73"/>
      <c r="G216" s="14" t="str">
        <f t="shared" si="11"/>
        <v>(9000, 10000]</v>
      </c>
      <c r="H216" s="70">
        <v>4.61313894363636</v>
      </c>
      <c r="I216" s="36">
        <v>7.252e-06</v>
      </c>
      <c r="J216" s="36">
        <v>7.252e-06</v>
      </c>
      <c r="K216" s="72">
        <v>7252</v>
      </c>
      <c r="L216" s="36">
        <v>7.252e-06</v>
      </c>
      <c r="M216" s="36">
        <v>0.0693705552909091</v>
      </c>
      <c r="N216" s="73"/>
      <c r="O216" s="59">
        <v>9000</v>
      </c>
      <c r="P216" s="59">
        <v>10000</v>
      </c>
      <c r="Q216" s="36">
        <v>0</v>
      </c>
      <c r="R216" s="36">
        <v>0</v>
      </c>
      <c r="T216" s="36"/>
      <c r="U216" s="74">
        <v>0</v>
      </c>
    </row>
    <row r="217" spans="1:21" x14ac:dyDescent="0.3">
      <c r="A217" s="14" t="str">
        <f t="shared" si="10"/>
        <v>(10000, 20000]</v>
      </c>
      <c r="B217" s="83">
        <v>13</v>
      </c>
      <c r="C217" s="83">
        <v>14889020</v>
      </c>
      <c r="D217" s="36">
        <v>1.85785547742241e-06</v>
      </c>
      <c r="E217" s="69">
        <v>11453.0923076923</v>
      </c>
      <c r="F217" s="73"/>
      <c r="G217" s="14" t="str">
        <f t="shared" si="11"/>
        <v>(10000, 20000]</v>
      </c>
      <c r="H217" s="70">
        <v>0</v>
      </c>
      <c r="I217" s="36">
        <v>0</v>
      </c>
      <c r="J217" s="36">
        <v>0</v>
      </c>
      <c r="K217" s="72">
        <v>0</v>
      </c>
      <c r="L217" s="36">
        <v>0</v>
      </c>
      <c r="M217" s="36">
        <v>0</v>
      </c>
      <c r="N217" s="73"/>
      <c r="O217" s="59">
        <v>10000</v>
      </c>
      <c r="P217" s="59">
        <v>20000</v>
      </c>
      <c r="Q217" s="36">
        <v>4.4610000178440003E-6</v>
      </c>
      <c r="R217" s="36">
        <v>0</v>
      </c>
      <c r="T217" s="36"/>
      <c r="U217" s="74">
        <v>0</v>
      </c>
    </row>
    <row r="218" spans="1:21" x14ac:dyDescent="0.3">
      <c r="A218" s="14" t="str">
        <f t="shared" si="10"/>
        <v>(20000, 30000]</v>
      </c>
      <c r="B218" s="83">
        <v>0</v>
      </c>
      <c r="C218" s="83">
        <v>0</v>
      </c>
      <c r="D218" s="36">
        <v>0</v>
      </c>
      <c r="E218" s="69">
        <v>0</v>
      </c>
      <c r="F218" s="73"/>
      <c r="G218" s="14" t="str">
        <f t="shared" si="11"/>
        <v>(20000, 30000]</v>
      </c>
      <c r="H218" s="70">
        <v>0</v>
      </c>
      <c r="I218" s="36">
        <v>0</v>
      </c>
      <c r="J218" s="36">
        <v>0</v>
      </c>
      <c r="K218" s="72">
        <v>0</v>
      </c>
      <c r="L218" s="36">
        <v>0</v>
      </c>
      <c r="M218" s="36">
        <v>0</v>
      </c>
      <c r="N218" s="73"/>
      <c r="O218" s="59">
        <v>20000</v>
      </c>
      <c r="P218" s="59">
        <v>30000</v>
      </c>
      <c r="Q218" s="36">
        <v>0</v>
      </c>
      <c r="R218" s="36">
        <v>0</v>
      </c>
      <c r="T218" s="36"/>
      <c r="U218" s="74">
        <v>0</v>
      </c>
    </row>
    <row r="219" spans="1:21" x14ac:dyDescent="0.3">
      <c r="A219" s="14" t="str">
        <f t="shared" si="10"/>
        <v>(30000, 40000]</v>
      </c>
      <c r="B219" s="83">
        <v>0</v>
      </c>
      <c r="C219" s="83">
        <v>0</v>
      </c>
      <c r="D219" s="36">
        <v>0</v>
      </c>
      <c r="E219" s="69">
        <v>0</v>
      </c>
      <c r="F219" s="73"/>
      <c r="G219" s="14" t="str">
        <f t="shared" si="11"/>
        <v>(30000, 40000]</v>
      </c>
      <c r="H219" s="70">
        <v>0</v>
      </c>
      <c r="I219" s="36">
        <v>0</v>
      </c>
      <c r="J219" s="36">
        <v>0</v>
      </c>
      <c r="K219" s="72">
        <v>0</v>
      </c>
      <c r="L219" s="36">
        <v>0</v>
      </c>
      <c r="M219" s="36">
        <v>0</v>
      </c>
      <c r="N219" s="73"/>
      <c r="O219" s="59">
        <v>30000</v>
      </c>
      <c r="P219" s="59">
        <v>40000</v>
      </c>
      <c r="Q219" s="36">
        <v>0</v>
      </c>
      <c r="R219" s="36">
        <v>0</v>
      </c>
      <c r="T219" s="36"/>
      <c r="U219" s="74">
        <v>0</v>
      </c>
    </row>
    <row r="220" spans="1:21" x14ac:dyDescent="0.3">
      <c r="A220" s="14" t="str">
        <f t="shared" si="10"/>
        <v>(40000, 50000]</v>
      </c>
      <c r="B220" s="83">
        <v>0</v>
      </c>
      <c r="C220" s="83">
        <v>0</v>
      </c>
      <c r="D220" s="36">
        <v>0</v>
      </c>
      <c r="E220" s="69">
        <v>0</v>
      </c>
      <c r="F220" s="73"/>
      <c r="G220" s="14" t="str">
        <f t="shared" si="11"/>
        <v>(40000, 50000]</v>
      </c>
      <c r="H220" s="70">
        <v>0</v>
      </c>
      <c r="I220" s="36">
        <v>0</v>
      </c>
      <c r="J220" s="36">
        <v>0</v>
      </c>
      <c r="K220" s="72">
        <v>0</v>
      </c>
      <c r="L220" s="36">
        <v>0</v>
      </c>
      <c r="M220" s="36">
        <v>0</v>
      </c>
      <c r="N220" s="73"/>
      <c r="O220" s="59">
        <v>40000</v>
      </c>
      <c r="P220" s="59">
        <v>50000</v>
      </c>
      <c r="Q220" s="36">
        <v>0</v>
      </c>
      <c r="R220" s="36">
        <v>0</v>
      </c>
      <c r="T220" s="36"/>
      <c r="U220" s="74">
        <v>0</v>
      </c>
    </row>
    <row r="221" spans="1:21" x14ac:dyDescent="0.3">
      <c r="A221" s="14" t="str">
        <f t="shared" si="10"/>
        <v>(50000, 60000]</v>
      </c>
      <c r="B221" s="83">
        <v>0</v>
      </c>
      <c r="C221" s="83">
        <v>0</v>
      </c>
      <c r="D221" s="36">
        <v>0</v>
      </c>
      <c r="E221" s="69">
        <v>0</v>
      </c>
      <c r="F221" s="73"/>
      <c r="G221" s="14" t="str">
        <f t="shared" si="11"/>
        <v>(50000, 60000]</v>
      </c>
      <c r="H221" s="70">
        <v>0</v>
      </c>
      <c r="I221" s="36">
        <v>0</v>
      </c>
      <c r="J221" s="36">
        <v>0</v>
      </c>
      <c r="K221" s="72">
        <v>0</v>
      </c>
      <c r="L221" s="36">
        <v>0</v>
      </c>
      <c r="M221" s="36">
        <v>0</v>
      </c>
      <c r="N221" s="73"/>
      <c r="O221" s="59">
        <v>50000</v>
      </c>
      <c r="P221" s="59">
        <v>60000</v>
      </c>
      <c r="Q221" s="36">
        <v>0</v>
      </c>
      <c r="R221" s="36">
        <v>0</v>
      </c>
      <c r="T221" s="36"/>
      <c r="U221" s="74">
        <v>0</v>
      </c>
    </row>
    <row r="222" spans="1:21" x14ac:dyDescent="0.3">
      <c r="A222" s="14" t="str">
        <f t="shared" si="10"/>
        <v>(60000, 70000]</v>
      </c>
      <c r="B222" s="83">
        <v>0</v>
      </c>
      <c r="C222" s="83">
        <v>0</v>
      </c>
      <c r="D222" s="36">
        <v>0</v>
      </c>
      <c r="E222" s="69">
        <v>0</v>
      </c>
      <c r="F222" s="73"/>
      <c r="G222" s="14" t="str">
        <f t="shared" si="11"/>
        <v>(60000, 70000]</v>
      </c>
      <c r="H222" s="70">
        <v>0</v>
      </c>
      <c r="I222" s="36">
        <v>0</v>
      </c>
      <c r="J222" s="36">
        <v>0</v>
      </c>
      <c r="K222" s="72">
        <v>0</v>
      </c>
      <c r="L222" s="36">
        <v>0</v>
      </c>
      <c r="M222" s="36">
        <v>0</v>
      </c>
      <c r="N222" s="73"/>
      <c r="O222" s="59">
        <v>60000</v>
      </c>
      <c r="P222" s="59">
        <v>70000</v>
      </c>
      <c r="Q222" s="36">
        <v>0</v>
      </c>
      <c r="R222" s="36">
        <v>0</v>
      </c>
      <c r="T222" s="36"/>
      <c r="U222" s="74">
        <v>0</v>
      </c>
    </row>
    <row r="223" spans="1:21" x14ac:dyDescent="0.3">
      <c r="A223" s="14" t="str">
        <f t="shared" si="10"/>
        <v>(70000, 80000]</v>
      </c>
      <c r="B223" s="83">
        <v>0</v>
      </c>
      <c r="C223" s="83">
        <v>0</v>
      </c>
      <c r="D223" s="36">
        <v>0</v>
      </c>
      <c r="E223" s="69">
        <v>0</v>
      </c>
      <c r="F223" s="73"/>
      <c r="G223" s="14" t="str">
        <f t="shared" si="11"/>
        <v>(70000, 80000]</v>
      </c>
      <c r="H223" s="70">
        <v>0</v>
      </c>
      <c r="I223" s="36">
        <v>0</v>
      </c>
      <c r="J223" s="36">
        <v>0</v>
      </c>
      <c r="K223" s="72">
        <v>0</v>
      </c>
      <c r="L223" s="36">
        <v>0</v>
      </c>
      <c r="M223" s="36">
        <v>0</v>
      </c>
      <c r="N223" s="73"/>
      <c r="O223" s="59">
        <v>70000</v>
      </c>
      <c r="P223" s="59">
        <v>80000</v>
      </c>
      <c r="Q223" s="36">
        <v>0</v>
      </c>
      <c r="R223" s="36">
        <v>0</v>
      </c>
      <c r="T223" s="36"/>
      <c r="U223" s="74">
        <v>0</v>
      </c>
    </row>
    <row r="224" spans="1:21" x14ac:dyDescent="0.3">
      <c r="A224" s="14" t="str">
        <f t="shared" si="10"/>
        <v>(80000, 90000]</v>
      </c>
      <c r="B224" s="83">
        <v>0</v>
      </c>
      <c r="C224" s="83">
        <v>0</v>
      </c>
      <c r="D224" s="36">
        <v>0</v>
      </c>
      <c r="E224" s="69">
        <v>0</v>
      </c>
      <c r="F224" s="73"/>
      <c r="G224" s="14" t="str">
        <f t="shared" si="11"/>
        <v>(80000, 90000]</v>
      </c>
      <c r="H224" s="70">
        <v>0</v>
      </c>
      <c r="I224" s="36">
        <v>0</v>
      </c>
      <c r="J224" s="36">
        <v>0</v>
      </c>
      <c r="K224" s="72">
        <v>0</v>
      </c>
      <c r="L224" s="36">
        <v>0</v>
      </c>
      <c r="M224" s="36">
        <v>0</v>
      </c>
      <c r="N224" s="73"/>
      <c r="O224" s="59">
        <v>80000</v>
      </c>
      <c r="P224" s="59">
        <v>90000</v>
      </c>
      <c r="Q224" s="36">
        <v>0</v>
      </c>
      <c r="R224" s="36">
        <v>0</v>
      </c>
      <c r="T224" s="36"/>
      <c r="U224" s="74">
        <v>0</v>
      </c>
    </row>
    <row r="225" spans="1:21" x14ac:dyDescent="0.3">
      <c r="A225" s="14" t="str">
        <f t="shared" si="10"/>
        <v>(90000, 100000]</v>
      </c>
      <c r="B225" s="83">
        <v>0</v>
      </c>
      <c r="C225" s="83">
        <v>0</v>
      </c>
      <c r="D225" s="36">
        <v>0</v>
      </c>
      <c r="E225" s="69">
        <v>0</v>
      </c>
      <c r="F225" s="73"/>
      <c r="G225" s="14" t="str">
        <f t="shared" si="11"/>
        <v>(90000, 100000]</v>
      </c>
      <c r="H225" s="70">
        <v>0</v>
      </c>
      <c r="I225" s="36">
        <v>0</v>
      </c>
      <c r="J225" s="36">
        <v>0</v>
      </c>
      <c r="K225" s="72">
        <v>0</v>
      </c>
      <c r="L225" s="36">
        <v>0</v>
      </c>
      <c r="M225" s="36">
        <v>0</v>
      </c>
      <c r="N225" s="73"/>
      <c r="O225" s="59">
        <v>90000</v>
      </c>
      <c r="P225" s="59">
        <v>100000</v>
      </c>
      <c r="Q225" s="36">
        <v>0</v>
      </c>
      <c r="R225" s="36">
        <v>0</v>
      </c>
      <c r="T225" s="36"/>
      <c r="U225" s="74">
        <v>0</v>
      </c>
    </row>
    <row r="226" spans="1:21" x14ac:dyDescent="0.3">
      <c r="A226" s="14" t="str">
        <f t="shared" si="10"/>
        <v>(100000, 9999999]</v>
      </c>
      <c r="B226" s="83">
        <v>0</v>
      </c>
      <c r="C226" s="83">
        <v>0</v>
      </c>
      <c r="D226" s="36">
        <v>0</v>
      </c>
      <c r="E226" s="69">
        <v>0</v>
      </c>
      <c r="F226" s="73"/>
      <c r="G226" s="14" t="str">
        <f t="shared" si="11"/>
        <v>(100000, 9999999]</v>
      </c>
      <c r="H226" s="70">
        <v>0</v>
      </c>
      <c r="I226" s="36">
        <v>0</v>
      </c>
      <c r="J226" s="36">
        <v>0</v>
      </c>
      <c r="K226" s="72">
        <v>0</v>
      </c>
      <c r="L226" s="36">
        <v>0</v>
      </c>
      <c r="M226" s="36">
        <v>0</v>
      </c>
      <c r="N226" s="73"/>
      <c r="O226" s="59">
        <v>100000</v>
      </c>
      <c r="P226" s="59">
        <v>9999999</v>
      </c>
      <c r="Q226" s="36">
        <v>0</v>
      </c>
      <c r="R226" s="36">
        <v>0</v>
      </c>
      <c r="T226" s="36"/>
      <c r="U226" s="74">
        <v>0</v>
      </c>
    </row>
  </sheetData>
  <phoneticPr fontId="20" type="noConversion"/>
  <conditionalFormatting sqref="D79">
    <cfRule type="cellIs" dxfId="7" priority="3" operator="lessThan">
      <formula>0.001</formula>
    </cfRule>
  </conditionalFormatting>
  <conditionalFormatting sqref="D86:D149">
    <cfRule type="cellIs" dxfId="6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{0279AB80-BCF8-4C2B-8232-2DF72B252901}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{8F88CF18-93DE-499F-A993-C3EB5AF99DE6}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{E0F4EBD7-D349-438D-B0FF-53E2A9EB77D4}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{CC409365-0C0F-4BAF-9973-020365DE6F2F}</x14:id>
        </ext>
      </extLst>
    </cfRule>
  </conditionalFormatting>
  <conditionalFormatting sqref="D15:D78">
    <cfRule type="cellIs" dxfId="5" priority="18" operator="lessThan">
      <formula>0.001</formula>
    </cfRule>
  </conditionalFormatting>
  <conditionalFormatting sqref="L163:L226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{24230A6C-B870-49E2-BC68-80514154C439}</x14:id>
        </ext>
      </extLst>
    </cfRule>
  </conditionalFormatting>
  <conditionalFormatting sqref="M163:M226">
    <cfRule type="dataBar" priority="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{92356603-AE7E-48C6-A945-3A7D96090C60}</x14:id>
        </ext>
      </extLst>
    </cfRule>
  </conditionalFormatting>
  <conditionalFormatting sqref="Q165:Q226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{2019992F-D69A-4414-B8DC-E754E7278CD6}</x14:id>
        </ext>
      </extLst>
    </cfRule>
  </conditionalFormatting>
  <conditionalFormatting sqref="D163:D226">
    <cfRule type="cellIs" dxfId="4" priority="13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{DDC51039-5BB9-47E6-9614-61FD834054D9}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{6EF4F5AC-8C2A-47B9-B42F-A5C7F44F301F}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{375848A8-9FEF-4521-AE93-9D51418A94D1}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{D48F15BD-10F6-4651-A8AA-9F954995125C}</x14:id>
        </ext>
      </extLst>
    </cfRule>
  </conditionalFormatting>
  <conditionalFormatting sqref="R165:R226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{365CB742-EAF8-4AEF-AE50-E4085B650D5C}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{7CB934FB-9E16-4BDA-A41E-2ED3C04E1A38}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{1FE5773C-69D4-4AB2-945F-B7D37DEF4A68}</x14:id>
        </ext>
      </extLst>
    </cfRule>
  </conditionalFormatting>
  <conditionalFormatting sqref="T165:T226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{D60D7251-BC0B-4A9B-BCCC-25F825366308}</x14:id>
        </ext>
      </extLst>
    </cfRule>
  </conditionalFormatting>
  <conditionalFormatting sqref="Q156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{742B22D3-9975-43E9-B00F-E867E283F08A}</x14:id>
        </ext>
      </extLst>
    </cfRule>
  </conditionalFormatting>
  <conditionalFormatting sqref="R156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{33F0B6EE-6795-44D7-AB23-05AAA2753161}</x14:id>
        </ext>
      </extLst>
    </cfRule>
  </conditionalFormatting>
  <conditionalFormatting sqref="T156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{F10E6DAA-4C2D-4F5B-8CDC-C9E5611FC1B4}</x14:id>
        </ext>
      </extLst>
    </cfRule>
  </conditionalFormatting>
  <conditionalFormatting sqref="D156">
    <cfRule type="cellIs" dxfId="3" priority="2" operator="lessThan">
      <formula>0.001</formula>
    </cfRule>
  </conditionalFormatting>
  <conditionalFormatting sqref="M15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{1205C395-1704-4FA3-9D5A-19965EB52F38}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79AB80-BCF8-4C2B-8232-2DF72B2529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F88CF18-93DE-499F-A993-C3EB5AF99D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E0F4EBD7-D349-438D-B0FF-53E2A9EB77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CC409365-0C0F-4BAF-9973-020365DE6F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24230A6C-B870-49E2-BC68-80514154C4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L163:L226</xm:sqref>
        </x14:conditionalFormatting>
        <x14:conditionalFormatting xmlns:xm="http://schemas.microsoft.com/office/excel/2006/main">
          <x14:cfRule type="dataBar" id="{92356603-AE7E-48C6-A945-3A7D96090C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M163:M226</xm:sqref>
        </x14:conditionalFormatting>
        <x14:conditionalFormatting xmlns:xm="http://schemas.microsoft.com/office/excel/2006/main">
          <x14:cfRule type="dataBar" id="{2019992F-D69A-4414-B8DC-E754E7278C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Q165:Q226</xm:sqref>
        </x14:conditionalFormatting>
        <x14:conditionalFormatting xmlns:xm="http://schemas.microsoft.com/office/excel/2006/main">
          <x14:cfRule type="dataBar" id="{DDC51039-5BB9-47E6-9614-61FD834054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6EF4F5AC-8C2A-47B9-B42F-A5C7F44F30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375848A8-9FEF-4521-AE93-9D51418A94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D48F15BD-10F6-4651-A8AA-9F95499512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365CB742-EAF8-4AEF-AE50-E4085B650D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R165:R226</xm:sqref>
        </x14:conditionalFormatting>
        <x14:conditionalFormatting xmlns:xm="http://schemas.microsoft.com/office/excel/2006/main">
          <x14:cfRule type="dataBar" id="{7CB934FB-9E16-4BDA-A41E-2ED3C04E1A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1FE5773C-69D4-4AB2-945F-B7D37DEF4A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  <x14:conditionalFormatting xmlns:xm="http://schemas.microsoft.com/office/excel/2006/main">
          <x14:cfRule type="dataBar" id="{D60D7251-BC0B-4A9B-BCCC-25F8253663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T165:T226</xm:sqref>
        </x14:conditionalFormatting>
        <x14:conditionalFormatting xmlns:xm="http://schemas.microsoft.com/office/excel/2006/main">
          <x14:cfRule type="dataBar" id="{742B22D3-9975-43E9-B00F-E867E283F0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Q156</xm:sqref>
        </x14:conditionalFormatting>
        <x14:conditionalFormatting xmlns:xm="http://schemas.microsoft.com/office/excel/2006/main">
          <x14:cfRule type="dataBar" id="{33F0B6EE-6795-44D7-AB23-05AAA27531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R156</xm:sqref>
        </x14:conditionalFormatting>
        <x14:conditionalFormatting xmlns:xm="http://schemas.microsoft.com/office/excel/2006/main">
          <x14:cfRule type="dataBar" id="{F10E6DAA-4C2D-4F5B-8CDC-C9E5611FC1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T156</xm:sqref>
        </x14:conditionalFormatting>
        <x14:conditionalFormatting xmlns:xm="http://schemas.microsoft.com/office/excel/2006/main">
          <x14:cfRule type="dataBar" id="{1205C395-1704-4FA3-9D5A-19965EB52F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A28F9-E15B-42F9-A0B3-2FC940320915}">
  <dimension ref="A1:U226"/>
  <sheetViews>
    <sheetView workbookViewId="0">
      <selection activeCell="P11" sqref="P11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80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98</v>
      </c>
      <c r="B3" s="97">
        <f>Overview!A7</f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99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89</v>
      </c>
      <c r="C6" s="12" t="s">
        <v>90</v>
      </c>
      <c r="D6" s="12" t="s">
        <v>91</v>
      </c>
      <c r="E6" s="12" t="s">
        <v>100</v>
      </c>
      <c r="F6" s="12" t="s">
        <v>92</v>
      </c>
      <c r="G6" s="12" t="s">
        <v>93</v>
      </c>
      <c r="H6" s="12" t="s">
        <v>94</v>
      </c>
      <c r="I6" s="56" t="s">
        <v>101</v>
      </c>
      <c r="J6" s="57" t="s">
        <v>102</v>
      </c>
      <c r="K6" s="49"/>
      <c r="L6" s="49"/>
      <c r="M6" s="58"/>
    </row>
    <row r="7" spans="1:21" x14ac:dyDescent="0.3">
      <c r="A7" s="59" t="s">
        <v>95</v>
      </c>
      <c r="B7" s="59">
        <f>Overview!B11</f>
        <v>1</v>
      </c>
      <c r="C7" s="40">
        <f>SUM(M15:M79)</f>
        <v>0.720000015561811</v>
      </c>
      <c r="D7" s="40">
        <f>SUM(_xlfn.ANCHORARRAY(M86))*F7</f>
        <v>0.209999941211268</v>
      </c>
      <c r="E7" s="41">
        <f>SUM(C7:D7)</f>
        <v>0.929999956773079</v>
      </c>
      <c r="F7" s="42">
        <f>L79</f>
        <v>0.003577802</v>
      </c>
      <c r="G7" s="43">
        <f>1/F7</f>
        <v>279.501213314767</v>
      </c>
      <c r="H7" s="44">
        <f>D7*G7</f>
        <v>58.6952383645792</v>
      </c>
      <c r="I7" s="60" cm="1">
        <f t="array" ref="I7">LOOKUP(2,1/(K15:K78&lt;&gt;0),P15:P78)</f>
        <v>30</v>
      </c>
      <c r="J7" s="60" cm="1">
        <f t="array" ref="J7">LOOKUP(2,1/(_xlfn.ANCHORARRAY(K86)&lt;&gt;0),P15:P78)</f>
        <v>100</v>
      </c>
      <c r="K7" s="48"/>
      <c r="L7" s="49"/>
      <c r="M7" s="58"/>
    </row>
    <row r="8" spans="1:21" x14ac:dyDescent="0.3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T8"/>
      <c r="U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95</v>
      </c>
      <c r="B11" s="95" t="s">
        <v>90</v>
      </c>
      <c r="C11" s="95"/>
      <c r="D11" s="90"/>
      <c r="E11" s="89"/>
      <c r="F11" s="91"/>
      <c r="G11" s="95" t="s">
        <v>95</v>
      </c>
      <c r="H11" s="95" t="s">
        <v>90</v>
      </c>
      <c r="I11" s="88"/>
      <c r="J11" s="88"/>
      <c r="K11" s="92"/>
      <c r="L11" s="93"/>
      <c r="M11" s="93"/>
      <c r="N11" s="91"/>
      <c r="O11" s="95" t="s">
        <v>95</v>
      </c>
      <c r="P11" s="95" t="s">
        <v>90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119</v>
      </c>
      <c r="B13" s="47">
        <v>1000000000</v>
      </c>
      <c r="C13" s="1"/>
      <c r="D13" s="1"/>
      <c r="E13" s="1"/>
      <c r="G13" s="65" t="s">
        <v>103</v>
      </c>
      <c r="H13" s="38"/>
      <c r="I13" s="38"/>
      <c r="J13" s="38"/>
      <c r="K13" s="38"/>
      <c r="L13" s="38"/>
      <c r="M13" s="38"/>
    </row>
    <row r="14" spans="1:21" x14ac:dyDescent="0.3">
      <c r="A14" s="9" t="s">
        <v>109</v>
      </c>
      <c r="B14" s="9" t="s">
        <v>106</v>
      </c>
      <c r="C14" s="9" t="s">
        <v>107</v>
      </c>
      <c r="D14" s="9" t="s">
        <v>108</v>
      </c>
      <c r="E14" s="9" t="s">
        <v>87</v>
      </c>
      <c r="G14" s="9" t="s">
        <v>109</v>
      </c>
      <c r="H14" s="9" t="s">
        <v>110</v>
      </c>
      <c r="I14" s="9" t="s">
        <v>111</v>
      </c>
      <c r="J14" s="9" t="s">
        <v>112</v>
      </c>
      <c r="K14" s="9" t="s">
        <v>113</v>
      </c>
      <c r="L14" s="9" t="s">
        <v>88</v>
      </c>
      <c r="M14" s="9" t="s">
        <v>114</v>
      </c>
      <c r="O14" s="9" t="s">
        <v>104</v>
      </c>
      <c r="P14" s="9" t="s">
        <v>105</v>
      </c>
      <c r="Q14" s="12" t="s">
        <v>120</v>
      </c>
      <c r="R14" s="12" t="s">
        <v>115</v>
      </c>
      <c r="T14" s="12" t="s">
        <v>120</v>
      </c>
      <c r="U14" s="12" t="s">
        <v>116</v>
      </c>
    </row>
    <row r="15" spans="1:21" x14ac:dyDescent="0.3">
      <c r="A15" s="14" t="str">
        <f t="shared" ref="A15:A78" si="0">"("&amp;$O15&amp;", "&amp;$P15&amp;"]"</f>
        <v>(-1, 0]</v>
      </c>
      <c r="B15" s="67">
        <v>624769021</v>
      </c>
      <c r="C15" s="67">
        <v>0</v>
      </c>
      <c r="D15" s="37" cm="1">
        <f t="array" ref="D15:D78">_xlfn.LET(_xlpm.x, B15:B78, _xlpm.x/SUM(_xlpm.x))</f>
        <v>0.624769021</v>
      </c>
      <c r="E15" s="68" cm="1">
        <f t="array" ref="E15:E79">_xlfn.LET(_xlpm.x, C15:C79/B15:B79/B3, IF(ISERR(_xlpm.x), 0, _xlpm.x))</f>
        <v>0</v>
      </c>
      <c r="G15" s="14" t="str">
        <f t="shared" ref="G15:G78" si="1">"("&amp;$O15&amp;", "&amp;$P15&amp;"]"</f>
        <v>(-1, 0]</v>
      </c>
      <c r="H15" s="70">
        <v>1.17381368209676</v>
      </c>
      <c r="I15" s="36" cm="1">
        <f t="array" ref="I15:I79">D15:D79*H15:H79</f>
        <v>0.733362425</v>
      </c>
      <c r="J15" s="36" cm="1">
        <f t="array" ref="J15:J78">I15:I78/SUM(I15:I78)</f>
        <v>0.733362425</v>
      </c>
      <c r="K15" s="71" cm="1">
        <f t="array" ref="K15:K79">INT(J15:J79*$B$2)</f>
        <v>733362425</v>
      </c>
      <c r="L15" s="36" cm="1">
        <f t="array" ref="L15:L79">_xlfn.LET(_xlpm.x, K15:K79, _xlpm.x/SUM(_xlpm.x))</f>
        <v>0.730738599</v>
      </c>
      <c r="M15" s="36" cm="1">
        <f t="array" ref="M15:M79">L15:L79*E15:E79</f>
        <v>0</v>
      </c>
      <c r="N15" s="73"/>
      <c r="O15" s="66">
        <v>-1</v>
      </c>
      <c r="P15" s="66">
        <v>0</v>
      </c>
      <c r="Q15" s="36" cm="1">
        <f t="array" ref="Q15:Q78">L15:L78</f>
        <v>0.73073984072165266</v>
      </c>
      <c r="R15" s="36">
        <v>0.72379899999999997</v>
      </c>
      <c r="T15" s="36"/>
      <c r="U15" s="74" cm="1">
        <f t="array" ref="U15:U78">_xlfn.LET(_xlpm.x, T15:T78/L15:L78, IF(ISERR(_xlpm.x), 0, ROUND(_xlpm.x,2)))</f>
        <v>0</v>
      </c>
    </row>
    <row r="16" spans="1:21" x14ac:dyDescent="0.3">
      <c r="A16" s="14" t="str">
        <f t="shared" si="0"/>
        <v>(0, 1]</v>
      </c>
      <c r="B16" s="75">
        <v>143263411</v>
      </c>
      <c r="C16" s="75">
        <v>6213982290</v>
      </c>
      <c r="D16" s="36">
        <v>0.143263411</v>
      </c>
      <c r="E16" s="69">
        <v>0.433745242181899</v>
      </c>
      <c r="G16" s="14" t="str">
        <f t="shared" si="1"/>
        <v>(0, 1]</v>
      </c>
      <c r="H16" s="70">
        <v>1.02659501803988</v>
      </c>
      <c r="I16" s="36">
        <v>0.147073504</v>
      </c>
      <c r="J16" s="36">
        <v>0.147073504</v>
      </c>
      <c r="K16" s="71">
        <v>147073504</v>
      </c>
      <c r="L16" s="36">
        <v>0.146547304</v>
      </c>
      <c r="M16" s="36">
        <v>0.0635641958645844</v>
      </c>
      <c r="N16" s="73"/>
      <c r="O16" s="59">
        <v>0</v>
      </c>
      <c r="P16" s="59">
        <v>1</v>
      </c>
      <c r="Q16" s="36">
        <v>0.14654739673645564</v>
      </c>
      <c r="R16" s="36">
        <v>0.15426599999999999</v>
      </c>
      <c r="T16" s="36"/>
      <c r="U16" s="74">
        <v>0</v>
      </c>
    </row>
    <row r="17" spans="1:21" x14ac:dyDescent="0.3">
      <c r="A17" s="14" t="str">
        <f t="shared" si="0"/>
        <v>(1, 2]</v>
      </c>
      <c r="B17" s="75">
        <v>54932044</v>
      </c>
      <c r="C17" s="75">
        <v>8270002480</v>
      </c>
      <c r="D17" s="36">
        <v>0.054932044</v>
      </c>
      <c r="E17" s="69">
        <v>1.5054969518338</v>
      </c>
      <c r="F17" s="76"/>
      <c r="G17" s="14" t="str">
        <f t="shared" si="1"/>
        <v>(1, 2]</v>
      </c>
      <c r="H17" s="70">
        <v>0.784487374982806</v>
      </c>
      <c r="I17" s="36">
        <v>0.043093495</v>
      </c>
      <c r="J17" s="36">
        <v>0.043093495</v>
      </c>
      <c r="K17" s="71">
        <v>43093495</v>
      </c>
      <c r="L17" s="36">
        <v>0.042939315</v>
      </c>
      <c r="M17" s="36">
        <v>0.0646450078463312</v>
      </c>
      <c r="N17" s="73"/>
      <c r="O17" s="59">
        <v>1</v>
      </c>
      <c r="P17" s="59">
        <v>2</v>
      </c>
      <c r="Q17" s="36">
        <v>4.2939229299255859E-2</v>
      </c>
      <c r="R17" s="36">
        <v>4.5428000000000003E-2</v>
      </c>
      <c r="T17" s="36"/>
      <c r="U17" s="74">
        <v>0</v>
      </c>
    </row>
    <row r="18" spans="1:21" x14ac:dyDescent="0.3">
      <c r="A18" s="14" t="str">
        <f t="shared" si="0"/>
        <v>(2, 3]</v>
      </c>
      <c r="B18" s="75">
        <v>33042473</v>
      </c>
      <c r="C18" s="75">
        <v>8364971370</v>
      </c>
      <c r="D18" s="36">
        <v>0.033042473</v>
      </c>
      <c r="E18" s="69">
        <v>2.53158151025802</v>
      </c>
      <c r="F18" s="76"/>
      <c r="G18" s="14" t="str">
        <f t="shared" si="1"/>
        <v>(2, 3]</v>
      </c>
      <c r="H18" s="70">
        <v>0.597429617329187</v>
      </c>
      <c r="I18" s="36">
        <v>0.019740552</v>
      </c>
      <c r="J18" s="36">
        <v>0.019740552</v>
      </c>
      <c r="K18" s="71">
        <v>19740552</v>
      </c>
      <c r="L18" s="36">
        <v>0.019669924</v>
      </c>
      <c r="M18" s="36">
        <v>0.0497960159065806</v>
      </c>
      <c r="N18" s="73"/>
      <c r="O18" s="59">
        <v>2</v>
      </c>
      <c r="P18" s="59">
        <v>3</v>
      </c>
      <c r="Q18" s="36">
        <v>1.9669834528320721E-2</v>
      </c>
      <c r="R18" s="36">
        <v>2.0910000000000002E-2</v>
      </c>
      <c r="T18" s="36"/>
      <c r="U18" s="74">
        <v>0</v>
      </c>
    </row>
    <row r="19" spans="1:21" x14ac:dyDescent="0.3">
      <c r="A19" s="14" t="str">
        <f t="shared" si="0"/>
        <v>(3, 4]</v>
      </c>
      <c r="B19" s="75">
        <v>22877263</v>
      </c>
      <c r="C19" s="75">
        <v>8071800230</v>
      </c>
      <c r="D19" s="36">
        <v>0.022877263</v>
      </c>
      <c r="E19" s="69">
        <v>3.52830678652424</v>
      </c>
      <c r="F19" s="77"/>
      <c r="G19" s="14" t="str">
        <f t="shared" si="1"/>
        <v>(3, 4]</v>
      </c>
      <c r="H19" s="70">
        <v>0.529297057956627</v>
      </c>
      <c r="I19" s="36">
        <v>0.012108868</v>
      </c>
      <c r="J19" s="36">
        <v>0.012108868</v>
      </c>
      <c r="K19" s="71">
        <v>12108868</v>
      </c>
      <c r="L19" s="36">
        <v>0.012065545</v>
      </c>
      <c r="M19" s="36">
        <v>0.0425709443066137</v>
      </c>
      <c r="N19" s="73"/>
      <c r="O19" s="59">
        <v>3</v>
      </c>
      <c r="P19" s="59">
        <v>4</v>
      </c>
      <c r="Q19" s="36">
        <v>1.2065461163937171E-2</v>
      </c>
      <c r="R19" s="36">
        <v>1.2886E-2</v>
      </c>
      <c r="T19" s="36"/>
      <c r="U19" s="74">
        <v>0</v>
      </c>
    </row>
    <row r="20" spans="1:21" x14ac:dyDescent="0.3">
      <c r="A20" s="14" t="str">
        <f t="shared" si="0"/>
        <v>(4, 5]</v>
      </c>
      <c r="B20" s="75">
        <v>16969191</v>
      </c>
      <c r="C20" s="75">
        <v>7691363560</v>
      </c>
      <c r="D20" s="36">
        <v>0.016969191</v>
      </c>
      <c r="E20" s="69">
        <v>4.5325458119954</v>
      </c>
      <c r="F20" s="77"/>
      <c r="G20" s="14" t="str">
        <f t="shared" si="1"/>
        <v>(4, 5]</v>
      </c>
      <c r="H20" s="70">
        <v>0.463317137511152</v>
      </c>
      <c r="I20" s="36">
        <v>0.007862117</v>
      </c>
      <c r="J20" s="36">
        <v>0.007862117</v>
      </c>
      <c r="K20" s="71">
        <v>7862117</v>
      </c>
      <c r="L20" s="36">
        <v>0.007833988</v>
      </c>
      <c r="M20" s="36">
        <v>0.0355079095006222</v>
      </c>
      <c r="N20" s="73"/>
      <c r="O20" s="59">
        <v>4</v>
      </c>
      <c r="P20" s="59">
        <v>5</v>
      </c>
      <c r="Q20" s="36">
        <v>7.8339141639411584E-3</v>
      </c>
      <c r="R20" s="36">
        <v>8.4060000000000003E-3</v>
      </c>
      <c r="T20" s="36"/>
      <c r="U20" s="74">
        <v>0</v>
      </c>
    </row>
    <row r="21" spans="1:21" x14ac:dyDescent="0.3">
      <c r="A21" s="14" t="str">
        <f t="shared" si="0"/>
        <v>(5, 6]</v>
      </c>
      <c r="B21" s="75">
        <v>13473297</v>
      </c>
      <c r="C21" s="75">
        <v>7480889915</v>
      </c>
      <c r="D21" s="36">
        <v>0.013473297</v>
      </c>
      <c r="E21" s="69">
        <v>5.55238254972038</v>
      </c>
      <c r="F21" s="77"/>
      <c r="G21" s="14" t="str">
        <f t="shared" si="1"/>
        <v>(5, 6]</v>
      </c>
      <c r="H21" s="70">
        <v>0.450248962818826</v>
      </c>
      <c r="I21" s="36">
        <v>0.006066338</v>
      </c>
      <c r="J21" s="36">
        <v>0.006066338</v>
      </c>
      <c r="K21" s="71">
        <v>6066338</v>
      </c>
      <c r="L21" s="36">
        <v>0.006044634</v>
      </c>
      <c r="M21" s="36">
        <v>0.0335621203410465</v>
      </c>
      <c r="N21" s="73"/>
      <c r="O21" s="59">
        <v>5</v>
      </c>
      <c r="P21" s="59">
        <v>6</v>
      </c>
      <c r="Q21" s="36">
        <v>6.0445620991432733E-3</v>
      </c>
      <c r="R21" s="36">
        <v>6.5170000000000002E-3</v>
      </c>
      <c r="T21" s="36"/>
      <c r="U21" s="74">
        <v>0</v>
      </c>
    </row>
    <row r="22" spans="1:21" x14ac:dyDescent="0.3">
      <c r="A22" s="14" t="str">
        <f t="shared" si="0"/>
        <v>(6, 7]</v>
      </c>
      <c r="B22" s="75">
        <v>10639718</v>
      </c>
      <c r="C22" s="75">
        <v>6941964595</v>
      </c>
      <c r="D22" s="36">
        <v>0.010639718</v>
      </c>
      <c r="E22" s="69">
        <v>6.52457574063523</v>
      </c>
      <c r="F22" s="77"/>
      <c r="G22" s="14" t="str">
        <f t="shared" si="1"/>
        <v>(6, 7]</v>
      </c>
      <c r="H22" s="70">
        <v>0.306910389918229</v>
      </c>
      <c r="I22" s="36">
        <v>0.00326544</v>
      </c>
      <c r="J22" s="36">
        <v>0.00326544</v>
      </c>
      <c r="K22" s="71">
        <v>3265440</v>
      </c>
      <c r="L22" s="36">
        <v>0.003253757</v>
      </c>
      <c r="M22" s="36">
        <v>0.0212293839881221</v>
      </c>
      <c r="N22" s="73"/>
      <c r="O22" s="59">
        <v>6</v>
      </c>
      <c r="P22" s="59">
        <v>7</v>
      </c>
      <c r="Q22" s="36">
        <v>3.2537100691937596E-3</v>
      </c>
      <c r="R22" s="36">
        <v>3.5239999999999998E-3</v>
      </c>
      <c r="T22" s="36"/>
      <c r="U22" s="74">
        <v>0</v>
      </c>
    </row>
    <row r="23" spans="1:21" x14ac:dyDescent="0.3">
      <c r="A23" s="14" t="str">
        <f t="shared" si="0"/>
        <v>(7, 8]</v>
      </c>
      <c r="B23" s="75">
        <v>8953686</v>
      </c>
      <c r="C23" s="75">
        <v>6744293590</v>
      </c>
      <c r="D23" s="36">
        <v>0.008953686</v>
      </c>
      <c r="E23" s="69">
        <v>7.53242138489109</v>
      </c>
      <c r="F23" s="77"/>
      <c r="G23" s="14" t="str">
        <f t="shared" si="1"/>
        <v>(7, 8]</v>
      </c>
      <c r="H23" s="70">
        <v>0.408928792008118</v>
      </c>
      <c r="I23" s="36">
        <v>0.00366142</v>
      </c>
      <c r="J23" s="36">
        <v>0.00366142</v>
      </c>
      <c r="K23" s="71">
        <v>3661420</v>
      </c>
      <c r="L23" s="36">
        <v>0.00364832</v>
      </c>
      <c r="M23" s="36">
        <v>0.0274806835869259</v>
      </c>
      <c r="N23" s="73"/>
      <c r="O23" s="59">
        <v>7</v>
      </c>
      <c r="P23" s="59">
        <v>8</v>
      </c>
      <c r="Q23" s="36">
        <v>3.6482583846793098E-3</v>
      </c>
      <c r="R23" s="36">
        <v>3.9699999999999996E-3</v>
      </c>
      <c r="T23" s="36"/>
      <c r="U23" s="74">
        <v>0</v>
      </c>
    </row>
    <row r="24" spans="1:21" x14ac:dyDescent="0.3">
      <c r="A24" s="14" t="str">
        <f t="shared" si="0"/>
        <v>(8, 9]</v>
      </c>
      <c r="B24" s="75">
        <v>7527858</v>
      </c>
      <c r="C24" s="75">
        <v>6438090340</v>
      </c>
      <c r="D24" s="36">
        <v>0.007527858</v>
      </c>
      <c r="E24" s="69">
        <v>8.55235359115435</v>
      </c>
      <c r="F24" s="77"/>
      <c r="G24" s="14" t="str">
        <f t="shared" si="1"/>
        <v>(8, 9]</v>
      </c>
      <c r="H24" s="70">
        <v>0.393473282838226</v>
      </c>
      <c r="I24" s="36">
        <v>0.002962011</v>
      </c>
      <c r="J24" s="36">
        <v>0.002962011</v>
      </c>
      <c r="K24" s="71">
        <v>2962011</v>
      </c>
      <c r="L24" s="36">
        <v>0.002951413</v>
      </c>
      <c r="M24" s="36">
        <v>0.0252415275695296</v>
      </c>
      <c r="N24" s="73"/>
      <c r="O24" s="59">
        <v>8</v>
      </c>
      <c r="P24" s="59">
        <v>9</v>
      </c>
      <c r="Q24" s="36">
        <v>2.9513557175441557E-3</v>
      </c>
      <c r="R24" s="36">
        <v>3.2269999999999998E-3</v>
      </c>
      <c r="T24" s="36"/>
      <c r="U24" s="74">
        <v>0</v>
      </c>
    </row>
    <row r="25" spans="1:21" x14ac:dyDescent="0.3">
      <c r="A25" s="14" t="str">
        <f t="shared" si="0"/>
        <v>(9, 10]</v>
      </c>
      <c r="B25" s="75">
        <v>6225071</v>
      </c>
      <c r="C25" s="75">
        <v>5937388995</v>
      </c>
      <c r="D25" s="36">
        <v>0.006225071</v>
      </c>
      <c r="E25" s="69">
        <v>9.53786550386333</v>
      </c>
      <c r="F25" s="77"/>
      <c r="G25" s="14" t="str">
        <f t="shared" si="1"/>
        <v>(9, 10]</v>
      </c>
      <c r="H25" s="70">
        <v>0.308515196051579</v>
      </c>
      <c r="I25" s="36">
        <v>0.001920529</v>
      </c>
      <c r="J25" s="36">
        <v>0.001920529</v>
      </c>
      <c r="K25" s="71">
        <v>1920529</v>
      </c>
      <c r="L25" s="36">
        <v>0.001913658</v>
      </c>
      <c r="M25" s="36">
        <v>0.0182522126243921</v>
      </c>
      <c r="N25" s="73"/>
      <c r="O25" s="59">
        <v>9</v>
      </c>
      <c r="P25" s="59">
        <v>10</v>
      </c>
      <c r="Q25" s="36">
        <v>1.9136158770646338E-3</v>
      </c>
      <c r="R25" s="36">
        <v>2.1020000000000001E-3</v>
      </c>
      <c r="T25" s="36"/>
      <c r="U25" s="74">
        <v>0</v>
      </c>
    </row>
    <row r="26" spans="1:21" x14ac:dyDescent="0.3">
      <c r="A26" s="14" t="str">
        <f t="shared" si="0"/>
        <v>(10, 15]</v>
      </c>
      <c r="B26" s="75">
        <v>20709880</v>
      </c>
      <c r="C26" s="75">
        <v>25432216970</v>
      </c>
      <c r="D26" s="36">
        <v>0.02070988</v>
      </c>
      <c r="E26" s="69">
        <v>12.2802338642233</v>
      </c>
      <c r="F26" s="77"/>
      <c r="G26" s="14" t="str">
        <f t="shared" si="1"/>
        <v>(10, 15]</v>
      </c>
      <c r="H26" s="70">
        <v>0.49060414642673</v>
      </c>
      <c r="I26" s="36">
        <v>0.010160353</v>
      </c>
      <c r="J26" s="36">
        <v>0.010160353</v>
      </c>
      <c r="K26" s="71">
        <v>10160353</v>
      </c>
      <c r="L26" s="36">
        <v>0.010124001</v>
      </c>
      <c r="M26" s="36">
        <v>0.12432509992163</v>
      </c>
      <c r="N26" s="73"/>
      <c r="O26" s="59">
        <v>10</v>
      </c>
      <c r="P26" s="59">
        <v>15</v>
      </c>
      <c r="Q26" s="36">
        <v>1.0123712302544581E-2</v>
      </c>
      <c r="R26" s="36">
        <v>6.4320000000000002E-3</v>
      </c>
      <c r="T26" s="36"/>
      <c r="U26" s="74">
        <v>0</v>
      </c>
    </row>
    <row r="27" spans="1:21" x14ac:dyDescent="0.3">
      <c r="A27" s="14" t="str">
        <f t="shared" si="0"/>
        <v>(15, 20]</v>
      </c>
      <c r="B27" s="75">
        <v>11154375</v>
      </c>
      <c r="C27" s="75">
        <v>19338114770</v>
      </c>
      <c r="D27" s="36">
        <v>0.011154375</v>
      </c>
      <c r="E27" s="69">
        <v>17.3367981352608</v>
      </c>
      <c r="F27" s="77"/>
      <c r="G27" s="14" t="str">
        <f t="shared" si="1"/>
        <v>(15, 20]</v>
      </c>
      <c r="H27" s="70">
        <v>0.390455583571469</v>
      </c>
      <c r="I27" s="36">
        <v>0.004355288</v>
      </c>
      <c r="J27" s="36">
        <v>0.004355288</v>
      </c>
      <c r="K27" s="71">
        <v>4355288</v>
      </c>
      <c r="L27" s="36">
        <v>0.004339706</v>
      </c>
      <c r="M27" s="36">
        <v>0.0752366068883802</v>
      </c>
      <c r="N27" s="73"/>
      <c r="O27" s="59">
        <v>15</v>
      </c>
      <c r="P27" s="59">
        <v>20</v>
      </c>
      <c r="Q27" s="36">
        <v>4.339527280709049E-3</v>
      </c>
      <c r="R27" s="36">
        <v>2.823E-3</v>
      </c>
      <c r="T27" s="36"/>
      <c r="U27" s="74">
        <v>0</v>
      </c>
    </row>
    <row r="28" spans="1:21" x14ac:dyDescent="0.3">
      <c r="A28" s="14" t="str">
        <f t="shared" si="0"/>
        <v>(20, 25]</v>
      </c>
      <c r="B28" s="75">
        <v>6742750</v>
      </c>
      <c r="C28" s="75">
        <v>15082378485</v>
      </c>
      <c r="D28" s="36">
        <v>0.00674275</v>
      </c>
      <c r="E28" s="69">
        <v>22.3682896221868</v>
      </c>
      <c r="F28" s="77"/>
      <c r="G28" s="14" t="str">
        <f t="shared" si="1"/>
        <v>(20, 25]</v>
      </c>
      <c r="H28" s="70">
        <v>0.360479774572689</v>
      </c>
      <c r="I28" s="36">
        <v>0.002430625</v>
      </c>
      <c r="J28" s="36">
        <v>0.002430625</v>
      </c>
      <c r="K28" s="71">
        <v>2430625</v>
      </c>
      <c r="L28" s="36">
        <v>0.002421929</v>
      </c>
      <c r="M28" s="36">
        <v>0.0541744093163732</v>
      </c>
      <c r="N28" s="73"/>
      <c r="O28" s="59">
        <v>20</v>
      </c>
      <c r="P28" s="59">
        <v>25</v>
      </c>
      <c r="Q28" s="36">
        <v>2.4218001656569838E-3</v>
      </c>
      <c r="R28" s="36">
        <v>1.6130000000000001E-3</v>
      </c>
      <c r="T28" s="36"/>
      <c r="U28" s="74">
        <v>0</v>
      </c>
    </row>
    <row r="29" spans="1:21" x14ac:dyDescent="0.3">
      <c r="A29" s="14" t="str">
        <f t="shared" si="0"/>
        <v>(25, 30]</v>
      </c>
      <c r="B29" s="75">
        <v>4478938</v>
      </c>
      <c r="C29" s="75">
        <v>12270573635</v>
      </c>
      <c r="D29" s="36">
        <v>0.004478938</v>
      </c>
      <c r="E29" s="69">
        <v>27.396167651796</v>
      </c>
      <c r="F29" s="77"/>
      <c r="G29" s="14" t="str">
        <f t="shared" si="1"/>
        <v>(25, 30]</v>
      </c>
      <c r="H29" s="70">
        <v>0.432476404004699</v>
      </c>
      <c r="I29" s="36">
        <v>0.001937035</v>
      </c>
      <c r="J29" s="36">
        <v>0.001937035</v>
      </c>
      <c r="K29" s="71">
        <v>1937035</v>
      </c>
      <c r="L29" s="36">
        <v>0.001930105</v>
      </c>
      <c r="M29" s="36">
        <v>0.0528774801655698</v>
      </c>
      <c r="N29" s="73"/>
      <c r="O29" s="59">
        <v>25</v>
      </c>
      <c r="P29" s="59">
        <v>30</v>
      </c>
      <c r="Q29" s="36">
        <v>1.929978125971957E-3</v>
      </c>
      <c r="R29" s="36">
        <v>1.3159999999999999E-3</v>
      </c>
      <c r="T29" s="36"/>
      <c r="U29" s="74">
        <v>0</v>
      </c>
    </row>
    <row r="30" spans="1:21" x14ac:dyDescent="0.3">
      <c r="A30" s="14" t="str">
        <f t="shared" si="0"/>
        <v>(30, 35]</v>
      </c>
      <c r="B30" s="75">
        <v>3019117</v>
      </c>
      <c r="C30" s="75">
        <v>9781437025</v>
      </c>
      <c r="D30" s="36">
        <v>0.003019117</v>
      </c>
      <c r="E30" s="69">
        <v>32.3983370800138</v>
      </c>
      <c r="F30" s="77"/>
      <c r="G30" s="14" t="str">
        <f t="shared" si="1"/>
        <v>(30, 35]</v>
      </c>
      <c r="H30" s="70">
        <v>0</v>
      </c>
      <c r="I30" s="36">
        <v>0</v>
      </c>
      <c r="J30" s="36">
        <v>0</v>
      </c>
      <c r="K30" s="71">
        <v>0</v>
      </c>
      <c r="L30" s="36">
        <v>0</v>
      </c>
      <c r="M30" s="36">
        <v>0</v>
      </c>
      <c r="N30" s="73"/>
      <c r="O30" s="59">
        <v>30</v>
      </c>
      <c r="P30" s="59">
        <v>35</v>
      </c>
      <c r="Q30" s="36">
        <v>0</v>
      </c>
      <c r="R30" s="36">
        <v>6.3699999999999998E-4</v>
      </c>
      <c r="T30" s="36"/>
      <c r="U30" s="74">
        <v>0</v>
      </c>
    </row>
    <row r="31" spans="1:21" x14ac:dyDescent="0.3">
      <c r="A31" s="14" t="str">
        <f t="shared" si="0"/>
        <v>(35, 40]</v>
      </c>
      <c r="B31" s="75">
        <v>2207678</v>
      </c>
      <c r="C31" s="75">
        <v>8265177240</v>
      </c>
      <c r="D31" s="36">
        <v>0.002207678</v>
      </c>
      <c r="E31" s="69">
        <v>37.4383276909042</v>
      </c>
      <c r="F31" s="77"/>
      <c r="G31" s="14" t="str">
        <f t="shared" si="1"/>
        <v>(35, 40]</v>
      </c>
      <c r="H31" s="70">
        <v>0</v>
      </c>
      <c r="I31" s="36">
        <v>0</v>
      </c>
      <c r="J31" s="36">
        <v>0</v>
      </c>
      <c r="K31" s="71">
        <v>0</v>
      </c>
      <c r="L31" s="36">
        <v>0</v>
      </c>
      <c r="M31" s="36">
        <v>0</v>
      </c>
      <c r="N31" s="73"/>
      <c r="O31" s="59">
        <v>35</v>
      </c>
      <c r="P31" s="59">
        <v>40</v>
      </c>
      <c r="Q31" s="36">
        <v>0</v>
      </c>
      <c r="R31" s="36">
        <v>4.46E-4</v>
      </c>
      <c r="T31" s="36"/>
      <c r="U31" s="74">
        <v>0</v>
      </c>
    </row>
    <row r="32" spans="1:21" x14ac:dyDescent="0.3">
      <c r="A32" s="14" t="str">
        <f t="shared" si="0"/>
        <v>(40, 45]</v>
      </c>
      <c r="B32" s="75">
        <v>1647354</v>
      </c>
      <c r="C32" s="75">
        <v>6990921545</v>
      </c>
      <c r="D32" s="36">
        <v>0.001647354</v>
      </c>
      <c r="E32" s="69">
        <v>42.4372754429224</v>
      </c>
      <c r="F32" s="77"/>
      <c r="G32" s="14" t="str">
        <f t="shared" si="1"/>
        <v>(40, 45]</v>
      </c>
      <c r="H32" s="70">
        <v>0</v>
      </c>
      <c r="I32" s="36">
        <v>0</v>
      </c>
      <c r="J32" s="36">
        <v>0</v>
      </c>
      <c r="K32" s="71">
        <v>0</v>
      </c>
      <c r="L32" s="36">
        <v>0</v>
      </c>
      <c r="M32" s="36">
        <v>0</v>
      </c>
      <c r="N32" s="73"/>
      <c r="O32" s="59">
        <v>40</v>
      </c>
      <c r="P32" s="59">
        <v>45</v>
      </c>
      <c r="Q32" s="36">
        <v>0</v>
      </c>
      <c r="R32" s="36">
        <v>2.7599999999999999E-4</v>
      </c>
      <c r="T32" s="36"/>
      <c r="U32" s="74">
        <v>0</v>
      </c>
    </row>
    <row r="33" spans="1:21" x14ac:dyDescent="0.3">
      <c r="A33" s="14" t="str">
        <f t="shared" si="0"/>
        <v>(45, 50]</v>
      </c>
      <c r="B33" s="75">
        <v>1231801</v>
      </c>
      <c r="C33" s="75">
        <v>5846172855</v>
      </c>
      <c r="D33" s="36">
        <v>0.001231801</v>
      </c>
      <c r="E33" s="69">
        <v>47.4603678272708</v>
      </c>
      <c r="F33" s="77"/>
      <c r="G33" s="14" t="str">
        <f t="shared" si="1"/>
        <v>(45, 50]</v>
      </c>
      <c r="H33" s="70">
        <v>0</v>
      </c>
      <c r="I33" s="36">
        <v>0</v>
      </c>
      <c r="J33" s="36">
        <v>0</v>
      </c>
      <c r="K33" s="71">
        <v>0</v>
      </c>
      <c r="L33" s="36">
        <v>0</v>
      </c>
      <c r="M33" s="36">
        <v>0</v>
      </c>
      <c r="N33" s="73"/>
      <c r="O33" s="59">
        <v>45</v>
      </c>
      <c r="P33" s="59">
        <v>50</v>
      </c>
      <c r="Q33" s="36">
        <v>0</v>
      </c>
      <c r="R33" s="36">
        <v>2.34E-4</v>
      </c>
      <c r="T33" s="36"/>
      <c r="U33" s="74">
        <v>0</v>
      </c>
    </row>
    <row r="34" spans="1:21" x14ac:dyDescent="0.3">
      <c r="A34" s="14" t="str">
        <f t="shared" si="0"/>
        <v>(50, 60]</v>
      </c>
      <c r="B34" s="75">
        <v>1762183</v>
      </c>
      <c r="C34" s="75">
        <v>9639446010</v>
      </c>
      <c r="D34" s="36">
        <v>0.001762183</v>
      </c>
      <c r="E34" s="69">
        <v>54.7017308077538</v>
      </c>
      <c r="F34" s="77"/>
      <c r="G34" s="14" t="str">
        <f t="shared" si="1"/>
        <v>(50, 60]</v>
      </c>
      <c r="H34" s="70">
        <v>0</v>
      </c>
      <c r="I34" s="36">
        <v>0</v>
      </c>
      <c r="J34" s="36">
        <v>0</v>
      </c>
      <c r="K34" s="71">
        <v>0</v>
      </c>
      <c r="L34" s="36">
        <v>0</v>
      </c>
      <c r="M34" s="36">
        <v>0</v>
      </c>
      <c r="N34" s="73"/>
      <c r="O34" s="59">
        <v>50</v>
      </c>
      <c r="P34" s="59">
        <v>60</v>
      </c>
      <c r="Q34" s="36">
        <v>0</v>
      </c>
      <c r="R34" s="36">
        <v>5.0900000000000001E-4</v>
      </c>
      <c r="T34" s="36"/>
      <c r="U34" s="74">
        <v>0</v>
      </c>
    </row>
    <row r="35" spans="1:21" x14ac:dyDescent="0.3">
      <c r="A35" s="14" t="str">
        <f t="shared" si="0"/>
        <v>(60, 70]</v>
      </c>
      <c r="B35" s="75">
        <v>1115555</v>
      </c>
      <c r="C35" s="75">
        <v>7215914750</v>
      </c>
      <c r="D35" s="36">
        <v>0.001115555</v>
      </c>
      <c r="E35" s="69">
        <v>64.6845269843262</v>
      </c>
      <c r="F35" s="77"/>
      <c r="G35" s="14" t="str">
        <f t="shared" si="1"/>
        <v>(60, 70]</v>
      </c>
      <c r="H35" s="70">
        <v>0</v>
      </c>
      <c r="I35" s="36">
        <v>0</v>
      </c>
      <c r="J35" s="36">
        <v>0</v>
      </c>
      <c r="K35" s="71">
        <v>0</v>
      </c>
      <c r="L35" s="36">
        <v>0</v>
      </c>
      <c r="M35" s="36">
        <v>0</v>
      </c>
      <c r="N35" s="73"/>
      <c r="O35" s="59">
        <v>60</v>
      </c>
      <c r="P35" s="59">
        <v>70</v>
      </c>
      <c r="Q35" s="36">
        <v>0</v>
      </c>
      <c r="R35" s="36">
        <v>2.9700000000000001E-4</v>
      </c>
      <c r="T35" s="36"/>
      <c r="U35" s="74">
        <v>0</v>
      </c>
    </row>
    <row r="36" spans="1:21" x14ac:dyDescent="0.3">
      <c r="A36" s="14" t="str">
        <f t="shared" si="0"/>
        <v>(70, 80]</v>
      </c>
      <c r="B36" s="75">
        <v>765767</v>
      </c>
      <c r="C36" s="75">
        <v>5730365795</v>
      </c>
      <c r="D36" s="36">
        <v>0.000765767</v>
      </c>
      <c r="E36" s="69">
        <v>74.8317150647651</v>
      </c>
      <c r="F36" s="77"/>
      <c r="G36" s="14" t="str">
        <f t="shared" si="1"/>
        <v>(70, 80]</v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str">
        <f t="shared" si="0"/>
        <v>(80, 90]</v>
      </c>
      <c r="B37" s="75">
        <v>552109</v>
      </c>
      <c r="C37" s="75">
        <v>4680160810</v>
      </c>
      <c r="D37" s="36">
        <v>0.000552109</v>
      </c>
      <c r="E37" s="69">
        <v>84.7687831569491</v>
      </c>
      <c r="F37" s="77"/>
      <c r="G37" s="14" t="str">
        <f t="shared" si="1"/>
        <v>(80, 90]</v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str">
        <f t="shared" si="0"/>
        <v>(90, 100]</v>
      </c>
      <c r="B38" s="75">
        <v>384983</v>
      </c>
      <c r="C38" s="75">
        <v>3650434755</v>
      </c>
      <c r="D38" s="36">
        <v>0.000384983</v>
      </c>
      <c r="E38" s="69">
        <v>94.8206740297624</v>
      </c>
      <c r="F38" s="77"/>
      <c r="G38" s="14" t="str">
        <f t="shared" si="1"/>
        <v>(90, 100]</v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str">
        <f t="shared" si="0"/>
        <v>(100, 120]</v>
      </c>
      <c r="B39" s="75">
        <v>525979</v>
      </c>
      <c r="C39" s="75">
        <v>5748049055</v>
      </c>
      <c r="D39" s="36">
        <v>0.000525979</v>
      </c>
      <c r="E39" s="69">
        <v>109.282862148489</v>
      </c>
      <c r="F39" s="77"/>
      <c r="G39" s="14" t="str">
        <f t="shared" si="1"/>
        <v>(100, 120]</v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str">
        <f t="shared" si="0"/>
        <v>(120, 140]</v>
      </c>
      <c r="B40" s="75">
        <v>310338</v>
      </c>
      <c r="C40" s="75">
        <v>4007533360</v>
      </c>
      <c r="D40" s="36">
        <v>0.000310338</v>
      </c>
      <c r="E40" s="69">
        <v>129.134471447261</v>
      </c>
      <c r="F40" s="77"/>
      <c r="G40" s="14" t="str">
        <f t="shared" si="1"/>
        <v>(120, 140]</v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str">
        <f t="shared" si="0"/>
        <v>(140, 160]</v>
      </c>
      <c r="B41" s="75">
        <v>199653</v>
      </c>
      <c r="C41" s="75">
        <v>2986647385</v>
      </c>
      <c r="D41" s="36">
        <v>0.000199653</v>
      </c>
      <c r="E41" s="69">
        <v>149.59191121596</v>
      </c>
      <c r="F41" s="77"/>
      <c r="G41" s="14" t="str">
        <f t="shared" si="1"/>
        <v>(140, 160]</v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str">
        <f t="shared" si="0"/>
        <v>(160, 180]</v>
      </c>
      <c r="B42" s="75">
        <v>136239</v>
      </c>
      <c r="C42" s="75">
        <v>2307122600</v>
      </c>
      <c r="D42" s="36">
        <v>0.000136239</v>
      </c>
      <c r="E42" s="69">
        <v>169.343770873245</v>
      </c>
      <c r="F42" s="77"/>
      <c r="G42" s="14" t="str">
        <f t="shared" si="1"/>
        <v>(160, 180]</v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str">
        <f t="shared" si="0"/>
        <v>(180, 200]</v>
      </c>
      <c r="B43" s="75">
        <v>89017</v>
      </c>
      <c r="C43" s="75">
        <v>1686108905</v>
      </c>
      <c r="D43" s="36">
        <v>8.9017e-05</v>
      </c>
      <c r="E43" s="69">
        <v>189.414258512419</v>
      </c>
      <c r="F43" s="77"/>
      <c r="G43" s="14" t="str">
        <f t="shared" si="1"/>
        <v>(180, 200]</v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str">
        <f t="shared" si="0"/>
        <v>(200, 250]</v>
      </c>
      <c r="B44" s="75">
        <v>134278</v>
      </c>
      <c r="C44" s="75">
        <v>2985370485</v>
      </c>
      <c r="D44" s="36">
        <v>0.000134278</v>
      </c>
      <c r="E44" s="69">
        <v>222.327595361861</v>
      </c>
      <c r="F44" s="77"/>
      <c r="G44" s="14" t="str">
        <f t="shared" si="1"/>
        <v>(200, 250]</v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str">
        <f t="shared" si="0"/>
        <v>(250, 300]</v>
      </c>
      <c r="B45" s="75">
        <v>62285</v>
      </c>
      <c r="C45" s="75">
        <v>1695782195</v>
      </c>
      <c r="D45" s="36">
        <v>6.2285e-05</v>
      </c>
      <c r="E45" s="69">
        <v>272.261731556555</v>
      </c>
      <c r="F45" s="77"/>
      <c r="G45" s="14" t="str">
        <f t="shared" si="1"/>
        <v>(250, 300]</v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str">
        <f t="shared" si="0"/>
        <v>(300, 350]</v>
      </c>
      <c r="B46" s="75">
        <v>36357</v>
      </c>
      <c r="C46" s="75">
        <v>1173301035</v>
      </c>
      <c r="D46" s="36">
        <v>3.6357e-05</v>
      </c>
      <c r="E46" s="69">
        <v>322.716680419176</v>
      </c>
      <c r="F46" s="77"/>
      <c r="G46" s="14" t="str">
        <f t="shared" si="1"/>
        <v>(300, 350]</v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str">
        <f t="shared" si="0"/>
        <v>(350, 400]</v>
      </c>
      <c r="B47" s="75">
        <v>19620</v>
      </c>
      <c r="C47" s="75">
        <v>731097560</v>
      </c>
      <c r="D47" s="36">
        <v>1.962e-05</v>
      </c>
      <c r="E47" s="69">
        <v>372.62872579001</v>
      </c>
      <c r="F47" s="77"/>
      <c r="G47" s="14" t="str">
        <f t="shared" si="1"/>
        <v>(350, 400]</v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str">
        <f t="shared" si="0"/>
        <v>(400, 450]</v>
      </c>
      <c r="B48" s="75">
        <v>11946</v>
      </c>
      <c r="C48" s="75">
        <v>506548265</v>
      </c>
      <c r="D48" s="36">
        <v>1.1946e-05</v>
      </c>
      <c r="E48" s="69">
        <v>424.031696802277</v>
      </c>
      <c r="F48" s="77"/>
      <c r="G48" s="14" t="str">
        <f t="shared" si="1"/>
        <v>(400, 450]</v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str">
        <f t="shared" si="0"/>
        <v>(450, 500]</v>
      </c>
      <c r="B49" s="75">
        <v>8650</v>
      </c>
      <c r="C49" s="75">
        <v>409037710</v>
      </c>
      <c r="D49" s="36">
        <v>8.65e-06</v>
      </c>
      <c r="E49" s="69">
        <v>472.875965317919</v>
      </c>
      <c r="F49" s="77"/>
      <c r="G49" s="14" t="str">
        <f t="shared" si="1"/>
        <v>(450, 500]</v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str">
        <f t="shared" si="0"/>
        <v>(500, 550]</v>
      </c>
      <c r="B50" s="75">
        <v>5172</v>
      </c>
      <c r="C50" s="75">
        <v>270458450</v>
      </c>
      <c r="D50" s="36">
        <v>5.172e-06</v>
      </c>
      <c r="E50" s="69">
        <v>522.92817092034</v>
      </c>
      <c r="F50" s="77"/>
      <c r="G50" s="14" t="str">
        <f t="shared" si="1"/>
        <v>(500, 550]</v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str">
        <f t="shared" si="0"/>
        <v>(550, 600]</v>
      </c>
      <c r="B51" s="75">
        <v>3564</v>
      </c>
      <c r="C51" s="75">
        <v>204673175</v>
      </c>
      <c r="D51" s="36">
        <v>3.564e-06</v>
      </c>
      <c r="E51" s="69">
        <v>574.279391133558</v>
      </c>
      <c r="F51" s="77"/>
      <c r="G51" s="14" t="str">
        <f t="shared" si="1"/>
        <v>(550, 600]</v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str">
        <f t="shared" si="0"/>
        <v>(600, 650]</v>
      </c>
      <c r="B52" s="75">
        <v>2635</v>
      </c>
      <c r="C52" s="75">
        <v>164043780</v>
      </c>
      <c r="D52" s="36">
        <v>2.635e-06</v>
      </c>
      <c r="E52" s="69">
        <v>622.557039848197</v>
      </c>
      <c r="F52" s="77"/>
      <c r="G52" s="14" t="str">
        <f t="shared" si="1"/>
        <v>(600, 650]</v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str">
        <f t="shared" si="0"/>
        <v>(650, 700]</v>
      </c>
      <c r="B53" s="75">
        <v>2071</v>
      </c>
      <c r="C53" s="75">
        <v>139558440</v>
      </c>
      <c r="D53" s="36">
        <v>2.071e-06</v>
      </c>
      <c r="E53" s="69">
        <v>673.869821342347</v>
      </c>
      <c r="F53" s="77"/>
      <c r="G53" s="14" t="str">
        <f t="shared" si="1"/>
        <v>(650, 700]</v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str">
        <f t="shared" si="0"/>
        <v>(700, 750]</v>
      </c>
      <c r="B54" s="75">
        <v>1406</v>
      </c>
      <c r="C54" s="75">
        <v>101672315</v>
      </c>
      <c r="D54" s="36">
        <v>1.406e-06</v>
      </c>
      <c r="E54" s="69">
        <v>723.131685633001</v>
      </c>
      <c r="F54" s="77"/>
      <c r="G54" s="14" t="str">
        <f t="shared" si="1"/>
        <v>(700, 750]</v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str">
        <f t="shared" si="0"/>
        <v>(750, 800]</v>
      </c>
      <c r="B55" s="75">
        <v>1052</v>
      </c>
      <c r="C55" s="75">
        <v>81420500</v>
      </c>
      <c r="D55" s="36">
        <v>1.052e-06</v>
      </c>
      <c r="E55" s="69">
        <v>773.959125475285</v>
      </c>
      <c r="F55" s="77"/>
      <c r="G55" s="14" t="str">
        <f t="shared" si="1"/>
        <v>(750, 800]</v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str">
        <f t="shared" si="0"/>
        <v>(800, 850]</v>
      </c>
      <c r="B56" s="75">
        <v>670</v>
      </c>
      <c r="C56" s="75">
        <v>55139855</v>
      </c>
      <c r="D56" s="36">
        <v>6.7e-07</v>
      </c>
      <c r="E56" s="69">
        <v>822.982910447761</v>
      </c>
      <c r="F56" s="77"/>
      <c r="G56" s="14" t="str">
        <f t="shared" si="1"/>
        <v>(800, 850]</v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str">
        <f t="shared" si="0"/>
        <v>(850, 900]</v>
      </c>
      <c r="B57" s="75">
        <v>615</v>
      </c>
      <c r="C57" s="75">
        <v>53945030</v>
      </c>
      <c r="D57" s="36">
        <v>6.15e-07</v>
      </c>
      <c r="E57" s="69">
        <v>877.154959349594</v>
      </c>
      <c r="F57" s="77"/>
      <c r="G57" s="14" t="str">
        <f t="shared" si="1"/>
        <v>(850, 900]</v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str">
        <f t="shared" si="0"/>
        <v>(900, 950]</v>
      </c>
      <c r="B58" s="75">
        <v>529</v>
      </c>
      <c r="C58" s="75">
        <v>48772985</v>
      </c>
      <c r="D58" s="36">
        <v>5.29e-07</v>
      </c>
      <c r="E58" s="69">
        <v>921.984593572779</v>
      </c>
      <c r="F58" s="77"/>
      <c r="G58" s="14" t="str">
        <f t="shared" si="1"/>
        <v>(900, 950]</v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str">
        <f t="shared" si="0"/>
        <v>(950, 1000]</v>
      </c>
      <c r="B59" s="75">
        <v>388</v>
      </c>
      <c r="C59" s="75">
        <v>37807435</v>
      </c>
      <c r="D59" s="36">
        <v>3.88e-07</v>
      </c>
      <c r="E59" s="69">
        <v>974.418427835052</v>
      </c>
      <c r="F59" s="77"/>
      <c r="G59" s="14" t="str">
        <f t="shared" si="1"/>
        <v>(950, 1000]</v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str">
        <f t="shared" si="0"/>
        <v>(1000, 2000]</v>
      </c>
      <c r="B60" s="75">
        <v>1842</v>
      </c>
      <c r="C60" s="75">
        <v>234716490</v>
      </c>
      <c r="D60" s="36">
        <v>1.842e-06</v>
      </c>
      <c r="E60" s="69">
        <v>1274.24804560261</v>
      </c>
      <c r="F60" s="77"/>
      <c r="G60" s="14" t="str">
        <f t="shared" si="1"/>
        <v>(1000, 2000]</v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str">
        <f t="shared" si="0"/>
        <v>(2000, 3000]</v>
      </c>
      <c r="B61" s="75">
        <v>135</v>
      </c>
      <c r="C61" s="75">
        <v>31885450</v>
      </c>
      <c r="D61" s="36">
        <v>1.35e-07</v>
      </c>
      <c r="E61" s="69">
        <v>2361.88518518519</v>
      </c>
      <c r="F61" s="77"/>
      <c r="G61" s="14" t="str">
        <f t="shared" si="1"/>
        <v>(2000, 3000]</v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str">
        <f t="shared" si="0"/>
        <v>(3000, 4000]</v>
      </c>
      <c r="B62" s="75">
        <v>30</v>
      </c>
      <c r="C62" s="75">
        <v>10026250</v>
      </c>
      <c r="D62" s="36">
        <v>3e-08</v>
      </c>
      <c r="E62" s="69">
        <v>3342.08333333333</v>
      </c>
      <c r="F62" s="77"/>
      <c r="G62" s="14" t="str">
        <f t="shared" si="1"/>
        <v>(3000, 4000]</v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str">
        <f t="shared" si="0"/>
        <v>(4000, 5000]</v>
      </c>
      <c r="B63" s="75">
        <v>5</v>
      </c>
      <c r="C63" s="75">
        <v>2164270</v>
      </c>
      <c r="D63" s="36">
        <v>5e-09</v>
      </c>
      <c r="E63" s="69">
        <v>4328.54</v>
      </c>
      <c r="F63" s="77"/>
      <c r="G63" s="14" t="str">
        <f t="shared" si="1"/>
        <v>(4000, 5000]</v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str">
        <f t="shared" si="0"/>
        <v>(5000, 6000]</v>
      </c>
      <c r="B64" s="75">
        <v>0</v>
      </c>
      <c r="C64" s="75">
        <v>0</v>
      </c>
      <c r="D64" s="36">
        <v>0</v>
      </c>
      <c r="E64" s="69">
        <v>0</v>
      </c>
      <c r="F64" s="77"/>
      <c r="G64" s="14" t="str">
        <f t="shared" si="1"/>
        <v>(5000, 6000]</v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str">
        <f t="shared" si="0"/>
        <v>(6000, 7000]</v>
      </c>
      <c r="B65" s="75">
        <v>0</v>
      </c>
      <c r="C65" s="75">
        <v>0</v>
      </c>
      <c r="D65" s="36">
        <v>0</v>
      </c>
      <c r="E65" s="69">
        <v>0</v>
      </c>
      <c r="F65" s="77"/>
      <c r="G65" s="14" t="str">
        <f t="shared" si="1"/>
        <v>(6000, 7000]</v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str">
        <f t="shared" si="0"/>
        <v>(7000, 8000]</v>
      </c>
      <c r="B66" s="75">
        <v>0</v>
      </c>
      <c r="C66" s="75">
        <v>0</v>
      </c>
      <c r="D66" s="36">
        <v>0</v>
      </c>
      <c r="E66" s="69">
        <v>0</v>
      </c>
      <c r="F66" s="77"/>
      <c r="G66" s="14" t="str">
        <f t="shared" si="1"/>
        <v>(7000, 8000]</v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str">
        <f t="shared" si="0"/>
        <v>(8000, 9000]</v>
      </c>
      <c r="B67" s="75">
        <v>0</v>
      </c>
      <c r="C67" s="75">
        <v>0</v>
      </c>
      <c r="D67" s="36">
        <v>0</v>
      </c>
      <c r="E67" s="69">
        <v>0</v>
      </c>
      <c r="F67" s="77"/>
      <c r="G67" s="14" t="str">
        <f t="shared" si="1"/>
        <v>(8000, 9000]</v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str">
        <f t="shared" si="0"/>
        <v>(9000, 10000]</v>
      </c>
      <c r="B68" s="75">
        <v>1</v>
      </c>
      <c r="C68" s="75">
        <v>946050</v>
      </c>
      <c r="D68" s="36">
        <v>1e-09</v>
      </c>
      <c r="E68" s="69">
        <v>9460.5</v>
      </c>
      <c r="F68" s="77"/>
      <c r="G68" s="14" t="str">
        <f t="shared" si="1"/>
        <v>(9000, 10000]</v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str">
        <f t="shared" si="0"/>
        <v>(10000, 20000]</v>
      </c>
      <c r="B69" s="75">
        <v>0</v>
      </c>
      <c r="C69" s="75">
        <v>0</v>
      </c>
      <c r="D69" s="36">
        <v>0</v>
      </c>
      <c r="E69" s="69">
        <v>0</v>
      </c>
      <c r="F69" s="77"/>
      <c r="G69" s="14" t="str">
        <f t="shared" si="1"/>
        <v>(10000, 20000]</v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str">
        <f t="shared" si="0"/>
        <v>(20000, 30000]</v>
      </c>
      <c r="B70" s="75">
        <v>0</v>
      </c>
      <c r="C70" s="75">
        <v>0</v>
      </c>
      <c r="D70" s="36">
        <v>0</v>
      </c>
      <c r="E70" s="69">
        <v>0</v>
      </c>
      <c r="F70" s="77"/>
      <c r="G70" s="14" t="str">
        <f t="shared" si="1"/>
        <v>(20000, 30000]</v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str">
        <f t="shared" si="0"/>
        <v>(30000, 40000]</v>
      </c>
      <c r="B71" s="75">
        <v>0</v>
      </c>
      <c r="C71" s="75">
        <v>0</v>
      </c>
      <c r="D71" s="36">
        <v>0</v>
      </c>
      <c r="E71" s="69">
        <v>0</v>
      </c>
      <c r="F71" s="77"/>
      <c r="G71" s="14" t="str">
        <f t="shared" si="1"/>
        <v>(30000, 40000]</v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str">
        <f t="shared" si="0"/>
        <v>(40000, 50000]</v>
      </c>
      <c r="B72" s="75">
        <v>0</v>
      </c>
      <c r="C72" s="75">
        <v>0</v>
      </c>
      <c r="D72" s="36">
        <v>0</v>
      </c>
      <c r="E72" s="69">
        <v>0</v>
      </c>
      <c r="F72" s="77"/>
      <c r="G72" s="14" t="str">
        <f t="shared" si="1"/>
        <v>(40000, 50000]</v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str">
        <f t="shared" si="0"/>
        <v>(50000, 60000]</v>
      </c>
      <c r="B73" s="75">
        <v>0</v>
      </c>
      <c r="C73" s="75">
        <v>0</v>
      </c>
      <c r="D73" s="36">
        <v>0</v>
      </c>
      <c r="E73" s="69">
        <v>0</v>
      </c>
      <c r="F73" s="77"/>
      <c r="G73" s="14" t="str">
        <f t="shared" si="1"/>
        <v>(50000, 60000]</v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str">
        <f t="shared" si="0"/>
        <v>(60000, 70000]</v>
      </c>
      <c r="B74" s="75">
        <v>0</v>
      </c>
      <c r="C74" s="75">
        <v>0</v>
      </c>
      <c r="D74" s="36">
        <v>0</v>
      </c>
      <c r="E74" s="69">
        <v>0</v>
      </c>
      <c r="F74" s="77"/>
      <c r="G74" s="14" t="str">
        <f t="shared" si="1"/>
        <v>(60000, 70000]</v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str">
        <f t="shared" si="0"/>
        <v>(70000, 80000]</v>
      </c>
      <c r="B75" s="75">
        <v>0</v>
      </c>
      <c r="C75" s="75">
        <v>0</v>
      </c>
      <c r="D75" s="36">
        <v>0</v>
      </c>
      <c r="E75" s="69">
        <v>0</v>
      </c>
      <c r="F75" s="77"/>
      <c r="G75" s="14" t="str">
        <f t="shared" si="1"/>
        <v>(70000, 80000]</v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str">
        <f t="shared" si="0"/>
        <v>(80000, 90000]</v>
      </c>
      <c r="B76" s="75">
        <v>0</v>
      </c>
      <c r="C76" s="75">
        <v>0</v>
      </c>
      <c r="D76" s="36">
        <v>0</v>
      </c>
      <c r="E76" s="69">
        <v>0</v>
      </c>
      <c r="F76" s="77"/>
      <c r="G76" s="14" t="str">
        <f t="shared" si="1"/>
        <v>(80000, 90000]</v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str">
        <f t="shared" si="0"/>
        <v>(90000, 100000]</v>
      </c>
      <c r="B77" s="75">
        <v>0</v>
      </c>
      <c r="C77" s="75">
        <v>0</v>
      </c>
      <c r="D77" s="36">
        <v>0</v>
      </c>
      <c r="E77" s="69">
        <v>0</v>
      </c>
      <c r="F77" s="77"/>
      <c r="G77" s="14" t="str">
        <f t="shared" si="1"/>
        <v>(90000, 100000]</v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str">
        <f t="shared" si="0"/>
        <v>(100000, 9999999]</v>
      </c>
      <c r="B78" s="75">
        <v>0</v>
      </c>
      <c r="C78" s="75">
        <v>0</v>
      </c>
      <c r="D78" s="36">
        <v>0</v>
      </c>
      <c r="E78" s="69">
        <v>0</v>
      </c>
      <c r="F78" s="77"/>
      <c r="G78" s="14" t="str">
        <f t="shared" si="1"/>
        <v>(100000, 9999999]</v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117</v>
      </c>
      <c r="B79" s="75">
        <v>6997315</v>
      </c>
      <c r="C79" s="75">
        <v>6167760230</v>
      </c>
      <c r="D79" s="36">
        <f>B79/B13</f>
        <v>0.006997315</v>
      </c>
      <c r="E79" s="69">
        <v>8.81446702056432</v>
      </c>
      <c r="F79" s="77"/>
      <c r="G79" s="14" t="s">
        <v>117</v>
      </c>
      <c r="H79" s="70">
        <v>0.5131466855501</v>
      </c>
      <c r="I79" s="36">
        <v>0.003590649</v>
      </c>
      <c r="J79" s="36">
        <f>I79</f>
        <v>0.003590649</v>
      </c>
      <c r="K79" s="72">
        <v>3590649</v>
      </c>
      <c r="L79" s="36">
        <v>0.003577802</v>
      </c>
      <c r="M79" s="36">
        <v>0.031536417735109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95</v>
      </c>
      <c r="B82" s="95" t="s">
        <v>91</v>
      </c>
      <c r="C82" s="95"/>
      <c r="D82" s="90"/>
      <c r="E82" s="89"/>
      <c r="F82" s="91"/>
      <c r="G82" s="95" t="s">
        <v>95</v>
      </c>
      <c r="H82" s="95" t="s">
        <v>91</v>
      </c>
      <c r="I82" s="88"/>
      <c r="J82" s="88"/>
      <c r="K82" s="92"/>
      <c r="L82" s="93"/>
      <c r="M82" s="93"/>
      <c r="N82" s="91"/>
      <c r="O82" s="95" t="s">
        <v>95</v>
      </c>
      <c r="P82" s="95" t="s">
        <v>91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119</v>
      </c>
      <c r="B84" s="65"/>
      <c r="C84" s="1"/>
      <c r="D84" s="1"/>
      <c r="E84" s="1"/>
      <c r="G84" s="65" t="s">
        <v>103</v>
      </c>
      <c r="H84" s="38"/>
      <c r="I84" s="38"/>
      <c r="J84" s="38"/>
      <c r="K84" s="38"/>
      <c r="L84" s="38"/>
      <c r="M84" s="38"/>
    </row>
    <row r="85" spans="1:21" x14ac:dyDescent="0.3">
      <c r="A85" s="9" t="s">
        <v>109</v>
      </c>
      <c r="B85" s="9" t="s">
        <v>106</v>
      </c>
      <c r="C85" s="9" t="s">
        <v>107</v>
      </c>
      <c r="D85" s="9" t="s">
        <v>108</v>
      </c>
      <c r="E85" s="9" t="s">
        <v>87</v>
      </c>
      <c r="G85" s="9" t="s">
        <v>109</v>
      </c>
      <c r="H85" s="9" t="s">
        <v>110</v>
      </c>
      <c r="I85" s="9" t="s">
        <v>111</v>
      </c>
      <c r="J85" s="9" t="s">
        <v>112</v>
      </c>
      <c r="K85" s="9" t="s">
        <v>113</v>
      </c>
      <c r="L85" s="9" t="s">
        <v>88</v>
      </c>
      <c r="M85" s="9" t="s">
        <v>114</v>
      </c>
      <c r="O85" s="9" t="s">
        <v>104</v>
      </c>
      <c r="P85" s="9" t="s">
        <v>105</v>
      </c>
      <c r="Q85" s="12" t="s">
        <v>120</v>
      </c>
      <c r="R85" s="12" t="s">
        <v>115</v>
      </c>
      <c r="T85" s="12" t="s">
        <v>120</v>
      </c>
      <c r="U85" s="12" t="s">
        <v>116</v>
      </c>
    </row>
    <row r="86" spans="1:21" x14ac:dyDescent="0.3">
      <c r="A86" s="14" t="str">
        <f t="shared" ref="A86:A149" si="2">"("&amp;$O86&amp;", "&amp;$P86&amp;"]"</f>
        <v>(-1, 0]</v>
      </c>
      <c r="B86" s="67">
        <v>25321</v>
      </c>
      <c r="C86" s="67">
        <v>0</v>
      </c>
      <c r="D86" s="36" cm="1">
        <f t="array" ref="D86:D149">_xlfn.LET(_xlpm.x, B86:B149, _xlpm.x/SUM(_xlpm.x))</f>
        <v>0.00361867373413945</v>
      </c>
      <c r="E86" s="68" cm="1">
        <f t="array" ref="E86:E149">_xlfn.LET(_xlpm.x, C86:C149/B86:B149/B3, IF(ISERR(_xlpm.x), 0, _xlpm.x))</f>
        <v>0</v>
      </c>
      <c r="G86" s="14" t="str">
        <f t="shared" ref="G86:G149" si="3">"("&amp;$O86&amp;", "&amp;$P86&amp;"]"</f>
        <v>(-1, 0]</v>
      </c>
      <c r="H86" s="70">
        <v>0</v>
      </c>
      <c r="I86" s="36" cm="1">
        <f t="array" ref="I86:I149">_xlfn.ANCHORARRAY(D86)*H86:H149</f>
        <v>0</v>
      </c>
      <c r="J86" s="36" cm="1">
        <f t="array" ref="J86:J149">I86:I149/SUM(_xlfn.ANCHORARRAY(I86))</f>
        <v>0</v>
      </c>
      <c r="K86" s="71" cm="1">
        <f t="array" ref="K86:K149">INT(_xlfn.ANCHORARRAY(J86)*$B$2)</f>
        <v>0</v>
      </c>
      <c r="L86" s="36" cm="1">
        <f t="array" ref="L86:L149">_xlfn.LET(_xlpm.x, K86:K149, _xlpm.x/SUM(_xlpm.x))</f>
        <v>0</v>
      </c>
      <c r="M86" s="80" cm="1">
        <f t="array" ref="M86:M149">L86:L149*_xlfn.ANCHORARRAY(E86)</f>
        <v>0</v>
      </c>
      <c r="N86" s="73"/>
      <c r="O86" s="66">
        <v>-1</v>
      </c>
      <c r="P86" s="66">
        <v>0</v>
      </c>
      <c r="Q86" s="36" cm="1">
        <f t="array" ref="Q86:Q149">_xlfn.ANCHORARRAY(L86)</f>
        <v>0</v>
      </c>
      <c r="R86" s="36">
        <v>2.069E-2</v>
      </c>
      <c r="T86" s="36"/>
      <c r="U86" s="74" cm="1">
        <f t="array" ref="U86:U149">_xlfn.LET(_xlpm.x, T86:T149/L86:L149, IF(ISERR(_xlpm.x), 0, ROUND(_xlpm.x,2)))</f>
        <v>0</v>
      </c>
    </row>
    <row r="87" spans="1:21" x14ac:dyDescent="0.3">
      <c r="A87" s="14" t="str">
        <f t="shared" si="2"/>
        <v>(0, 1]</v>
      </c>
      <c r="B87" s="75">
        <v>13519</v>
      </c>
      <c r="C87" s="75">
        <v>830135</v>
      </c>
      <c r="D87" s="36">
        <v>0.00193202678455951</v>
      </c>
      <c r="E87" s="69">
        <v>0.614050595458244</v>
      </c>
      <c r="G87" s="14" t="str">
        <f t="shared" si="3"/>
        <v>(0, 1]</v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str">
        <f t="shared" si="2"/>
        <v>(1, 2]</v>
      </c>
      <c r="B88" s="75">
        <v>18233</v>
      </c>
      <c r="C88" s="75">
        <v>2846325</v>
      </c>
      <c r="D88" s="36">
        <v>0.00260571376306483</v>
      </c>
      <c r="E88" s="69">
        <v>1.56108429770197</v>
      </c>
      <c r="F88" s="76"/>
      <c r="G88" s="14" t="str">
        <f t="shared" si="3"/>
        <v>(1, 2]</v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str">
        <f t="shared" si="2"/>
        <v>(2, 3]</v>
      </c>
      <c r="B89" s="75">
        <v>19401</v>
      </c>
      <c r="C89" s="75">
        <v>5010400</v>
      </c>
      <c r="D89" s="36">
        <v>0.00277263493211325</v>
      </c>
      <c r="E89" s="69">
        <v>2.58254729137673</v>
      </c>
      <c r="F89" s="73"/>
      <c r="G89" s="14" t="str">
        <f t="shared" si="3"/>
        <v>(2, 3]</v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str">
        <f t="shared" si="2"/>
        <v>(3, 4]</v>
      </c>
      <c r="B90" s="75">
        <v>21192</v>
      </c>
      <c r="C90" s="75">
        <v>7594100</v>
      </c>
      <c r="D90" s="36">
        <v>0.00302859025211813</v>
      </c>
      <c r="E90" s="69">
        <v>3.58347489618724</v>
      </c>
      <c r="F90" s="73"/>
      <c r="G90" s="14" t="str">
        <f t="shared" si="3"/>
        <v>(3, 4]</v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str">
        <f t="shared" si="2"/>
        <v>(4, 5]</v>
      </c>
      <c r="B91" s="75">
        <v>22042</v>
      </c>
      <c r="C91" s="75">
        <v>10092500</v>
      </c>
      <c r="D91" s="36">
        <v>0.0031500654179496</v>
      </c>
      <c r="E91" s="69">
        <v>4.57875873332728</v>
      </c>
      <c r="F91" s="73"/>
      <c r="G91" s="14" t="str">
        <f t="shared" si="3"/>
        <v>(4, 5]</v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str">
        <f t="shared" si="2"/>
        <v>(5, 6]</v>
      </c>
      <c r="B92" s="75">
        <v>24704</v>
      </c>
      <c r="C92" s="75">
        <v>13812490</v>
      </c>
      <c r="D92" s="36">
        <v>0.00353049705494179</v>
      </c>
      <c r="E92" s="69">
        <v>5.59119575777202</v>
      </c>
      <c r="F92" s="73"/>
      <c r="G92" s="14" t="str">
        <f t="shared" si="3"/>
        <v>(5, 6]</v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str">
        <f t="shared" si="2"/>
        <v>(6, 7]</v>
      </c>
      <c r="B93" s="75">
        <v>23371</v>
      </c>
      <c r="C93" s="75">
        <v>15361185</v>
      </c>
      <c r="D93" s="36">
        <v>0.00333999541252609</v>
      </c>
      <c r="E93" s="69">
        <v>6.57275469599076</v>
      </c>
      <c r="F93" s="73"/>
      <c r="G93" s="14" t="str">
        <f t="shared" si="3"/>
        <v>(6, 7]</v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str">
        <f t="shared" si="2"/>
        <v>(7, 8]</v>
      </c>
      <c r="B94" s="75">
        <v>26882</v>
      </c>
      <c r="C94" s="75">
        <v>20329515</v>
      </c>
      <c r="D94" s="36">
        <v>0.00384175930338994</v>
      </c>
      <c r="E94" s="69">
        <v>7.56250092999033</v>
      </c>
      <c r="F94" s="73"/>
      <c r="G94" s="14" t="str">
        <f t="shared" si="3"/>
        <v>(7, 8]</v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str">
        <f t="shared" si="2"/>
        <v>(8, 9]</v>
      </c>
      <c r="B95" s="75">
        <v>27171</v>
      </c>
      <c r="C95" s="75">
        <v>23310120</v>
      </c>
      <c r="D95" s="36">
        <v>0.00388306085977264</v>
      </c>
      <c r="E95" s="69">
        <v>8.57904383349895</v>
      </c>
      <c r="F95" s="73"/>
      <c r="G95" s="14" t="str">
        <f t="shared" si="3"/>
        <v>(8, 9]</v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str">
        <f t="shared" si="2"/>
        <v>(9, 10]</v>
      </c>
      <c r="B96" s="75">
        <v>27734</v>
      </c>
      <c r="C96" s="75">
        <v>26563225</v>
      </c>
      <c r="D96" s="36">
        <v>0.00396352029314101</v>
      </c>
      <c r="E96" s="69">
        <v>9.57785570058412</v>
      </c>
      <c r="F96" s="73"/>
      <c r="G96" s="14" t="str">
        <f t="shared" si="3"/>
        <v>(9, 10]</v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str">
        <f t="shared" si="2"/>
        <v>(10, 15]</v>
      </c>
      <c r="B97" s="75">
        <v>148515</v>
      </c>
      <c r="C97" s="75">
        <v>187358865</v>
      </c>
      <c r="D97" s="36">
        <v>0.021224569709953</v>
      </c>
      <c r="E97" s="69">
        <v>12.6154842945157</v>
      </c>
      <c r="F97" s="73"/>
      <c r="G97" s="14" t="str">
        <f t="shared" si="3"/>
        <v>(10, 15]</v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str">
        <f t="shared" si="2"/>
        <v>(15, 20]</v>
      </c>
      <c r="B98" s="75">
        <v>161740</v>
      </c>
      <c r="C98" s="75">
        <v>284486210</v>
      </c>
      <c r="D98" s="36">
        <v>0.0231145803783308</v>
      </c>
      <c r="E98" s="69">
        <v>17.5891065908248</v>
      </c>
      <c r="F98" s="73"/>
      <c r="G98" s="14" t="str">
        <f t="shared" si="3"/>
        <v>(15, 20]</v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str">
        <f t="shared" si="2"/>
        <v>(20, 25]</v>
      </c>
      <c r="B99" s="75">
        <v>167105</v>
      </c>
      <c r="C99" s="75">
        <v>377115540</v>
      </c>
      <c r="D99" s="36">
        <v>0.0238813030426671</v>
      </c>
      <c r="E99" s="69">
        <v>22.5675796654798</v>
      </c>
      <c r="F99" s="73"/>
      <c r="G99" s="14" t="str">
        <f t="shared" si="3"/>
        <v>(20, 25]</v>
      </c>
      <c r="H99" s="70">
        <v>0</v>
      </c>
      <c r="I99" s="36">
        <v>0</v>
      </c>
      <c r="J99" s="36">
        <v>0</v>
      </c>
      <c r="K99" s="71">
        <v>0</v>
      </c>
      <c r="L99" s="36">
        <v>0</v>
      </c>
      <c r="M99" s="36">
        <v>0</v>
      </c>
      <c r="N99" s="73"/>
      <c r="O99" s="59">
        <v>20</v>
      </c>
      <c r="P99" s="59">
        <v>25</v>
      </c>
      <c r="Q99" s="36">
        <v>0</v>
      </c>
      <c r="R99" s="36">
        <v>2.069E-2</v>
      </c>
      <c r="T99" s="36"/>
      <c r="U99" s="74">
        <v>0</v>
      </c>
    </row>
    <row r="100" spans="1:21" x14ac:dyDescent="0.3">
      <c r="A100" s="14" t="str">
        <f t="shared" si="2"/>
        <v>(25, 30]</v>
      </c>
      <c r="B100" s="75">
        <v>172723</v>
      </c>
      <c r="C100" s="75">
        <v>476161855</v>
      </c>
      <c r="D100" s="36">
        <v>0.0246841824328332</v>
      </c>
      <c r="E100" s="69">
        <v>27.5679472334316</v>
      </c>
      <c r="F100" s="73"/>
      <c r="G100" s="14" t="str">
        <f t="shared" si="3"/>
        <v>(25, 30]</v>
      </c>
      <c r="H100" s="70">
        <v>0</v>
      </c>
      <c r="I100" s="36">
        <v>0</v>
      </c>
      <c r="J100" s="36">
        <v>0</v>
      </c>
      <c r="K100" s="71">
        <v>0</v>
      </c>
      <c r="L100" s="36">
        <v>0</v>
      </c>
      <c r="M100" s="36">
        <v>0</v>
      </c>
      <c r="N100" s="73"/>
      <c r="O100" s="59">
        <v>25</v>
      </c>
      <c r="P100" s="59">
        <v>30</v>
      </c>
      <c r="Q100" s="36">
        <v>0</v>
      </c>
      <c r="R100" s="36">
        <v>8.9654999999999999E-2</v>
      </c>
      <c r="T100" s="36"/>
      <c r="U100" s="74">
        <v>0</v>
      </c>
    </row>
    <row r="101" spans="1:21" x14ac:dyDescent="0.3">
      <c r="A101" s="14" t="str">
        <f t="shared" si="2"/>
        <v>(30, 35]</v>
      </c>
      <c r="B101" s="75">
        <v>171647</v>
      </c>
      <c r="C101" s="75">
        <v>558840920</v>
      </c>
      <c r="D101" s="36">
        <v>0.0245304091640865</v>
      </c>
      <c r="E101" s="69">
        <v>32.5575698963571</v>
      </c>
      <c r="F101" s="73"/>
      <c r="G101" s="14" t="str">
        <f t="shared" si="3"/>
        <v>(30, 35]</v>
      </c>
      <c r="H101" s="70">
        <v>3.13193793410013</v>
      </c>
      <c r="I101" s="36">
        <v>0.076827719</v>
      </c>
      <c r="J101" s="36">
        <v>0.076827719</v>
      </c>
      <c r="K101" s="71">
        <v>76827719</v>
      </c>
      <c r="L101" s="36">
        <v>0.076827719</v>
      </c>
      <c r="M101" s="36">
        <v>2.50132383132018</v>
      </c>
      <c r="N101" s="73"/>
      <c r="O101" s="59">
        <v>30</v>
      </c>
      <c r="P101" s="59">
        <v>35</v>
      </c>
      <c r="Q101" s="36">
        <v>7.6923450000000004E-2</v>
      </c>
      <c r="R101" s="36">
        <v>3.4483E-2</v>
      </c>
      <c r="T101" s="36"/>
      <c r="U101" s="74">
        <v>0</v>
      </c>
    </row>
    <row r="102" spans="1:21" x14ac:dyDescent="0.3">
      <c r="A102" s="14" t="str">
        <f t="shared" si="2"/>
        <v>(35, 40]</v>
      </c>
      <c r="B102" s="75">
        <v>172745</v>
      </c>
      <c r="C102" s="75">
        <v>648716530</v>
      </c>
      <c r="D102" s="36">
        <v>0.0246873264959488</v>
      </c>
      <c r="E102" s="69">
        <v>37.5534186228256</v>
      </c>
      <c r="F102" s="73"/>
      <c r="G102" s="14" t="str">
        <f t="shared" si="3"/>
        <v>(35, 40]</v>
      </c>
      <c r="H102" s="70">
        <v>5.60295085102466</v>
      </c>
      <c r="I102" s="36">
        <v>0.138321877</v>
      </c>
      <c r="J102" s="36">
        <v>0.138321877</v>
      </c>
      <c r="K102" s="71">
        <v>138321877</v>
      </c>
      <c r="L102" s="36">
        <v>0.138321877</v>
      </c>
      <c r="M102" s="36">
        <v>5.19445935167599</v>
      </c>
      <c r="N102" s="73"/>
      <c r="O102" s="59">
        <v>35</v>
      </c>
      <c r="P102" s="59">
        <v>40</v>
      </c>
      <c r="Q102" s="36">
        <v>0.138461262</v>
      </c>
      <c r="R102" s="36">
        <v>6.2068999999999999E-2</v>
      </c>
      <c r="T102" s="36"/>
      <c r="U102" s="74">
        <v>0</v>
      </c>
    </row>
    <row r="103" spans="1:21" x14ac:dyDescent="0.3">
      <c r="A103" s="14" t="str">
        <f t="shared" si="2"/>
        <v>(40, 45]</v>
      </c>
      <c r="B103" s="75">
        <v>170232</v>
      </c>
      <c r="C103" s="75">
        <v>724358025</v>
      </c>
      <c r="D103" s="36">
        <v>0.0243281887409671</v>
      </c>
      <c r="E103" s="69">
        <v>42.5512256802481</v>
      </c>
      <c r="F103" s="73"/>
      <c r="G103" s="14" t="str">
        <f t="shared" si="3"/>
        <v>(40, 45]</v>
      </c>
      <c r="H103" s="70">
        <v>5.05508804249401</v>
      </c>
      <c r="I103" s="36">
        <v>0.122981136</v>
      </c>
      <c r="J103" s="36">
        <v>0.122981136</v>
      </c>
      <c r="K103" s="71">
        <v>122981136</v>
      </c>
      <c r="L103" s="36">
        <v>0.122981136</v>
      </c>
      <c r="M103" s="36">
        <v>5.23299807234929</v>
      </c>
      <c r="N103" s="73"/>
      <c r="O103" s="59">
        <v>40</v>
      </c>
      <c r="P103" s="59">
        <v>45</v>
      </c>
      <c r="Q103" s="36">
        <v>0.123075743</v>
      </c>
      <c r="R103" s="36">
        <v>5.5171999999999999E-2</v>
      </c>
      <c r="T103" s="36"/>
      <c r="U103" s="74">
        <v>0</v>
      </c>
    </row>
    <row r="104" spans="1:21" x14ac:dyDescent="0.3">
      <c r="A104" s="14" t="str">
        <f t="shared" si="2"/>
        <v>(45, 50]</v>
      </c>
      <c r="B104" s="75">
        <v>168045</v>
      </c>
      <c r="C104" s="75">
        <v>798977350</v>
      </c>
      <c r="D104" s="36">
        <v>0.0240156402848807</v>
      </c>
      <c r="E104" s="69">
        <v>47.5454402094677</v>
      </c>
      <c r="F104" s="73"/>
      <c r="G104" s="14" t="str">
        <f t="shared" si="3"/>
        <v>(45, 50]</v>
      </c>
      <c r="H104" s="70">
        <v>4.48187654891562</v>
      </c>
      <c r="I104" s="36">
        <v>0.107635135</v>
      </c>
      <c r="J104" s="36">
        <v>0.107635135</v>
      </c>
      <c r="K104" s="71">
        <v>107635135</v>
      </c>
      <c r="L104" s="36">
        <v>0.107635135</v>
      </c>
      <c r="M104" s="36">
        <v>5.11755987558049</v>
      </c>
      <c r="N104" s="73"/>
      <c r="O104" s="59">
        <v>45</v>
      </c>
      <c r="P104" s="59">
        <v>50</v>
      </c>
      <c r="Q104" s="36">
        <v>0.107692301</v>
      </c>
      <c r="R104" s="36">
        <v>4.8275999999999999E-2</v>
      </c>
      <c r="T104" s="36"/>
      <c r="U104" s="74">
        <v>0</v>
      </c>
    </row>
    <row r="105" spans="1:21" x14ac:dyDescent="0.3">
      <c r="A105" s="14" t="str">
        <f t="shared" si="2"/>
        <v>(50, 60]</v>
      </c>
      <c r="B105" s="75">
        <v>323672</v>
      </c>
      <c r="C105" s="75">
        <v>1780620765</v>
      </c>
      <c r="D105" s="36">
        <v>0.0462565998529436</v>
      </c>
      <c r="E105" s="69">
        <v>55.0131233161966</v>
      </c>
      <c r="F105" s="73"/>
      <c r="G105" s="14" t="str">
        <f t="shared" si="3"/>
        <v>(50, 60]</v>
      </c>
      <c r="H105" s="70">
        <v>2.32774519403306</v>
      </c>
      <c r="I105" s="36">
        <v>0.107673578</v>
      </c>
      <c r="J105" s="36">
        <v>0.107673578</v>
      </c>
      <c r="K105" s="71">
        <v>107673578</v>
      </c>
      <c r="L105" s="36">
        <v>0.107673578</v>
      </c>
      <c r="M105" s="36">
        <v>5.92345982441012</v>
      </c>
      <c r="N105" s="73"/>
      <c r="O105" s="59">
        <v>50</v>
      </c>
      <c r="P105" s="59">
        <v>60</v>
      </c>
      <c r="Q105" s="36">
        <v>0.10769242900000001</v>
      </c>
      <c r="R105" s="36">
        <v>4.8275999999999999E-2</v>
      </c>
      <c r="T105" s="36"/>
      <c r="U105" s="74">
        <v>0</v>
      </c>
    </row>
    <row r="106" spans="1:21" x14ac:dyDescent="0.3">
      <c r="A106" s="14" t="str">
        <f t="shared" si="2"/>
        <v>(60, 70]</v>
      </c>
      <c r="B106" s="75">
        <v>306735</v>
      </c>
      <c r="C106" s="75">
        <v>1993992090</v>
      </c>
      <c r="D106" s="36">
        <v>0.0438360999897818</v>
      </c>
      <c r="E106" s="69">
        <v>65.0069959411218</v>
      </c>
      <c r="F106" s="73"/>
      <c r="G106" s="14" t="str">
        <f t="shared" si="3"/>
        <v>(60, 70]</v>
      </c>
      <c r="H106" s="70">
        <v>3.5106490777207</v>
      </c>
      <c r="I106" s="36">
        <v>0.153893164</v>
      </c>
      <c r="J106" s="36">
        <v>0.153893164</v>
      </c>
      <c r="K106" s="71">
        <v>153893164</v>
      </c>
      <c r="L106" s="36">
        <v>0.153893164</v>
      </c>
      <c r="M106" s="36">
        <v>10.0041322875144</v>
      </c>
      <c r="N106" s="73"/>
      <c r="O106" s="59">
        <v>60</v>
      </c>
      <c r="P106" s="59">
        <v>70</v>
      </c>
      <c r="Q106" s="36">
        <v>0.153846812</v>
      </c>
      <c r="R106" s="36">
        <v>6.8966E-2</v>
      </c>
      <c r="T106" s="36"/>
      <c r="U106" s="74">
        <v>0</v>
      </c>
    </row>
    <row r="107" spans="1:21" x14ac:dyDescent="0.3">
      <c r="A107" s="14" t="str">
        <f t="shared" si="2"/>
        <v>(70, 80]</v>
      </c>
      <c r="B107" s="75">
        <v>291160</v>
      </c>
      <c r="C107" s="75">
        <v>2183653920</v>
      </c>
      <c r="D107" s="36">
        <v>0.0416102462158699</v>
      </c>
      <c r="E107" s="69">
        <v>74.9984173650227</v>
      </c>
      <c r="F107" s="73"/>
      <c r="G107" s="14" t="str">
        <f t="shared" si="3"/>
        <v>(70, 80]</v>
      </c>
      <c r="H107" s="70">
        <v>1.85010325583315</v>
      </c>
      <c r="I107" s="36">
        <v>0.076983252</v>
      </c>
      <c r="J107" s="36">
        <v>0.076983252</v>
      </c>
      <c r="K107" s="71">
        <v>76983252</v>
      </c>
      <c r="L107" s="36">
        <v>0.076983252</v>
      </c>
      <c r="M107" s="36">
        <v>5.77362206361272</v>
      </c>
      <c r="N107" s="73"/>
      <c r="O107" s="59">
        <v>70</v>
      </c>
      <c r="P107" s="59">
        <v>80</v>
      </c>
      <c r="Q107" s="36">
        <v>7.6923427000000003E-2</v>
      </c>
      <c r="R107" s="36">
        <v>3.4483E-2</v>
      </c>
      <c r="T107" s="36"/>
      <c r="U107" s="74">
        <v>0</v>
      </c>
    </row>
    <row r="108" spans="1:21" x14ac:dyDescent="0.3">
      <c r="A108" s="14" t="str">
        <f t="shared" si="2"/>
        <v>(80, 90]</v>
      </c>
      <c r="B108" s="75">
        <v>272219</v>
      </c>
      <c r="C108" s="75">
        <v>2313514660</v>
      </c>
      <c r="D108" s="36">
        <v>0.0389033507852655</v>
      </c>
      <c r="E108" s="69">
        <v>84.9872587879612</v>
      </c>
      <c r="F108" s="73"/>
      <c r="G108" s="14" t="str">
        <f t="shared" si="3"/>
        <v>(80, 90]</v>
      </c>
      <c r="H108" s="70">
        <v>3.95954962466477</v>
      </c>
      <c r="I108" s="36">
        <v>0.154039748</v>
      </c>
      <c r="J108" s="36">
        <v>0.154039748</v>
      </c>
      <c r="K108" s="71">
        <v>154039748</v>
      </c>
      <c r="L108" s="36">
        <v>0.154039748</v>
      </c>
      <c r="M108" s="36">
        <v>13.0914159269083</v>
      </c>
      <c r="N108" s="73"/>
      <c r="O108" s="59">
        <v>80</v>
      </c>
      <c r="P108" s="59">
        <v>90</v>
      </c>
      <c r="Q108" s="36">
        <v>0.15384678199999999</v>
      </c>
      <c r="R108" s="36">
        <v>6.8966E-2</v>
      </c>
      <c r="T108" s="36"/>
      <c r="U108" s="74">
        <v>0</v>
      </c>
    </row>
    <row r="109" spans="1:21" x14ac:dyDescent="0.3">
      <c r="A109" s="14" t="str">
        <f t="shared" si="2"/>
        <v>(90, 100]</v>
      </c>
      <c r="B109" s="75">
        <v>253675</v>
      </c>
      <c r="C109" s="75">
        <v>2409933070</v>
      </c>
      <c r="D109" s="36">
        <v>0.0362531914027023</v>
      </c>
      <c r="E109" s="69">
        <v>95.0008108800631</v>
      </c>
      <c r="F109" s="73"/>
      <c r="G109" s="14" t="str">
        <f t="shared" si="3"/>
        <v>(90, 100]</v>
      </c>
      <c r="H109" s="81">
        <v>1.70038522444137</v>
      </c>
      <c r="I109" s="79">
        <v>0.061644391</v>
      </c>
      <c r="J109" s="79">
        <v>0.061644391</v>
      </c>
      <c r="K109" s="71">
        <v>61644391</v>
      </c>
      <c r="L109" s="79">
        <v>0.061644391</v>
      </c>
      <c r="M109" s="79">
        <v>5.85626713120766</v>
      </c>
      <c r="N109" s="73"/>
      <c r="O109" s="59">
        <v>90</v>
      </c>
      <c r="P109" s="59">
        <v>100</v>
      </c>
      <c r="Q109" s="36">
        <v>6.1537794E-2</v>
      </c>
      <c r="R109" s="36">
        <v>2.7585999999999999E-2</v>
      </c>
      <c r="T109" s="36"/>
      <c r="U109" s="74">
        <v>0</v>
      </c>
    </row>
    <row r="110" spans="1:21" x14ac:dyDescent="0.3">
      <c r="A110" s="14" t="str">
        <f t="shared" si="2"/>
        <v>(100, 120]</v>
      </c>
      <c r="B110" s="75">
        <v>456793</v>
      </c>
      <c r="C110" s="75">
        <v>5017102950</v>
      </c>
      <c r="D110" s="36">
        <v>0.0652811828537089</v>
      </c>
      <c r="E110" s="69">
        <v>109.833183739681</v>
      </c>
      <c r="F110" s="73"/>
      <c r="G110" s="14" t="str">
        <f t="shared" si="3"/>
        <v>(100, 120]</v>
      </c>
      <c r="H110" s="81">
        <v>0</v>
      </c>
      <c r="I110" s="79">
        <v>0</v>
      </c>
      <c r="J110" s="79">
        <v>0</v>
      </c>
      <c r="K110" s="71">
        <v>0</v>
      </c>
      <c r="L110" s="79">
        <v>0</v>
      </c>
      <c r="M110" s="79">
        <v>0</v>
      </c>
      <c r="N110" s="73"/>
      <c r="O110" s="59">
        <v>100</v>
      </c>
      <c r="P110" s="59">
        <v>120</v>
      </c>
      <c r="Q110" s="36">
        <v>0</v>
      </c>
      <c r="R110" s="36">
        <v>6.8966E-2</v>
      </c>
      <c r="T110" s="36"/>
      <c r="U110" s="74">
        <v>0</v>
      </c>
    </row>
    <row r="111" spans="1:21" x14ac:dyDescent="0.3">
      <c r="A111" s="14" t="str">
        <f t="shared" si="2"/>
        <v>(120, 140]</v>
      </c>
      <c r="B111" s="75">
        <v>395813</v>
      </c>
      <c r="C111" s="75">
        <v>5138166890</v>
      </c>
      <c r="D111" s="36">
        <v>0.0565664115449998</v>
      </c>
      <c r="E111" s="69">
        <v>129.812989719893</v>
      </c>
      <c r="F111" s="73"/>
      <c r="G111" s="14" t="str">
        <f t="shared" si="3"/>
        <v>(120, 140]</v>
      </c>
      <c r="H111" s="81">
        <v>0</v>
      </c>
      <c r="I111" s="79">
        <v>0</v>
      </c>
      <c r="J111" s="79">
        <v>0</v>
      </c>
      <c r="K111" s="71">
        <v>0</v>
      </c>
      <c r="L111" s="79">
        <v>0</v>
      </c>
      <c r="M111" s="79">
        <v>0</v>
      </c>
      <c r="N111" s="73"/>
      <c r="O111" s="59">
        <v>120</v>
      </c>
      <c r="P111" s="59">
        <v>140</v>
      </c>
      <c r="Q111" s="36">
        <v>0</v>
      </c>
      <c r="R111" s="36">
        <v>2.7585999999999999E-2</v>
      </c>
      <c r="T111" s="36"/>
      <c r="U111" s="74">
        <v>0</v>
      </c>
    </row>
    <row r="112" spans="1:21" x14ac:dyDescent="0.3">
      <c r="A112" s="14" t="str">
        <f t="shared" si="2"/>
        <v>(140, 160]</v>
      </c>
      <c r="B112" s="75">
        <v>343531</v>
      </c>
      <c r="C112" s="75">
        <v>5146233665</v>
      </c>
      <c r="D112" s="36">
        <v>0.049094688462646</v>
      </c>
      <c r="E112" s="69">
        <v>149.804054510364</v>
      </c>
      <c r="F112" s="73"/>
      <c r="G112" s="14" t="str">
        <f t="shared" si="3"/>
        <v>(140, 160]</v>
      </c>
      <c r="H112" s="81">
        <v>0</v>
      </c>
      <c r="I112" s="79">
        <v>0</v>
      </c>
      <c r="J112" s="79">
        <v>0</v>
      </c>
      <c r="K112" s="71">
        <v>0</v>
      </c>
      <c r="L112" s="79">
        <v>0</v>
      </c>
      <c r="M112" s="79">
        <v>0</v>
      </c>
      <c r="N112" s="73"/>
      <c r="O112" s="59">
        <v>140</v>
      </c>
      <c r="P112" s="59">
        <v>160</v>
      </c>
      <c r="Q112" s="36">
        <v>0</v>
      </c>
      <c r="R112" s="36">
        <v>4.8275999999999999E-2</v>
      </c>
      <c r="T112" s="36"/>
      <c r="U112" s="74">
        <v>0</v>
      </c>
    </row>
    <row r="113" spans="1:21" x14ac:dyDescent="0.3">
      <c r="A113" s="14" t="str">
        <f t="shared" si="2"/>
        <v>(160, 180]</v>
      </c>
      <c r="B113" s="75">
        <v>298628</v>
      </c>
      <c r="C113" s="75">
        <v>5070946225</v>
      </c>
      <c r="D113" s="36">
        <v>0.0426775127316692</v>
      </c>
      <c r="E113" s="69">
        <v>169.8081300146</v>
      </c>
      <c r="F113" s="73"/>
      <c r="G113" s="14" t="str">
        <f t="shared" si="3"/>
        <v>(160, 180]</v>
      </c>
      <c r="H113" s="81">
        <v>0</v>
      </c>
      <c r="I113" s="79">
        <v>0</v>
      </c>
      <c r="J113" s="79">
        <v>0</v>
      </c>
      <c r="K113" s="71">
        <v>0</v>
      </c>
      <c r="L113" s="79">
        <v>0</v>
      </c>
      <c r="M113" s="79">
        <v>0</v>
      </c>
      <c r="N113" s="73"/>
      <c r="O113" s="59">
        <v>160</v>
      </c>
      <c r="P113" s="59">
        <v>180</v>
      </c>
      <c r="Q113" s="36">
        <v>0</v>
      </c>
      <c r="R113" s="36">
        <v>2.7585999999999999E-2</v>
      </c>
      <c r="T113" s="36"/>
      <c r="U113" s="74">
        <v>0</v>
      </c>
    </row>
    <row r="114" spans="1:21" x14ac:dyDescent="0.3">
      <c r="A114" s="14" t="str">
        <f t="shared" si="2"/>
        <v>(180, 200]</v>
      </c>
      <c r="B114" s="75">
        <v>258337</v>
      </c>
      <c r="C114" s="75">
        <v>4903415715</v>
      </c>
      <c r="D114" s="36">
        <v>0.036919446959298</v>
      </c>
      <c r="E114" s="69">
        <v>189.806946546565</v>
      </c>
      <c r="F114" s="73"/>
      <c r="G114" s="14" t="str">
        <f t="shared" si="3"/>
        <v>(180, 200]</v>
      </c>
      <c r="H114" s="81">
        <v>0</v>
      </c>
      <c r="I114" s="79">
        <v>0</v>
      </c>
      <c r="J114" s="79">
        <v>0</v>
      </c>
      <c r="K114" s="71">
        <v>0</v>
      </c>
      <c r="L114" s="79">
        <v>0</v>
      </c>
      <c r="M114" s="79">
        <v>0</v>
      </c>
      <c r="N114" s="73"/>
      <c r="O114" s="59">
        <v>180</v>
      </c>
      <c r="P114" s="59">
        <v>200</v>
      </c>
      <c r="Q114" s="36">
        <v>0</v>
      </c>
      <c r="R114" s="36">
        <v>3.4483E-2</v>
      </c>
      <c r="T114" s="36"/>
      <c r="U114" s="74">
        <v>0</v>
      </c>
    </row>
    <row r="115" spans="1:21" x14ac:dyDescent="0.3">
      <c r="A115" s="14" t="str">
        <f t="shared" si="2"/>
        <v>(200, 250]</v>
      </c>
      <c r="B115" s="75">
        <v>513423</v>
      </c>
      <c r="C115" s="75">
        <v>11482735530</v>
      </c>
      <c r="D115" s="36">
        <v>0.0733742871372805</v>
      </c>
      <c r="E115" s="69">
        <v>223.65058694293</v>
      </c>
      <c r="F115" s="73"/>
      <c r="G115" s="14" t="str">
        <f t="shared" si="3"/>
        <v>(200, 250]</v>
      </c>
      <c r="H115" s="81">
        <v>0</v>
      </c>
      <c r="I115" s="79">
        <v>0</v>
      </c>
      <c r="J115" s="79">
        <v>0</v>
      </c>
      <c r="K115" s="71">
        <v>0</v>
      </c>
      <c r="L115" s="79">
        <v>0</v>
      </c>
      <c r="M115" s="79">
        <v>0</v>
      </c>
      <c r="N115" s="73"/>
      <c r="O115" s="59">
        <v>200</v>
      </c>
      <c r="P115" s="59">
        <v>250</v>
      </c>
      <c r="Q115" s="36">
        <v>0</v>
      </c>
      <c r="R115" s="36">
        <v>1.3793E-2</v>
      </c>
      <c r="T115" s="36"/>
      <c r="U115" s="74">
        <v>0</v>
      </c>
    </row>
    <row r="116" spans="1:21" x14ac:dyDescent="0.3">
      <c r="A116" s="14" t="str">
        <f t="shared" si="2"/>
        <v>(250, 300]</v>
      </c>
      <c r="B116" s="75">
        <v>370638</v>
      </c>
      <c r="C116" s="75">
        <v>10146620445</v>
      </c>
      <c r="D116" s="36">
        <v>0.0529686029569914</v>
      </c>
      <c r="E116" s="69">
        <v>273.760932365273</v>
      </c>
      <c r="F116" s="73"/>
      <c r="G116" s="14" t="str">
        <f t="shared" si="3"/>
        <v>(250, 300]</v>
      </c>
      <c r="H116" s="81">
        <v>0</v>
      </c>
      <c r="I116" s="79">
        <v>0</v>
      </c>
      <c r="J116" s="79">
        <v>0</v>
      </c>
      <c r="K116" s="71">
        <v>0</v>
      </c>
      <c r="L116" s="79">
        <v>0</v>
      </c>
      <c r="M116" s="79">
        <v>0</v>
      </c>
      <c r="N116" s="73"/>
      <c r="O116" s="59">
        <v>250</v>
      </c>
      <c r="P116" s="59">
        <v>300</v>
      </c>
      <c r="Q116" s="36">
        <v>0</v>
      </c>
      <c r="R116" s="36">
        <v>1.3793E-2</v>
      </c>
      <c r="T116" s="36"/>
      <c r="U116" s="74">
        <v>0</v>
      </c>
    </row>
    <row r="117" spans="1:21" x14ac:dyDescent="0.3">
      <c r="A117" s="14" t="str">
        <f t="shared" si="2"/>
        <v>(300, 350]</v>
      </c>
      <c r="B117" s="75">
        <v>274053</v>
      </c>
      <c r="C117" s="75">
        <v>8873479165</v>
      </c>
      <c r="D117" s="36">
        <v>0.0391654513195419</v>
      </c>
      <c r="E117" s="69">
        <v>323.786974234911</v>
      </c>
      <c r="F117" s="73"/>
      <c r="G117" s="14" t="str">
        <f t="shared" si="3"/>
        <v>(300, 350]</v>
      </c>
      <c r="H117" s="81">
        <v>0</v>
      </c>
      <c r="I117" s="79">
        <v>0</v>
      </c>
      <c r="J117" s="79">
        <v>0</v>
      </c>
      <c r="K117" s="71">
        <v>0</v>
      </c>
      <c r="L117" s="79">
        <v>0</v>
      </c>
      <c r="M117" s="79">
        <v>0</v>
      </c>
      <c r="N117" s="73"/>
      <c r="O117" s="59">
        <v>300</v>
      </c>
      <c r="P117" s="59">
        <v>350</v>
      </c>
      <c r="Q117" s="36">
        <v>0</v>
      </c>
      <c r="R117" s="36">
        <v>6.8970000000000004E-3</v>
      </c>
      <c r="T117" s="36"/>
      <c r="U117" s="74">
        <v>0</v>
      </c>
    </row>
    <row r="118" spans="1:21" x14ac:dyDescent="0.3">
      <c r="A118" s="14" t="str">
        <f t="shared" si="2"/>
        <v>(350, 400]</v>
      </c>
      <c r="B118" s="75">
        <v>205430</v>
      </c>
      <c r="C118" s="75">
        <v>7680838935</v>
      </c>
      <c r="D118" s="36">
        <v>0.0293584039020682</v>
      </c>
      <c r="E118" s="69">
        <v>373.890811225235</v>
      </c>
      <c r="F118" s="73"/>
      <c r="G118" s="14" t="str">
        <f t="shared" si="3"/>
        <v>(350, 400]</v>
      </c>
      <c r="H118" s="81">
        <v>0</v>
      </c>
      <c r="I118" s="79">
        <v>0</v>
      </c>
      <c r="J118" s="79">
        <v>0</v>
      </c>
      <c r="K118" s="71">
        <v>0</v>
      </c>
      <c r="L118" s="79">
        <v>0</v>
      </c>
      <c r="M118" s="79">
        <v>0</v>
      </c>
      <c r="N118" s="73"/>
      <c r="O118" s="59">
        <v>350</v>
      </c>
      <c r="P118" s="59">
        <v>400</v>
      </c>
      <c r="Q118" s="36">
        <v>0</v>
      </c>
      <c r="R118" s="36">
        <v>6.8970000000000004E-3</v>
      </c>
      <c r="T118" s="36"/>
      <c r="U118" s="74">
        <v>0</v>
      </c>
    </row>
    <row r="119" spans="1:21" x14ac:dyDescent="0.3">
      <c r="A119" s="14" t="str">
        <f t="shared" si="2"/>
        <v>(400, 450]</v>
      </c>
      <c r="B119" s="75">
        <v>155982</v>
      </c>
      <c r="C119" s="75">
        <v>6612380765</v>
      </c>
      <c r="D119" s="36">
        <v>0.0222916933137925</v>
      </c>
      <c r="E119" s="69">
        <v>423.919475644626</v>
      </c>
      <c r="F119" s="73"/>
      <c r="G119" s="14" t="str">
        <f t="shared" si="3"/>
        <v>(400, 450]</v>
      </c>
      <c r="H119" s="81">
        <v>0</v>
      </c>
      <c r="I119" s="79">
        <v>0</v>
      </c>
      <c r="J119" s="79">
        <v>0</v>
      </c>
      <c r="K119" s="71">
        <v>0</v>
      </c>
      <c r="L119" s="79">
        <v>0</v>
      </c>
      <c r="M119" s="79">
        <v>0</v>
      </c>
      <c r="N119" s="73"/>
      <c r="O119" s="59">
        <v>400</v>
      </c>
      <c r="P119" s="59">
        <v>450</v>
      </c>
      <c r="Q119" s="36">
        <v>0</v>
      </c>
      <c r="R119" s="36">
        <v>0</v>
      </c>
      <c r="T119" s="36"/>
      <c r="U119" s="74">
        <v>0</v>
      </c>
    </row>
    <row r="120" spans="1:21" x14ac:dyDescent="0.3">
      <c r="A120" s="14" t="str">
        <f t="shared" si="2"/>
        <v>(450, 500]</v>
      </c>
      <c r="B120" s="75">
        <v>121473</v>
      </c>
      <c r="C120" s="75">
        <v>5758476855</v>
      </c>
      <c r="D120" s="36">
        <v>0.0173599444929948</v>
      </c>
      <c r="E120" s="69">
        <v>474.054057691833</v>
      </c>
      <c r="F120" s="73"/>
      <c r="G120" s="14" t="str">
        <f t="shared" si="3"/>
        <v>(450, 500]</v>
      </c>
      <c r="H120" s="81">
        <v>0</v>
      </c>
      <c r="I120" s="79">
        <v>0</v>
      </c>
      <c r="J120" s="79">
        <v>0</v>
      </c>
      <c r="K120" s="71">
        <v>0</v>
      </c>
      <c r="L120" s="79">
        <v>0</v>
      </c>
      <c r="M120" s="79">
        <v>0</v>
      </c>
      <c r="N120" s="73"/>
      <c r="O120" s="59">
        <v>450</v>
      </c>
      <c r="P120" s="59">
        <v>500</v>
      </c>
      <c r="Q120" s="36">
        <v>0</v>
      </c>
      <c r="R120" s="36">
        <v>0</v>
      </c>
      <c r="T120" s="36"/>
      <c r="U120" s="74">
        <v>0</v>
      </c>
    </row>
    <row r="121" spans="1:21" x14ac:dyDescent="0.3">
      <c r="A121" s="14" t="str">
        <f t="shared" si="2"/>
        <v>(500, 550]</v>
      </c>
      <c r="B121" s="75">
        <v>95846</v>
      </c>
      <c r="C121" s="75">
        <v>5022192925</v>
      </c>
      <c r="D121" s="36">
        <v>0.013697539699156</v>
      </c>
      <c r="E121" s="69">
        <v>523.985656678422</v>
      </c>
      <c r="F121" s="73"/>
      <c r="G121" s="14" t="str">
        <f t="shared" si="3"/>
        <v>(500, 550]</v>
      </c>
      <c r="H121" s="81">
        <v>0</v>
      </c>
      <c r="I121" s="79">
        <v>0</v>
      </c>
      <c r="J121" s="79">
        <v>0</v>
      </c>
      <c r="K121" s="71">
        <v>0</v>
      </c>
      <c r="L121" s="79">
        <v>0</v>
      </c>
      <c r="M121" s="79">
        <v>0</v>
      </c>
      <c r="N121" s="73"/>
      <c r="O121" s="59">
        <v>500</v>
      </c>
      <c r="P121" s="59">
        <v>550</v>
      </c>
      <c r="Q121" s="36">
        <v>0</v>
      </c>
      <c r="R121" s="36">
        <v>0</v>
      </c>
      <c r="T121" s="36"/>
      <c r="U121" s="74">
        <v>0</v>
      </c>
    </row>
    <row r="122" spans="1:21" x14ac:dyDescent="0.3">
      <c r="A122" s="14" t="str">
        <f t="shared" si="2"/>
        <v>(550, 600]</v>
      </c>
      <c r="B122" s="75">
        <v>76191</v>
      </c>
      <c r="C122" s="75">
        <v>4374443840</v>
      </c>
      <c r="D122" s="36">
        <v>0.0108886051292531</v>
      </c>
      <c r="E122" s="69">
        <v>574.141806775078</v>
      </c>
      <c r="F122" s="73"/>
      <c r="G122" s="14" t="str">
        <f t="shared" si="3"/>
        <v>(550, 600]</v>
      </c>
      <c r="H122" s="70">
        <v>0</v>
      </c>
      <c r="I122" s="36">
        <v>0</v>
      </c>
      <c r="J122" s="36">
        <v>0</v>
      </c>
      <c r="K122" s="71">
        <v>0</v>
      </c>
      <c r="L122" s="36">
        <v>0</v>
      </c>
      <c r="M122" s="36">
        <v>0</v>
      </c>
      <c r="N122" s="73"/>
      <c r="O122" s="59">
        <v>550</v>
      </c>
      <c r="P122" s="59">
        <v>600</v>
      </c>
      <c r="Q122" s="36">
        <v>0</v>
      </c>
      <c r="R122" s="36">
        <v>0</v>
      </c>
      <c r="T122" s="36"/>
      <c r="U122" s="74">
        <v>0</v>
      </c>
    </row>
    <row r="123" spans="1:21" x14ac:dyDescent="0.3">
      <c r="A123" s="14" t="str">
        <f t="shared" si="2"/>
        <v>(600, 650]</v>
      </c>
      <c r="B123" s="75">
        <v>61071</v>
      </c>
      <c r="C123" s="75">
        <v>3811243745</v>
      </c>
      <c r="D123" s="36">
        <v>0.00872777629705108</v>
      </c>
      <c r="E123" s="69">
        <v>624.067682697189</v>
      </c>
      <c r="F123" s="73"/>
      <c r="G123" s="14" t="str">
        <f t="shared" si="3"/>
        <v>(600, 650]</v>
      </c>
      <c r="H123" s="70">
        <v>0</v>
      </c>
      <c r="I123" s="36">
        <v>0</v>
      </c>
      <c r="J123" s="36">
        <v>0</v>
      </c>
      <c r="K123" s="71">
        <v>0</v>
      </c>
      <c r="L123" s="36">
        <v>0</v>
      </c>
      <c r="M123" s="36">
        <v>0</v>
      </c>
      <c r="N123" s="73"/>
      <c r="O123" s="59">
        <v>600</v>
      </c>
      <c r="P123" s="59">
        <v>650</v>
      </c>
      <c r="Q123" s="36">
        <v>0</v>
      </c>
      <c r="R123" s="36">
        <v>6.8970000000000004E-3</v>
      </c>
      <c r="T123" s="36"/>
      <c r="U123" s="74">
        <v>0</v>
      </c>
    </row>
    <row r="124" spans="1:21" x14ac:dyDescent="0.3">
      <c r="A124" s="14" t="str">
        <f t="shared" si="2"/>
        <v>(650, 700]</v>
      </c>
      <c r="B124" s="75">
        <v>49505</v>
      </c>
      <c r="C124" s="75">
        <v>3337761550</v>
      </c>
      <c r="D124" s="36">
        <v>0.00707485656998434</v>
      </c>
      <c r="E124" s="69">
        <v>674.227158872841</v>
      </c>
      <c r="F124" s="73"/>
      <c r="G124" s="14" t="str">
        <f t="shared" si="3"/>
        <v>(650, 700]</v>
      </c>
      <c r="H124" s="70">
        <v>0</v>
      </c>
      <c r="I124" s="36">
        <v>0</v>
      </c>
      <c r="J124" s="36">
        <v>0</v>
      </c>
      <c r="K124" s="71">
        <v>0</v>
      </c>
      <c r="L124" s="36">
        <v>0</v>
      </c>
      <c r="M124" s="36">
        <v>0</v>
      </c>
      <c r="N124" s="73"/>
      <c r="O124" s="59">
        <v>650</v>
      </c>
      <c r="P124" s="59">
        <v>700</v>
      </c>
      <c r="Q124" s="36">
        <v>0</v>
      </c>
      <c r="R124" s="36">
        <v>0</v>
      </c>
      <c r="T124" s="36"/>
      <c r="U124" s="74">
        <v>0</v>
      </c>
    </row>
    <row r="125" spans="1:21" x14ac:dyDescent="0.3">
      <c r="A125" s="14" t="str">
        <f t="shared" si="2"/>
        <v>(700, 750]</v>
      </c>
      <c r="B125" s="75">
        <v>40886</v>
      </c>
      <c r="C125" s="75">
        <v>2961427510</v>
      </c>
      <c r="D125" s="36">
        <v>0.00584309838845329</v>
      </c>
      <c r="E125" s="69">
        <v>724.313337083598</v>
      </c>
      <c r="F125" s="73"/>
      <c r="G125" s="14" t="str">
        <f t="shared" si="3"/>
        <v>(700, 750]</v>
      </c>
      <c r="H125" s="70">
        <v>0</v>
      </c>
      <c r="I125" s="36">
        <v>0</v>
      </c>
      <c r="J125" s="36">
        <v>0</v>
      </c>
      <c r="K125" s="71">
        <v>0</v>
      </c>
      <c r="L125" s="36">
        <v>0</v>
      </c>
      <c r="M125" s="36">
        <v>0</v>
      </c>
      <c r="N125" s="73"/>
      <c r="O125" s="59">
        <v>700</v>
      </c>
      <c r="P125" s="59">
        <v>750</v>
      </c>
      <c r="Q125" s="36">
        <v>0</v>
      </c>
      <c r="R125" s="36">
        <v>0</v>
      </c>
      <c r="T125" s="36"/>
      <c r="U125" s="74">
        <v>0</v>
      </c>
    </row>
    <row r="126" spans="1:21" x14ac:dyDescent="0.3">
      <c r="A126" s="14" t="str">
        <f t="shared" si="2"/>
        <v>(750, 800]</v>
      </c>
      <c r="B126" s="75">
        <v>33857</v>
      </c>
      <c r="C126" s="75">
        <v>2621391690</v>
      </c>
      <c r="D126" s="36">
        <v>0.00483857022300697</v>
      </c>
      <c r="E126" s="69">
        <v>774.253977021</v>
      </c>
      <c r="F126" s="73"/>
      <c r="G126" s="14" t="str">
        <f t="shared" si="3"/>
        <v>(750, 800]</v>
      </c>
      <c r="H126" s="70">
        <v>0</v>
      </c>
      <c r="I126" s="36">
        <v>0</v>
      </c>
      <c r="J126" s="36">
        <v>0</v>
      </c>
      <c r="K126" s="71">
        <v>0</v>
      </c>
      <c r="L126" s="36">
        <v>0</v>
      </c>
      <c r="M126" s="36">
        <v>0</v>
      </c>
      <c r="N126" s="73"/>
      <c r="O126" s="59">
        <v>750</v>
      </c>
      <c r="P126" s="59">
        <v>800</v>
      </c>
      <c r="Q126" s="36">
        <v>0</v>
      </c>
      <c r="R126" s="36">
        <v>0</v>
      </c>
      <c r="T126" s="36"/>
      <c r="U126" s="74">
        <v>0</v>
      </c>
    </row>
    <row r="127" spans="1:21" x14ac:dyDescent="0.3">
      <c r="A127" s="14" t="str">
        <f t="shared" si="2"/>
        <v>(800, 850]</v>
      </c>
      <c r="B127" s="75">
        <v>28291</v>
      </c>
      <c r="C127" s="75">
        <v>2332011670</v>
      </c>
      <c r="D127" s="36">
        <v>0.00404312225475057</v>
      </c>
      <c r="E127" s="69">
        <v>824.294535364604</v>
      </c>
      <c r="F127" s="73"/>
      <c r="G127" s="14" t="str">
        <f t="shared" si="3"/>
        <v>(800, 850]</v>
      </c>
      <c r="H127" s="70">
        <v>0</v>
      </c>
      <c r="I127" s="36">
        <v>0</v>
      </c>
      <c r="J127" s="36">
        <v>0</v>
      </c>
      <c r="K127" s="71">
        <v>0</v>
      </c>
      <c r="L127" s="36">
        <v>0</v>
      </c>
      <c r="M127" s="36">
        <v>0</v>
      </c>
      <c r="N127" s="73"/>
      <c r="O127" s="59">
        <v>800</v>
      </c>
      <c r="P127" s="59">
        <v>850</v>
      </c>
      <c r="Q127" s="36">
        <v>0</v>
      </c>
      <c r="R127" s="36">
        <v>0</v>
      </c>
      <c r="T127" s="36"/>
      <c r="U127" s="74">
        <v>0</v>
      </c>
    </row>
    <row r="128" spans="1:21" x14ac:dyDescent="0.3">
      <c r="A128" s="14" t="str">
        <f t="shared" si="2"/>
        <v>(850, 900]</v>
      </c>
      <c r="B128" s="75">
        <v>23625</v>
      </c>
      <c r="C128" s="75">
        <v>2065488815</v>
      </c>
      <c r="D128" s="36">
        <v>0.00337629505031573</v>
      </c>
      <c r="E128" s="69">
        <v>874.28097989418</v>
      </c>
      <c r="F128" s="73"/>
      <c r="G128" s="14" t="str">
        <f t="shared" si="3"/>
        <v>(850, 900]</v>
      </c>
      <c r="H128" s="70">
        <v>0</v>
      </c>
      <c r="I128" s="36">
        <v>0</v>
      </c>
      <c r="J128" s="36">
        <v>0</v>
      </c>
      <c r="K128" s="72">
        <v>0</v>
      </c>
      <c r="L128" s="36">
        <v>0</v>
      </c>
      <c r="M128" s="36">
        <v>0</v>
      </c>
      <c r="N128" s="73"/>
      <c r="O128" s="59">
        <v>850</v>
      </c>
      <c r="P128" s="59">
        <v>900</v>
      </c>
      <c r="Q128" s="36">
        <v>0</v>
      </c>
      <c r="R128" s="36">
        <v>0</v>
      </c>
      <c r="T128" s="36"/>
      <c r="U128" s="74">
        <v>0</v>
      </c>
    </row>
    <row r="129" spans="1:21" x14ac:dyDescent="0.3">
      <c r="A129" s="14" t="str">
        <f t="shared" si="2"/>
        <v>(900, 950]</v>
      </c>
      <c r="B129" s="75">
        <v>20107</v>
      </c>
      <c r="C129" s="75">
        <v>1858657770</v>
      </c>
      <c r="D129" s="36">
        <v>0.00287353077573326</v>
      </c>
      <c r="E129" s="69">
        <v>924.383433630079</v>
      </c>
      <c r="F129" s="73"/>
      <c r="G129" s="14" t="str">
        <f t="shared" si="3"/>
        <v>(900, 950]</v>
      </c>
      <c r="H129" s="70">
        <v>0</v>
      </c>
      <c r="I129" s="36">
        <v>0</v>
      </c>
      <c r="J129" s="36">
        <v>0</v>
      </c>
      <c r="K129" s="72">
        <v>0</v>
      </c>
      <c r="L129" s="36">
        <v>0</v>
      </c>
      <c r="M129" s="36">
        <v>0</v>
      </c>
      <c r="N129" s="73"/>
      <c r="O129" s="59">
        <v>900</v>
      </c>
      <c r="P129" s="59">
        <v>950</v>
      </c>
      <c r="Q129" s="36">
        <v>0</v>
      </c>
      <c r="R129" s="36">
        <v>6.8970000000000004E-3</v>
      </c>
      <c r="T129" s="36"/>
      <c r="U129" s="74">
        <v>0</v>
      </c>
    </row>
    <row r="130" spans="1:21" x14ac:dyDescent="0.3">
      <c r="A130" s="14" t="str">
        <f t="shared" si="2"/>
        <v>(950, 1000]</v>
      </c>
      <c r="B130" s="75">
        <v>17001</v>
      </c>
      <c r="C130" s="75">
        <v>1656429300</v>
      </c>
      <c r="D130" s="36">
        <v>0.00242964622858911</v>
      </c>
      <c r="E130" s="69">
        <v>974.312863949179</v>
      </c>
      <c r="F130" s="73"/>
      <c r="G130" s="14" t="str">
        <f t="shared" si="3"/>
        <v>(950, 1000]</v>
      </c>
      <c r="H130" s="70">
        <v>0</v>
      </c>
      <c r="I130" s="36">
        <v>0</v>
      </c>
      <c r="J130" s="36">
        <v>0</v>
      </c>
      <c r="K130" s="72">
        <v>0</v>
      </c>
      <c r="L130" s="36">
        <v>0</v>
      </c>
      <c r="M130" s="36">
        <v>0</v>
      </c>
      <c r="N130" s="73"/>
      <c r="O130" s="59">
        <v>950</v>
      </c>
      <c r="P130" s="59">
        <v>1000</v>
      </c>
      <c r="Q130" s="36">
        <v>0</v>
      </c>
      <c r="R130" s="36">
        <v>0</v>
      </c>
      <c r="T130" s="36"/>
      <c r="U130" s="74">
        <v>0</v>
      </c>
    </row>
    <row r="131" spans="1:21" x14ac:dyDescent="0.3">
      <c r="A131" s="14" t="str">
        <f t="shared" si="2"/>
        <v>(1000, 2000]</v>
      </c>
      <c r="B131" s="75">
        <v>109395</v>
      </c>
      <c r="C131" s="75">
        <v>14362391790</v>
      </c>
      <c r="D131" s="36">
        <v>0.0156338538425096</v>
      </c>
      <c r="E131" s="69">
        <v>1312.89289181407</v>
      </c>
      <c r="F131" s="73"/>
      <c r="G131" s="14" t="str">
        <f t="shared" si="3"/>
        <v>(1000, 2000]</v>
      </c>
      <c r="H131" s="70">
        <v>0</v>
      </c>
      <c r="I131" s="36">
        <v>0</v>
      </c>
      <c r="J131" s="36">
        <v>0</v>
      </c>
      <c r="K131" s="72">
        <v>0</v>
      </c>
      <c r="L131" s="36">
        <v>0</v>
      </c>
      <c r="M131" s="36">
        <v>0</v>
      </c>
      <c r="N131" s="73"/>
      <c r="O131" s="59">
        <v>1000</v>
      </c>
      <c r="P131" s="59">
        <v>2000</v>
      </c>
      <c r="Q131" s="36">
        <v>0</v>
      </c>
      <c r="R131" s="36">
        <v>0</v>
      </c>
      <c r="T131" s="36"/>
      <c r="U131" s="74">
        <v>0</v>
      </c>
    </row>
    <row r="132" spans="1:21" x14ac:dyDescent="0.3">
      <c r="A132" s="14" t="str">
        <f t="shared" si="2"/>
        <v>(2000, 3000]</v>
      </c>
      <c r="B132" s="75">
        <v>13326</v>
      </c>
      <c r="C132" s="75">
        <v>3153908440</v>
      </c>
      <c r="D132" s="36">
        <v>0.00190444477631777</v>
      </c>
      <c r="E132" s="69">
        <v>2366.73303316824</v>
      </c>
      <c r="F132" s="73"/>
      <c r="G132" s="14" t="str">
        <f t="shared" si="3"/>
        <v>(2000, 3000]</v>
      </c>
      <c r="H132" s="70">
        <v>0</v>
      </c>
      <c r="I132" s="36">
        <v>0</v>
      </c>
      <c r="J132" s="36">
        <v>0</v>
      </c>
      <c r="K132" s="72">
        <v>0</v>
      </c>
      <c r="L132" s="36">
        <v>0</v>
      </c>
      <c r="M132" s="36">
        <v>0</v>
      </c>
      <c r="N132" s="73"/>
      <c r="O132" s="59">
        <v>2000</v>
      </c>
      <c r="P132" s="59">
        <v>3000</v>
      </c>
      <c r="Q132" s="36">
        <v>0</v>
      </c>
      <c r="R132" s="36">
        <v>0</v>
      </c>
      <c r="T132" s="36"/>
      <c r="U132" s="74">
        <v>0</v>
      </c>
    </row>
    <row r="133" spans="1:21" x14ac:dyDescent="0.3">
      <c r="A133" s="14" t="str">
        <f t="shared" si="2"/>
        <v>(3000, 4000]</v>
      </c>
      <c r="B133" s="75">
        <v>2933</v>
      </c>
      <c r="C133" s="75">
        <v>994750330</v>
      </c>
      <c r="D133" s="36">
        <v>0.000419160778098456</v>
      </c>
      <c r="E133" s="69">
        <v>3391.57971360382</v>
      </c>
      <c r="F133" s="73"/>
      <c r="G133" s="14" t="str">
        <f t="shared" si="3"/>
        <v>(3000, 4000]</v>
      </c>
      <c r="H133" s="70">
        <v>0</v>
      </c>
      <c r="I133" s="36">
        <v>0</v>
      </c>
      <c r="J133" s="36">
        <v>0</v>
      </c>
      <c r="K133" s="72">
        <v>0</v>
      </c>
      <c r="L133" s="36">
        <v>0</v>
      </c>
      <c r="M133" s="36">
        <v>0</v>
      </c>
      <c r="N133" s="73"/>
      <c r="O133" s="59">
        <v>3000</v>
      </c>
      <c r="P133" s="59">
        <v>4000</v>
      </c>
      <c r="Q133" s="36">
        <v>0</v>
      </c>
      <c r="R133" s="36">
        <v>0</v>
      </c>
      <c r="T133" s="36"/>
      <c r="U133" s="74">
        <v>0</v>
      </c>
    </row>
    <row r="134" spans="1:21" x14ac:dyDescent="0.3">
      <c r="A134" s="14" t="str">
        <f t="shared" si="2"/>
        <v>(4000, 5000]</v>
      </c>
      <c r="B134" s="75">
        <v>882</v>
      </c>
      <c r="C134" s="75">
        <v>389171095</v>
      </c>
      <c r="D134" s="36">
        <v>0.000126048348545121</v>
      </c>
      <c r="E134" s="69">
        <v>4412.37069160998</v>
      </c>
      <c r="F134" s="73"/>
      <c r="G134" s="14" t="str">
        <f t="shared" si="3"/>
        <v>(4000, 5000]</v>
      </c>
      <c r="H134" s="70">
        <v>0</v>
      </c>
      <c r="I134" s="36">
        <v>0</v>
      </c>
      <c r="J134" s="36">
        <v>0</v>
      </c>
      <c r="K134" s="72">
        <v>0</v>
      </c>
      <c r="L134" s="36">
        <v>0</v>
      </c>
      <c r="M134" s="36">
        <v>0</v>
      </c>
      <c r="N134" s="73"/>
      <c r="O134" s="59">
        <v>4000</v>
      </c>
      <c r="P134" s="59">
        <v>5000</v>
      </c>
      <c r="Q134" s="36">
        <v>0</v>
      </c>
      <c r="R134" s="36">
        <v>0</v>
      </c>
      <c r="T134" s="36"/>
      <c r="U134" s="74">
        <v>0</v>
      </c>
    </row>
    <row r="135" spans="1:21" x14ac:dyDescent="0.3">
      <c r="A135" s="14" t="str">
        <f t="shared" si="2"/>
        <v>(5000, 6000]</v>
      </c>
      <c r="B135" s="75">
        <v>298</v>
      </c>
      <c r="C135" s="75">
        <v>162368765</v>
      </c>
      <c r="D135" s="36">
        <v>4.25877640209137e-05</v>
      </c>
      <c r="E135" s="69">
        <v>5448.61627516779</v>
      </c>
      <c r="F135" s="73"/>
      <c r="G135" s="14" t="str">
        <f t="shared" si="3"/>
        <v>(5000, 6000]</v>
      </c>
      <c r="H135" s="70">
        <v>0</v>
      </c>
      <c r="I135" s="36">
        <v>0</v>
      </c>
      <c r="J135" s="36">
        <v>0</v>
      </c>
      <c r="K135" s="72">
        <v>0</v>
      </c>
      <c r="L135" s="36">
        <v>0</v>
      </c>
      <c r="M135" s="36">
        <v>0</v>
      </c>
      <c r="N135" s="73"/>
      <c r="O135" s="59">
        <v>5000</v>
      </c>
      <c r="P135" s="59">
        <v>6000</v>
      </c>
      <c r="Q135" s="36">
        <v>0</v>
      </c>
      <c r="R135" s="36">
        <v>0</v>
      </c>
      <c r="T135" s="36"/>
      <c r="U135" s="74">
        <v>0</v>
      </c>
    </row>
    <row r="136" spans="1:21" x14ac:dyDescent="0.3">
      <c r="A136" s="14" t="str">
        <f t="shared" si="2"/>
        <v>(6000, 7000]</v>
      </c>
      <c r="B136" s="75">
        <v>116</v>
      </c>
      <c r="C136" s="75">
        <v>74801250</v>
      </c>
      <c r="D136" s="36">
        <v>1.6577787337e-05</v>
      </c>
      <c r="E136" s="69">
        <v>6448.38362068966</v>
      </c>
      <c r="F136" s="73"/>
      <c r="G136" s="14" t="str">
        <f t="shared" si="3"/>
        <v>(6000, 7000]</v>
      </c>
      <c r="H136" s="70">
        <v>0</v>
      </c>
      <c r="I136" s="36">
        <v>0</v>
      </c>
      <c r="J136" s="36">
        <v>0</v>
      </c>
      <c r="K136" s="72">
        <v>0</v>
      </c>
      <c r="L136" s="36">
        <v>0</v>
      </c>
      <c r="M136" s="36">
        <v>0</v>
      </c>
      <c r="N136" s="73"/>
      <c r="O136" s="59">
        <v>6000</v>
      </c>
      <c r="P136" s="59">
        <v>7000</v>
      </c>
      <c r="Q136" s="36">
        <v>0</v>
      </c>
      <c r="R136" s="36">
        <v>0</v>
      </c>
      <c r="T136" s="36"/>
      <c r="U136" s="74">
        <v>0</v>
      </c>
    </row>
    <row r="137" spans="1:21" x14ac:dyDescent="0.3">
      <c r="A137" s="14" t="str">
        <f t="shared" si="2"/>
        <v>(7000, 8000]</v>
      </c>
      <c r="B137" s="75">
        <v>55</v>
      </c>
      <c r="C137" s="75">
        <v>40605295</v>
      </c>
      <c r="D137" s="36">
        <v>7.86015778909482e-06</v>
      </c>
      <c r="E137" s="69">
        <v>7382.78090909091</v>
      </c>
      <c r="F137" s="73"/>
      <c r="G137" s="14" t="str">
        <f t="shared" si="3"/>
        <v>(7000, 8000]</v>
      </c>
      <c r="H137" s="70">
        <v>0</v>
      </c>
      <c r="I137" s="36">
        <v>0</v>
      </c>
      <c r="J137" s="36">
        <v>0</v>
      </c>
      <c r="K137" s="72">
        <v>0</v>
      </c>
      <c r="L137" s="36">
        <v>0</v>
      </c>
      <c r="M137" s="36">
        <v>0</v>
      </c>
      <c r="N137" s="73"/>
      <c r="O137" s="59">
        <v>7000</v>
      </c>
      <c r="P137" s="59">
        <v>8000</v>
      </c>
      <c r="Q137" s="36">
        <v>0</v>
      </c>
      <c r="R137" s="36">
        <v>0</v>
      </c>
      <c r="T137" s="36"/>
      <c r="U137" s="74">
        <v>0</v>
      </c>
    </row>
    <row r="138" spans="1:21" x14ac:dyDescent="0.3">
      <c r="A138" s="14" t="str">
        <f t="shared" si="2"/>
        <v>(8000, 9000]</v>
      </c>
      <c r="B138" s="75">
        <v>22</v>
      </c>
      <c r="C138" s="75">
        <v>18835895</v>
      </c>
      <c r="D138" s="36">
        <v>3.14406311563793e-06</v>
      </c>
      <c r="E138" s="69">
        <v>8561.77045454545</v>
      </c>
      <c r="F138" s="73"/>
      <c r="G138" s="14" t="str">
        <f t="shared" si="3"/>
        <v>(8000, 9000]</v>
      </c>
      <c r="H138" s="70">
        <v>0</v>
      </c>
      <c r="I138" s="36">
        <v>0</v>
      </c>
      <c r="J138" s="36">
        <v>0</v>
      </c>
      <c r="K138" s="72">
        <v>0</v>
      </c>
      <c r="L138" s="36">
        <v>0</v>
      </c>
      <c r="M138" s="36">
        <v>0</v>
      </c>
      <c r="N138" s="73"/>
      <c r="O138" s="59">
        <v>8000</v>
      </c>
      <c r="P138" s="59">
        <v>9000</v>
      </c>
      <c r="Q138" s="36">
        <v>0</v>
      </c>
      <c r="R138" s="36">
        <v>0</v>
      </c>
      <c r="T138" s="36"/>
      <c r="U138" s="74">
        <v>0</v>
      </c>
    </row>
    <row r="139" spans="1:21" x14ac:dyDescent="0.3">
      <c r="A139" s="14" t="str">
        <f t="shared" si="2"/>
        <v>(9000, 10000]</v>
      </c>
      <c r="B139" s="75">
        <v>11</v>
      </c>
      <c r="C139" s="75">
        <v>10522285</v>
      </c>
      <c r="D139" s="36">
        <v>1.57203155781896e-06</v>
      </c>
      <c r="E139" s="69">
        <v>9565.71363636364</v>
      </c>
      <c r="F139" s="73"/>
      <c r="G139" s="14" t="str">
        <f t="shared" si="3"/>
        <v>(9000, 10000]</v>
      </c>
      <c r="H139" s="70">
        <v>0</v>
      </c>
      <c r="I139" s="36">
        <v>0</v>
      </c>
      <c r="J139" s="36">
        <v>0</v>
      </c>
      <c r="K139" s="72">
        <v>0</v>
      </c>
      <c r="L139" s="36">
        <v>0</v>
      </c>
      <c r="M139" s="36">
        <v>0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str">
        <f t="shared" si="2"/>
        <v>(10000, 20000]</v>
      </c>
      <c r="B140" s="75">
        <v>13</v>
      </c>
      <c r="C140" s="75">
        <v>14889020</v>
      </c>
      <c r="D140" s="36">
        <v>1.85785547742241e-06</v>
      </c>
      <c r="E140" s="69">
        <v>11453.0923076923</v>
      </c>
      <c r="F140" s="73"/>
      <c r="G140" s="14" t="str">
        <f t="shared" si="3"/>
        <v>(10000, 20000]</v>
      </c>
      <c r="H140" s="70">
        <v>0</v>
      </c>
      <c r="I140" s="36">
        <v>0</v>
      </c>
      <c r="J140" s="36">
        <v>0</v>
      </c>
      <c r="K140" s="72">
        <v>0</v>
      </c>
      <c r="L140" s="36">
        <v>0</v>
      </c>
      <c r="M140" s="36">
        <v>0</v>
      </c>
      <c r="N140" s="73"/>
      <c r="O140" s="59">
        <v>10000</v>
      </c>
      <c r="P140" s="59">
        <v>20000</v>
      </c>
      <c r="Q140" s="36">
        <v>0</v>
      </c>
      <c r="R140" s="36">
        <v>0</v>
      </c>
      <c r="T140" s="36"/>
      <c r="U140" s="74">
        <v>0</v>
      </c>
    </row>
    <row r="141" spans="1:21" x14ac:dyDescent="0.3">
      <c r="A141" s="14" t="str">
        <f t="shared" si="2"/>
        <v>(20000, 30000]</v>
      </c>
      <c r="B141" s="75">
        <v>0</v>
      </c>
      <c r="C141" s="75">
        <v>0</v>
      </c>
      <c r="D141" s="36">
        <v>0</v>
      </c>
      <c r="E141" s="69">
        <v>0</v>
      </c>
      <c r="F141" s="73"/>
      <c r="G141" s="14" t="str">
        <f t="shared" si="3"/>
        <v>(20000, 30000]</v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str">
        <f t="shared" si="2"/>
        <v>(30000, 40000]</v>
      </c>
      <c r="B142" s="75">
        <v>0</v>
      </c>
      <c r="C142" s="75">
        <v>0</v>
      </c>
      <c r="D142" s="36">
        <v>0</v>
      </c>
      <c r="E142" s="69">
        <v>0</v>
      </c>
      <c r="F142" s="73"/>
      <c r="G142" s="14" t="str">
        <f t="shared" si="3"/>
        <v>(30000, 40000]</v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str">
        <f t="shared" si="2"/>
        <v>(40000, 50000]</v>
      </c>
      <c r="B143" s="75">
        <v>0</v>
      </c>
      <c r="C143" s="75">
        <v>0</v>
      </c>
      <c r="D143" s="36">
        <v>0</v>
      </c>
      <c r="E143" s="69">
        <v>0</v>
      </c>
      <c r="F143" s="73"/>
      <c r="G143" s="14" t="str">
        <f t="shared" si="3"/>
        <v>(40000, 50000]</v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str">
        <f t="shared" si="2"/>
        <v>(50000, 60000]</v>
      </c>
      <c r="B144" s="75">
        <v>0</v>
      </c>
      <c r="C144" s="75">
        <v>0</v>
      </c>
      <c r="D144" s="36">
        <v>0</v>
      </c>
      <c r="E144" s="69">
        <v>0</v>
      </c>
      <c r="F144" s="73"/>
      <c r="G144" s="14" t="str">
        <f t="shared" si="3"/>
        <v>(50000, 60000]</v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str">
        <f t="shared" si="2"/>
        <v>(60000, 70000]</v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str">
        <f t="shared" si="3"/>
        <v>(60000, 70000]</v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str">
        <f t="shared" si="2"/>
        <v>(70000, 80000]</v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str">
        <f t="shared" si="3"/>
        <v>(70000, 80000]</v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str">
        <f t="shared" si="2"/>
        <v>(80000, 90000]</v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str">
        <f t="shared" si="3"/>
        <v>(80000, 90000]</v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str">
        <f t="shared" si="2"/>
        <v>(90000, 100000]</v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str">
        <f t="shared" si="3"/>
        <v>(90000, 100000]</v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str">
        <f t="shared" si="2"/>
        <v>(100000, 9999999]</v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str">
        <f t="shared" si="3"/>
        <v>(100000, 9999999]</v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1" spans="1:21" x14ac:dyDescent="0.3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T151"/>
      <c r="U151"/>
    </row>
    <row r="152" spans="1:21" s="87" customFormat="1" collapsed="1" x14ac:dyDescent="0.3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</row>
    <row r="153" spans="1:21" x14ac:dyDescent="0.3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T153"/>
      <c r="U153"/>
    </row>
    <row r="154" spans="1:21" x14ac:dyDescent="0.3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T154"/>
      <c r="U154"/>
    </row>
    <row r="155" spans="1:21" x14ac:dyDescent="0.3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T155"/>
      <c r="U155"/>
    </row>
    <row r="156" spans="1:21" x14ac:dyDescent="0.3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T156"/>
      <c r="U156"/>
    </row>
    <row r="157" spans="1:21" x14ac:dyDescent="0.3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T157"/>
      <c r="U157"/>
    </row>
    <row r="158" spans="1:21" x14ac:dyDescent="0.3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T158"/>
      <c r="U158"/>
    </row>
    <row r="159" spans="1:21" s="87" customFormat="1" x14ac:dyDescent="0.3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</row>
    <row r="160" spans="1:21" x14ac:dyDescent="0.3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T160"/>
      <c r="U160"/>
    </row>
    <row r="161" spans="1:21" x14ac:dyDescent="0.3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T161"/>
      <c r="U161"/>
    </row>
    <row r="162" spans="1:21" x14ac:dyDescent="0.3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T162"/>
      <c r="U162"/>
    </row>
    <row r="163" spans="1:21" x14ac:dyDescent="0.3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T163"/>
      <c r="U163"/>
    </row>
    <row r="164" spans="1:21" x14ac:dyDescent="0.3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T164"/>
      <c r="U164"/>
    </row>
    <row r="165" spans="1:21" x14ac:dyDescent="0.3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T165"/>
      <c r="U165"/>
    </row>
    <row r="166" spans="1:21" x14ac:dyDescent="0.3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T166"/>
      <c r="U166"/>
    </row>
    <row r="167" spans="1:21" x14ac:dyDescent="0.3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T167"/>
      <c r="U167"/>
    </row>
    <row r="168" spans="1:21" x14ac:dyDescent="0.3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T168"/>
      <c r="U168"/>
    </row>
    <row r="169" spans="1:21" x14ac:dyDescent="0.3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T169"/>
      <c r="U169"/>
    </row>
    <row r="170" spans="1:21" x14ac:dyDescent="0.3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T170"/>
      <c r="U170"/>
    </row>
    <row r="171" spans="1:21" x14ac:dyDescent="0.3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T171"/>
      <c r="U171"/>
    </row>
    <row r="172" spans="1:21" x14ac:dyDescent="0.3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T172"/>
      <c r="U172"/>
    </row>
    <row r="173" spans="1:21" x14ac:dyDescent="0.3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T173"/>
      <c r="U173"/>
    </row>
    <row r="174" spans="1:21" x14ac:dyDescent="0.3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T174"/>
      <c r="U174"/>
    </row>
    <row r="175" spans="1:21" x14ac:dyDescent="0.3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T175"/>
      <c r="U175"/>
    </row>
    <row r="176" spans="1:21" x14ac:dyDescent="0.3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T176"/>
      <c r="U176"/>
    </row>
    <row r="177" spans="1:21" x14ac:dyDescent="0.3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T177"/>
      <c r="U177"/>
    </row>
    <row r="178" spans="1:21" x14ac:dyDescent="0.3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T178"/>
      <c r="U178"/>
    </row>
    <row r="179" spans="1:21" x14ac:dyDescent="0.3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T179"/>
      <c r="U179"/>
    </row>
    <row r="180" spans="1:21" x14ac:dyDescent="0.3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T180"/>
      <c r="U180"/>
    </row>
    <row r="181" spans="1:21" x14ac:dyDescent="0.3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T181"/>
      <c r="U181"/>
    </row>
    <row r="182" spans="1:21" x14ac:dyDescent="0.3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T182"/>
      <c r="U182"/>
    </row>
    <row r="183" spans="1:21" x14ac:dyDescent="0.3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T183"/>
      <c r="U183"/>
    </row>
    <row r="184" spans="1:21" x14ac:dyDescent="0.3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T184"/>
      <c r="U184"/>
    </row>
    <row r="185" spans="1:21" x14ac:dyDescent="0.3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T185"/>
      <c r="U185"/>
    </row>
    <row r="186" spans="1:21" x14ac:dyDescent="0.3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T186"/>
      <c r="U186"/>
    </row>
    <row r="187" spans="1:21" x14ac:dyDescent="0.3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T187"/>
      <c r="U187"/>
    </row>
    <row r="188" spans="1:21" x14ac:dyDescent="0.3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T188"/>
      <c r="U188"/>
    </row>
    <row r="189" spans="1:21" x14ac:dyDescent="0.3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T189"/>
      <c r="U189"/>
    </row>
    <row r="190" spans="1:21" x14ac:dyDescent="0.3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T190"/>
      <c r="U190"/>
    </row>
    <row r="191" spans="1:21" x14ac:dyDescent="0.3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T191"/>
      <c r="U191"/>
    </row>
    <row r="192" spans="1:21" x14ac:dyDescent="0.3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T192"/>
      <c r="U192"/>
    </row>
    <row r="193" spans="1:21" x14ac:dyDescent="0.3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T193"/>
      <c r="U193"/>
    </row>
    <row r="194" spans="1:21" x14ac:dyDescent="0.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T194"/>
      <c r="U194"/>
    </row>
    <row r="195" spans="1:21" x14ac:dyDescent="0.3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T195"/>
      <c r="U195"/>
    </row>
    <row r="196" spans="1:21" x14ac:dyDescent="0.3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T196"/>
      <c r="U196"/>
    </row>
    <row r="197" spans="1:21" x14ac:dyDescent="0.3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T197"/>
      <c r="U197"/>
    </row>
    <row r="198" spans="1:21" x14ac:dyDescent="0.3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T198"/>
      <c r="U198"/>
    </row>
    <row r="199" spans="1:21" x14ac:dyDescent="0.3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T199"/>
      <c r="U199"/>
    </row>
    <row r="200" spans="1:21" x14ac:dyDescent="0.3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T200"/>
      <c r="U200"/>
    </row>
    <row r="201" spans="1:21" x14ac:dyDescent="0.3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T201"/>
      <c r="U201"/>
    </row>
    <row r="202" spans="1:21" x14ac:dyDescent="0.3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T202"/>
      <c r="U202"/>
    </row>
    <row r="203" spans="1:21" x14ac:dyDescent="0.3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T203"/>
      <c r="U203"/>
    </row>
    <row r="204" spans="1:21" x14ac:dyDescent="0.3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T204"/>
      <c r="U204"/>
    </row>
    <row r="205" spans="1:21" x14ac:dyDescent="0.3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T205"/>
      <c r="U205"/>
    </row>
    <row r="206" spans="1:21" x14ac:dyDescent="0.3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T206"/>
      <c r="U206"/>
    </row>
    <row r="207" spans="1:21" x14ac:dyDescent="0.3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T207"/>
      <c r="U207"/>
    </row>
    <row r="208" spans="1:21" x14ac:dyDescent="0.3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T208"/>
      <c r="U208"/>
    </row>
    <row r="209" spans="1:21" x14ac:dyDescent="0.3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T209"/>
      <c r="U209"/>
    </row>
    <row r="210" spans="1:21" x14ac:dyDescent="0.3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T210"/>
      <c r="U210"/>
    </row>
    <row r="211" spans="1:21" x14ac:dyDescent="0.3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T211"/>
      <c r="U211"/>
    </row>
    <row r="212" spans="1:21" x14ac:dyDescent="0.3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T212"/>
      <c r="U212"/>
    </row>
    <row r="213" spans="1:21" x14ac:dyDescent="0.3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T213"/>
      <c r="U213"/>
    </row>
    <row r="214" spans="1:21" x14ac:dyDescent="0.3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T214"/>
      <c r="U214"/>
    </row>
    <row r="215" spans="1:21" x14ac:dyDescent="0.3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T215"/>
      <c r="U215"/>
    </row>
    <row r="216" spans="1:21" x14ac:dyDescent="0.3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T216"/>
      <c r="U216"/>
    </row>
    <row r="217" spans="1:21" x14ac:dyDescent="0.3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T217"/>
      <c r="U217"/>
    </row>
    <row r="218" spans="1:21" x14ac:dyDescent="0.3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T218"/>
      <c r="U218"/>
    </row>
    <row r="219" spans="1:21" x14ac:dyDescent="0.3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T219"/>
      <c r="U219"/>
    </row>
    <row r="220" spans="1:21" x14ac:dyDescent="0.3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T220"/>
      <c r="U220"/>
    </row>
    <row r="221" spans="1:21" x14ac:dyDescent="0.3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T221"/>
      <c r="U221"/>
    </row>
    <row r="222" spans="1:21" x14ac:dyDescent="0.3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T222"/>
      <c r="U222"/>
    </row>
    <row r="223" spans="1:21" x14ac:dyDescent="0.3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T223"/>
      <c r="U223"/>
    </row>
    <row r="224" spans="1:21" x14ac:dyDescent="0.3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T224"/>
      <c r="U224"/>
    </row>
    <row r="225" spans="1:21" x14ac:dyDescent="0.3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T225"/>
      <c r="U225"/>
    </row>
    <row r="226" spans="1:21" x14ac:dyDescent="0.3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T226"/>
      <c r="U226"/>
    </row>
  </sheetData>
  <phoneticPr fontId="20" type="noConversion"/>
  <conditionalFormatting sqref="D79">
    <cfRule type="cellIs" dxfId="2" priority="3" operator="lessThan">
      <formula>0.001</formula>
    </cfRule>
  </conditionalFormatting>
  <conditionalFormatting sqref="D86:D149">
    <cfRule type="cellIs" dxfId="1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{188CB49B-7F64-4FC3-AAB0-BBE494BE8784}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{84869A78-0924-4726-9675-456AA32F9A0D}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{6D289685-963D-4C1C-8283-C2F4969CBF33}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{6D55F95A-03FD-46FD-BE53-75A7D308B817}</x14:id>
        </ext>
      </extLst>
    </cfRule>
  </conditionalFormatting>
  <conditionalFormatting sqref="D15:D78">
    <cfRule type="cellIs" dxfId="0" priority="18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{5DAF2E5F-8146-442A-841D-F20B7917C1C0}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{2F230DE1-6C9E-479A-8E06-ABC9A2E95592}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{1C66503F-379E-4C46-846C-52063725F6A4}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{616AFCFD-D1C3-49E8-B131-5CA6076D473C}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{CA939008-34F0-4898-959E-A3DD0161B6B0}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{0EA1C18A-D38D-4B93-B8AA-17ACEF1CED55}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8CB49B-7F64-4FC3-AAB0-BBE494BE87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4869A78-0924-4726-9675-456AA32F9A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6D289685-963D-4C1C-8283-C2F4969CBF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6D55F95A-03FD-46FD-BE53-75A7D308B8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5DAF2E5F-8146-442A-841D-F20B7917C1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2F230DE1-6C9E-479A-8E06-ABC9A2E955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1C66503F-379E-4C46-846C-52063725F6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616AFCFD-D1C3-49E8-B131-5CA6076D4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CA939008-34F0-4898-959E-A3DD0161B6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0EA1C18A-D38D-4B93-B8AA-17ACEF1CED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11"/>
  <dimension ref="A2:C8"/>
  <sheetViews>
    <sheetView workbookViewId="0">
      <selection activeCell="F10" sqref="F10"/>
    </sheetView>
  </sheetViews>
  <sheetFormatPr defaultRowHeight="15.6" x14ac:dyDescent="0.3"/>
  <cols>
    <col min="1" max="1" width="8.88671875" style="4" customWidth="1"/>
    <col min="2" max="2" width="18.33203125" style="4" bestFit="1" customWidth="1"/>
    <col min="3" max="3" width="24.109375" style="4" bestFit="1" customWidth="1"/>
    <col min="4" max="4" width="20.5546875" style="4" customWidth="1"/>
    <col min="5" max="5" width="16.5546875" style="4" customWidth="1"/>
    <col min="6" max="6" width="24.109375" style="4" bestFit="1" customWidth="1"/>
    <col min="7" max="7" width="16.5546875" style="4" customWidth="1"/>
    <col min="8" max="8" width="8.88671875" style="4" customWidth="1"/>
    <col min="9" max="9" width="12.44140625" style="4" bestFit="1" customWidth="1"/>
    <col min="10" max="10" width="11" style="4" bestFit="1" customWidth="1"/>
    <col min="11" max="12" width="8.88671875" style="4" customWidth="1"/>
    <col min="13" max="16384" width="8.88671875" style="4"/>
  </cols>
  <sheetData>
    <row r="2" spans="1:3" x14ac:dyDescent="0.3">
      <c r="B2" s="8" t="s">
        <v>80</v>
      </c>
      <c r="C2" s="34">
        <v>10000000000</v>
      </c>
    </row>
    <row r="4" spans="1:3" x14ac:dyDescent="0.3">
      <c r="B4" s="12" t="s">
        <v>5</v>
      </c>
      <c r="C4" s="12" t="s">
        <v>81</v>
      </c>
    </row>
    <row r="5" spans="1:3" x14ac:dyDescent="0.3">
      <c r="A5" s="21"/>
      <c r="B5" s="15" t="s">
        <v>82</v>
      </c>
      <c r="C5" s="22">
        <v>3864674550</v>
      </c>
    </row>
    <row r="6" spans="1:3" x14ac:dyDescent="0.3">
      <c r="A6" s="21"/>
      <c r="B6" s="15" t="s">
        <v>84</v>
      </c>
      <c r="C6" s="22">
        <v>3836181680</v>
      </c>
    </row>
    <row r="7" spans="1:3" x14ac:dyDescent="0.3">
      <c r="A7" s="21"/>
      <c r="B7" s="15" t="s">
        <v>86</v>
      </c>
      <c r="C7" s="22">
        <v>51240310600</v>
      </c>
    </row>
    <row r="8" spans="1:3" x14ac:dyDescent="0.3">
      <c r="B8" s="13"/>
      <c r="C8" s="13"/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Detail</vt:lpstr>
      <vt:lpstr>Detail_Newbie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2026-08-11T02:25:05Z</dcterms:modified>
</cp:coreProperties>
</file>