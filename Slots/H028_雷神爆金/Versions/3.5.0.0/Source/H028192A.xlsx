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<sst xmlns="http://schemas.openxmlformats.org/spreadsheetml/2006/main" count="289" uniqueCount="129">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</sst>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3.5.0.0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48302949</v>
      </c>
      <c r="F16" s="10">
        <f>Detail!K176</f>
        <v>33624101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194996320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69916525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117251431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97100037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79195505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71248938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88383903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38372281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66635558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23147088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46877120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14132497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18657198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8035760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7574523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1340444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1095083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925889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801814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707188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632399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572136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522154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480382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444643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413897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387200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363694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342900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324315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307695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228343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253338</v>
      </c>
      <c r="F49" s="10">
        <f>Detail!K209</f>
        <v>63230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28853</v>
      </c>
      <c r="F56" s="10">
        <f>Detail!K216</f>
        <v>7252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0.199999979942568</v>
      </c>
      <c r="E7" s="41">
        <f>SUM(C7:D7)</f>
        <v>0.919999981839615</v>
      </c>
      <c r="F7" s="42">
        <f>L79</f>
        <v>0.003333333</v>
      </c>
      <c r="G7" s="43">
        <f>1/F7</f>
        <v>300.000030000003</v>
      </c>
      <c r="H7" s="44">
        <f>D7*G7</f>
        <v>59.9999999827704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0.924999989266378</v>
      </c>
      <c r="E8" s="41">
        <f>SUM(C8:D8)</f>
        <v>0.924999989266378</v>
      </c>
      <c r="F8" s="45">
        <f>D156</f>
        <v>1</v>
      </c>
      <c r="G8" s="43">
        <f>1/F8</f>
        <v>1</v>
      </c>
      <c r="H8" s="44">
        <f>D8*G8*B8</f>
        <v>69.3749991949783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2.0226261906103</v>
      </c>
      <c r="I99" s="36">
        <v>0.048302949</v>
      </c>
      <c r="J99" s="36">
        <v>0.048302949</v>
      </c>
      <c r="K99" s="71">
        <v>48302949</v>
      </c>
      <c r="L99" s="36">
        <v>0.048302949</v>
      </c>
      <c r="M99" s="36">
        <v>1.09008064963511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7.89964668793849</v>
      </c>
      <c r="I100" s="36">
        <v>0.19499632</v>
      </c>
      <c r="J100" s="36">
        <v>0.19499632</v>
      </c>
      <c r="K100" s="71">
        <v>194996320</v>
      </c>
      <c r="L100" s="36">
        <v>0.19499632</v>
      </c>
      <c r="M100" s="36">
        <v>5.37564826047334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2.85019807587884</v>
      </c>
      <c r="I101" s="36">
        <v>0.069916525</v>
      </c>
      <c r="J101" s="36">
        <v>0.069916525</v>
      </c>
      <c r="K101" s="71">
        <v>69916525</v>
      </c>
      <c r="L101" s="36">
        <v>0.069916525</v>
      </c>
      <c r="M101" s="36">
        <v>2.2763121495979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4.74945843241637</v>
      </c>
      <c r="I102" s="36">
        <v>0.117251431</v>
      </c>
      <c r="J102" s="36">
        <v>0.117251431</v>
      </c>
      <c r="K102" s="71">
        <v>117251431</v>
      </c>
      <c r="L102" s="36">
        <v>0.117251431</v>
      </c>
      <c r="M102" s="36">
        <v>4.40319207246835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3.991256317265</v>
      </c>
      <c r="I103" s="36">
        <v>0.097100037</v>
      </c>
      <c r="J103" s="36">
        <v>0.097100037</v>
      </c>
      <c r="K103" s="71">
        <v>97100037</v>
      </c>
      <c r="L103" s="36">
        <v>0.097100037</v>
      </c>
      <c r="M103" s="36">
        <v>4.13172558794744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3.29766369168422</v>
      </c>
      <c r="I104" s="36">
        <v>0.079195505</v>
      </c>
      <c r="J104" s="36">
        <v>0.079195505</v>
      </c>
      <c r="K104" s="71">
        <v>79195505</v>
      </c>
      <c r="L104" s="36">
        <v>0.079195505</v>
      </c>
      <c r="M104" s="36">
        <v>3.7653851478361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1.54029777861993</v>
      </c>
      <c r="I105" s="36">
        <v>0.071248938</v>
      </c>
      <c r="J105" s="36">
        <v>0.071248938</v>
      </c>
      <c r="K105" s="71">
        <v>71248938</v>
      </c>
      <c r="L105" s="36">
        <v>0.071248938</v>
      </c>
      <c r="M105" s="36">
        <v>3.91962661234205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2.01623554605912</v>
      </c>
      <c r="I106" s="36">
        <v>0.088383903</v>
      </c>
      <c r="J106" s="36">
        <v>0.088383903</v>
      </c>
      <c r="K106" s="71">
        <v>88383903</v>
      </c>
      <c r="L106" s="36">
        <v>0.088383903</v>
      </c>
      <c r="M106" s="36">
        <v>5.7455720235815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0.922183464162368</v>
      </c>
      <c r="I107" s="36">
        <v>0.038372281</v>
      </c>
      <c r="J107" s="36">
        <v>0.038372281</v>
      </c>
      <c r="K107" s="71">
        <v>38372281</v>
      </c>
      <c r="L107" s="36">
        <v>0.038372281</v>
      </c>
      <c r="M107" s="36">
        <v>2.87786034568593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1.71284880749239</v>
      </c>
      <c r="I108" s="36">
        <v>0.066635558</v>
      </c>
      <c r="J108" s="36">
        <v>0.066635558</v>
      </c>
      <c r="K108" s="71">
        <v>66635558</v>
      </c>
      <c r="L108" s="36">
        <v>0.066635558</v>
      </c>
      <c r="M108" s="36">
        <v>5.6631734122262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0.638484147309431</v>
      </c>
      <c r="I109" s="79">
        <v>0.023147088</v>
      </c>
      <c r="J109" s="79">
        <v>0.023147088</v>
      </c>
      <c r="K109" s="71">
        <v>23147088</v>
      </c>
      <c r="L109" s="79">
        <v>0.023147088</v>
      </c>
      <c r="M109" s="79">
        <v>2.19899212951218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0.718080125861824</v>
      </c>
      <c r="I110" s="79">
        <v>0.04687712</v>
      </c>
      <c r="J110" s="79">
        <v>0.04687712</v>
      </c>
      <c r="K110" s="71">
        <v>46877120</v>
      </c>
      <c r="L110" s="79">
        <v>0.04687712</v>
      </c>
      <c r="M110" s="79">
        <v>5.14866333414706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0.249839023088062</v>
      </c>
      <c r="I111" s="79">
        <v>0.014132497</v>
      </c>
      <c r="J111" s="79">
        <v>0.014132497</v>
      </c>
      <c r="K111" s="71">
        <v>14132497</v>
      </c>
      <c r="L111" s="79">
        <v>0.014132497</v>
      </c>
      <c r="M111" s="79">
        <v>1.83458168777742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0.380024776289098</v>
      </c>
      <c r="I112" s="79">
        <v>0.018657198</v>
      </c>
      <c r="J112" s="79">
        <v>0.018657198</v>
      </c>
      <c r="K112" s="71">
        <v>18657198</v>
      </c>
      <c r="L112" s="79">
        <v>0.018657198</v>
      </c>
      <c r="M112" s="79">
        <v>2.79492390620266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0.188290260740453</v>
      </c>
      <c r="I113" s="79">
        <v>0.00803576</v>
      </c>
      <c r="J113" s="79">
        <v>0.00803576</v>
      </c>
      <c r="K113" s="71">
        <v>8035760</v>
      </c>
      <c r="L113" s="79">
        <v>0.00803576</v>
      </c>
      <c r="M113" s="79">
        <v>1.36453737884612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0.205163501185448</v>
      </c>
      <c r="I114" s="79">
        <v>0.007574523</v>
      </c>
      <c r="J114" s="79">
        <v>0.007574523</v>
      </c>
      <c r="K114" s="71">
        <v>7574523</v>
      </c>
      <c r="L114" s="79">
        <v>0.007574523</v>
      </c>
      <c r="M114" s="79">
        <v>1.43769708217673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0.0182685795296666</v>
      </c>
      <c r="I115" s="79">
        <v>0.001340444</v>
      </c>
      <c r="J115" s="79">
        <v>0.001340444</v>
      </c>
      <c r="K115" s="71">
        <v>1340444</v>
      </c>
      <c r="L115" s="79">
        <v>0.001340444</v>
      </c>
      <c r="M115" s="79">
        <v>0.299791087364129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0.0206741907255732</v>
      </c>
      <c r="I116" s="79">
        <v>0.001095083</v>
      </c>
      <c r="J116" s="79">
        <v>0.001095083</v>
      </c>
      <c r="K116" s="71">
        <v>1095083</v>
      </c>
      <c r="L116" s="79">
        <v>0.001095083</v>
      </c>
      <c r="M116" s="79">
        <v>0.29979094309736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0.0236404527154784</v>
      </c>
      <c r="I117" s="79">
        <v>0.000925889</v>
      </c>
      <c r="J117" s="79">
        <v>0.000925889</v>
      </c>
      <c r="K117" s="71">
        <v>925889</v>
      </c>
      <c r="L117" s="79">
        <v>0.000925889</v>
      </c>
      <c r="M117" s="79">
        <v>0.299790797787387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0.0273112258648201</v>
      </c>
      <c r="I118" s="79">
        <v>0.000801814</v>
      </c>
      <c r="J118" s="79">
        <v>0.000801814</v>
      </c>
      <c r="K118" s="71">
        <v>801814</v>
      </c>
      <c r="L118" s="79">
        <v>0.000801814</v>
      </c>
      <c r="M118" s="79">
        <v>0.29979088691175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0.0317242835725917</v>
      </c>
      <c r="I119" s="79">
        <v>0.000707188</v>
      </c>
      <c r="J119" s="79">
        <v>0.000707188</v>
      </c>
      <c r="K119" s="71">
        <v>707188</v>
      </c>
      <c r="L119" s="79">
        <v>0.000707188</v>
      </c>
      <c r="M119" s="79">
        <v>0.299790766142172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0.0364286303020836</v>
      </c>
      <c r="I120" s="79">
        <v>0.000632399</v>
      </c>
      <c r="J120" s="79">
        <v>0.000632399</v>
      </c>
      <c r="K120" s="71">
        <v>632399</v>
      </c>
      <c r="L120" s="79">
        <v>0.000632399</v>
      </c>
      <c r="M120" s="79">
        <v>0.299791312030257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0.041769252914467</v>
      </c>
      <c r="I121" s="79">
        <v>0.000572136</v>
      </c>
      <c r="J121" s="79">
        <v>0.000572136</v>
      </c>
      <c r="K121" s="71">
        <v>572136</v>
      </c>
      <c r="L121" s="79">
        <v>0.000572136</v>
      </c>
      <c r="M121" s="79">
        <v>0.299791057669365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0.0479541680317885</v>
      </c>
      <c r="I122" s="36">
        <v>0.000522154</v>
      </c>
      <c r="J122" s="36">
        <v>0.000522154</v>
      </c>
      <c r="K122" s="71">
        <v>522154</v>
      </c>
      <c r="L122" s="36">
        <v>0.000522154</v>
      </c>
      <c r="M122" s="36">
        <v>0.299790440974834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0.0550405949522687</v>
      </c>
      <c r="I123" s="36">
        <v>0.000480382</v>
      </c>
      <c r="J123" s="36">
        <v>0.000480382</v>
      </c>
      <c r="K123" s="71">
        <v>480382</v>
      </c>
      <c r="L123" s="36">
        <v>0.000480382</v>
      </c>
      <c r="M123" s="36">
        <v>0.299790881549441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0.0628483412492677</v>
      </c>
      <c r="I124" s="36">
        <v>0.000444643</v>
      </c>
      <c r="J124" s="36">
        <v>0.000444643</v>
      </c>
      <c r="K124" s="71">
        <v>444643</v>
      </c>
      <c r="L124" s="36">
        <v>0.000444643</v>
      </c>
      <c r="M124" s="36">
        <v>0.299790386602697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0.0708351926467495</v>
      </c>
      <c r="I125" s="36">
        <v>0.000413897</v>
      </c>
      <c r="J125" s="36">
        <v>0.000413897</v>
      </c>
      <c r="K125" s="71">
        <v>413897</v>
      </c>
      <c r="L125" s="36">
        <v>0.000413897</v>
      </c>
      <c r="M125" s="36">
        <v>0.29979111727889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0.0800236396609268</v>
      </c>
      <c r="I126" s="36">
        <v>0.0003872</v>
      </c>
      <c r="J126" s="36">
        <v>0.0003872</v>
      </c>
      <c r="K126" s="71">
        <v>387200</v>
      </c>
      <c r="L126" s="36">
        <v>0.0003872</v>
      </c>
      <c r="M126" s="36">
        <v>0.299791139902531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0.0899537478919091</v>
      </c>
      <c r="I127" s="36">
        <v>0.000363694</v>
      </c>
      <c r="J127" s="36">
        <v>0.000363694</v>
      </c>
      <c r="K127" s="71">
        <v>363694</v>
      </c>
      <c r="L127" s="36">
        <v>0.000363694</v>
      </c>
      <c r="M127" s="36">
        <v>0.299790976744894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0.101561029142857</v>
      </c>
      <c r="I128" s="36">
        <v>0.0003429</v>
      </c>
      <c r="J128" s="36">
        <v>0.0003429</v>
      </c>
      <c r="K128" s="72">
        <v>342900</v>
      </c>
      <c r="L128" s="36">
        <v>0.0003429</v>
      </c>
      <c r="M128" s="36">
        <v>0.299790948005714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0.112862894227135</v>
      </c>
      <c r="I129" s="36">
        <v>0.000324315</v>
      </c>
      <c r="J129" s="36">
        <v>0.000324315</v>
      </c>
      <c r="K129" s="72">
        <v>324315</v>
      </c>
      <c r="L129" s="36">
        <v>0.000324315</v>
      </c>
      <c r="M129" s="36">
        <v>0.299791413277739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0.126641893943003</v>
      </c>
      <c r="I130" s="36">
        <v>0.000307695</v>
      </c>
      <c r="J130" s="36">
        <v>0.000307695</v>
      </c>
      <c r="K130" s="72">
        <v>307695</v>
      </c>
      <c r="L130" s="36">
        <v>0.000307695</v>
      </c>
      <c r="M130" s="36">
        <v>0.299791196672843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0.0146056757534165</v>
      </c>
      <c r="I131" s="36">
        <v>0.000228343</v>
      </c>
      <c r="J131" s="36">
        <v>0.000228343</v>
      </c>
      <c r="K131" s="72">
        <v>228343</v>
      </c>
      <c r="L131" s="36">
        <v>0.000228343</v>
      </c>
      <c r="M131" s="36">
        <v>0.2997899015955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0.133024597588924</v>
      </c>
      <c r="I132" s="36">
        <v>0.000253338</v>
      </c>
      <c r="J132" s="36">
        <v>0.000253338</v>
      </c>
      <c r="K132" s="72">
        <v>253338</v>
      </c>
      <c r="L132" s="36">
        <v>0.000253338</v>
      </c>
      <c r="M132" s="36">
        <v>0.599583413156776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18.353957245</v>
      </c>
      <c r="I139" s="36">
        <v>2.8853e-05</v>
      </c>
      <c r="J139" s="36">
        <v>2.8853e-05</v>
      </c>
      <c r="K139" s="72">
        <v>28853</v>
      </c>
      <c r="L139" s="36">
        <v>2.8853e-05</v>
      </c>
      <c r="M139" s="36">
        <v>0.27599953555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1.40796760293717</v>
      </c>
      <c r="I176" s="36">
        <v>0.033624101</v>
      </c>
      <c r="J176" s="36">
        <v>0.033624101</v>
      </c>
      <c r="K176" s="71">
        <v>33624101</v>
      </c>
      <c r="L176" s="36">
        <v>0.033624101</v>
      </c>
      <c r="M176" s="36">
        <v>0.758814577997639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5.77273942079049</v>
      </c>
      <c r="I177" s="36">
        <v>0.142495353</v>
      </c>
      <c r="J177" s="36">
        <v>0.142495353</v>
      </c>
      <c r="K177" s="71">
        <v>142495353</v>
      </c>
      <c r="L177" s="36">
        <v>0.142495353</v>
      </c>
      <c r="M177" s="36">
        <v>3.9283043725132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3.82293169799036</v>
      </c>
      <c r="I179" s="36">
        <v>0.094377963</v>
      </c>
      <c r="J179" s="36">
        <v>0.094377963</v>
      </c>
      <c r="K179" s="71">
        <v>94377963</v>
      </c>
      <c r="L179" s="36">
        <v>0.094377963</v>
      </c>
      <c r="M179" s="36">
        <v>3.54421515330854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2.92403280391443</v>
      </c>
      <c r="I181" s="36">
        <v>0.07022252</v>
      </c>
      <c r="J181" s="36">
        <v>0.07022252</v>
      </c>
      <c r="K181" s="71">
        <v>70222520</v>
      </c>
      <c r="L181" s="36">
        <v>0.07022252</v>
      </c>
      <c r="M181" s="36">
        <v>3.33876062601815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1.4685059476043</v>
      </c>
      <c r="I182" s="36">
        <v>0.067928092</v>
      </c>
      <c r="J182" s="36">
        <v>0.067928092</v>
      </c>
      <c r="K182" s="71">
        <v>67928092</v>
      </c>
      <c r="L182" s="36">
        <v>0.067928092</v>
      </c>
      <c r="M182" s="36">
        <v>3.73693650182995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2.11767540957427</v>
      </c>
      <c r="I183" s="36">
        <v>0.092830631</v>
      </c>
      <c r="J183" s="36">
        <v>0.092830631</v>
      </c>
      <c r="K183" s="71">
        <v>92830631</v>
      </c>
      <c r="L183" s="36">
        <v>0.092830631</v>
      </c>
      <c r="M183" s="36">
        <v>6.03464045262878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0.896628951612161</v>
      </c>
      <c r="I186" s="36">
        <v>0.032505661</v>
      </c>
      <c r="J186" s="36">
        <v>0.032505661</v>
      </c>
      <c r="K186" s="71">
        <v>32505661</v>
      </c>
      <c r="L186" s="36">
        <v>0.032505661</v>
      </c>
      <c r="M186" s="36">
        <v>3.08806415319244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1.16513610316236</v>
      </c>
      <c r="I187" s="36">
        <v>0.076061463</v>
      </c>
      <c r="J187" s="36">
        <v>0.076061463</v>
      </c>
      <c r="K187" s="71">
        <v>76061463</v>
      </c>
      <c r="L187" s="36">
        <v>0.076061463</v>
      </c>
      <c r="M187" s="36">
        <v>8.35407264118793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0.492131341544517</v>
      </c>
      <c r="I188" s="36">
        <v>0.027838104</v>
      </c>
      <c r="J188" s="36">
        <v>0.027838104</v>
      </c>
      <c r="K188" s="71">
        <v>27838104</v>
      </c>
      <c r="L188" s="36">
        <v>0.027838104</v>
      </c>
      <c r="M188" s="36">
        <v>3.61374750837331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0.908214032846453</v>
      </c>
      <c r="I189" s="36">
        <v>0.044588485</v>
      </c>
      <c r="J189" s="36">
        <v>0.044588485</v>
      </c>
      <c r="K189" s="71">
        <v>44588485</v>
      </c>
      <c r="L189" s="36">
        <v>0.044588485</v>
      </c>
      <c r="M189" s="36">
        <v>6.67953583747457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0.00455948552350596</v>
      </c>
      <c r="I192" s="36">
        <v>0.000334549</v>
      </c>
      <c r="J192" s="36">
        <v>0.000334549</v>
      </c>
      <c r="K192" s="71">
        <v>334549</v>
      </c>
      <c r="L192" s="36">
        <v>0.000334549</v>
      </c>
      <c r="M192" s="36">
        <v>0.0748220802111703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0.00681637873324247</v>
      </c>
      <c r="I195" s="36">
        <v>0.000200118</v>
      </c>
      <c r="J195" s="36">
        <v>0.000200118</v>
      </c>
      <c r="K195" s="71">
        <v>200118</v>
      </c>
      <c r="L195" s="36">
        <v>0.000200118</v>
      </c>
      <c r="M195" s="36">
        <v>0.0748222813607716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0.0119683833193553</v>
      </c>
      <c r="I199" s="36">
        <v>0.000130319</v>
      </c>
      <c r="J199" s="36">
        <v>0.000130319</v>
      </c>
      <c r="K199" s="71">
        <v>130319</v>
      </c>
      <c r="L199" s="36">
        <v>0.000130319</v>
      </c>
      <c r="M199" s="36">
        <v>0.0748215861171214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0.0224507185983175</v>
      </c>
      <c r="I204" s="36">
        <v>9.0771e-05</v>
      </c>
      <c r="J204" s="36">
        <v>9.0771e-05</v>
      </c>
      <c r="K204" s="71">
        <v>90771</v>
      </c>
      <c r="L204" s="36">
        <v>9.0771e-05</v>
      </c>
      <c r="M204" s="36">
        <v>0.0748220392695804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0.0281681340194957</v>
      </c>
      <c r="I206" s="36">
        <v>8.0942e-05</v>
      </c>
      <c r="J206" s="36">
        <v>8.0942e-05</v>
      </c>
      <c r="K206" s="72">
        <v>80942</v>
      </c>
      <c r="L206" s="36">
        <v>8.0942e-05</v>
      </c>
      <c r="M206" s="36">
        <v>0.0748214438848859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0.00364529440879382</v>
      </c>
      <c r="I208" s="36">
        <v>5.699e-05</v>
      </c>
      <c r="J208" s="36">
        <v>5.699e-05</v>
      </c>
      <c r="K208" s="72">
        <v>56990</v>
      </c>
      <c r="L208" s="36">
        <v>5.699e-05</v>
      </c>
      <c r="M208" s="36">
        <v>0.0748217659044838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0.0332012777615188</v>
      </c>
      <c r="I209" s="36">
        <v>6.323e-05</v>
      </c>
      <c r="J209" s="36">
        <v>6.323e-05</v>
      </c>
      <c r="K209" s="72">
        <v>63230</v>
      </c>
      <c r="L209" s="36">
        <v>6.323e-05</v>
      </c>
      <c r="M209" s="36">
        <v>0.149648529687228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4.61313894363636</v>
      </c>
      <c r="I216" s="36">
        <v>7.252e-06</v>
      </c>
      <c r="J216" s="36">
        <v>7.252e-06</v>
      </c>
      <c r="K216" s="72">
        <v>7252</v>
      </c>
      <c r="L216" s="36">
        <v>7.252e-06</v>
      </c>
      <c r="M216" s="36">
        <v>0.0693705552909091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3641035800</v>
      </c>
    </row>
    <row r="7" spans="1:3" x14ac:dyDescent="0.3">
      <c r="A7" s="21"/>
      <c r="B7" s="15" t="s">
        <v>86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