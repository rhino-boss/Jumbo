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<sst xmlns="http://schemas.openxmlformats.org/spreadsheetml/2006/main" count="289" uniqueCount="129">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</sst>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3.3.1.0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56807954</v>
      </c>
      <c r="F16" s="10">
        <f>Detail!K176</f>
        <v>33624105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150101929</v>
      </c>
      <c r="F17" s="10">
        <f>Detail!K177</f>
        <v>142495354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79980935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132246110</v>
      </c>
      <c r="F19" s="10">
        <f>Detail!K179</f>
        <v>94377964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107957063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86778826</v>
      </c>
      <c r="F21" s="10">
        <f>Detail!K181</f>
        <v>70222521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76360256</v>
      </c>
      <c r="F22" s="10">
        <f>Detail!K182</f>
        <v>67928091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91884316</v>
      </c>
      <c r="F23" s="10">
        <f>Detail!K183</f>
        <v>92830632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38659022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64993215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61644389</v>
      </c>
      <c r="D26" s="10">
        <f>Detail!K38</f>
        <v>0</v>
      </c>
      <c r="E26" s="10">
        <f>Detail!K109</f>
        <v>21831226</v>
      </c>
      <c r="F26" s="10">
        <f>Detail!K186</f>
        <v>32505662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41976423</v>
      </c>
      <c r="F27" s="10">
        <f>Detail!K187</f>
        <v>76061462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11747032</v>
      </c>
      <c r="F28" s="10">
        <f>Detail!K188</f>
        <v>27838105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14308642</v>
      </c>
      <c r="F29" s="10">
        <f>Detail!K189</f>
        <v>44588486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5645901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4834726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1731698</v>
      </c>
      <c r="F32" s="10">
        <f>Detail!K192</f>
        <v>334548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1467051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1278742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1135605</v>
      </c>
      <c r="F35" s="10">
        <f>Detail!K195</f>
        <v>200117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1022015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928253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849121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780211</v>
      </c>
      <c r="F39" s="10">
        <f>Detail!K199</f>
        <v>130320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719610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664973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615354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569855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527522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487909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450478</v>
      </c>
      <c r="F46" s="10">
        <f>Detail!K206</f>
        <v>80941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415082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208447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63225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34498</v>
      </c>
      <c r="F56" s="10">
        <f>Detail!K216</f>
        <v>7253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0.719999758770661</v>
      </c>
      <c r="D7" s="40">
        <f>SUM(_xlfn.ANCHORARRAY(M86))*F7</f>
        <v>0.160000019448999</v>
      </c>
      <c r="E7" s="41">
        <f>SUM(C7:D7)</f>
        <v>0.87999977821966</v>
      </c>
      <c r="F7" s="42">
        <f>L79</f>
        <v>0.002666667</v>
      </c>
      <c r="G7" s="43">
        <f>1/F7</f>
        <v>374.999953125006</v>
      </c>
      <c r="H7" s="44">
        <f>D7*G7</f>
        <v>59.9999997933748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1.16047801448209</v>
      </c>
      <c r="I15" s="36" cm="1">
        <f t="array" ref="I15:I79">D15:D79*H15:H79</f>
        <v>0.725030713</v>
      </c>
      <c r="J15" s="36" cm="1">
        <f t="array" ref="J15:J78">I15:I78/SUM(I15:I78)</f>
        <v>0.725030713</v>
      </c>
      <c r="K15" s="71" cm="1">
        <f t="array" ref="K15:K79">INT(J15:J79*$B$2)</f>
        <v>725030713</v>
      </c>
      <c r="L15" s="36" cm="1">
        <f t="array" ref="L15:L79">_xlfn.LET(_xlpm.x, K15:K79, _xlpm.x/SUM(_xlpm.x))</f>
        <v>0.723097298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1.07776112492533</v>
      </c>
      <c r="I16" s="36">
        <v>0.154403735</v>
      </c>
      <c r="J16" s="36">
        <v>0.154403735</v>
      </c>
      <c r="K16" s="71">
        <v>154403735</v>
      </c>
      <c r="L16" s="36">
        <v>0.153991992</v>
      </c>
      <c r="M16" s="36">
        <v>0.0667932938641131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0.826069734452263</v>
      </c>
      <c r="I17" s="36">
        <v>0.045377699</v>
      </c>
      <c r="J17" s="36">
        <v>0.045377699</v>
      </c>
      <c r="K17" s="71">
        <v>45377699</v>
      </c>
      <c r="L17" s="36">
        <v>0.045256692</v>
      </c>
      <c r="M17" s="36">
        <v>0.068133811856081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</v>
      </c>
      <c r="I18" s="36">
        <v>0.020846903</v>
      </c>
      <c r="J18" s="36">
        <v>0.020846903</v>
      </c>
      <c r="K18" s="71">
        <v>20846903</v>
      </c>
      <c r="L18" s="36">
        <v>0.020791311</v>
      </c>
      <c r="M18" s="36">
        <v>0.0526348985016243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0.56052679903186</v>
      </c>
      <c r="I19" s="36">
        <v>0.012823319</v>
      </c>
      <c r="J19" s="36">
        <v>0.012823319</v>
      </c>
      <c r="K19" s="71">
        <v>12823319</v>
      </c>
      <c r="L19" s="36">
        <v>0.012789123</v>
      </c>
      <c r="M19" s="36">
        <v>0.0451239494745933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0.492038365293902</v>
      </c>
      <c r="I20" s="36">
        <v>0.008349493</v>
      </c>
      <c r="J20" s="36">
        <v>0.008349493</v>
      </c>
      <c r="K20" s="71">
        <v>8349493</v>
      </c>
      <c r="L20" s="36">
        <v>0.008327228</v>
      </c>
      <c r="M20" s="36">
        <v>0.0377435423969308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0.479531550443815</v>
      </c>
      <c r="I21" s="36">
        <v>0.006460871</v>
      </c>
      <c r="J21" s="36">
        <v>0.006460871</v>
      </c>
      <c r="K21" s="71">
        <v>6460871</v>
      </c>
      <c r="L21" s="36">
        <v>0.006443642</v>
      </c>
      <c r="M21" s="36">
        <v>0.0357775653974454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0.327764890009303</v>
      </c>
      <c r="I22" s="36">
        <v>0.003487326</v>
      </c>
      <c r="J22" s="36">
        <v>0.003487326</v>
      </c>
      <c r="K22" s="71">
        <v>3487326</v>
      </c>
      <c r="L22" s="36">
        <v>0.003478026</v>
      </c>
      <c r="M22" s="36">
        <v>0.0226926440648986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0.43795315136135</v>
      </c>
      <c r="I23" s="36">
        <v>0.003921295</v>
      </c>
      <c r="J23" s="36">
        <v>0.003921295</v>
      </c>
      <c r="K23" s="71">
        <v>3921295</v>
      </c>
      <c r="L23" s="36">
        <v>0.003910838</v>
      </c>
      <c r="M23" s="36">
        <v>0.0294580797840447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0.422609725103741</v>
      </c>
      <c r="I24" s="36">
        <v>0.003181346</v>
      </c>
      <c r="J24" s="36">
        <v>0.003181346</v>
      </c>
      <c r="K24" s="71">
        <v>3181346</v>
      </c>
      <c r="L24" s="36">
        <v>0.003172862</v>
      </c>
      <c r="M24" s="36">
        <v>0.0271354377199372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0.332278780434793</v>
      </c>
      <c r="I25" s="36">
        <v>0.002068459</v>
      </c>
      <c r="J25" s="36">
        <v>0.002068459</v>
      </c>
      <c r="K25" s="71">
        <v>2068459</v>
      </c>
      <c r="L25" s="36">
        <v>0.002062943</v>
      </c>
      <c r="M25" s="36">
        <v>0.0196760728761363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0.304065257741716</v>
      </c>
      <c r="I26" s="36">
        <v>0.006297155</v>
      </c>
      <c r="J26" s="36">
        <v>0.006297155</v>
      </c>
      <c r="K26" s="71">
        <v>6297155</v>
      </c>
      <c r="L26" s="36">
        <v>0.006280363</v>
      </c>
      <c r="M26" s="36">
        <v>0.0771243263922148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</v>
      </c>
      <c r="I27" s="36">
        <v>0.002737899</v>
      </c>
      <c r="J27" s="36">
        <v>0.002737899</v>
      </c>
      <c r="K27" s="71">
        <v>2737899</v>
      </c>
      <c r="L27" s="36">
        <v>0.002730598</v>
      </c>
      <c r="M27" s="36">
        <v>0.0473398263145469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0.001549742</v>
      </c>
      <c r="J28" s="36">
        <v>0.001549742</v>
      </c>
      <c r="K28" s="71">
        <v>1549742</v>
      </c>
      <c r="L28" s="36">
        <v>0.001545609</v>
      </c>
      <c r="M28" s="36">
        <v>0.0345726297546585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</v>
      </c>
      <c r="I29" s="36">
        <v>0.001252591</v>
      </c>
      <c r="J29" s="36">
        <v>0.001252591</v>
      </c>
      <c r="K29" s="71">
        <v>1252591</v>
      </c>
      <c r="L29" s="36">
        <v>0.001249251</v>
      </c>
      <c r="M29" s="36">
        <v>0.0342246898351738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0.198966783996778</v>
      </c>
      <c r="I30" s="36">
        <v>0.000600704</v>
      </c>
      <c r="J30" s="36">
        <v>0.000600704</v>
      </c>
      <c r="K30" s="71">
        <v>600704</v>
      </c>
      <c r="L30" s="36">
        <v>0.000599102</v>
      </c>
      <c r="M30" s="36">
        <v>0.0194099085413104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0.188718644657418</v>
      </c>
      <c r="I31" s="36">
        <v>0.00041663</v>
      </c>
      <c r="J31" s="36">
        <v>0.00041663</v>
      </c>
      <c r="K31" s="71">
        <v>416630</v>
      </c>
      <c r="L31" s="36">
        <v>0.000415519</v>
      </c>
      <c r="M31" s="36">
        <v>0.0155563364837968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0.155057747150886</v>
      </c>
      <c r="I32" s="36">
        <v>0.000255435</v>
      </c>
      <c r="J32" s="36">
        <v>0.000255435</v>
      </c>
      <c r="K32" s="71">
        <v>255435</v>
      </c>
      <c r="L32" s="36">
        <v>0.000254754</v>
      </c>
      <c r="M32" s="36">
        <v>0.0108110656681863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0.000214569</v>
      </c>
      <c r="J33" s="36">
        <v>0.000214569</v>
      </c>
      <c r="K33" s="71">
        <v>214569</v>
      </c>
      <c r="L33" s="36">
        <v>0.000213997</v>
      </c>
      <c r="M33" s="36">
        <v>0.0101563763339325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0.26128500842421</v>
      </c>
      <c r="I34" s="36">
        <v>0.000460432</v>
      </c>
      <c r="J34" s="36">
        <v>0.000460432</v>
      </c>
      <c r="K34" s="71">
        <v>460432</v>
      </c>
      <c r="L34" s="36">
        <v>0.000459204</v>
      </c>
      <c r="M34" s="36">
        <v>0.0251192535938438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0.236370237236174</v>
      </c>
      <c r="I35" s="36">
        <v>0.000263684</v>
      </c>
      <c r="J35" s="36">
        <v>0.000263684</v>
      </c>
      <c r="K35" s="71">
        <v>263684</v>
      </c>
      <c r="L35" s="36">
        <v>0.000262981</v>
      </c>
      <c r="M35" s="36">
        <v>0.0170108015908651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0.002673797</v>
      </c>
      <c r="J79" s="36">
        <f>I79</f>
        <v>0.002673797</v>
      </c>
      <c r="K79" s="72">
        <v>2673797</v>
      </c>
      <c r="L79" s="36">
        <v>0.002666667</v>
      </c>
      <c r="M79" s="36">
        <v>0.0235052483263272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2.3787627458395</v>
      </c>
      <c r="I99" s="36">
        <v>0.056807954</v>
      </c>
      <c r="J99" s="36">
        <v>0.056807954</v>
      </c>
      <c r="K99" s="71">
        <v>56807954</v>
      </c>
      <c r="L99" s="36">
        <v>0.056807954</v>
      </c>
      <c r="M99" s="36">
        <v>1.28201802752791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6.08089530242432</v>
      </c>
      <c r="I100" s="36">
        <v>0.150101929</v>
      </c>
      <c r="J100" s="36">
        <v>0.150101929</v>
      </c>
      <c r="K100" s="71">
        <v>150101929</v>
      </c>
      <c r="L100" s="36">
        <v>0.150101929</v>
      </c>
      <c r="M100" s="36">
        <v>4.13800205830829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3.26048108146093</v>
      </c>
      <c r="I101" s="36">
        <v>0.079980935</v>
      </c>
      <c r="J101" s="36">
        <v>0.079980935</v>
      </c>
      <c r="K101" s="71">
        <v>79980935</v>
      </c>
      <c r="L101" s="36">
        <v>0.079980935</v>
      </c>
      <c r="M101" s="36">
        <v>2.60398488163849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5.35684210364786</v>
      </c>
      <c r="I102" s="36">
        <v>0.13224611</v>
      </c>
      <c r="J102" s="36">
        <v>0.13224611</v>
      </c>
      <c r="K102" s="71">
        <v>132246110</v>
      </c>
      <c r="L102" s="36">
        <v>0.13224611</v>
      </c>
      <c r="M102" s="36">
        <v>4.96629353007024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4.4375298198097</v>
      </c>
      <c r="I103" s="36">
        <v>0.107957063</v>
      </c>
      <c r="J103" s="36">
        <v>0.107957063</v>
      </c>
      <c r="K103" s="71">
        <v>107957063</v>
      </c>
      <c r="L103" s="36">
        <v>0.107957063</v>
      </c>
      <c r="M103" s="36">
        <v>4.59370535148977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3.61342962213806</v>
      </c>
      <c r="I104" s="36">
        <v>0.086778826</v>
      </c>
      <c r="J104" s="36">
        <v>0.086778826</v>
      </c>
      <c r="K104" s="71">
        <v>86778826</v>
      </c>
      <c r="L104" s="36">
        <v>0.086778826</v>
      </c>
      <c r="M104" s="36">
        <v>4.1259374830308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1.65079699421834</v>
      </c>
      <c r="I105" s="36">
        <v>0.076360256</v>
      </c>
      <c r="J105" s="36">
        <v>0.076360256</v>
      </c>
      <c r="K105" s="71">
        <v>76360256</v>
      </c>
      <c r="L105" s="36">
        <v>0.076360256</v>
      </c>
      <c r="M105" s="36">
        <v>4.20081617978434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2.09608783676965</v>
      </c>
      <c r="I106" s="36">
        <v>0.091884316</v>
      </c>
      <c r="J106" s="36">
        <v>0.091884316</v>
      </c>
      <c r="K106" s="71">
        <v>91884316</v>
      </c>
      <c r="L106" s="36">
        <v>0.091884316</v>
      </c>
      <c r="M106" s="36">
        <v>5.97312335726475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0.929074579358188</v>
      </c>
      <c r="I107" s="36">
        <v>0.038659022</v>
      </c>
      <c r="J107" s="36">
        <v>0.038659022</v>
      </c>
      <c r="K107" s="71">
        <v>38659022</v>
      </c>
      <c r="L107" s="36">
        <v>0.038659022</v>
      </c>
      <c r="M107" s="36">
        <v>2.89936546687959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1.67063282951493</v>
      </c>
      <c r="I108" s="36">
        <v>0.064993215</v>
      </c>
      <c r="J108" s="36">
        <v>0.064993215</v>
      </c>
      <c r="K108" s="71">
        <v>64993215</v>
      </c>
      <c r="L108" s="36">
        <v>0.064993215</v>
      </c>
      <c r="M108" s="36">
        <v>5.5235951826666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0.602187701421859</v>
      </c>
      <c r="I109" s="79">
        <v>0.021831226</v>
      </c>
      <c r="J109" s="79">
        <v>0.021831226</v>
      </c>
      <c r="K109" s="71">
        <v>21831226</v>
      </c>
      <c r="L109" s="79">
        <v>0.021831226</v>
      </c>
      <c r="M109" s="79">
        <v>2.07398417250592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0.643009534524927</v>
      </c>
      <c r="I110" s="79">
        <v>0.041976423</v>
      </c>
      <c r="J110" s="79">
        <v>0.041976423</v>
      </c>
      <c r="K110" s="71">
        <v>41976423</v>
      </c>
      <c r="L110" s="79">
        <v>0.041976423</v>
      </c>
      <c r="M110" s="79">
        <v>4.61040418009356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0.207667972550371</v>
      </c>
      <c r="I111" s="79">
        <v>0.011747032</v>
      </c>
      <c r="J111" s="79">
        <v>0.011747032</v>
      </c>
      <c r="K111" s="71">
        <v>11747032</v>
      </c>
      <c r="L111" s="79">
        <v>0.011747032</v>
      </c>
      <c r="M111" s="79">
        <v>1.52491734425525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0.291449899124766</v>
      </c>
      <c r="I112" s="79">
        <v>0.014308642</v>
      </c>
      <c r="J112" s="79">
        <v>0.014308642</v>
      </c>
      <c r="K112" s="71">
        <v>14308642</v>
      </c>
      <c r="L112" s="79">
        <v>0.014308642</v>
      </c>
      <c r="M112" s="79">
        <v>2.14349258613729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0.132292175401553</v>
      </c>
      <c r="I113" s="79">
        <v>0.005645901</v>
      </c>
      <c r="J113" s="79">
        <v>0.005645901</v>
      </c>
      <c r="K113" s="71">
        <v>5645901</v>
      </c>
      <c r="L113" s="79">
        <v>0.005645901</v>
      </c>
      <c r="M113" s="79">
        <v>0.958719891057561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0.130953370058064</v>
      </c>
      <c r="I114" s="79">
        <v>0.004834726</v>
      </c>
      <c r="J114" s="79">
        <v>0.004834726</v>
      </c>
      <c r="K114" s="71">
        <v>4834726</v>
      </c>
      <c r="L114" s="79">
        <v>0.004834726</v>
      </c>
      <c r="M114" s="79">
        <v>0.917664579449289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0.0236008834642585</v>
      </c>
      <c r="I115" s="79">
        <v>0.001731698</v>
      </c>
      <c r="J115" s="79">
        <v>0.001731698</v>
      </c>
      <c r="K115" s="71">
        <v>1731698</v>
      </c>
      <c r="L115" s="79">
        <v>0.001731698</v>
      </c>
      <c r="M115" s="79">
        <v>0.387295274107898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0.02769661493982</v>
      </c>
      <c r="I116" s="79">
        <v>0.001467051</v>
      </c>
      <c r="J116" s="79">
        <v>0.001467051</v>
      </c>
      <c r="K116" s="71">
        <v>1467051</v>
      </c>
      <c r="L116" s="79">
        <v>0.001467051</v>
      </c>
      <c r="M116" s="79">
        <v>0.401621249587406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0.0326497450410322</v>
      </c>
      <c r="I117" s="79">
        <v>0.001278742</v>
      </c>
      <c r="J117" s="79">
        <v>0.001278742</v>
      </c>
      <c r="K117" s="71">
        <v>1278742</v>
      </c>
      <c r="L117" s="79">
        <v>0.001278742</v>
      </c>
      <c r="M117" s="79">
        <v>0.414040003007098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0.0386807472159616</v>
      </c>
      <c r="I118" s="79">
        <v>0.001135605</v>
      </c>
      <c r="J118" s="79">
        <v>0.001135605</v>
      </c>
      <c r="K118" s="71">
        <v>1135605</v>
      </c>
      <c r="L118" s="79">
        <v>0.001135605</v>
      </c>
      <c r="M118" s="79">
        <v>0.424592274681433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0.045847347063924</v>
      </c>
      <c r="I119" s="79">
        <v>0.001022015</v>
      </c>
      <c r="J119" s="79">
        <v>0.001022015</v>
      </c>
      <c r="K119" s="71">
        <v>1022015</v>
      </c>
      <c r="L119" s="79">
        <v>0.001022015</v>
      </c>
      <c r="M119" s="79">
        <v>0.433252062900942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0.0534709658993768</v>
      </c>
      <c r="I120" s="79">
        <v>0.000928253</v>
      </c>
      <c r="J120" s="79">
        <v>0.000928253</v>
      </c>
      <c r="K120" s="71">
        <v>928253</v>
      </c>
      <c r="L120" s="79">
        <v>0.000928253</v>
      </c>
      <c r="M120" s="79">
        <v>0.440042101214617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0.0619907675867016</v>
      </c>
      <c r="I121" s="79">
        <v>0.000849121</v>
      </c>
      <c r="J121" s="79">
        <v>0.000849121</v>
      </c>
      <c r="K121" s="71">
        <v>849121</v>
      </c>
      <c r="L121" s="79">
        <v>0.000849121</v>
      </c>
      <c r="M121" s="79">
        <v>0.444927224784438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0.0716538978811802</v>
      </c>
      <c r="I122" s="36">
        <v>0.000780211</v>
      </c>
      <c r="J122" s="36">
        <v>0.000780211</v>
      </c>
      <c r="K122" s="71">
        <v>780211</v>
      </c>
      <c r="L122" s="36">
        <v>0.000780211</v>
      </c>
      <c r="M122" s="36">
        <v>0.447951753205791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0.0824505550449477</v>
      </c>
      <c r="I123" s="36">
        <v>0.00071961</v>
      </c>
      <c r="J123" s="36">
        <v>0.00071961</v>
      </c>
      <c r="K123" s="71">
        <v>719610</v>
      </c>
      <c r="L123" s="36">
        <v>0.00071961</v>
      </c>
      <c r="M123" s="36">
        <v>0.449085345145724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0.0939910220683769</v>
      </c>
      <c r="I124" s="36">
        <v>0.000664973</v>
      </c>
      <c r="J124" s="36">
        <v>0.000664973</v>
      </c>
      <c r="K124" s="71">
        <v>664973</v>
      </c>
      <c r="L124" s="36">
        <v>0.000664973</v>
      </c>
      <c r="M124" s="36">
        <v>0.44834285651715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0.105312962248936</v>
      </c>
      <c r="I125" s="36">
        <v>0.000615354</v>
      </c>
      <c r="J125" s="36">
        <v>0.000615354</v>
      </c>
      <c r="K125" s="71">
        <v>615354</v>
      </c>
      <c r="L125" s="36">
        <v>0.000615354</v>
      </c>
      <c r="M125" s="36">
        <v>0.445709109227741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0.117773427631657</v>
      </c>
      <c r="I126" s="36">
        <v>0.000569855</v>
      </c>
      <c r="J126" s="36">
        <v>0.000569855</v>
      </c>
      <c r="K126" s="71">
        <v>569855</v>
      </c>
      <c r="L126" s="36">
        <v>0.000569855</v>
      </c>
      <c r="M126" s="36">
        <v>0.441212500075302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0.130473917621505</v>
      </c>
      <c r="I127" s="36">
        <v>0.000527522</v>
      </c>
      <c r="J127" s="36">
        <v>0.000527522</v>
      </c>
      <c r="K127" s="71">
        <v>527522</v>
      </c>
      <c r="L127" s="36">
        <v>0.000527522</v>
      </c>
      <c r="M127" s="36">
        <v>0.434833501884606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0.14451017838455</v>
      </c>
      <c r="I128" s="36">
        <v>0.000487909</v>
      </c>
      <c r="J128" s="36">
        <v>0.000487909</v>
      </c>
      <c r="K128" s="72">
        <v>487909</v>
      </c>
      <c r="L128" s="36">
        <v>0.000487909</v>
      </c>
      <c r="M128" s="36">
        <v>0.426569558619189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0.156768113919033</v>
      </c>
      <c r="I129" s="36">
        <v>0.000450478</v>
      </c>
      <c r="J129" s="36">
        <v>0.000450478</v>
      </c>
      <c r="K129" s="72">
        <v>450478</v>
      </c>
      <c r="L129" s="36">
        <v>0.000450478</v>
      </c>
      <c r="M129" s="36">
        <v>0.416414400414811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0.170840509665902</v>
      </c>
      <c r="I130" s="36">
        <v>0.000415082</v>
      </c>
      <c r="J130" s="36">
        <v>0.000415082</v>
      </c>
      <c r="K130" s="72">
        <v>415082</v>
      </c>
      <c r="L130" s="36">
        <v>0.000415082</v>
      </c>
      <c r="M130" s="36">
        <v>0.404419732193753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0.0133330528799762</v>
      </c>
      <c r="I131" s="36">
        <v>0.000208447</v>
      </c>
      <c r="J131" s="36">
        <v>0.000208447</v>
      </c>
      <c r="K131" s="72">
        <v>208447</v>
      </c>
      <c r="L131" s="36">
        <v>0.000208447</v>
      </c>
      <c r="M131" s="36">
        <v>0.273668584619967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21.9448520790909</v>
      </c>
      <c r="I139" s="36">
        <v>3.4498e-05</v>
      </c>
      <c r="J139" s="36">
        <v>3.4498e-05</v>
      </c>
      <c r="K139" s="72">
        <v>34498</v>
      </c>
      <c r="L139" s="36">
        <v>3.4498e-05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1.40796777043221</v>
      </c>
      <c r="I176" s="36">
        <v>0.033624105</v>
      </c>
      <c r="J176" s="36">
        <v>0.033624105</v>
      </c>
      <c r="K176" s="71">
        <v>33624105</v>
      </c>
      <c r="L176" s="36">
        <v>0.033624105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5.77273946130226</v>
      </c>
      <c r="I177" s="36">
        <v>0.142495354</v>
      </c>
      <c r="J177" s="36">
        <v>0.142495354</v>
      </c>
      <c r="K177" s="71">
        <v>142495354</v>
      </c>
      <c r="L177" s="36">
        <v>0.142495354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3.82293173849698</v>
      </c>
      <c r="I179" s="36">
        <v>0.094377964</v>
      </c>
      <c r="J179" s="36">
        <v>0.094377964</v>
      </c>
      <c r="K179" s="71">
        <v>94377964</v>
      </c>
      <c r="L179" s="36">
        <v>0.094377964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2.92403284555396</v>
      </c>
      <c r="I181" s="36">
        <v>0.070222521</v>
      </c>
      <c r="J181" s="36">
        <v>0.070222521</v>
      </c>
      <c r="K181" s="71">
        <v>70222521</v>
      </c>
      <c r="L181" s="36">
        <v>0.070222521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1.46850592598577</v>
      </c>
      <c r="I182" s="36">
        <v>0.067928091</v>
      </c>
      <c r="J182" s="36">
        <v>0.067928091</v>
      </c>
      <c r="K182" s="71">
        <v>67928091</v>
      </c>
      <c r="L182" s="36">
        <v>0.067928091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2.11767543238652</v>
      </c>
      <c r="I183" s="36">
        <v>0.092830632</v>
      </c>
      <c r="J183" s="36">
        <v>0.092830632</v>
      </c>
      <c r="K183" s="71">
        <v>92830632</v>
      </c>
      <c r="L183" s="36">
        <v>0.092830632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0.89662897919594</v>
      </c>
      <c r="I186" s="36">
        <v>0.032505662</v>
      </c>
      <c r="J186" s="36">
        <v>0.032505662</v>
      </c>
      <c r="K186" s="71">
        <v>32505662</v>
      </c>
      <c r="L186" s="36">
        <v>0.032505662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1.16513608784401</v>
      </c>
      <c r="I187" s="36">
        <v>0.076061462</v>
      </c>
      <c r="J187" s="36">
        <v>0.076061462</v>
      </c>
      <c r="K187" s="71">
        <v>76061462</v>
      </c>
      <c r="L187" s="36">
        <v>0.076061462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0.492131359222853</v>
      </c>
      <c r="I188" s="36">
        <v>0.027838105</v>
      </c>
      <c r="J188" s="36">
        <v>0.027838105</v>
      </c>
      <c r="K188" s="71">
        <v>27838105</v>
      </c>
      <c r="L188" s="36">
        <v>0.027838105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0.908214053215256</v>
      </c>
      <c r="I189" s="36">
        <v>0.044588486</v>
      </c>
      <c r="J189" s="36">
        <v>0.044588486</v>
      </c>
      <c r="K189" s="71">
        <v>44588486</v>
      </c>
      <c r="L189" s="36">
        <v>0.044588486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0.00455947189475345</v>
      </c>
      <c r="I192" s="36">
        <v>0.000334548</v>
      </c>
      <c r="J192" s="36">
        <v>0.000334548</v>
      </c>
      <c r="K192" s="71">
        <v>334548</v>
      </c>
      <c r="L192" s="36">
        <v>0.000334548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0.00681634467144526</v>
      </c>
      <c r="I195" s="36">
        <v>0.000200117</v>
      </c>
      <c r="J195" s="36">
        <v>0.000200117</v>
      </c>
      <c r="K195" s="71">
        <v>200117</v>
      </c>
      <c r="L195" s="36">
        <v>0.000200117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0.0119684751584833</v>
      </c>
      <c r="I199" s="36">
        <v>0.00013032</v>
      </c>
      <c r="J199" s="36">
        <v>0.00013032</v>
      </c>
      <c r="K199" s="71">
        <v>130320</v>
      </c>
      <c r="L199" s="36">
        <v>0.00013032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0.0224502239311088</v>
      </c>
      <c r="I204" s="36">
        <v>9.0769e-05</v>
      </c>
      <c r="J204" s="36">
        <v>9.0769e-05</v>
      </c>
      <c r="K204" s="71">
        <v>90769</v>
      </c>
      <c r="L204" s="36">
        <v>9.0769e-05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0.0281677860155667</v>
      </c>
      <c r="I206" s="36">
        <v>8.0941e-05</v>
      </c>
      <c r="J206" s="36">
        <v>8.0941e-05</v>
      </c>
      <c r="K206" s="72">
        <v>80941</v>
      </c>
      <c r="L206" s="36">
        <v>8.0941e-05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0.00364523044503862</v>
      </c>
      <c r="I208" s="36">
        <v>5.6989e-05</v>
      </c>
      <c r="J208" s="36">
        <v>5.6989e-05</v>
      </c>
      <c r="K208" s="72">
        <v>56989</v>
      </c>
      <c r="L208" s="36">
        <v>5.6989e-05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0.0331986523244034</v>
      </c>
      <c r="I209" s="36">
        <v>6.3225e-05</v>
      </c>
      <c r="J209" s="36">
        <v>6.3225e-05</v>
      </c>
      <c r="K209" s="72">
        <v>63225</v>
      </c>
      <c r="L209" s="36">
        <v>6.3225e-05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4.61377506318182</v>
      </c>
      <c r="I216" s="36">
        <v>7.253e-06</v>
      </c>
      <c r="J216" s="36">
        <v>7.253e-06</v>
      </c>
      <c r="K216" s="72">
        <v>7253</v>
      </c>
      <c r="L216" s="36">
        <v>7.253e-06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0.209999941045547</v>
      </c>
      <c r="E7" s="41">
        <f>SUM(C7:D7)</f>
        <v>0.929999959076617</v>
      </c>
      <c r="F7" s="42">
        <f>L79</f>
        <v>0.003577802</v>
      </c>
      <c r="G7" s="43">
        <f>1/F7</f>
        <v>279.501213314767</v>
      </c>
      <c r="H7" s="44">
        <f>D7*G7</f>
        <v>58.69523831826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0.7307385999077185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0.14654730421521425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4.2939315034350542E-2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1.9669922233073657E-2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1.2065544875424147E-2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7.8339879069897426E-3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6.0446338475645105E-3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3.2537569042791637E-3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3.6483211629130285E-3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2.9514135129724726E-3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1.9136577287037454E-3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1.0124001275069674E-2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4.3397056446066043E-3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2.4219287065337419E-3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1.9301046735142554E-3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0.0768277190768277</v>
      </c>
      <c r="M101" s="36">
        <v>2.5013238338215</v>
      </c>
      <c r="N101" s="73"/>
      <c r="O101" s="59">
        <v>30</v>
      </c>
      <c r="P101" s="59">
        <v>35</v>
      </c>
      <c r="Q101" s="36">
        <v>7.6827719076827714E-2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0.138321877138322</v>
      </c>
      <c r="M102" s="36">
        <v>5.19445935687044</v>
      </c>
      <c r="N102" s="73"/>
      <c r="O102" s="59">
        <v>35</v>
      </c>
      <c r="P102" s="59">
        <v>40</v>
      </c>
      <c r="Q102" s="36">
        <v>0.13832187713832186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0.122981136122981</v>
      </c>
      <c r="M103" s="36">
        <v>5.23299807758229</v>
      </c>
      <c r="N103" s="73"/>
      <c r="O103" s="59">
        <v>40</v>
      </c>
      <c r="P103" s="59">
        <v>45</v>
      </c>
      <c r="Q103" s="36">
        <v>0.12298113612298113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0.107635135107635</v>
      </c>
      <c r="M104" s="36">
        <v>5.11755988069804</v>
      </c>
      <c r="N104" s="73"/>
      <c r="O104" s="59">
        <v>45</v>
      </c>
      <c r="P104" s="59">
        <v>50</v>
      </c>
      <c r="Q104" s="36">
        <v>0.10763513510763513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0.107673578107674</v>
      </c>
      <c r="M105" s="36">
        <v>5.92345983033358</v>
      </c>
      <c r="N105" s="73"/>
      <c r="O105" s="59">
        <v>50</v>
      </c>
      <c r="P105" s="59">
        <v>60</v>
      </c>
      <c r="Q105" s="36">
        <v>0.10767357810767358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0.153893164153893</v>
      </c>
      <c r="M106" s="36">
        <v>10.0041322975185</v>
      </c>
      <c r="N106" s="73"/>
      <c r="O106" s="59">
        <v>60</v>
      </c>
      <c r="P106" s="59">
        <v>70</v>
      </c>
      <c r="Q106" s="36">
        <v>0.15389316415389317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0.0769832520769833</v>
      </c>
      <c r="M107" s="36">
        <v>5.77362206938634</v>
      </c>
      <c r="N107" s="73"/>
      <c r="O107" s="59">
        <v>70</v>
      </c>
      <c r="P107" s="59">
        <v>80</v>
      </c>
      <c r="Q107" s="36">
        <v>7.6983252076983255E-2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0.15403974915404</v>
      </c>
      <c r="M108" s="36">
        <v>13.091416024987</v>
      </c>
      <c r="N108" s="73"/>
      <c r="O108" s="59">
        <v>80</v>
      </c>
      <c r="P108" s="59">
        <v>90</v>
      </c>
      <c r="Q108" s="36">
        <v>0.15403974915403976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1.70038516927382</v>
      </c>
      <c r="I109" s="79">
        <v>0.061644389</v>
      </c>
      <c r="J109" s="79">
        <v>0.061644389</v>
      </c>
      <c r="K109" s="71">
        <v>61644389</v>
      </c>
      <c r="L109" s="79">
        <v>0.0616443890616444</v>
      </c>
      <c r="M109" s="79">
        <v>5.85626694706231</v>
      </c>
      <c r="N109" s="73"/>
      <c r="O109" s="59">
        <v>90</v>
      </c>
      <c r="P109" s="59">
        <v>100</v>
      </c>
      <c r="Q109" s="36">
        <v>6.1644389061644392E-2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3618838430</v>
      </c>
    </row>
    <row r="7" spans="1:3" x14ac:dyDescent="0.3">
      <c r="A7" s="21"/>
      <c r="B7" s="15" t="s">
        <v>86</v>
      </c>
      <c r="C7" s="22">
        <v>51240310600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