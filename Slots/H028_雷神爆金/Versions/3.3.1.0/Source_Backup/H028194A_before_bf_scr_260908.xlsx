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<sst xmlns="http://schemas.openxmlformats.org/spreadsheetml/2006/main" count="289" uniqueCount="129">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</sst>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3.3.1.0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40562596</v>
      </c>
      <c r="F16" s="10">
        <f>Detail!K176</f>
        <v>33624101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167906515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61717747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106127260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90117822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75352922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70377484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91776532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41887540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76469407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27923209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60927407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20302008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29614289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14097570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14684803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1338052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1093128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924237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800382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705926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631269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571114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521223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479525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443850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413158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386509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363045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342288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323736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307145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227936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252886</v>
      </c>
      <c r="F49" s="10">
        <f>Detail!K209</f>
        <v>63230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29480</v>
      </c>
      <c r="F56" s="10">
        <f>Detail!K216</f>
        <v>7252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0.219999976861601</v>
      </c>
      <c r="E7" s="41">
        <f>SUM(C7:D7)</f>
        <v>0.939999978758647</v>
      </c>
      <c r="F7" s="42">
        <f>L79</f>
        <v>0.003333333</v>
      </c>
      <c r="G7" s="43">
        <f>1/F7</f>
        <v>300.000030000003</v>
      </c>
      <c r="H7" s="44">
        <f>D7*G7</f>
        <v>65.9999996584802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0.924999989266378</v>
      </c>
      <c r="E8" s="41">
        <f>SUM(C8:D8)</f>
        <v>0.924999989266378</v>
      </c>
      <c r="F8" s="45">
        <f>D156</f>
        <v>1</v>
      </c>
      <c r="G8" s="43">
        <f>1/F8</f>
        <v>1</v>
      </c>
      <c r="H8" s="44">
        <f>D8*G8*B8</f>
        <v>69.3749991949783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1.69850849124646</v>
      </c>
      <c r="I99" s="36">
        <v>0.040562596</v>
      </c>
      <c r="J99" s="36">
        <v>0.040562596</v>
      </c>
      <c r="K99" s="71">
        <v>40562596</v>
      </c>
      <c r="L99" s="36">
        <v>0.040562596</v>
      </c>
      <c r="M99" s="36">
        <v>0.915399616668672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6.80219065212638</v>
      </c>
      <c r="I100" s="36">
        <v>0.167906515</v>
      </c>
      <c r="J100" s="36">
        <v>0.167906515</v>
      </c>
      <c r="K100" s="71">
        <v>167906515</v>
      </c>
      <c r="L100" s="36">
        <v>0.167906515</v>
      </c>
      <c r="M100" s="36">
        <v>4.62883794566939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2.5159689178914</v>
      </c>
      <c r="I101" s="36">
        <v>0.061717747</v>
      </c>
      <c r="J101" s="36">
        <v>0.061717747</v>
      </c>
      <c r="K101" s="71">
        <v>61717747</v>
      </c>
      <c r="L101" s="36">
        <v>0.061717747</v>
      </c>
      <c r="M101" s="36">
        <v>2.00937986179818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4.29885593393094</v>
      </c>
      <c r="I102" s="36">
        <v>0.10612726</v>
      </c>
      <c r="J102" s="36">
        <v>0.10612726</v>
      </c>
      <c r="K102" s="71">
        <v>106127260</v>
      </c>
      <c r="L102" s="36">
        <v>0.10612726</v>
      </c>
      <c r="M102" s="36">
        <v>3.98544142207345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3.70425529658308</v>
      </c>
      <c r="I103" s="36">
        <v>0.090117822</v>
      </c>
      <c r="J103" s="36">
        <v>0.090117822</v>
      </c>
      <c r="K103" s="71">
        <v>90117822</v>
      </c>
      <c r="L103" s="36">
        <v>0.090117822</v>
      </c>
      <c r="M103" s="36">
        <v>3.83462378173443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3.13766033743598</v>
      </c>
      <c r="I104" s="36">
        <v>0.075352922</v>
      </c>
      <c r="J104" s="36">
        <v>0.075352922</v>
      </c>
      <c r="K104" s="71">
        <v>75352922</v>
      </c>
      <c r="L104" s="36">
        <v>0.075352922</v>
      </c>
      <c r="M104" s="36">
        <v>3.58268784755968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1.52145821836754</v>
      </c>
      <c r="I105" s="36">
        <v>0.070377484</v>
      </c>
      <c r="J105" s="36">
        <v>0.070377484</v>
      </c>
      <c r="K105" s="71">
        <v>70377484</v>
      </c>
      <c r="L105" s="36">
        <v>0.070377484</v>
      </c>
      <c r="M105" s="36">
        <v>3.87168520597566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2.09362904139267</v>
      </c>
      <c r="I106" s="36">
        <v>0.091776532</v>
      </c>
      <c r="J106" s="36">
        <v>0.091776532</v>
      </c>
      <c r="K106" s="71">
        <v>91776532</v>
      </c>
      <c r="L106" s="36">
        <v>0.091776532</v>
      </c>
      <c r="M106" s="36">
        <v>5.96611664321424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1.00666407458133</v>
      </c>
      <c r="I107" s="36">
        <v>0.04188754</v>
      </c>
      <c r="J107" s="36">
        <v>0.04188754</v>
      </c>
      <c r="K107" s="71">
        <v>41887540</v>
      </c>
      <c r="L107" s="36">
        <v>0.04188754</v>
      </c>
      <c r="M107" s="36">
        <v>3.14149920731408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1.96562520853506</v>
      </c>
      <c r="I108" s="36">
        <v>0.076469407</v>
      </c>
      <c r="J108" s="36">
        <v>0.076469407</v>
      </c>
      <c r="K108" s="71">
        <v>76469407</v>
      </c>
      <c r="L108" s="36">
        <v>0.076469407</v>
      </c>
      <c r="M108" s="36">
        <v>6.49892528207093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0.77022761085576</v>
      </c>
      <c r="I109" s="79">
        <v>0.027923209</v>
      </c>
      <c r="J109" s="79">
        <v>0.027923209</v>
      </c>
      <c r="K109" s="71">
        <v>27923209</v>
      </c>
      <c r="L109" s="79">
        <v>0.027923209</v>
      </c>
      <c r="M109" s="79">
        <v>2.65272749737348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0.933307338142671</v>
      </c>
      <c r="I110" s="79">
        <v>0.060927407</v>
      </c>
      <c r="J110" s="79">
        <v>0.060927407</v>
      </c>
      <c r="K110" s="71">
        <v>60927407</v>
      </c>
      <c r="L110" s="79">
        <v>0.060927407</v>
      </c>
      <c r="M110" s="79">
        <v>6.69185108781331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0.358905708272644</v>
      </c>
      <c r="I111" s="79">
        <v>0.020302008</v>
      </c>
      <c r="J111" s="79">
        <v>0.020302008</v>
      </c>
      <c r="K111" s="71">
        <v>20302008</v>
      </c>
      <c r="L111" s="79">
        <v>0.020302008</v>
      </c>
      <c r="M111" s="79">
        <v>2.63546435579718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0.603207595920121</v>
      </c>
      <c r="I112" s="79">
        <v>0.029614289</v>
      </c>
      <c r="J112" s="79">
        <v>0.029614289</v>
      </c>
      <c r="K112" s="71">
        <v>29614289</v>
      </c>
      <c r="L112" s="79">
        <v>0.029614289</v>
      </c>
      <c r="M112" s="79">
        <v>4.43634056364168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0.330327826006101</v>
      </c>
      <c r="I113" s="79">
        <v>0.01409757</v>
      </c>
      <c r="J113" s="79">
        <v>0.01409757</v>
      </c>
      <c r="K113" s="71">
        <v>14097570</v>
      </c>
      <c r="L113" s="79">
        <v>0.01409757</v>
      </c>
      <c r="M113" s="79">
        <v>2.39388199944993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0.397752518237593</v>
      </c>
      <c r="I114" s="79">
        <v>0.014684803</v>
      </c>
      <c r="J114" s="79">
        <v>0.014684803</v>
      </c>
      <c r="K114" s="71">
        <v>14684803</v>
      </c>
      <c r="L114" s="79">
        <v>0.014684803</v>
      </c>
      <c r="M114" s="79">
        <v>2.78727761806784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0.0182359795536624</v>
      </c>
      <c r="I115" s="79">
        <v>0.001338052</v>
      </c>
      <c r="J115" s="79">
        <v>0.001338052</v>
      </c>
      <c r="K115" s="71">
        <v>1338052</v>
      </c>
      <c r="L115" s="79">
        <v>0.001338052</v>
      </c>
      <c r="M115" s="79">
        <v>0.299256115160161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0.0206372820685413</v>
      </c>
      <c r="I116" s="79">
        <v>0.001093128</v>
      </c>
      <c r="J116" s="79">
        <v>0.001093128</v>
      </c>
      <c r="K116" s="71">
        <v>1093128</v>
      </c>
      <c r="L116" s="79">
        <v>0.001093128</v>
      </c>
      <c r="M116" s="79">
        <v>0.299255740474586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0.0235982726832219</v>
      </c>
      <c r="I117" s="79">
        <v>0.000924237</v>
      </c>
      <c r="J117" s="79">
        <v>0.000924237</v>
      </c>
      <c r="K117" s="71">
        <v>924237</v>
      </c>
      <c r="L117" s="79">
        <v>0.000924237</v>
      </c>
      <c r="M117" s="79">
        <v>0.299255901705951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0.0272624493712213</v>
      </c>
      <c r="I118" s="79">
        <v>0.000800382</v>
      </c>
      <c r="J118" s="79">
        <v>0.000800382</v>
      </c>
      <c r="K118" s="71">
        <v>800382</v>
      </c>
      <c r="L118" s="79">
        <v>0.000800382</v>
      </c>
      <c r="M118" s="79">
        <v>0.299255475270076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0.0316676705561539</v>
      </c>
      <c r="I119" s="79">
        <v>0.000705926</v>
      </c>
      <c r="J119" s="79">
        <v>0.000705926</v>
      </c>
      <c r="K119" s="71">
        <v>705926</v>
      </c>
      <c r="L119" s="79">
        <v>0.000705926</v>
      </c>
      <c r="M119" s="79">
        <v>0.299255779763908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0.0363635379280581</v>
      </c>
      <c r="I120" s="79">
        <v>0.000631269</v>
      </c>
      <c r="J120" s="79">
        <v>0.000631269</v>
      </c>
      <c r="K120" s="71">
        <v>631269</v>
      </c>
      <c r="L120" s="79">
        <v>0.000631269</v>
      </c>
      <c r="M120" s="79">
        <v>0.299255630945066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0.0416946409752102</v>
      </c>
      <c r="I121" s="79">
        <v>0.000571114</v>
      </c>
      <c r="J121" s="79">
        <v>0.000571114</v>
      </c>
      <c r="K121" s="71">
        <v>571114</v>
      </c>
      <c r="L121" s="79">
        <v>0.000571114</v>
      </c>
      <c r="M121" s="79">
        <v>0.29925554432824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0.0478686658036382</v>
      </c>
      <c r="I122" s="36">
        <v>0.000521223</v>
      </c>
      <c r="J122" s="36">
        <v>0.000521223</v>
      </c>
      <c r="K122" s="71">
        <v>521223</v>
      </c>
      <c r="L122" s="36">
        <v>0.000521223</v>
      </c>
      <c r="M122" s="36">
        <v>0.299255914952727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0.054942402701364</v>
      </c>
      <c r="I123" s="36">
        <v>0.000479525</v>
      </c>
      <c r="J123" s="36">
        <v>0.000479525</v>
      </c>
      <c r="K123" s="71">
        <v>479525</v>
      </c>
      <c r="L123" s="36">
        <v>0.000479525</v>
      </c>
      <c r="M123" s="36">
        <v>0.299256055545369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0.0627362541712958</v>
      </c>
      <c r="I124" s="36">
        <v>0.00044385</v>
      </c>
      <c r="J124" s="36">
        <v>0.00044385</v>
      </c>
      <c r="K124" s="71">
        <v>443850</v>
      </c>
      <c r="L124" s="36">
        <v>0.00044385</v>
      </c>
      <c r="M124" s="36">
        <v>0.29925572446571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0.0707087186511275</v>
      </c>
      <c r="I125" s="36">
        <v>0.000413158</v>
      </c>
      <c r="J125" s="36">
        <v>0.000413158</v>
      </c>
      <c r="K125" s="71">
        <v>413158</v>
      </c>
      <c r="L125" s="36">
        <v>0.000413158</v>
      </c>
      <c r="M125" s="36">
        <v>0.299255849722785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0.0798808288783708</v>
      </c>
      <c r="I126" s="36">
        <v>0.000386509</v>
      </c>
      <c r="J126" s="36">
        <v>0.000386509</v>
      </c>
      <c r="K126" s="71">
        <v>386509</v>
      </c>
      <c r="L126" s="36">
        <v>0.000386509</v>
      </c>
      <c r="M126" s="36">
        <v>0.29925613040441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0.0897932283827012</v>
      </c>
      <c r="I127" s="36">
        <v>0.000363045</v>
      </c>
      <c r="J127" s="36">
        <v>0.000363045</v>
      </c>
      <c r="K127" s="71">
        <v>363045</v>
      </c>
      <c r="L127" s="36">
        <v>0.000363045</v>
      </c>
      <c r="M127" s="36">
        <v>0.299256009591443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0.10137976536381</v>
      </c>
      <c r="I128" s="36">
        <v>0.000342288</v>
      </c>
      <c r="J128" s="36">
        <v>0.000342288</v>
      </c>
      <c r="K128" s="72">
        <v>342288</v>
      </c>
      <c r="L128" s="36">
        <v>0.000342288</v>
      </c>
      <c r="M128" s="36">
        <v>0.299255888046019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0.112661399952255</v>
      </c>
      <c r="I129" s="36">
        <v>0.000323736</v>
      </c>
      <c r="J129" s="36">
        <v>0.000323736</v>
      </c>
      <c r="K129" s="72">
        <v>323736</v>
      </c>
      <c r="L129" s="36">
        <v>0.000323736</v>
      </c>
      <c r="M129" s="36">
        <v>0.299256195269667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0.126415523538321</v>
      </c>
      <c r="I130" s="36">
        <v>0.000307145</v>
      </c>
      <c r="J130" s="36">
        <v>0.000307145</v>
      </c>
      <c r="K130" s="72">
        <v>307145</v>
      </c>
      <c r="L130" s="36">
        <v>0.000307145</v>
      </c>
      <c r="M130" s="36">
        <v>0.299255324597671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0.0145796425050505</v>
      </c>
      <c r="I131" s="36">
        <v>0.000227936</v>
      </c>
      <c r="J131" s="36">
        <v>0.000227936</v>
      </c>
      <c r="K131" s="72">
        <v>227936</v>
      </c>
      <c r="L131" s="36">
        <v>0.000227936</v>
      </c>
      <c r="M131" s="36">
        <v>0.299255554188532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0.132787258073691</v>
      </c>
      <c r="I132" s="36">
        <v>0.000252886</v>
      </c>
      <c r="J132" s="36">
        <v>0.000252886</v>
      </c>
      <c r="K132" s="72">
        <v>252886</v>
      </c>
      <c r="L132" s="36">
        <v>0.000252886</v>
      </c>
      <c r="M132" s="36">
        <v>0.598513649825784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18.7528042</v>
      </c>
      <c r="I139" s="36">
        <v>2.948e-05</v>
      </c>
      <c r="J139" s="36">
        <v>2.948e-05</v>
      </c>
      <c r="K139" s="72">
        <v>29480</v>
      </c>
      <c r="L139" s="36">
        <v>2.948e-05</v>
      </c>
      <c r="M139" s="36">
        <v>0.281997238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1.40796760293717</v>
      </c>
      <c r="I176" s="36">
        <v>0.033624101</v>
      </c>
      <c r="J176" s="36">
        <v>0.033624101</v>
      </c>
      <c r="K176" s="71">
        <v>33624101</v>
      </c>
      <c r="L176" s="36">
        <v>0.033624101</v>
      </c>
      <c r="M176" s="36">
        <v>0.758814577997639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5.77273942079049</v>
      </c>
      <c r="I177" s="36">
        <v>0.142495353</v>
      </c>
      <c r="J177" s="36">
        <v>0.142495353</v>
      </c>
      <c r="K177" s="71">
        <v>142495353</v>
      </c>
      <c r="L177" s="36">
        <v>0.142495353</v>
      </c>
      <c r="M177" s="36">
        <v>3.9283043725132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3.82293169799036</v>
      </c>
      <c r="I179" s="36">
        <v>0.094377963</v>
      </c>
      <c r="J179" s="36">
        <v>0.094377963</v>
      </c>
      <c r="K179" s="71">
        <v>94377963</v>
      </c>
      <c r="L179" s="36">
        <v>0.094377963</v>
      </c>
      <c r="M179" s="36">
        <v>3.54421515330854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2.92403280391443</v>
      </c>
      <c r="I181" s="36">
        <v>0.07022252</v>
      </c>
      <c r="J181" s="36">
        <v>0.07022252</v>
      </c>
      <c r="K181" s="71">
        <v>70222520</v>
      </c>
      <c r="L181" s="36">
        <v>0.07022252</v>
      </c>
      <c r="M181" s="36">
        <v>3.33876062601815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1.4685059476043</v>
      </c>
      <c r="I182" s="36">
        <v>0.067928092</v>
      </c>
      <c r="J182" s="36">
        <v>0.067928092</v>
      </c>
      <c r="K182" s="71">
        <v>67928092</v>
      </c>
      <c r="L182" s="36">
        <v>0.067928092</v>
      </c>
      <c r="M182" s="36">
        <v>3.73693650182995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2.11767540957427</v>
      </c>
      <c r="I183" s="36">
        <v>0.092830631</v>
      </c>
      <c r="J183" s="36">
        <v>0.092830631</v>
      </c>
      <c r="K183" s="71">
        <v>92830631</v>
      </c>
      <c r="L183" s="36">
        <v>0.092830631</v>
      </c>
      <c r="M183" s="36">
        <v>6.03464045262878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0.896628951612161</v>
      </c>
      <c r="I186" s="36">
        <v>0.032505661</v>
      </c>
      <c r="J186" s="36">
        <v>0.032505661</v>
      </c>
      <c r="K186" s="71">
        <v>32505661</v>
      </c>
      <c r="L186" s="36">
        <v>0.032505661</v>
      </c>
      <c r="M186" s="36">
        <v>3.08806415319244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1.16513610316236</v>
      </c>
      <c r="I187" s="36">
        <v>0.076061463</v>
      </c>
      <c r="J187" s="36">
        <v>0.076061463</v>
      </c>
      <c r="K187" s="71">
        <v>76061463</v>
      </c>
      <c r="L187" s="36">
        <v>0.076061463</v>
      </c>
      <c r="M187" s="36">
        <v>8.35407264118793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0.492131341544517</v>
      </c>
      <c r="I188" s="36">
        <v>0.027838104</v>
      </c>
      <c r="J188" s="36">
        <v>0.027838104</v>
      </c>
      <c r="K188" s="71">
        <v>27838104</v>
      </c>
      <c r="L188" s="36">
        <v>0.027838104</v>
      </c>
      <c r="M188" s="36">
        <v>3.61374750837331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0.908214032846453</v>
      </c>
      <c r="I189" s="36">
        <v>0.044588485</v>
      </c>
      <c r="J189" s="36">
        <v>0.044588485</v>
      </c>
      <c r="K189" s="71">
        <v>44588485</v>
      </c>
      <c r="L189" s="36">
        <v>0.044588485</v>
      </c>
      <c r="M189" s="36">
        <v>6.67953583747457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0.00455948552350596</v>
      </c>
      <c r="I192" s="36">
        <v>0.000334549</v>
      </c>
      <c r="J192" s="36">
        <v>0.000334549</v>
      </c>
      <c r="K192" s="71">
        <v>334549</v>
      </c>
      <c r="L192" s="36">
        <v>0.000334549</v>
      </c>
      <c r="M192" s="36">
        <v>0.0748220802111703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0.00681637873324247</v>
      </c>
      <c r="I195" s="36">
        <v>0.000200118</v>
      </c>
      <c r="J195" s="36">
        <v>0.000200118</v>
      </c>
      <c r="K195" s="71">
        <v>200118</v>
      </c>
      <c r="L195" s="36">
        <v>0.000200118</v>
      </c>
      <c r="M195" s="36">
        <v>0.0748222813607716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0.0119683833193553</v>
      </c>
      <c r="I199" s="36">
        <v>0.000130319</v>
      </c>
      <c r="J199" s="36">
        <v>0.000130319</v>
      </c>
      <c r="K199" s="71">
        <v>130319</v>
      </c>
      <c r="L199" s="36">
        <v>0.000130319</v>
      </c>
      <c r="M199" s="36">
        <v>0.0748215861171214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0.0224507185983175</v>
      </c>
      <c r="I204" s="36">
        <v>9.0771e-05</v>
      </c>
      <c r="J204" s="36">
        <v>9.0771e-05</v>
      </c>
      <c r="K204" s="71">
        <v>90771</v>
      </c>
      <c r="L204" s="36">
        <v>9.0771e-05</v>
      </c>
      <c r="M204" s="36">
        <v>0.0748220392695804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0.0281681340194957</v>
      </c>
      <c r="I206" s="36">
        <v>8.0942e-05</v>
      </c>
      <c r="J206" s="36">
        <v>8.0942e-05</v>
      </c>
      <c r="K206" s="72">
        <v>80942</v>
      </c>
      <c r="L206" s="36">
        <v>8.0942e-05</v>
      </c>
      <c r="M206" s="36">
        <v>0.0748214438848859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0.00364529440879382</v>
      </c>
      <c r="I208" s="36">
        <v>5.699e-05</v>
      </c>
      <c r="J208" s="36">
        <v>5.699e-05</v>
      </c>
      <c r="K208" s="72">
        <v>56990</v>
      </c>
      <c r="L208" s="36">
        <v>5.699e-05</v>
      </c>
      <c r="M208" s="36">
        <v>0.0748217659044838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0.0332012777615188</v>
      </c>
      <c r="I209" s="36">
        <v>6.323e-05</v>
      </c>
      <c r="J209" s="36">
        <v>6.323e-05</v>
      </c>
      <c r="K209" s="72">
        <v>63230</v>
      </c>
      <c r="L209" s="36">
        <v>6.323e-05</v>
      </c>
      <c r="M209" s="36">
        <v>0.149648529687228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4.61313894363636</v>
      </c>
      <c r="I216" s="36">
        <v>7.252e-06</v>
      </c>
      <c r="J216" s="36">
        <v>7.252e-06</v>
      </c>
      <c r="K216" s="72">
        <v>7252</v>
      </c>
      <c r="L216" s="36">
        <v>7.252e-06</v>
      </c>
      <c r="M216" s="36">
        <v>0.0693705552909091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3641760160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