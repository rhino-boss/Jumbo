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683BC32D-D3C1-40C2-8D68-20668CFA7020}" xr6:coauthVersionLast="47" xr6:coauthVersionMax="47" xr10:uidLastSave="{00000000-0000-0000-0000-000000000000}"/>
  <bookViews>
    <workbookView xWindow="-23025" yWindow="1770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<sst xmlns="http://schemas.openxmlformats.org/spreadsheetml/2006/main" count="289" uniqueCount="129">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</sst>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inlineStr">
        <is>
          <t>3.4.0.0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0.93999977432805881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0.71999982973814702</v>
      </c>
      <c r="C17" s="101">
        <f>1/D17</f>
        <v>3.3333327320111106E-3</v>
      </c>
      <c r="D17" s="104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0.21999994458991176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0.92499987292709762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40562596</v>
      </c>
      <c r="F16" s="10">
        <f>Detail!K176</f>
        <v>33624101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167906515</v>
      </c>
      <c r="F17" s="10">
        <f>Detail!K177</f>
        <v>142495353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61717747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106127260</v>
      </c>
      <c r="F19" s="10">
        <f>Detail!K179</f>
        <v>94377963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90117822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75352922</v>
      </c>
      <c r="F21" s="10">
        <f>Detail!K181</f>
        <v>70222520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70377484</v>
      </c>
      <c r="F22" s="10">
        <f>Detail!K182</f>
        <v>67928092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91776532</v>
      </c>
      <c r="F23" s="10">
        <f>Detail!K183</f>
        <v>92830631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41887540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76469407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27923209</v>
      </c>
      <c r="F26" s="10">
        <f>Detail!K186</f>
        <v>32505661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60927407</v>
      </c>
      <c r="F27" s="10">
        <f>Detail!K187</f>
        <v>76061463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20302008</v>
      </c>
      <c r="F28" s="10">
        <f>Detail!K188</f>
        <v>27838104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29614289</v>
      </c>
      <c r="F29" s="10">
        <f>Detail!K189</f>
        <v>44588485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14097570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14684803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1338052</v>
      </c>
      <c r="F32" s="10">
        <f>Detail!K192</f>
        <v>334549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1093128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924237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800382</v>
      </c>
      <c r="F35" s="10">
        <f>Detail!K195</f>
        <v>200118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705926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631269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571114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521223</v>
      </c>
      <c r="F39" s="10">
        <f>Detail!K199</f>
        <v>130319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479525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443850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413158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386509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363045</v>
      </c>
      <c r="F44" s="10">
        <f>Detail!K204</f>
        <v>90771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342288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323736</v>
      </c>
      <c r="F46" s="10">
        <f>Detail!K206</f>
        <v>80942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307145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227936</v>
      </c>
      <c r="F48" s="10">
        <f>Detail!K208</f>
        <v>56990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252886</v>
      </c>
      <c r="F49" s="10">
        <f>Detail!K209</f>
        <v>63230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29480</v>
      </c>
      <c r="F56" s="10">
        <f>Detail!K216</f>
        <v>7252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0.219999976861601</v>
      </c>
      <c r="E7" s="41">
        <f>SUM(C7:D7)</f>
        <v>0.939999978758647</v>
      </c>
      <c r="F7" s="42">
        <f>L79</f>
        <v>0.003333333</v>
      </c>
      <c r="G7" s="43">
        <f>1/F7</f>
        <v>300.000030000003</v>
      </c>
      <c r="H7" s="44">
        <f>D7*G7</f>
        <v>65.9999996584802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0.924999989266378</v>
      </c>
      <c r="E8" s="41">
        <f>SUM(C8:D8)</f>
        <v>0.924999989266378</v>
      </c>
      <c r="F8" s="45">
        <f>D156</f>
        <v>1</v>
      </c>
      <c r="G8" s="43">
        <f>1/F8</f>
        <v>1</v>
      </c>
      <c r="H8" s="44">
        <f>D8*G8*B8</f>
        <v>69.3749991949783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1.69850849124646</v>
      </c>
      <c r="I99" s="36">
        <v>0.040562596</v>
      </c>
      <c r="J99" s="36">
        <v>0.040562596</v>
      </c>
      <c r="K99" s="71">
        <v>40562596</v>
      </c>
      <c r="L99" s="36">
        <v>0.040562596</v>
      </c>
      <c r="M99" s="36">
        <v>0.915399616668672</v>
      </c>
      <c r="N99" s="73"/>
      <c r="O99" s="59">
        <v>20</v>
      </c>
      <c r="P99" s="59">
        <v>25</v>
      </c>
      <c r="Q99" s="36">
        <v>4.0859217122577653E-2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6.80219065212638</v>
      </c>
      <c r="I100" s="36">
        <v>0.167906515</v>
      </c>
      <c r="J100" s="36">
        <v>0.167906515</v>
      </c>
      <c r="K100" s="71">
        <v>167906515</v>
      </c>
      <c r="L100" s="36">
        <v>0.167906515</v>
      </c>
      <c r="M100" s="36">
        <v>4.62883794566939</v>
      </c>
      <c r="N100" s="73"/>
      <c r="O100" s="59">
        <v>25</v>
      </c>
      <c r="P100" s="59">
        <v>30</v>
      </c>
      <c r="Q100" s="36">
        <v>0.16901935350705807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2.5159689178914</v>
      </c>
      <c r="I101" s="36">
        <v>0.061717747</v>
      </c>
      <c r="J101" s="36">
        <v>0.061717747</v>
      </c>
      <c r="K101" s="71">
        <v>61717747</v>
      </c>
      <c r="L101" s="36">
        <v>0.061717747</v>
      </c>
      <c r="M101" s="36">
        <v>2.00937986179818</v>
      </c>
      <c r="N101" s="73"/>
      <c r="O101" s="59">
        <v>30</v>
      </c>
      <c r="P101" s="59">
        <v>35</v>
      </c>
      <c r="Q101" s="36">
        <v>6.208464418625393E-2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4.29885593393094</v>
      </c>
      <c r="I102" s="36">
        <v>0.10612726</v>
      </c>
      <c r="J102" s="36">
        <v>0.10612726</v>
      </c>
      <c r="K102" s="71">
        <v>106127260</v>
      </c>
      <c r="L102" s="36">
        <v>0.10612726</v>
      </c>
      <c r="M102" s="36">
        <v>3.98544142207345</v>
      </c>
      <c r="N102" s="73"/>
      <c r="O102" s="59">
        <v>35</v>
      </c>
      <c r="P102" s="59">
        <v>40</v>
      </c>
      <c r="Q102" s="36">
        <v>0.10668563632005691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3.70425529658308</v>
      </c>
      <c r="I103" s="36">
        <v>0.090117822</v>
      </c>
      <c r="J103" s="36">
        <v>0.090117822</v>
      </c>
      <c r="K103" s="71">
        <v>90117822</v>
      </c>
      <c r="L103" s="36">
        <v>0.090117822</v>
      </c>
      <c r="M103" s="36">
        <v>3.83462378173443</v>
      </c>
      <c r="N103" s="73"/>
      <c r="O103" s="59">
        <v>40</v>
      </c>
      <c r="P103" s="59">
        <v>45</v>
      </c>
      <c r="Q103" s="36">
        <v>9.0530400271591205E-2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3.13766033743598</v>
      </c>
      <c r="I104" s="36">
        <v>0.075352922</v>
      </c>
      <c r="J104" s="36">
        <v>0.075352922</v>
      </c>
      <c r="K104" s="71">
        <v>75352922</v>
      </c>
      <c r="L104" s="36">
        <v>0.075352922</v>
      </c>
      <c r="M104" s="36">
        <v>3.58268784755968</v>
      </c>
      <c r="N104" s="73"/>
      <c r="O104" s="59">
        <v>45</v>
      </c>
      <c r="P104" s="59">
        <v>50</v>
      </c>
      <c r="Q104" s="36">
        <v>7.5646497226939488E-2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1.52145821836754</v>
      </c>
      <c r="I105" s="36">
        <v>0.070377484</v>
      </c>
      <c r="J105" s="36">
        <v>0.070377484</v>
      </c>
      <c r="K105" s="71">
        <v>70377484</v>
      </c>
      <c r="L105" s="36">
        <v>0.070377484</v>
      </c>
      <c r="M105" s="36">
        <v>3.87168520597566</v>
      </c>
      <c r="N105" s="73"/>
      <c r="O105" s="59">
        <v>50</v>
      </c>
      <c r="P105" s="59">
        <v>60</v>
      </c>
      <c r="Q105" s="36">
        <v>7.0579942211739827E-2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2.09362904139267</v>
      </c>
      <c r="I106" s="36">
        <v>0.091776532</v>
      </c>
      <c r="J106" s="36">
        <v>0.091776532</v>
      </c>
      <c r="K106" s="71">
        <v>91776532</v>
      </c>
      <c r="L106" s="36">
        <v>0.091776532</v>
      </c>
      <c r="M106" s="36">
        <v>5.96611664321424</v>
      </c>
      <c r="N106" s="73"/>
      <c r="O106" s="59">
        <v>60</v>
      </c>
      <c r="P106" s="59">
        <v>70</v>
      </c>
      <c r="Q106" s="36">
        <v>9.191551427574654E-2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1.00666407458133</v>
      </c>
      <c r="I107" s="36">
        <v>0.04188754</v>
      </c>
      <c r="J107" s="36">
        <v>0.04188754</v>
      </c>
      <c r="K107" s="71">
        <v>41887540</v>
      </c>
      <c r="L107" s="36">
        <v>0.04188754</v>
      </c>
      <c r="M107" s="36">
        <v>3.14149920731408</v>
      </c>
      <c r="N107" s="73"/>
      <c r="O107" s="59">
        <v>70</v>
      </c>
      <c r="P107" s="59">
        <v>80</v>
      </c>
      <c r="Q107" s="36">
        <v>4.1893996125681988E-2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1.96562520853506</v>
      </c>
      <c r="I108" s="36">
        <v>0.076469407</v>
      </c>
      <c r="J108" s="36">
        <v>0.076469407</v>
      </c>
      <c r="K108" s="71">
        <v>76469407</v>
      </c>
      <c r="L108" s="36">
        <v>0.076469407</v>
      </c>
      <c r="M108" s="36">
        <v>6.49892528207093</v>
      </c>
      <c r="N108" s="73"/>
      <c r="O108" s="59">
        <v>80</v>
      </c>
      <c r="P108" s="59">
        <v>90</v>
      </c>
      <c r="Q108" s="36">
        <v>7.6377346229132045E-2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0.77022761085576</v>
      </c>
      <c r="I109" s="79">
        <v>0.027923209</v>
      </c>
      <c r="J109" s="79">
        <v>0.027923209</v>
      </c>
      <c r="K109" s="71">
        <v>27923209</v>
      </c>
      <c r="L109" s="79">
        <v>0.027923209</v>
      </c>
      <c r="M109" s="79">
        <v>2.65272749737348</v>
      </c>
      <c r="N109" s="73"/>
      <c r="O109" s="59">
        <v>90</v>
      </c>
      <c r="P109" s="59">
        <v>100</v>
      </c>
      <c r="Q109" s="36">
        <v>2.7851631083554894E-2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0.933307338142671</v>
      </c>
      <c r="I110" s="79">
        <v>0.060927407</v>
      </c>
      <c r="J110" s="79">
        <v>0.060927407</v>
      </c>
      <c r="K110" s="71">
        <v>60927407</v>
      </c>
      <c r="L110" s="79">
        <v>0.060927407</v>
      </c>
      <c r="M110" s="79">
        <v>6.69185108781331</v>
      </c>
      <c r="N110" s="73"/>
      <c r="O110" s="59">
        <v>100</v>
      </c>
      <c r="P110" s="59">
        <v>120</v>
      </c>
      <c r="Q110" s="36">
        <v>6.0648738181946216E-2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0.358905708272644</v>
      </c>
      <c r="I111" s="79">
        <v>0.020302008</v>
      </c>
      <c r="J111" s="79">
        <v>0.020302008</v>
      </c>
      <c r="K111" s="71">
        <v>20302008</v>
      </c>
      <c r="L111" s="79">
        <v>0.020302008</v>
      </c>
      <c r="M111" s="79">
        <v>2.63546435579718</v>
      </c>
      <c r="N111" s="73"/>
      <c r="O111" s="59">
        <v>120</v>
      </c>
      <c r="P111" s="59">
        <v>140</v>
      </c>
      <c r="Q111" s="36">
        <v>2.0154302060462904E-2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0.603207595920121</v>
      </c>
      <c r="I112" s="79">
        <v>0.029614289</v>
      </c>
      <c r="J112" s="79">
        <v>0.029614289</v>
      </c>
      <c r="K112" s="71">
        <v>29614289</v>
      </c>
      <c r="L112" s="79">
        <v>0.029614289</v>
      </c>
      <c r="M112" s="79">
        <v>4.43634056364168</v>
      </c>
      <c r="N112" s="73"/>
      <c r="O112" s="59">
        <v>140</v>
      </c>
      <c r="P112" s="59">
        <v>160</v>
      </c>
      <c r="Q112" s="36">
        <v>2.9318996087956989E-2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0.330327826006101</v>
      </c>
      <c r="I113" s="79">
        <v>0.01409757</v>
      </c>
      <c r="J113" s="79">
        <v>0.01409757</v>
      </c>
      <c r="K113" s="71">
        <v>14097570</v>
      </c>
      <c r="L113" s="79">
        <v>0.01409757</v>
      </c>
      <c r="M113" s="79">
        <v>2.39388199944993</v>
      </c>
      <c r="N113" s="73"/>
      <c r="O113" s="59">
        <v>160</v>
      </c>
      <c r="P113" s="59">
        <v>180</v>
      </c>
      <c r="Q113" s="36">
        <v>1.3919072041757217E-2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0.397752518237593</v>
      </c>
      <c r="I114" s="79">
        <v>0.014684803</v>
      </c>
      <c r="J114" s="79">
        <v>0.014684803</v>
      </c>
      <c r="K114" s="71">
        <v>14684803</v>
      </c>
      <c r="L114" s="79">
        <v>0.014684803</v>
      </c>
      <c r="M114" s="79">
        <v>2.78727761806784</v>
      </c>
      <c r="N114" s="73"/>
      <c r="O114" s="59">
        <v>180</v>
      </c>
      <c r="P114" s="59">
        <v>200</v>
      </c>
      <c r="Q114" s="36">
        <v>1.4459482043378446E-2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0.0182359795536624</v>
      </c>
      <c r="I115" s="79">
        <v>0.001338052</v>
      </c>
      <c r="J115" s="79">
        <v>0.001338052</v>
      </c>
      <c r="K115" s="71">
        <v>1338052</v>
      </c>
      <c r="L115" s="79">
        <v>0.001338052</v>
      </c>
      <c r="M115" s="79">
        <v>0.299256115160161</v>
      </c>
      <c r="N115" s="73"/>
      <c r="O115" s="59">
        <v>200</v>
      </c>
      <c r="P115" s="59">
        <v>250</v>
      </c>
      <c r="Q115" s="36">
        <v>1.0281150030843451E-3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0.0206372820685413</v>
      </c>
      <c r="I116" s="79">
        <v>0.001093128</v>
      </c>
      <c r="J116" s="79">
        <v>0.001093128</v>
      </c>
      <c r="K116" s="71">
        <v>1093128</v>
      </c>
      <c r="L116" s="79">
        <v>0.001093128</v>
      </c>
      <c r="M116" s="79">
        <v>0.299255740474586</v>
      </c>
      <c r="N116" s="73"/>
      <c r="O116" s="59">
        <v>250</v>
      </c>
      <c r="P116" s="59">
        <v>300</v>
      </c>
      <c r="Q116" s="36">
        <v>8.4073100252219301E-4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0.0235982726832219</v>
      </c>
      <c r="I117" s="79">
        <v>0.000924237</v>
      </c>
      <c r="J117" s="79">
        <v>0.000924237</v>
      </c>
      <c r="K117" s="71">
        <v>924237</v>
      </c>
      <c r="L117" s="79">
        <v>0.000924237</v>
      </c>
      <c r="M117" s="79">
        <v>0.299255901705951</v>
      </c>
      <c r="N117" s="73"/>
      <c r="O117" s="59">
        <v>300</v>
      </c>
      <c r="P117" s="59">
        <v>350</v>
      </c>
      <c r="Q117" s="36">
        <v>7.11196002133588E-4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0.0272624493712213</v>
      </c>
      <c r="I118" s="79">
        <v>0.000800382</v>
      </c>
      <c r="J118" s="79">
        <v>0.000800382</v>
      </c>
      <c r="K118" s="71">
        <v>800382</v>
      </c>
      <c r="L118" s="79">
        <v>0.000800382</v>
      </c>
      <c r="M118" s="79">
        <v>0.299255475270076</v>
      </c>
      <c r="N118" s="73"/>
      <c r="O118" s="59">
        <v>350</v>
      </c>
      <c r="P118" s="59">
        <v>400</v>
      </c>
      <c r="Q118" s="36">
        <v>6.1617400184852203E-4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0.0316676705561539</v>
      </c>
      <c r="I119" s="79">
        <v>0.000705926</v>
      </c>
      <c r="J119" s="79">
        <v>0.000705926</v>
      </c>
      <c r="K119" s="71">
        <v>705926</v>
      </c>
      <c r="L119" s="79">
        <v>0.000705926</v>
      </c>
      <c r="M119" s="79">
        <v>0.299255779763908</v>
      </c>
      <c r="N119" s="73"/>
      <c r="O119" s="59">
        <v>400</v>
      </c>
      <c r="P119" s="59">
        <v>450</v>
      </c>
      <c r="Q119" s="36">
        <v>5.4362800163088401E-4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0.0363635379280581</v>
      </c>
      <c r="I120" s="79">
        <v>0.000631269</v>
      </c>
      <c r="J120" s="79">
        <v>0.000631269</v>
      </c>
      <c r="K120" s="71">
        <v>631269</v>
      </c>
      <c r="L120" s="79">
        <v>0.000631269</v>
      </c>
      <c r="M120" s="79">
        <v>0.299255630945066</v>
      </c>
      <c r="N120" s="73"/>
      <c r="O120" s="59">
        <v>450</v>
      </c>
      <c r="P120" s="59">
        <v>500</v>
      </c>
      <c r="Q120" s="36">
        <v>4.8631700145895101E-4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0.0416946409752102</v>
      </c>
      <c r="I121" s="79">
        <v>0.000571114</v>
      </c>
      <c r="J121" s="79">
        <v>0.000571114</v>
      </c>
      <c r="K121" s="71">
        <v>571114</v>
      </c>
      <c r="L121" s="79">
        <v>0.000571114</v>
      </c>
      <c r="M121" s="79">
        <v>0.29925554432824</v>
      </c>
      <c r="N121" s="73"/>
      <c r="O121" s="59">
        <v>500</v>
      </c>
      <c r="P121" s="59">
        <v>550</v>
      </c>
      <c r="Q121" s="36">
        <v>4.39923001319769E-4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0.0478686658036382</v>
      </c>
      <c r="I122" s="36">
        <v>0.000521223</v>
      </c>
      <c r="J122" s="36">
        <v>0.000521223</v>
      </c>
      <c r="K122" s="71">
        <v>521223</v>
      </c>
      <c r="L122" s="36">
        <v>0.000521223</v>
      </c>
      <c r="M122" s="36">
        <v>0.299255914952727</v>
      </c>
      <c r="N122" s="73"/>
      <c r="O122" s="59">
        <v>550</v>
      </c>
      <c r="P122" s="59">
        <v>600</v>
      </c>
      <c r="Q122" s="36">
        <v>4.0164300120492898E-4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0.054942402701364</v>
      </c>
      <c r="I123" s="36">
        <v>0.000479525</v>
      </c>
      <c r="J123" s="36">
        <v>0.000479525</v>
      </c>
      <c r="K123" s="71">
        <v>479525</v>
      </c>
      <c r="L123" s="36">
        <v>0.000479525</v>
      </c>
      <c r="M123" s="36">
        <v>0.299256055545369</v>
      </c>
      <c r="N123" s="73"/>
      <c r="O123" s="59">
        <v>600</v>
      </c>
      <c r="P123" s="59">
        <v>650</v>
      </c>
      <c r="Q123" s="36">
        <v>3.69498001108494E-4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0.0627362541712958</v>
      </c>
      <c r="I124" s="36">
        <v>0.00044385</v>
      </c>
      <c r="J124" s="36">
        <v>0.00044385</v>
      </c>
      <c r="K124" s="71">
        <v>443850</v>
      </c>
      <c r="L124" s="36">
        <v>0.00044385</v>
      </c>
      <c r="M124" s="36">
        <v>0.29925572446571</v>
      </c>
      <c r="N124" s="73"/>
      <c r="O124" s="59">
        <v>650</v>
      </c>
      <c r="P124" s="59">
        <v>700</v>
      </c>
      <c r="Q124" s="36">
        <v>3.4211600102634801E-4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0.0707087186511275</v>
      </c>
      <c r="I125" s="36">
        <v>0.000413158</v>
      </c>
      <c r="J125" s="36">
        <v>0.000413158</v>
      </c>
      <c r="K125" s="71">
        <v>413158</v>
      </c>
      <c r="L125" s="36">
        <v>0.000413158</v>
      </c>
      <c r="M125" s="36">
        <v>0.299255849722785</v>
      </c>
      <c r="N125" s="73"/>
      <c r="O125" s="59">
        <v>700</v>
      </c>
      <c r="P125" s="59">
        <v>750</v>
      </c>
      <c r="Q125" s="36">
        <v>3.18458000955374E-4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0.0798808288783708</v>
      </c>
      <c r="I126" s="36">
        <v>0.000386509</v>
      </c>
      <c r="J126" s="36">
        <v>0.000386509</v>
      </c>
      <c r="K126" s="71">
        <v>386509</v>
      </c>
      <c r="L126" s="36">
        <v>0.000386509</v>
      </c>
      <c r="M126" s="36">
        <v>0.29925613040441</v>
      </c>
      <c r="N126" s="73"/>
      <c r="O126" s="59">
        <v>750</v>
      </c>
      <c r="P126" s="59">
        <v>800</v>
      </c>
      <c r="Q126" s="36">
        <v>2.9791500089374498E-4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0.0897932283827012</v>
      </c>
      <c r="I127" s="36">
        <v>0.000363045</v>
      </c>
      <c r="J127" s="36">
        <v>0.000363045</v>
      </c>
      <c r="K127" s="71">
        <v>363045</v>
      </c>
      <c r="L127" s="36">
        <v>0.000363045</v>
      </c>
      <c r="M127" s="36">
        <v>0.299256009591443</v>
      </c>
      <c r="N127" s="73"/>
      <c r="O127" s="59">
        <v>800</v>
      </c>
      <c r="P127" s="59">
        <v>850</v>
      </c>
      <c r="Q127" s="36">
        <v>2.7985200083955599E-4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0.10137976536381</v>
      </c>
      <c r="I128" s="36">
        <v>0.000342288</v>
      </c>
      <c r="J128" s="36">
        <v>0.000342288</v>
      </c>
      <c r="K128" s="72">
        <v>342288</v>
      </c>
      <c r="L128" s="36">
        <v>0.000342288</v>
      </c>
      <c r="M128" s="36">
        <v>0.299255888046019</v>
      </c>
      <c r="N128" s="73"/>
      <c r="O128" s="59">
        <v>850</v>
      </c>
      <c r="P128" s="59">
        <v>900</v>
      </c>
      <c r="Q128" s="36">
        <v>2.6381600079144801E-4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0.112661399952255</v>
      </c>
      <c r="I129" s="36">
        <v>0.000323736</v>
      </c>
      <c r="J129" s="36">
        <v>0.000323736</v>
      </c>
      <c r="K129" s="72">
        <v>323736</v>
      </c>
      <c r="L129" s="36">
        <v>0.000323736</v>
      </c>
      <c r="M129" s="36">
        <v>0.299256195269667</v>
      </c>
      <c r="N129" s="73"/>
      <c r="O129" s="59">
        <v>900</v>
      </c>
      <c r="P129" s="59">
        <v>950</v>
      </c>
      <c r="Q129" s="36">
        <v>2.49579000748737E-4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0.126415523538321</v>
      </c>
      <c r="I130" s="36">
        <v>0.000307145</v>
      </c>
      <c r="J130" s="36">
        <v>0.000307145</v>
      </c>
      <c r="K130" s="72">
        <v>307145</v>
      </c>
      <c r="L130" s="36">
        <v>0.000307145</v>
      </c>
      <c r="M130" s="36">
        <v>0.299255324597671</v>
      </c>
      <c r="N130" s="73"/>
      <c r="O130" s="59">
        <v>950</v>
      </c>
      <c r="P130" s="59">
        <v>1000</v>
      </c>
      <c r="Q130" s="36">
        <v>2.36735000710205E-4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0.0145796425050505</v>
      </c>
      <c r="I131" s="36">
        <v>0.000227936</v>
      </c>
      <c r="J131" s="36">
        <v>0.000227936</v>
      </c>
      <c r="K131" s="72">
        <v>227936</v>
      </c>
      <c r="L131" s="36">
        <v>0.000227936</v>
      </c>
      <c r="M131" s="36">
        <v>0.299255554188532</v>
      </c>
      <c r="N131" s="73"/>
      <c r="O131" s="59">
        <v>1000</v>
      </c>
      <c r="P131" s="59">
        <v>2000</v>
      </c>
      <c r="Q131" s="36">
        <v>1.6616400049849201E-4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0.132787258073691</v>
      </c>
      <c r="I132" s="36">
        <v>0.000252886</v>
      </c>
      <c r="J132" s="36">
        <v>0.000252886</v>
      </c>
      <c r="K132" s="72">
        <v>252886</v>
      </c>
      <c r="L132" s="36">
        <v>0.000252886</v>
      </c>
      <c r="M132" s="36">
        <v>0.598513649825784</v>
      </c>
      <c r="N132" s="73"/>
      <c r="O132" s="59">
        <v>2000</v>
      </c>
      <c r="P132" s="59">
        <v>3000</v>
      </c>
      <c r="Q132" s="36">
        <v>1.9043900057131701E-4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6.7076000201227997E-5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5.1846000155538002E-5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4.2283000126848999E-5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3.5711000107133002E-5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3.0917000092750998E-5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2.7253000081759E-5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18.7528042</v>
      </c>
      <c r="I139" s="36">
        <v>2.948e-05</v>
      </c>
      <c r="J139" s="36">
        <v>2.948e-05</v>
      </c>
      <c r="K139" s="72">
        <v>29480</v>
      </c>
      <c r="L139" s="36">
        <v>2.948e-05</v>
      </c>
      <c r="M139" s="36">
        <v>0.281997238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1.7846000053538E-5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1.40796760293717</v>
      </c>
      <c r="I176" s="36">
        <v>0.033624101</v>
      </c>
      <c r="J176" s="36">
        <v>0.033624101</v>
      </c>
      <c r="K176" s="71">
        <v>33624101</v>
      </c>
      <c r="L176" s="36">
        <v>0.033624101</v>
      </c>
      <c r="M176" s="36">
        <v>0.758814577997639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5.77273942079049</v>
      </c>
      <c r="I177" s="36">
        <v>0.142495353</v>
      </c>
      <c r="J177" s="36">
        <v>0.142495353</v>
      </c>
      <c r="K177" s="71">
        <v>142495353</v>
      </c>
      <c r="L177" s="36">
        <v>0.142495353</v>
      </c>
      <c r="M177" s="36">
        <v>3.9283043725132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2.18550174362721</v>
      </c>
      <c r="I178" s="36">
        <v>0.053611252</v>
      </c>
      <c r="J178" s="36">
        <v>0.053611252</v>
      </c>
      <c r="K178" s="71">
        <v>53611252</v>
      </c>
      <c r="L178" s="36">
        <v>0.053611252</v>
      </c>
      <c r="M178" s="36">
        <v>1.74545208422121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3.82293169799036</v>
      </c>
      <c r="I179" s="36">
        <v>0.094377963</v>
      </c>
      <c r="J179" s="36">
        <v>0.094377963</v>
      </c>
      <c r="K179" s="71">
        <v>94377963</v>
      </c>
      <c r="L179" s="36">
        <v>0.094377963</v>
      </c>
      <c r="M179" s="36">
        <v>3.54421515330854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3.3724575994365</v>
      </c>
      <c r="I180" s="36">
        <v>0.082045785</v>
      </c>
      <c r="J180" s="36">
        <v>0.082045785</v>
      </c>
      <c r="K180" s="71">
        <v>82045785</v>
      </c>
      <c r="L180" s="36">
        <v>0.082045785</v>
      </c>
      <c r="M180" s="36">
        <v>3.49114871364812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2.92403280391443</v>
      </c>
      <c r="I181" s="36">
        <v>0.07022252</v>
      </c>
      <c r="J181" s="36">
        <v>0.07022252</v>
      </c>
      <c r="K181" s="71">
        <v>70222520</v>
      </c>
      <c r="L181" s="36">
        <v>0.07022252</v>
      </c>
      <c r="M181" s="36">
        <v>3.33876062601815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1.4685059476043</v>
      </c>
      <c r="I182" s="36">
        <v>0.067928092</v>
      </c>
      <c r="J182" s="36">
        <v>0.067928092</v>
      </c>
      <c r="K182" s="71">
        <v>67928092</v>
      </c>
      <c r="L182" s="36">
        <v>0.067928092</v>
      </c>
      <c r="M182" s="36">
        <v>3.73693650182995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2.11767540957427</v>
      </c>
      <c r="I183" s="36">
        <v>0.092830631</v>
      </c>
      <c r="J183" s="36">
        <v>0.092830631</v>
      </c>
      <c r="K183" s="71">
        <v>92830631</v>
      </c>
      <c r="L183" s="36">
        <v>0.092830631</v>
      </c>
      <c r="M183" s="36">
        <v>6.03464045262878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1.06707357052518</v>
      </c>
      <c r="I184" s="36">
        <v>0.044401194</v>
      </c>
      <c r="J184" s="36">
        <v>0.044401194</v>
      </c>
      <c r="K184" s="71">
        <v>44401194</v>
      </c>
      <c r="L184" s="36">
        <v>0.044401194</v>
      </c>
      <c r="M184" s="36">
        <v>3.33001927911734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2.18356299098467</v>
      </c>
      <c r="I185" s="36">
        <v>0.084947917</v>
      </c>
      <c r="J185" s="36">
        <v>0.084947917</v>
      </c>
      <c r="K185" s="71">
        <v>84947917</v>
      </c>
      <c r="L185" s="36">
        <v>0.084947917</v>
      </c>
      <c r="M185" s="36">
        <v>7.21949060557725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0.896628951612161</v>
      </c>
      <c r="I186" s="36">
        <v>0.032505661</v>
      </c>
      <c r="J186" s="36">
        <v>0.032505661</v>
      </c>
      <c r="K186" s="71">
        <v>32505661</v>
      </c>
      <c r="L186" s="36">
        <v>0.032505661</v>
      </c>
      <c r="M186" s="36">
        <v>3.08806415319244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1.16513610316236</v>
      </c>
      <c r="I187" s="36">
        <v>0.076061463</v>
      </c>
      <c r="J187" s="36">
        <v>0.076061463</v>
      </c>
      <c r="K187" s="71">
        <v>76061463</v>
      </c>
      <c r="L187" s="36">
        <v>0.076061463</v>
      </c>
      <c r="M187" s="36">
        <v>8.35407264118793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0.492131341544517</v>
      </c>
      <c r="I188" s="36">
        <v>0.027838104</v>
      </c>
      <c r="J188" s="36">
        <v>0.027838104</v>
      </c>
      <c r="K188" s="71">
        <v>27838104</v>
      </c>
      <c r="L188" s="36">
        <v>0.027838104</v>
      </c>
      <c r="M188" s="36">
        <v>3.61374750837331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0.908214032846453</v>
      </c>
      <c r="I189" s="36">
        <v>0.044588485</v>
      </c>
      <c r="J189" s="36">
        <v>0.044588485</v>
      </c>
      <c r="K189" s="71">
        <v>44588485</v>
      </c>
      <c r="L189" s="36">
        <v>0.044588485</v>
      </c>
      <c r="M189" s="36">
        <v>6.67953583747457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0.546269955950363</v>
      </c>
      <c r="I190" s="36">
        <v>0.023313443</v>
      </c>
      <c r="J190" s="36">
        <v>0.023313443</v>
      </c>
      <c r="K190" s="71">
        <v>23313443</v>
      </c>
      <c r="L190" s="36">
        <v>0.023313443</v>
      </c>
      <c r="M190" s="36">
        <v>3.95881216003197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0.722360658040234</v>
      </c>
      <c r="I191" s="36">
        <v>0.026669156</v>
      </c>
      <c r="J191" s="36">
        <v>0.026669156</v>
      </c>
      <c r="K191" s="71">
        <v>26669156</v>
      </c>
      <c r="L191" s="36">
        <v>0.026669156</v>
      </c>
      <c r="M191" s="36">
        <v>5.06199106733401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0.00455948552350596</v>
      </c>
      <c r="I192" s="36">
        <v>0.000334549</v>
      </c>
      <c r="J192" s="36">
        <v>0.000334549</v>
      </c>
      <c r="K192" s="71">
        <v>334549</v>
      </c>
      <c r="L192" s="36">
        <v>0.000334549</v>
      </c>
      <c r="M192" s="36">
        <v>0.0748220802111703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0.00515988689038901</v>
      </c>
      <c r="I193" s="36">
        <v>0.000273312</v>
      </c>
      <c r="J193" s="36">
        <v>0.000273312</v>
      </c>
      <c r="K193" s="71">
        <v>273312</v>
      </c>
      <c r="L193" s="36">
        <v>0.000273312</v>
      </c>
      <c r="M193" s="36">
        <v>0.0748221479466175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0.0059002001053081</v>
      </c>
      <c r="I194" s="36">
        <v>0.000231084</v>
      </c>
      <c r="J194" s="36">
        <v>0.000231084</v>
      </c>
      <c r="K194" s="71">
        <v>231084</v>
      </c>
      <c r="L194" s="36">
        <v>0.000231084</v>
      </c>
      <c r="M194" s="36">
        <v>0.0748219891541001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0.00681637873324247</v>
      </c>
      <c r="I195" s="36">
        <v>0.000200118</v>
      </c>
      <c r="J195" s="36">
        <v>0.000200118</v>
      </c>
      <c r="K195" s="71">
        <v>200118</v>
      </c>
      <c r="L195" s="36">
        <v>0.000200118</v>
      </c>
      <c r="M195" s="36">
        <v>0.0748222813607716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0.00791779240434794</v>
      </c>
      <c r="I196" s="36">
        <v>0.000176501</v>
      </c>
      <c r="J196" s="36">
        <v>0.000176501</v>
      </c>
      <c r="K196" s="71">
        <v>176501</v>
      </c>
      <c r="L196" s="36">
        <v>0.000176501</v>
      </c>
      <c r="M196" s="36">
        <v>0.0748222113707521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0.00909190695072156</v>
      </c>
      <c r="I197" s="36">
        <v>0.000157835</v>
      </c>
      <c r="J197" s="36">
        <v>0.000157835</v>
      </c>
      <c r="K197" s="71">
        <v>157835</v>
      </c>
      <c r="L197" s="36">
        <v>0.000157835</v>
      </c>
      <c r="M197" s="36">
        <v>0.0748223221957904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0.0104247918338793</v>
      </c>
      <c r="I198" s="36">
        <v>0.000142794</v>
      </c>
      <c r="J198" s="36">
        <v>0.000142794</v>
      </c>
      <c r="K198" s="71">
        <v>142794</v>
      </c>
      <c r="L198" s="36">
        <v>0.000142794</v>
      </c>
      <c r="M198" s="36">
        <v>0.0748220078597385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0.0119683833193553</v>
      </c>
      <c r="I199" s="36">
        <v>0.000130319</v>
      </c>
      <c r="J199" s="36">
        <v>0.000130319</v>
      </c>
      <c r="K199" s="71">
        <v>130319</v>
      </c>
      <c r="L199" s="36">
        <v>0.000130319</v>
      </c>
      <c r="M199" s="36">
        <v>0.0748215861171214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0.0137370615285487</v>
      </c>
      <c r="I200" s="36">
        <v>0.000119894</v>
      </c>
      <c r="J200" s="36">
        <v>0.000119894</v>
      </c>
      <c r="K200" s="71">
        <v>119894</v>
      </c>
      <c r="L200" s="36">
        <v>0.000119894</v>
      </c>
      <c r="M200" s="36">
        <v>0.0748219707492967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0.015685689017473</v>
      </c>
      <c r="I201" s="36">
        <v>0.000110974</v>
      </c>
      <c r="J201" s="36">
        <v>0.000110974</v>
      </c>
      <c r="K201" s="71">
        <v>110974</v>
      </c>
      <c r="L201" s="36">
        <v>0.000110974</v>
      </c>
      <c r="M201" s="36">
        <v>0.0748216847287547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0.0176791477966786</v>
      </c>
      <c r="I202" s="36">
        <v>0.000103301</v>
      </c>
      <c r="J202" s="36">
        <v>0.000103301</v>
      </c>
      <c r="K202" s="71">
        <v>103301</v>
      </c>
      <c r="L202" s="36">
        <v>0.000103301</v>
      </c>
      <c r="M202" s="36">
        <v>0.0748222920340728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0.0199724289502909</v>
      </c>
      <c r="I203" s="36">
        <v>9.6638e-05</v>
      </c>
      <c r="J203" s="36">
        <v>9.6638e-05</v>
      </c>
      <c r="K203" s="71">
        <v>96638</v>
      </c>
      <c r="L203" s="36">
        <v>9.6638e-05</v>
      </c>
      <c r="M203" s="36">
        <v>0.0748223558313554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0.0224507185983175</v>
      </c>
      <c r="I204" s="36">
        <v>9.0771e-05</v>
      </c>
      <c r="J204" s="36">
        <v>9.0771e-05</v>
      </c>
      <c r="K204" s="71">
        <v>90771</v>
      </c>
      <c r="L204" s="36">
        <v>9.0771e-05</v>
      </c>
      <c r="M204" s="36">
        <v>0.0748220392695804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0.0253476069847619</v>
      </c>
      <c r="I205" s="36">
        <v>8.5581e-05</v>
      </c>
      <c r="J205" s="36">
        <v>8.5581e-05</v>
      </c>
      <c r="K205" s="72">
        <v>85581</v>
      </c>
      <c r="L205" s="36">
        <v>8.5581e-05</v>
      </c>
      <c r="M205" s="36">
        <v>0.0748218405403238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0.0281681340194957</v>
      </c>
      <c r="I206" s="36">
        <v>8.0942e-05</v>
      </c>
      <c r="J206" s="36">
        <v>8.0942e-05</v>
      </c>
      <c r="K206" s="72">
        <v>80942</v>
      </c>
      <c r="L206" s="36">
        <v>8.0942e-05</v>
      </c>
      <c r="M206" s="36">
        <v>0.0748214438848859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0.0316074822319275</v>
      </c>
      <c r="I207" s="36">
        <v>7.6795e-05</v>
      </c>
      <c r="J207" s="36">
        <v>7.6795e-05</v>
      </c>
      <c r="K207" s="72">
        <v>76795</v>
      </c>
      <c r="L207" s="36">
        <v>7.6795e-05</v>
      </c>
      <c r="M207" s="36">
        <v>0.0748223563869772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0.00364529440879382</v>
      </c>
      <c r="I208" s="36">
        <v>5.699e-05</v>
      </c>
      <c r="J208" s="36">
        <v>5.699e-05</v>
      </c>
      <c r="K208" s="72">
        <v>56990</v>
      </c>
      <c r="L208" s="36">
        <v>5.699e-05</v>
      </c>
      <c r="M208" s="36">
        <v>0.0748217659044838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0.0332012777615188</v>
      </c>
      <c r="I209" s="36">
        <v>6.323e-05</v>
      </c>
      <c r="J209" s="36">
        <v>6.323e-05</v>
      </c>
      <c r="K209" s="72">
        <v>63230</v>
      </c>
      <c r="L209" s="36">
        <v>6.323e-05</v>
      </c>
      <c r="M209" s="36">
        <v>0.149648529687228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4.61313894363636</v>
      </c>
      <c r="I216" s="36">
        <v>7.252e-06</v>
      </c>
      <c r="J216" s="36">
        <v>7.252e-06</v>
      </c>
      <c r="K216" s="72">
        <v>7252</v>
      </c>
      <c r="L216" s="36">
        <v>7.252e-06</v>
      </c>
      <c r="M216" s="36">
        <v>0.0693705552909091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0.720000015561811</v>
      </c>
      <c r="D7" s="40">
        <f>SUM(_xlfn.ANCHORARRAY(M86))*F7</f>
        <v>0.209999941211268</v>
      </c>
      <c r="E7" s="41">
        <f>SUM(C7:D7)</f>
        <v>0.929999956773079</v>
      </c>
      <c r="F7" s="42">
        <f>L79</f>
        <v>0.003577802</v>
      </c>
      <c r="G7" s="43">
        <f>1/F7</f>
        <v>279.501213314767</v>
      </c>
      <c r="H7" s="44">
        <f>D7*G7</f>
        <v>58.6952383645792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0.733362425</v>
      </c>
      <c r="J15" s="36" cm="1">
        <f t="array" ref="J15:J78">I15:I78/SUM(I15:I78)</f>
        <v>0.733362425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0.597429617329187</v>
      </c>
      <c r="I18" s="36">
        <v>0.019740552</v>
      </c>
      <c r="J18" s="36">
        <v>0.019740552</v>
      </c>
      <c r="K18" s="71">
        <v>19740552</v>
      </c>
      <c r="L18" s="36">
        <v>0.019669924</v>
      </c>
      <c r="M18" s="36">
        <v>0.0497960159065806</v>
      </c>
      <c r="N18" s="73"/>
      <c r="O18" s="59">
        <v>2</v>
      </c>
      <c r="P18" s="59">
        <v>3</v>
      </c>
      <c r="Q18" s="36">
        <v>1.9669834528320721E-2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0.408928792008118</v>
      </c>
      <c r="I23" s="36">
        <v>0.00366142</v>
      </c>
      <c r="J23" s="36">
        <v>0.00366142</v>
      </c>
      <c r="K23" s="71">
        <v>3661420</v>
      </c>
      <c r="L23" s="36">
        <v>0.00364832</v>
      </c>
      <c r="M23" s="36">
        <v>0.0274806835869259</v>
      </c>
      <c r="N23" s="73"/>
      <c r="O23" s="59">
        <v>7</v>
      </c>
      <c r="P23" s="59">
        <v>8</v>
      </c>
      <c r="Q23" s="36">
        <v>3.6482583846793098E-3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1.0123712302544581E-2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3.95954962466477</v>
      </c>
      <c r="I108" s="36">
        <v>0.154039748</v>
      </c>
      <c r="J108" s="36">
        <v>0.154039748</v>
      </c>
      <c r="K108" s="71">
        <v>154039748</v>
      </c>
      <c r="L108" s="36">
        <v>0.154039748</v>
      </c>
      <c r="M108" s="36">
        <v>13.0914159269083</v>
      </c>
      <c r="N108" s="73"/>
      <c r="O108" s="59">
        <v>80</v>
      </c>
      <c r="P108" s="59">
        <v>90</v>
      </c>
      <c r="Q108" s="36">
        <v>0.15384678199999999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1.70038522444137</v>
      </c>
      <c r="I109" s="79">
        <v>0.061644391</v>
      </c>
      <c r="J109" s="79">
        <v>0.061644391</v>
      </c>
      <c r="K109" s="71">
        <v>61644391</v>
      </c>
      <c r="L109" s="79">
        <v>0.061644391</v>
      </c>
      <c r="M109" s="79">
        <v>5.85626713120766</v>
      </c>
      <c r="N109" s="73"/>
      <c r="O109" s="59">
        <v>90</v>
      </c>
      <c r="P109" s="59">
        <v>100</v>
      </c>
      <c r="Q109" s="36">
        <v>6.1537794E-2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84</v>
      </c>
      <c r="C6" s="22">
        <v>3641760160</v>
      </c>
    </row>
    <row r="7" spans="1:3" x14ac:dyDescent="0.3">
      <c r="A7" s="21"/>
      <c r="B7" s="15" t="s">
        <v>86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2026-08-11T02:25:05Z</dcterms:modified>
</cp:coreProperties>
</file>