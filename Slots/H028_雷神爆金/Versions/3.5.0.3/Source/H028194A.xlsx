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8_雷神爆金\Source\"/>
    </mc:Choice>
  </mc:AlternateContent>
  <xr:revisionPtr revIDLastSave="0" documentId="13_ncr:1_{A5B33052-1968-471F-8976-9F97C19672AD}" xr6:coauthVersionLast="47" xr6:coauthVersionMax="47" xr10:uidLastSave="{00000000-0000-0000-0000-000000000000}"/>
  <bookViews>
    <workbookView xWindow="-492" yWindow="588" windowWidth="17280" windowHeight="888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6" l="1" a="1"/>
  <c r="J7" i="6" s="1"/>
  <c r="J8" i="5" a="1"/>
  <c r="J8" i="5" s="1"/>
  <c r="J7" i="5" a="1"/>
  <c r="J7" i="5" s="1"/>
  <c r="G149" i="6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C15" i="3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E65" i="3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J79" i="5" s="1"/>
  <c r="A15" i="5"/>
  <c r="F8" i="5"/>
  <c r="G8" i="5" s="1"/>
  <c r="B7" i="5" a="1"/>
  <c r="B7" i="5" s="1"/>
  <c r="B3" i="5"/>
  <c r="E15" i="5" s="1" a="1"/>
  <c r="E15" i="5" s="1"/>
  <c r="C21" i="1"/>
  <c r="A21" i="1"/>
  <c r="A17" i="1"/>
  <c r="A11" i="1" a="1"/>
  <c r="A12" i="1" s="1"/>
  <c r="I15" i="6" l="1" a="1"/>
  <c r="I15" i="6" s="1"/>
  <c r="J15" i="6" s="1" a="1"/>
  <c r="J15" i="6" s="1"/>
  <c r="L156" i="5"/>
  <c r="E86" i="5" a="1"/>
  <c r="E86" i="5" s="1"/>
  <c r="E156" i="5"/>
  <c r="E163" i="5" a="1"/>
  <c r="E163" i="5" s="1"/>
  <c r="J79" i="6"/>
  <c r="E86" i="6" a="1"/>
  <c r="E86" i="6" s="1"/>
  <c r="F55" i="3"/>
  <c r="F39" i="3"/>
  <c r="F23" i="3"/>
  <c r="F7" i="3"/>
  <c r="F64" i="3"/>
  <c r="F51" i="3"/>
  <c r="F19" i="3"/>
  <c r="F22" i="3"/>
  <c r="F63" i="3"/>
  <c r="F15" i="3"/>
  <c r="F66" i="3"/>
  <c r="F50" i="3"/>
  <c r="F34" i="3"/>
  <c r="F58" i="3"/>
  <c r="F42" i="3"/>
  <c r="F26" i="3"/>
  <c r="F10" i="3"/>
  <c r="F48" i="3"/>
  <c r="F16" i="3"/>
  <c r="F35" i="3"/>
  <c r="F54" i="3"/>
  <c r="F38" i="3"/>
  <c r="F6" i="3"/>
  <c r="F47" i="3"/>
  <c r="F31" i="3"/>
  <c r="F61" i="3"/>
  <c r="F45" i="3"/>
  <c r="F29" i="3"/>
  <c r="F13" i="3"/>
  <c r="F32" i="3"/>
  <c r="F60" i="3"/>
  <c r="F44" i="3"/>
  <c r="F57" i="3"/>
  <c r="F41" i="3"/>
  <c r="F25" i="3"/>
  <c r="F9" i="3"/>
  <c r="F28" i="3"/>
  <c r="F12" i="3"/>
  <c r="F18" i="3"/>
  <c r="F59" i="3"/>
  <c r="F43" i="3"/>
  <c r="F27" i="3"/>
  <c r="F11" i="3"/>
  <c r="F62" i="3"/>
  <c r="F46" i="3"/>
  <c r="F30" i="3"/>
  <c r="F14" i="3"/>
  <c r="F65" i="3"/>
  <c r="F49" i="3"/>
  <c r="F33" i="3"/>
  <c r="F17" i="3"/>
  <c r="F37" i="3"/>
  <c r="F4" i="3"/>
  <c r="F36" i="3"/>
  <c r="F56" i="3"/>
  <c r="F21" i="3"/>
  <c r="F53" i="3"/>
  <c r="F20" i="3"/>
  <c r="F52" i="3"/>
  <c r="F5" i="3"/>
  <c r="F40" i="3"/>
  <c r="F8" i="3"/>
  <c r="F24" i="3"/>
  <c r="C59" i="3"/>
  <c r="C43" i="3"/>
  <c r="C11" i="3"/>
  <c r="C63" i="3"/>
  <c r="I15" i="5"/>
  <c r="J15" i="5" s="1" a="1"/>
  <c r="J15" i="5" s="1"/>
  <c r="K15" i="5" s="1" a="1"/>
  <c r="K15" i="5" s="1"/>
  <c r="C44" i="3"/>
  <c r="C28" i="3"/>
  <c r="E52" i="3"/>
  <c r="E36" i="3"/>
  <c r="E20" i="3"/>
  <c r="E4" i="3"/>
  <c r="E32" i="3"/>
  <c r="E51" i="3"/>
  <c r="E9" i="3"/>
  <c r="E55" i="3"/>
  <c r="E39" i="3"/>
  <c r="E23" i="3"/>
  <c r="E7" i="3"/>
  <c r="E29" i="3"/>
  <c r="E64" i="3"/>
  <c r="E48" i="3"/>
  <c r="E19" i="3"/>
  <c r="E57" i="3"/>
  <c r="E25" i="3"/>
  <c r="E60" i="3"/>
  <c r="E58" i="3"/>
  <c r="E42" i="3"/>
  <c r="E26" i="3"/>
  <c r="E10" i="3"/>
  <c r="E61" i="3"/>
  <c r="E45" i="3"/>
  <c r="E13" i="3"/>
  <c r="E16" i="3"/>
  <c r="E35" i="3"/>
  <c r="E12" i="3"/>
  <c r="E47" i="3"/>
  <c r="E31" i="3"/>
  <c r="E15" i="3"/>
  <c r="E54" i="3"/>
  <c r="E38" i="3"/>
  <c r="E22" i="3"/>
  <c r="E6" i="3"/>
  <c r="E41" i="3"/>
  <c r="E44" i="3"/>
  <c r="E28" i="3"/>
  <c r="E63" i="3"/>
  <c r="E66" i="3"/>
  <c r="E56" i="3"/>
  <c r="E40" i="3"/>
  <c r="E24" i="3"/>
  <c r="E8" i="3"/>
  <c r="E59" i="3"/>
  <c r="E43" i="3"/>
  <c r="E27" i="3"/>
  <c r="E11" i="3"/>
  <c r="E62" i="3"/>
  <c r="E46" i="3"/>
  <c r="E30" i="3"/>
  <c r="E14" i="3"/>
  <c r="E49" i="3"/>
  <c r="E33" i="3"/>
  <c r="C62" i="3"/>
  <c r="C46" i="3"/>
  <c r="C30" i="3"/>
  <c r="C14" i="3"/>
  <c r="C39" i="3"/>
  <c r="C26" i="3"/>
  <c r="C10" i="3"/>
  <c r="C61" i="3"/>
  <c r="C51" i="3"/>
  <c r="C38" i="3"/>
  <c r="C57" i="3"/>
  <c r="C25" i="3"/>
  <c r="C65" i="3"/>
  <c r="C49" i="3"/>
  <c r="C33" i="3"/>
  <c r="C17" i="3"/>
  <c r="C7" i="3"/>
  <c r="C58" i="3"/>
  <c r="C42" i="3"/>
  <c r="C29" i="3"/>
  <c r="C35" i="3"/>
  <c r="C54" i="3"/>
  <c r="C22" i="3"/>
  <c r="C52" i="3"/>
  <c r="C36" i="3"/>
  <c r="C20" i="3"/>
  <c r="C4" i="3"/>
  <c r="C55" i="3"/>
  <c r="C23" i="3"/>
  <c r="C45" i="3"/>
  <c r="C13" i="3"/>
  <c r="C19" i="3"/>
  <c r="C9" i="3"/>
  <c r="C64" i="3"/>
  <c r="C48" i="3"/>
  <c r="C32" i="3"/>
  <c r="C16" i="3"/>
  <c r="C6" i="3"/>
  <c r="C41" i="3"/>
  <c r="C60" i="3"/>
  <c r="C66" i="3"/>
  <c r="C50" i="3"/>
  <c r="C34" i="3"/>
  <c r="C18" i="3"/>
  <c r="C53" i="3"/>
  <c r="C37" i="3"/>
  <c r="C21" i="3"/>
  <c r="C5" i="3"/>
  <c r="C56" i="3"/>
  <c r="C40" i="3"/>
  <c r="C24" i="3"/>
  <c r="C8" i="3"/>
  <c r="C27" i="3"/>
  <c r="C12" i="3"/>
  <c r="C47" i="3"/>
  <c r="C31" i="3"/>
  <c r="E17" i="3"/>
  <c r="E50" i="3"/>
  <c r="E34" i="3"/>
  <c r="E37" i="3"/>
  <c r="E5" i="3"/>
  <c r="E18" i="3"/>
  <c r="E53" i="3"/>
  <c r="E21" i="3"/>
  <c r="A11" i="1"/>
  <c r="I7" i="6" l="1" a="1"/>
  <c r="I7" i="6" s="1"/>
  <c r="M156" i="5"/>
  <c r="C8" i="5" s="1"/>
  <c r="L86" i="6" a="1"/>
  <c r="L86" i="6" s="1"/>
  <c r="C3" i="3"/>
  <c r="F3" i="3"/>
  <c r="L163" i="5" a="1"/>
  <c r="L163" i="5" s="1"/>
  <c r="D65" i="3"/>
  <c r="D49" i="3"/>
  <c r="D33" i="3"/>
  <c r="D17" i="3"/>
  <c r="D42" i="3"/>
  <c r="D26" i="3"/>
  <c r="D10" i="3"/>
  <c r="D45" i="3"/>
  <c r="D32" i="3"/>
  <c r="D16" i="3"/>
  <c r="D38" i="3"/>
  <c r="D22" i="3"/>
  <c r="D25" i="3"/>
  <c r="D44" i="3"/>
  <c r="D12" i="3"/>
  <c r="D52" i="3"/>
  <c r="D36" i="3"/>
  <c r="D20" i="3"/>
  <c r="D4" i="3"/>
  <c r="D58" i="3"/>
  <c r="D61" i="3"/>
  <c r="D29" i="3"/>
  <c r="D13" i="3"/>
  <c r="D64" i="3"/>
  <c r="D48" i="3"/>
  <c r="D41" i="3"/>
  <c r="D9" i="3"/>
  <c r="D55" i="3"/>
  <c r="D39" i="3"/>
  <c r="D23" i="3"/>
  <c r="D7" i="3"/>
  <c r="D6" i="3"/>
  <c r="D60" i="3"/>
  <c r="D63" i="3"/>
  <c r="D51" i="3"/>
  <c r="D35" i="3"/>
  <c r="D19" i="3"/>
  <c r="D67" i="3"/>
  <c r="D54" i="3"/>
  <c r="D57" i="3"/>
  <c r="D28" i="3"/>
  <c r="D53" i="3"/>
  <c r="D37" i="3"/>
  <c r="D21" i="3"/>
  <c r="D5" i="3"/>
  <c r="D56" i="3"/>
  <c r="D40" i="3"/>
  <c r="D24" i="3"/>
  <c r="D8" i="3"/>
  <c r="D59" i="3"/>
  <c r="D43" i="3"/>
  <c r="D27" i="3"/>
  <c r="D11" i="3"/>
  <c r="D18" i="3"/>
  <c r="D34" i="3"/>
  <c r="D66" i="3"/>
  <c r="D30" i="3"/>
  <c r="D62" i="3"/>
  <c r="D50" i="3"/>
  <c r="D15" i="3"/>
  <c r="D31" i="3"/>
  <c r="D47" i="3"/>
  <c r="D14" i="3"/>
  <c r="D46" i="3"/>
  <c r="L86" i="5" a="1"/>
  <c r="L86" i="5" s="1"/>
  <c r="E3" i="3"/>
  <c r="B21" i="1" l="1"/>
  <c r="B12" i="3"/>
  <c r="B30" i="3"/>
  <c r="B32" i="3"/>
  <c r="B34" i="3"/>
  <c r="B45" i="3"/>
  <c r="B14" i="3"/>
  <c r="B38" i="3"/>
  <c r="B18" i="3"/>
  <c r="B59" i="3"/>
  <c r="B55" i="3"/>
  <c r="B22" i="3"/>
  <c r="B53" i="3"/>
  <c r="B57" i="3"/>
  <c r="B43" i="3"/>
  <c r="B23" i="3"/>
  <c r="B61" i="3"/>
  <c r="B37" i="3"/>
  <c r="B56" i="3"/>
  <c r="B8" i="3"/>
  <c r="B27" i="3"/>
  <c r="B7" i="3"/>
  <c r="B21" i="3"/>
  <c r="B33" i="3"/>
  <c r="B64" i="3"/>
  <c r="B17" i="3"/>
  <c r="B31" i="3"/>
  <c r="B15" i="3"/>
  <c r="B26" i="3"/>
  <c r="B47" i="3"/>
  <c r="B28" i="3"/>
  <c r="B41" i="3"/>
  <c r="B11" i="3"/>
  <c r="B48" i="3"/>
  <c r="B29" i="3"/>
  <c r="B5" i="3"/>
  <c r="B52" i="3"/>
  <c r="B16" i="3"/>
  <c r="B13" i="3"/>
  <c r="B25" i="3"/>
  <c r="B36" i="3"/>
  <c r="B67" i="3"/>
  <c r="B35" i="3"/>
  <c r="B20" i="3"/>
  <c r="B51" i="3"/>
  <c r="B19" i="3"/>
  <c r="B60" i="3"/>
  <c r="B39" i="3"/>
  <c r="B65" i="3"/>
  <c r="B54" i="3"/>
  <c r="B44" i="3"/>
  <c r="B42" i="3"/>
  <c r="B49" i="3"/>
  <c r="B63" i="3"/>
  <c r="B24" i="3"/>
  <c r="B10" i="3"/>
  <c r="B4" i="3"/>
  <c r="B9" i="3"/>
  <c r="B62" i="3"/>
  <c r="B58" i="3"/>
  <c r="B66" i="3"/>
  <c r="B40" i="3"/>
  <c r="B46" i="3"/>
  <c r="B50" i="3"/>
  <c r="B6" i="3"/>
  <c r="L15" i="5" a="1"/>
  <c r="D3" i="3"/>
  <c r="I7" i="5" a="1"/>
  <c r="I7" i="5" s="1"/>
  <c r="U86" i="5" a="1"/>
  <c r="U86" i="5" s="1"/>
  <c r="Q86" i="5" a="1"/>
  <c r="Q86" i="5" s="1"/>
  <c r="M86" i="5" a="1"/>
  <c r="M86" i="5" s="1"/>
  <c r="U163" i="5" a="1"/>
  <c r="U163" i="5" s="1"/>
  <c r="Q163" i="5" a="1"/>
  <c r="Q163" i="5" s="1"/>
  <c r="M163" i="5" a="1"/>
  <c r="M163" i="5" s="1"/>
  <c r="D8" i="5" s="1"/>
  <c r="Q86" i="6" a="1"/>
  <c r="Q86" i="6" s="1"/>
  <c r="M86" i="6" a="1"/>
  <c r="M86" i="6" s="1"/>
  <c r="U86" i="6" a="1"/>
  <c r="U86" i="6" s="1"/>
  <c r="B3" i="3" l="1"/>
  <c r="L15" i="6" a="1"/>
  <c r="H8" i="5"/>
  <c r="B22" i="1"/>
  <c r="C12" i="1" s="1"/>
  <c r="E8" i="5"/>
  <c r="F7" i="5"/>
  <c r="L15" i="5"/>
  <c r="L15" i="6" l="1"/>
  <c r="F7" i="6"/>
  <c r="Q15" i="5" a="1"/>
  <c r="Q15" i="5" s="1"/>
  <c r="M15" i="5" a="1"/>
  <c r="M15" i="5" s="1"/>
  <c r="C7" i="5" s="1"/>
  <c r="U15" i="5" a="1"/>
  <c r="U15" i="5" s="1"/>
  <c r="D7" i="5"/>
  <c r="G7" i="5"/>
  <c r="D17" i="1" s="1"/>
  <c r="C17" i="1" s="1"/>
  <c r="D7" i="6" l="1"/>
  <c r="G7" i="6"/>
  <c r="M15" i="6" a="1"/>
  <c r="M15" i="6" s="1"/>
  <c r="C7" i="6" s="1"/>
  <c r="Q15" i="6" a="1"/>
  <c r="Q15" i="6" s="1"/>
  <c r="U15" i="6" a="1"/>
  <c r="U15" i="6" s="1"/>
  <c r="B18" i="1"/>
  <c r="H7" i="5"/>
  <c r="B17" i="1"/>
  <c r="E7" i="5"/>
  <c r="E7" i="6" l="1"/>
  <c r="C11" i="1"/>
  <c r="H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<sst xmlns="http://schemas.openxmlformats.org/spreadsheetml/2006/main" count="287" uniqueCount="127">
  <si>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</si>
  <si>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</si>
  <si>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</si>
  <si>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</si>
  <si>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</si>
  <si>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</si>
  <si>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</si>
  <si>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</si>
  <si>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</si>
  <si>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</si>
  <si>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</si>
  <si>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</si>
  <si>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</si>
  <si>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</si>
  <si>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</si>
  <si>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</si>
  <si>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</si>
  <si>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</si>
  <si>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</si>
  <si>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</si>
  <si>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</si>
  <si>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</si>
  <si>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</si>
  <si>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</si>
  <si>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</si>
  <si>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</si>
  <si>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</si>
  <si>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</si>
  <si>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</si>
  <si>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</si>
  <si>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</si>
  <si>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</si>
  <si>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</si>
  <si>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</si>
  <si>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</si>
  <si>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</si>
  <si>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</si>
  <si>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</si>
  <si>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</si>
  <si>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</si>
  <si>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</si>
  <si>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</si>
  <si>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</si>
  <si>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</si>
  <si>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</si>
  <si>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</si>
  <si>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</si>
  <si>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</si>
  <si>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</si>
  <si>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</si>
  <si>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</si>
  <si>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</si>
  <si>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</si>
  <si>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</si>
  <si>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</si>
  <si>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</si>
  <si>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</si>
  <si>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</si>
  <si>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</si>
  <si>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</si>
  <si>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</si>
  <si>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</si>
  <si>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</si>
  <si>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</si>
  <si>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</si>
  <si>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</si>
  <si>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</si>
  <si>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</si>
  <si>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</si>
  <si>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</si>
  <si>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</si>
  <si>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</si>
  <si>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</si>
  <si>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</si>
  <si>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</si>
  <si>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</si>
  <si>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</si>
  <si>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</si>
  <si>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</si>
  <si>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</si>
  <si>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</si>
  <si>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</si>
  <si>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</si>
  <si>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</si>
  <si>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</si>
  <si>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</si>
  <si>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</si>
  <si>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</si>
  <si>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</si>
  <si>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</si>
  <si>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</si>
  <si>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</si>
  <si>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</si>
  <si>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</si>
  <si>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</si>
  <si>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</si>
  <si>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</si>
  <si>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</si>
  <si>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</si>
  <si>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</si>
  <si>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</si>
  <si>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</si>
  <si>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</si>
  <si>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</si>
  <si>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</si>
  <si>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</si>
  <si>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</si>
  <si>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</si>
  <si>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</si>
  <si>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</si>
  <si>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</si>
  <si>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</si>
  <si>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</si>
  <si>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</si>
  <si>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</si>
  <si>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</si>
  <si>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</si>
  <si>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</si>
  <si>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</si>
  <si>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</si>
  <si>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</si>
  <si>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</si>
  <si>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</si>
  <si>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</si>
  <si>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</si>
  <si>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</si>
  <si>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3.5.0.3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</si>
</sst>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36" borderId="11" xfId="0" applyFont="1" applyFill="1" applyBorder="1"/>
    <xf numFmtId="176" fontId="23" fillId="36" borderId="11" xfId="1" applyNumberFormat="1" applyFont="1" applyFill="1" applyBorder="1">
      <alignment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24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0.94000000010781493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0.92500039351908048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1" t="str">
        <f>D11</f>
        <v>Normal Bet</v>
      </c>
      <c r="B17" s="19">
        <f>Detail!C7</f>
        <v>0.71999955330765253</v>
      </c>
      <c r="C17" s="103">
        <f>1/D17</f>
        <v>3.3333327253666674E-3</v>
      </c>
      <c r="D17" s="106">
        <f>Detail!G7</f>
        <v>300.0000547170099</v>
      </c>
      <c r="E17" s="16" t="s">
        <v>13</v>
      </c>
      <c r="H17" s="26"/>
      <c r="I17" s="30"/>
      <c r="J17" s="31"/>
    </row>
    <row r="18" spans="1:10" ht="15.6" customHeight="1" x14ac:dyDescent="0.3">
      <c r="A18" s="102"/>
      <c r="B18" s="19">
        <f>Detail!D7</f>
        <v>0.2200004468001624</v>
      </c>
      <c r="C18" s="104"/>
      <c r="D18" s="104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7" t="str">
        <f>D12</f>
        <v>Buy Feature</v>
      </c>
      <c r="B21" s="19">
        <f>Detail!C8</f>
        <v>0</v>
      </c>
      <c r="C21" s="103">
        <f>1/D21</f>
        <v>1</v>
      </c>
      <c r="D21" s="105">
        <v>1</v>
      </c>
      <c r="E21" s="16" t="s">
        <v>13</v>
      </c>
      <c r="H21" s="26"/>
      <c r="I21" s="30"/>
      <c r="J21" s="31"/>
    </row>
    <row r="22" spans="1:10" x14ac:dyDescent="0.3">
      <c r="A22" s="108"/>
      <c r="B22" s="19">
        <f>Detail!D8</f>
        <v>0.92500039351908048</v>
      </c>
      <c r="C22" s="104"/>
      <c r="D22" s="104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725290353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154419248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45353384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20823040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12801058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8330031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6441913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3475080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3905192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3166363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2057514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6253639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2710826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1529839</v>
      </c>
      <c r="E16" s="10">
        <f>Detail!K99</f>
        <v>40561600</v>
      </c>
      <c r="F16" s="10">
        <f>Detail!K176</f>
        <v>33624101</v>
      </c>
    </row>
    <row r="17" spans="1:6" x14ac:dyDescent="0.3">
      <c r="A17" s="14" t="s">
        <v>30</v>
      </c>
      <c r="B17" s="99">
        <f>Detail_Newbie!K29</f>
        <v>2344760</v>
      </c>
      <c r="C17" s="10">
        <f>Detail_Newbie!K100</f>
        <v>0</v>
      </c>
      <c r="D17" s="10">
        <f>Detail!K29</f>
        <v>1232818</v>
      </c>
      <c r="E17" s="10">
        <f>Detail!K100</f>
        <v>167906515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589469</v>
      </c>
      <c r="E18" s="10">
        <f>Detail!K101</f>
        <v>61717747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407617</v>
      </c>
      <c r="E19" s="10">
        <f>Detail!K102</f>
        <v>106127260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249167</v>
      </c>
      <c r="E20" s="10">
        <f>Detail!K103</f>
        <v>90117822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208681</v>
      </c>
      <c r="E21" s="10">
        <f>Detail!K104</f>
        <v>75352922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445875</v>
      </c>
      <c r="E22" s="10">
        <f>Detail!K105</f>
        <v>70377484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308895</v>
      </c>
      <c r="E23" s="10">
        <f>Detail!K106</f>
        <v>91776532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41887540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76469407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27923209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60927407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20302008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29614289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14097570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14685799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1338052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1093128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924237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800382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705926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631269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571114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521223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479525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443850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413158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386509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363045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342288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323736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307145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227936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99">
        <f>Detail!K132</f>
        <v>374600</v>
      </c>
      <c r="F49" s="99">
        <f>Detail!K209</f>
        <v>93220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99">
        <f>Detail!K139</f>
        <v>0</v>
      </c>
      <c r="F56" s="99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f t="array" ref="B7:B8">Overview!B11:B12</f>
        <v>1</v>
      </c>
      <c r="C7" s="40">
        <f>SUM(M15:M79)</f>
        <v>0.71999955330765253</v>
      </c>
      <c r="D7" s="40">
        <f>SUM(_xlfn.ANCHORARRAY(M86))*F7</f>
        <v>0.2200004468001624</v>
      </c>
      <c r="E7" s="41">
        <f>SUM(C7:D7)</f>
        <v>0.94000000010781493</v>
      </c>
      <c r="F7" s="42">
        <f>L79</f>
        <v>3.3333327253666674E-3</v>
      </c>
      <c r="G7" s="43">
        <f>1/F7</f>
        <v>300.0000547170099</v>
      </c>
      <c r="H7" s="44">
        <f>D7*G7</f>
        <v>66.000146077815344</v>
      </c>
      <c r="I7" s="60" cm="1">
        <f t="array" ref="I7">LOOKUP(2,1/(K15:K78&lt;&gt;0),P15:P78)</f>
        <v>70</v>
      </c>
      <c r="J7" s="60" cm="1">
        <f t="array" ref="J7">LOOKUP(2,1/(K86:K149&lt;&gt;0),P86:P149)</f>
        <v>3000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f>M156/B8</f>
        <v>0</v>
      </c>
      <c r="D8" s="40">
        <f>SUM(_xlfn.ANCHORARRAY(M163))/B8</f>
        <v>0.92500039351908048</v>
      </c>
      <c r="E8" s="41">
        <f>SUM(C8:D8)</f>
        <v>0.92500039351908048</v>
      </c>
      <c r="F8" s="45">
        <f>D156</f>
        <v>1</v>
      </c>
      <c r="G8" s="43">
        <f>1/F8</f>
        <v>1</v>
      </c>
      <c r="H8" s="44">
        <f>D8*G8*B8</f>
        <v>69.37502951393104</v>
      </c>
      <c r="I8" s="61"/>
      <c r="J8" s="61" cm="1">
        <f t="array" ref="J8">LOOKUP(2,1/(K163:K226&lt;&gt;0),P163:P226)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0.72533028700000246</v>
      </c>
      <c r="J15" s="36" cm="1">
        <f t="array" ref="J15:J78">I15:I78/SUM(I15:I78)</f>
        <v>0.7252903534922297</v>
      </c>
      <c r="K15" s="71" cm="1">
        <f t="array" ref="K15:K79">ROUND(J15:J79*$B$2,0)</f>
        <v>725290353</v>
      </c>
      <c r="L15" s="36" cm="1">
        <f t="array" ref="L15:L79">_xlfn.LET(_xlpm.x, K15:K79, _xlpm.x/SUM(_xlpm.x))</f>
        <v>0.72287271748520687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0.72287271748520687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1.0779287532110999</v>
      </c>
      <c r="I16" s="36">
        <v>0.15442774999999939</v>
      </c>
      <c r="J16" s="36">
        <v>0.15441924788466591</v>
      </c>
      <c r="K16" s="71">
        <v>154419248</v>
      </c>
      <c r="L16" s="36">
        <v>0.15390451695940605</v>
      </c>
      <c r="M16" s="36">
        <v>6.6755351981445832E-2</v>
      </c>
      <c r="N16" s="73"/>
      <c r="O16" s="59">
        <v>0</v>
      </c>
      <c r="P16" s="59">
        <v>1</v>
      </c>
      <c r="Q16" s="36">
        <v>0.15390451695940605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0.82567255279996499</v>
      </c>
      <c r="I17" s="36">
        <v>4.5355881000000001E-2</v>
      </c>
      <c r="J17" s="36">
        <v>4.53533839039061E-2</v>
      </c>
      <c r="K17" s="71">
        <v>45353384</v>
      </c>
      <c r="L17" s="36">
        <v>4.5202205990502266E-2</v>
      </c>
      <c r="M17" s="36">
        <v>6.8051783334864543E-2</v>
      </c>
      <c r="N17" s="73"/>
      <c r="O17" s="59">
        <v>1</v>
      </c>
      <c r="P17" s="59">
        <v>2</v>
      </c>
      <c r="Q17" s="36">
        <v>4.5202205990502266E-2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0.63022480187847896</v>
      </c>
      <c r="I18" s="36">
        <v>2.0824185999999991E-2</v>
      </c>
      <c r="J18" s="36">
        <v>2.082303951155411E-2</v>
      </c>
      <c r="K18" s="71">
        <v>20823040</v>
      </c>
      <c r="L18" s="36">
        <v>2.0753629837819122E-2</v>
      </c>
      <c r="M18" s="36">
        <v>5.2539505568162129E-2</v>
      </c>
      <c r="N18" s="73"/>
      <c r="O18" s="59">
        <v>2</v>
      </c>
      <c r="P18" s="59">
        <v>3</v>
      </c>
      <c r="Q18" s="36">
        <v>2.0753629837819122E-2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0.55958455344942304</v>
      </c>
      <c r="I19" s="36">
        <v>1.2801763000000008E-2</v>
      </c>
      <c r="J19" s="36">
        <v>1.2801058191016531E-2</v>
      </c>
      <c r="K19" s="71">
        <v>12801058</v>
      </c>
      <c r="L19" s="36">
        <v>1.2758387788932507E-2</v>
      </c>
      <c r="M19" s="36">
        <v>4.5015506220798619E-2</v>
      </c>
      <c r="N19" s="73"/>
      <c r="O19" s="59">
        <v>3</v>
      </c>
      <c r="P19" s="59">
        <v>4</v>
      </c>
      <c r="Q19" s="36">
        <v>1.2758387788932507E-2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0.49091851226142702</v>
      </c>
      <c r="I20" s="36">
        <v>8.3304899999999977E-3</v>
      </c>
      <c r="J20" s="36">
        <v>8.3300313597182828E-3</v>
      </c>
      <c r="K20" s="71">
        <v>8330031</v>
      </c>
      <c r="L20" s="36">
        <v>8.3022642184598528E-3</v>
      </c>
      <c r="M20" s="36">
        <v>3.7630392913459453E-2</v>
      </c>
      <c r="N20" s="73"/>
      <c r="O20" s="59">
        <v>4</v>
      </c>
      <c r="P20" s="59">
        <v>5</v>
      </c>
      <c r="Q20" s="36">
        <v>8.3022642184598528E-3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0.47815081935772702</v>
      </c>
      <c r="I21" s="36">
        <v>6.4422680000000053E-3</v>
      </c>
      <c r="J21" s="36">
        <v>6.4419133169488999E-3</v>
      </c>
      <c r="K21" s="71">
        <v>6441913</v>
      </c>
      <c r="L21" s="36">
        <v>6.4204399477422553E-3</v>
      </c>
      <c r="M21" s="36">
        <v>3.5648738727371752E-2</v>
      </c>
      <c r="N21" s="73"/>
      <c r="O21" s="59">
        <v>5</v>
      </c>
      <c r="P21" s="59">
        <v>6</v>
      </c>
      <c r="Q21" s="36">
        <v>6.4204399477422553E-3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0.326631871258242</v>
      </c>
      <c r="I22" s="36">
        <v>3.4752709999999998E-3</v>
      </c>
      <c r="J22" s="36">
        <v>3.4750796668046565E-3</v>
      </c>
      <c r="K22" s="71">
        <v>3475080</v>
      </c>
      <c r="L22" s="36">
        <v>3.46349639518574E-3</v>
      </c>
      <c r="M22" s="36">
        <v>2.2597844557806453E-2</v>
      </c>
      <c r="N22" s="73"/>
      <c r="O22" s="59">
        <v>6</v>
      </c>
      <c r="P22" s="59">
        <v>7</v>
      </c>
      <c r="Q22" s="36">
        <v>3.46349639518574E-3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0.43617868663252202</v>
      </c>
      <c r="I23" s="36">
        <v>3.9054069999999996E-3</v>
      </c>
      <c r="J23" s="36">
        <v>3.9051919854010157E-3</v>
      </c>
      <c r="K23" s="71">
        <v>3905192</v>
      </c>
      <c r="L23" s="36">
        <v>3.8921746879232106E-3</v>
      </c>
      <c r="M23" s="36">
        <v>2.9317499853044611E-2</v>
      </c>
      <c r="N23" s="73"/>
      <c r="O23" s="59">
        <v>7</v>
      </c>
      <c r="P23" s="59">
        <v>8</v>
      </c>
      <c r="Q23" s="36">
        <v>3.8921746879232106E-3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0.42064249883565802</v>
      </c>
      <c r="I24" s="36">
        <v>3.1665369999999988E-3</v>
      </c>
      <c r="J24" s="36">
        <v>3.166362664346065E-3</v>
      </c>
      <c r="K24" s="71">
        <v>3166363</v>
      </c>
      <c r="L24" s="36">
        <v>3.1558084522800931E-3</v>
      </c>
      <c r="M24" s="36">
        <v>2.6989589749852907E-2</v>
      </c>
      <c r="N24" s="73"/>
      <c r="O24" s="59">
        <v>8</v>
      </c>
      <c r="P24" s="59">
        <v>9</v>
      </c>
      <c r="Q24" s="36">
        <v>3.1558084522800931E-3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0.33053871995998102</v>
      </c>
      <c r="I25" s="36">
        <v>2.0576269999999989E-3</v>
      </c>
      <c r="J25" s="36">
        <v>2.0575137160722895E-3</v>
      </c>
      <c r="K25" s="71">
        <v>2057514</v>
      </c>
      <c r="L25" s="36">
        <v>2.0506556171495886E-3</v>
      </c>
      <c r="M25" s="36">
        <v>1.9558877471114629E-2</v>
      </c>
      <c r="N25" s="73"/>
      <c r="O25" s="59">
        <v>9</v>
      </c>
      <c r="P25" s="59">
        <v>10</v>
      </c>
      <c r="Q25" s="36">
        <v>2.0506556171495886E-3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0.30198064884972797</v>
      </c>
      <c r="I26" s="36">
        <v>6.2539830000000046E-3</v>
      </c>
      <c r="J26" s="36">
        <v>6.253638683096082E-3</v>
      </c>
      <c r="K26" s="71">
        <v>6253639</v>
      </c>
      <c r="L26" s="36">
        <v>6.2327935280030835E-3</v>
      </c>
      <c r="M26" s="36">
        <v>7.6540162151295027E-2</v>
      </c>
      <c r="N26" s="73"/>
      <c r="O26" s="59">
        <v>10</v>
      </c>
      <c r="P26" s="59">
        <v>15</v>
      </c>
      <c r="Q26" s="36">
        <v>6.2327935280030835E-3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0.24304140751947101</v>
      </c>
      <c r="I27" s="36">
        <v>2.7109749999999991E-3</v>
      </c>
      <c r="J27" s="36">
        <v>2.7108257455938692E-3</v>
      </c>
      <c r="K27" s="71">
        <v>2710826</v>
      </c>
      <c r="L27" s="36">
        <v>2.7017899095778453E-3</v>
      </c>
      <c r="M27" s="36">
        <v>4.6840386266235712E-2</v>
      </c>
      <c r="N27" s="73"/>
      <c r="O27" s="59">
        <v>15</v>
      </c>
      <c r="P27" s="59">
        <v>20</v>
      </c>
      <c r="Q27" s="36">
        <v>2.7017899095778453E-3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0.22689896555559699</v>
      </c>
      <c r="I28" s="36">
        <v>1.5299230000000016E-3</v>
      </c>
      <c r="J28" s="36">
        <v>1.5298387691425465E-3</v>
      </c>
      <c r="K28" s="71">
        <v>1529839</v>
      </c>
      <c r="L28" s="36">
        <v>1.5247395345472786E-3</v>
      </c>
      <c r="M28" s="36">
        <v>3.4105815507151811E-2</v>
      </c>
      <c r="N28" s="73"/>
      <c r="O28" s="59">
        <v>20</v>
      </c>
      <c r="P28" s="59">
        <v>25</v>
      </c>
      <c r="Q28" s="36">
        <v>1.5247395345472786E-3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0.27526301993910202</v>
      </c>
      <c r="I29" s="36">
        <v>1.2328860000000016E-3</v>
      </c>
      <c r="J29" s="36">
        <v>1.2328181226983828E-3</v>
      </c>
      <c r="K29" s="71">
        <v>1232818</v>
      </c>
      <c r="L29" s="36">
        <v>1.2287086049587617E-3</v>
      </c>
      <c r="M29" s="36">
        <v>3.3661906936654648E-2</v>
      </c>
      <c r="N29" s="73"/>
      <c r="O29" s="59">
        <v>25</v>
      </c>
      <c r="P29" s="59">
        <v>30</v>
      </c>
      <c r="Q29" s="36">
        <v>1.2287086049587617E-3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0.195256096401696</v>
      </c>
      <c r="I30" s="36">
        <v>5.8950099999999922E-4</v>
      </c>
      <c r="J30" s="36">
        <v>5.8946854465767107E-4</v>
      </c>
      <c r="K30" s="71">
        <v>589469</v>
      </c>
      <c r="L30" s="36">
        <v>5.8750410251670268E-4</v>
      </c>
      <c r="M30" s="36">
        <v>1.9034155949227114E-2</v>
      </c>
      <c r="N30" s="73"/>
      <c r="O30" s="59">
        <v>30</v>
      </c>
      <c r="P30" s="59">
        <v>35</v>
      </c>
      <c r="Q30" s="36">
        <v>5.8750410251670268E-4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0.184646039866321</v>
      </c>
      <c r="I31" s="36">
        <v>4.0763899999999979E-4</v>
      </c>
      <c r="J31" s="36">
        <v>4.0761655718261474E-4</v>
      </c>
      <c r="K31" s="71">
        <v>407617</v>
      </c>
      <c r="L31" s="36">
        <v>4.0625827610196768E-4</v>
      </c>
      <c r="M31" s="36">
        <v>1.5209630467847299E-2</v>
      </c>
      <c r="N31" s="73"/>
      <c r="O31" s="59">
        <v>35</v>
      </c>
      <c r="P31" s="59">
        <v>40</v>
      </c>
      <c r="Q31" s="36">
        <v>4.0625827610196768E-4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0.15126135608982599</v>
      </c>
      <c r="I32" s="36">
        <v>2.491809999999992E-4</v>
      </c>
      <c r="J32" s="36">
        <v>2.4916728118585526E-4</v>
      </c>
      <c r="K32" s="71">
        <v>249167</v>
      </c>
      <c r="L32" s="36">
        <v>2.4833644298814567E-4</v>
      </c>
      <c r="M32" s="36">
        <v>1.0538722033603535E-2</v>
      </c>
      <c r="N32" s="73"/>
      <c r="O32" s="59">
        <v>40</v>
      </c>
      <c r="P32" s="59">
        <v>45</v>
      </c>
      <c r="Q32" s="36">
        <v>2.4833644298814567E-4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0.169420222909382</v>
      </c>
      <c r="I33" s="36">
        <v>2.0869199999999966E-4</v>
      </c>
      <c r="J33" s="36">
        <v>2.0868051033280462E-4</v>
      </c>
      <c r="K33" s="71">
        <v>208681</v>
      </c>
      <c r="L33" s="36">
        <v>2.0798539637756697E-4</v>
      </c>
      <c r="M33" s="36">
        <v>9.8710634147800447E-3</v>
      </c>
      <c r="N33" s="73"/>
      <c r="O33" s="59">
        <v>45</v>
      </c>
      <c r="P33" s="59">
        <v>50</v>
      </c>
      <c r="Q33" s="36">
        <v>2.0798539637756697E-4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0.25303841882483302</v>
      </c>
      <c r="I34" s="36">
        <v>4.4590000000000076E-4</v>
      </c>
      <c r="J34" s="36">
        <v>4.4587545069958549E-4</v>
      </c>
      <c r="K34" s="71">
        <v>445875</v>
      </c>
      <c r="L34" s="36">
        <v>4.4438874938229964E-4</v>
      </c>
      <c r="M34" s="36">
        <v>2.4308833742704917E-2</v>
      </c>
      <c r="N34" s="73"/>
      <c r="O34" s="59">
        <v>50</v>
      </c>
      <c r="P34" s="59">
        <v>60</v>
      </c>
      <c r="Q34" s="36">
        <v>4.4438874938229964E-4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0.27691297163221401</v>
      </c>
      <c r="I35" s="36">
        <v>3.0891165006917453E-4</v>
      </c>
      <c r="J35" s="36">
        <v>3.0889464274713073E-4</v>
      </c>
      <c r="K35" s="71">
        <v>308895</v>
      </c>
      <c r="L35" s="36">
        <v>3.0786534957206714E-4</v>
      </c>
      <c r="M35" s="36">
        <v>1.991412451193339E-2</v>
      </c>
      <c r="N35" s="73"/>
      <c r="O35" s="59">
        <v>60</v>
      </c>
      <c r="P35" s="59">
        <v>70</v>
      </c>
      <c r="Q35" s="36">
        <v>3.0786534957206714E-4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7.7609000000000004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f>I79</f>
        <v>3.3444810000000029E-3</v>
      </c>
      <c r="K79" s="72">
        <v>3344481</v>
      </c>
      <c r="L79" s="36">
        <v>3.3333327253666674E-3</v>
      </c>
      <c r="M79" s="36">
        <v>2.5869661948298171E-2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1.6985084912464601</v>
      </c>
      <c r="I99" s="36">
        <v>4.0562595999999958E-2</v>
      </c>
      <c r="J99" s="36">
        <v>4.0562595999999958E-2</v>
      </c>
      <c r="K99" s="71">
        <v>40561600</v>
      </c>
      <c r="L99" s="36">
        <v>4.0557859186415801E-2</v>
      </c>
      <c r="M99" s="36">
        <v>0.91529271825074987</v>
      </c>
      <c r="N99" s="73"/>
      <c r="O99" s="59">
        <v>20</v>
      </c>
      <c r="P99" s="59">
        <v>25</v>
      </c>
      <c r="Q99" s="36">
        <v>4.0557859186415801E-2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6.80219065212638</v>
      </c>
      <c r="I100" s="36">
        <v>0.16790651499999995</v>
      </c>
      <c r="J100" s="36">
        <v>0.16790651499999995</v>
      </c>
      <c r="K100" s="71">
        <v>167906515</v>
      </c>
      <c r="L100" s="36">
        <v>0.16789102973876308</v>
      </c>
      <c r="M100" s="36">
        <v>4.6284110488047103</v>
      </c>
      <c r="N100" s="73"/>
      <c r="O100" s="59">
        <v>25</v>
      </c>
      <c r="P100" s="59">
        <v>30</v>
      </c>
      <c r="Q100" s="36">
        <v>0.16789102973876308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2.5159689178914002</v>
      </c>
      <c r="I101" s="36">
        <v>6.1717747000000024E-2</v>
      </c>
      <c r="J101" s="36">
        <v>6.1717747000000024E-2</v>
      </c>
      <c r="K101" s="71">
        <v>61717747</v>
      </c>
      <c r="L101" s="36">
        <v>6.171205505031449E-2</v>
      </c>
      <c r="M101" s="36">
        <v>2.0091945457484486</v>
      </c>
      <c r="N101" s="73"/>
      <c r="O101" s="59">
        <v>30</v>
      </c>
      <c r="P101" s="59">
        <v>35</v>
      </c>
      <c r="Q101" s="36">
        <v>6.171205505031449E-2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4.2988559339309402</v>
      </c>
      <c r="I102" s="36">
        <v>0.10612726000000003</v>
      </c>
      <c r="J102" s="36">
        <v>0.10612726000000003</v>
      </c>
      <c r="K102" s="71">
        <v>106127260</v>
      </c>
      <c r="L102" s="36">
        <v>0.10611747236105425</v>
      </c>
      <c r="M102" s="36">
        <v>3.9850738627707907</v>
      </c>
      <c r="N102" s="73"/>
      <c r="O102" s="59">
        <v>35</v>
      </c>
      <c r="P102" s="59">
        <v>40</v>
      </c>
      <c r="Q102" s="36">
        <v>0.10611747236105425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3.7042552965830802</v>
      </c>
      <c r="I103" s="36">
        <v>9.0117822000000125E-2</v>
      </c>
      <c r="J103" s="36">
        <v>9.0117822000000125E-2</v>
      </c>
      <c r="K103" s="71">
        <v>90117822</v>
      </c>
      <c r="L103" s="36">
        <v>9.0109510839377238E-2</v>
      </c>
      <c r="M103" s="36">
        <v>3.8342701316631067</v>
      </c>
      <c r="N103" s="73"/>
      <c r="O103" s="59">
        <v>40</v>
      </c>
      <c r="P103" s="59">
        <v>45</v>
      </c>
      <c r="Q103" s="36">
        <v>9.0109510839377238E-2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3.1376603374359799</v>
      </c>
      <c r="I104" s="36">
        <v>7.5352921999999892E-2</v>
      </c>
      <c r="J104" s="36">
        <v>7.5352921999999892E-2</v>
      </c>
      <c r="K104" s="71">
        <v>75352922</v>
      </c>
      <c r="L104" s="36">
        <v>7.534597253956879E-2</v>
      </c>
      <c r="M104" s="36">
        <v>3.5823574324042635</v>
      </c>
      <c r="N104" s="73"/>
      <c r="O104" s="59">
        <v>45</v>
      </c>
      <c r="P104" s="59">
        <v>50</v>
      </c>
      <c r="Q104" s="36">
        <v>7.534597253956879E-2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1.52145821836754</v>
      </c>
      <c r="I105" s="36">
        <v>7.0377483999999768E-2</v>
      </c>
      <c r="J105" s="36">
        <v>7.0377483999999768E-2</v>
      </c>
      <c r="K105" s="71">
        <v>70377484</v>
      </c>
      <c r="L105" s="36">
        <v>7.0370993401794577E-2</v>
      </c>
      <c r="M105" s="36">
        <v>3.8713281378961852</v>
      </c>
      <c r="N105" s="73"/>
      <c r="O105" s="59">
        <v>50</v>
      </c>
      <c r="P105" s="59">
        <v>60</v>
      </c>
      <c r="Q105" s="36">
        <v>7.0370993401794577E-2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2.0936290413926701</v>
      </c>
      <c r="I106" s="36">
        <v>9.1776532000000091E-2</v>
      </c>
      <c r="J106" s="36">
        <v>9.1776532000000091E-2</v>
      </c>
      <c r="K106" s="71">
        <v>91776532</v>
      </c>
      <c r="L106" s="36">
        <v>9.1768067864028635E-2</v>
      </c>
      <c r="M106" s="36">
        <v>5.9655664151615007</v>
      </c>
      <c r="N106" s="73"/>
      <c r="O106" s="59">
        <v>60</v>
      </c>
      <c r="P106" s="59">
        <v>70</v>
      </c>
      <c r="Q106" s="36">
        <v>9.1768067864028635E-2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1.00666407458133</v>
      </c>
      <c r="I107" s="36">
        <v>4.1887540000000008E-2</v>
      </c>
      <c r="J107" s="36">
        <v>4.1887540000000008E-2</v>
      </c>
      <c r="K107" s="71">
        <v>41887540</v>
      </c>
      <c r="L107" s="36">
        <v>4.1883676900944716E-2</v>
      </c>
      <c r="M107" s="36">
        <v>3.1412094809988114</v>
      </c>
      <c r="N107" s="73"/>
      <c r="O107" s="59">
        <v>70</v>
      </c>
      <c r="P107" s="59">
        <v>80</v>
      </c>
      <c r="Q107" s="36">
        <v>4.1883676900944716E-2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1.9656252085350601</v>
      </c>
      <c r="I108" s="36">
        <v>7.6469407000000073E-2</v>
      </c>
      <c r="J108" s="36">
        <v>7.6469407000000073E-2</v>
      </c>
      <c r="K108" s="71">
        <v>76469407</v>
      </c>
      <c r="L108" s="36">
        <v>7.6462354571188482E-2</v>
      </c>
      <c r="M108" s="36">
        <v>6.498325915478441</v>
      </c>
      <c r="N108" s="73"/>
      <c r="O108" s="59">
        <v>80</v>
      </c>
      <c r="P108" s="59">
        <v>90</v>
      </c>
      <c r="Q108" s="36">
        <v>7.6462354571188482E-2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0.77022761085575997</v>
      </c>
      <c r="I109" s="79">
        <v>2.7923208999999987E-2</v>
      </c>
      <c r="J109" s="79">
        <v>2.7923208999999987E-2</v>
      </c>
      <c r="K109" s="71">
        <v>27923209</v>
      </c>
      <c r="L109" s="79">
        <v>2.7920633768265018E-2</v>
      </c>
      <c r="M109" s="79">
        <v>2.6524828482704477</v>
      </c>
      <c r="N109" s="73"/>
      <c r="O109" s="59">
        <v>90</v>
      </c>
      <c r="P109" s="59">
        <v>100</v>
      </c>
      <c r="Q109" s="36">
        <v>2.7920633768265018E-2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0.93330733814267097</v>
      </c>
      <c r="I110" s="79">
        <v>6.0927407000000017E-2</v>
      </c>
      <c r="J110" s="79">
        <v>6.0927407000000017E-2</v>
      </c>
      <c r="K110" s="71">
        <v>60927407</v>
      </c>
      <c r="L110" s="79">
        <v>6.0921787939811158E-2</v>
      </c>
      <c r="M110" s="79">
        <v>6.6912339285431477</v>
      </c>
      <c r="N110" s="73"/>
      <c r="O110" s="59">
        <v>100</v>
      </c>
      <c r="P110" s="59">
        <v>120</v>
      </c>
      <c r="Q110" s="36">
        <v>6.0921787939811158E-2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0.35890570827264401</v>
      </c>
      <c r="I111" s="79">
        <v>2.0302008000000003E-2</v>
      </c>
      <c r="J111" s="79">
        <v>2.0302008000000003E-2</v>
      </c>
      <c r="K111" s="71">
        <v>20302008</v>
      </c>
      <c r="L111" s="79">
        <v>2.0300135637289631E-2</v>
      </c>
      <c r="M111" s="79">
        <v>2.635221298795912</v>
      </c>
      <c r="N111" s="73"/>
      <c r="O111" s="59">
        <v>120</v>
      </c>
      <c r="P111" s="59">
        <v>140</v>
      </c>
      <c r="Q111" s="36">
        <v>2.0300135637289631E-2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0.60320759592012096</v>
      </c>
      <c r="I112" s="79">
        <v>2.9614289000000012E-2</v>
      </c>
      <c r="J112" s="79">
        <v>2.9614289000000012E-2</v>
      </c>
      <c r="K112" s="71">
        <v>29614289</v>
      </c>
      <c r="L112" s="79">
        <v>2.9611557807577175E-2</v>
      </c>
      <c r="M112" s="79">
        <v>4.4359314199430981</v>
      </c>
      <c r="N112" s="73"/>
      <c r="O112" s="59">
        <v>140</v>
      </c>
      <c r="P112" s="59">
        <v>160</v>
      </c>
      <c r="Q112" s="36">
        <v>2.9611557807577175E-2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0.330327826006101</v>
      </c>
      <c r="I113" s="79">
        <v>1.409756999999999E-2</v>
      </c>
      <c r="J113" s="79">
        <v>1.409756999999999E-2</v>
      </c>
      <c r="K113" s="71">
        <v>14097570</v>
      </c>
      <c r="L113" s="79">
        <v>1.4096269844647149E-2</v>
      </c>
      <c r="M113" s="79">
        <v>2.3936612225007297</v>
      </c>
      <c r="N113" s="73"/>
      <c r="O113" s="59">
        <v>160</v>
      </c>
      <c r="P113" s="59">
        <v>180</v>
      </c>
      <c r="Q113" s="36">
        <v>1.4096269844647149E-2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0.397752518237593</v>
      </c>
      <c r="I114" s="79">
        <v>1.468480300000001E-2</v>
      </c>
      <c r="J114" s="79">
        <v>1.468480300000001E-2</v>
      </c>
      <c r="K114" s="71">
        <v>14685799</v>
      </c>
      <c r="L114" s="79">
        <v>1.4684444594937231E-2</v>
      </c>
      <c r="M114" s="79">
        <v>2.7872095902972487</v>
      </c>
      <c r="N114" s="73"/>
      <c r="O114" s="59">
        <v>180</v>
      </c>
      <c r="P114" s="59">
        <v>200</v>
      </c>
      <c r="Q114" s="36">
        <v>1.4684444594937231E-2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1.82359795536624E-2</v>
      </c>
      <c r="I115" s="79">
        <v>1.3380520000000015E-3</v>
      </c>
      <c r="J115" s="79">
        <v>1.3380520000000015E-3</v>
      </c>
      <c r="K115" s="71">
        <v>1338052</v>
      </c>
      <c r="L115" s="79">
        <v>1.3379285974937387E-3</v>
      </c>
      <c r="M115" s="79">
        <v>0.29922851611720591</v>
      </c>
      <c r="N115" s="73"/>
      <c r="O115" s="59">
        <v>200</v>
      </c>
      <c r="P115" s="59">
        <v>250</v>
      </c>
      <c r="Q115" s="36">
        <v>1.3379285974937387E-3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2.0637282068541301E-2</v>
      </c>
      <c r="I116" s="79">
        <v>1.0931280000000014E-3</v>
      </c>
      <c r="J116" s="79">
        <v>1.0931280000000014E-3</v>
      </c>
      <c r="K116" s="71">
        <v>1093128</v>
      </c>
      <c r="L116" s="79">
        <v>1.0930271857305513E-3</v>
      </c>
      <c r="M116" s="79">
        <v>0.29922814146618598</v>
      </c>
      <c r="N116" s="73"/>
      <c r="O116" s="59">
        <v>250</v>
      </c>
      <c r="P116" s="59">
        <v>300</v>
      </c>
      <c r="Q116" s="36">
        <v>1.0930271857305513E-3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2.3598272683221899E-2</v>
      </c>
      <c r="I117" s="79">
        <v>9.2423700000000169E-4</v>
      </c>
      <c r="J117" s="79">
        <v>9.2423700000000169E-4</v>
      </c>
      <c r="K117" s="71">
        <v>924237</v>
      </c>
      <c r="L117" s="79">
        <v>9.2415176178640339E-4</v>
      </c>
      <c r="M117" s="79">
        <v>0.29922830268268158</v>
      </c>
      <c r="N117" s="73"/>
      <c r="O117" s="59">
        <v>300</v>
      </c>
      <c r="P117" s="59">
        <v>350</v>
      </c>
      <c r="Q117" s="36">
        <v>9.2415176178640339E-4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2.7262449371221301E-2</v>
      </c>
      <c r="I118" s="79">
        <v>8.003819999999989E-4</v>
      </c>
      <c r="J118" s="79">
        <v>8.003819999999989E-4</v>
      </c>
      <c r="K118" s="71">
        <v>800382</v>
      </c>
      <c r="L118" s="79">
        <v>8.0030818437492235E-4</v>
      </c>
      <c r="M118" s="79">
        <v>0.29922787628613456</v>
      </c>
      <c r="N118" s="73"/>
      <c r="O118" s="59">
        <v>350</v>
      </c>
      <c r="P118" s="59">
        <v>400</v>
      </c>
      <c r="Q118" s="36">
        <v>8.0030818437492235E-4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3.1667670556153903E-2</v>
      </c>
      <c r="I119" s="79">
        <v>7.0592599999999973E-4</v>
      </c>
      <c r="J119" s="79">
        <v>7.0592599999999973E-4</v>
      </c>
      <c r="K119" s="71">
        <v>705926</v>
      </c>
      <c r="L119" s="79">
        <v>7.0586089562615277E-4</v>
      </c>
      <c r="M119" s="79">
        <v>0.29922818075188451</v>
      </c>
      <c r="N119" s="73"/>
      <c r="O119" s="59">
        <v>400</v>
      </c>
      <c r="P119" s="59">
        <v>450</v>
      </c>
      <c r="Q119" s="36">
        <v>7.0586089562615277E-4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3.6363537928058097E-2</v>
      </c>
      <c r="I120" s="79">
        <v>6.3126900000000017E-4</v>
      </c>
      <c r="J120" s="79">
        <v>6.3126900000000017E-4</v>
      </c>
      <c r="K120" s="71">
        <v>631269</v>
      </c>
      <c r="L120" s="79">
        <v>6.3121078090483407E-4</v>
      </c>
      <c r="M120" s="79">
        <v>0.299228031946767</v>
      </c>
      <c r="N120" s="73"/>
      <c r="O120" s="59">
        <v>450</v>
      </c>
      <c r="P120" s="59">
        <v>500</v>
      </c>
      <c r="Q120" s="36">
        <v>6.3121078090483407E-4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4.1694640975210202E-2</v>
      </c>
      <c r="I121" s="79">
        <v>5.7111399999999963E-4</v>
      </c>
      <c r="J121" s="79">
        <v>5.7111399999999963E-4</v>
      </c>
      <c r="K121" s="71">
        <v>571114</v>
      </c>
      <c r="L121" s="79">
        <v>5.7106132872940599E-4</v>
      </c>
      <c r="M121" s="79">
        <v>0.29922794533792979</v>
      </c>
      <c r="N121" s="73"/>
      <c r="O121" s="59">
        <v>500</v>
      </c>
      <c r="P121" s="59">
        <v>550</v>
      </c>
      <c r="Q121" s="36">
        <v>5.7106132872940599E-4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4.7868665803638202E-2</v>
      </c>
      <c r="I122" s="36">
        <v>5.212229999999997E-4</v>
      </c>
      <c r="J122" s="36">
        <v>5.212229999999997E-4</v>
      </c>
      <c r="K122" s="71">
        <v>521223</v>
      </c>
      <c r="L122" s="36">
        <v>5.2117492995151088E-4</v>
      </c>
      <c r="M122" s="36">
        <v>0.2992283159282354</v>
      </c>
      <c r="N122" s="73"/>
      <c r="O122" s="59">
        <v>550</v>
      </c>
      <c r="P122" s="59">
        <v>600</v>
      </c>
      <c r="Q122" s="36">
        <v>5.2117492995151088E-4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5.4942402701364003E-2</v>
      </c>
      <c r="I123" s="36">
        <v>4.7952500000000012E-4</v>
      </c>
      <c r="J123" s="36">
        <v>4.7952500000000012E-4</v>
      </c>
      <c r="K123" s="71">
        <v>479525</v>
      </c>
      <c r="L123" s="36">
        <v>4.7948077557014604E-4</v>
      </c>
      <c r="M123" s="36">
        <v>0.29922845650791174</v>
      </c>
      <c r="N123" s="73"/>
      <c r="O123" s="59">
        <v>600</v>
      </c>
      <c r="P123" s="59">
        <v>650</v>
      </c>
      <c r="Q123" s="36">
        <v>4.7948077557014604E-4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6.2736254171295802E-2</v>
      </c>
      <c r="I124" s="36">
        <v>4.4384999999999981E-4</v>
      </c>
      <c r="J124" s="36">
        <v>4.4384999999999981E-4</v>
      </c>
      <c r="K124" s="71">
        <v>443850</v>
      </c>
      <c r="L124" s="36">
        <v>4.4380906571463288E-4</v>
      </c>
      <c r="M124" s="36">
        <v>0.29922812545878696</v>
      </c>
      <c r="N124" s="73"/>
      <c r="O124" s="59">
        <v>650</v>
      </c>
      <c r="P124" s="59">
        <v>700</v>
      </c>
      <c r="Q124" s="36">
        <v>4.4380906571463288E-4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7.0708718651127503E-2</v>
      </c>
      <c r="I125" s="36">
        <v>4.131579999999999E-4</v>
      </c>
      <c r="J125" s="36">
        <v>4.131579999999999E-4</v>
      </c>
      <c r="K125" s="71">
        <v>413158</v>
      </c>
      <c r="L125" s="36">
        <v>4.131198962994847E-4</v>
      </c>
      <c r="M125" s="36">
        <v>0.29922825070430986</v>
      </c>
      <c r="N125" s="73"/>
      <c r="O125" s="59">
        <v>700</v>
      </c>
      <c r="P125" s="59">
        <v>750</v>
      </c>
      <c r="Q125" s="36">
        <v>4.131198962994847E-4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7.9880828878370794E-2</v>
      </c>
      <c r="I126" s="36">
        <v>3.86509E-4</v>
      </c>
      <c r="J126" s="36">
        <v>3.86509E-4</v>
      </c>
      <c r="K126" s="71">
        <v>386509</v>
      </c>
      <c r="L126" s="36">
        <v>3.8647335401666562E-4</v>
      </c>
      <c r="M126" s="36">
        <v>0.29922853136004823</v>
      </c>
      <c r="N126" s="73"/>
      <c r="O126" s="59">
        <v>750</v>
      </c>
      <c r="P126" s="59">
        <v>800</v>
      </c>
      <c r="Q126" s="36">
        <v>3.8647335401666562E-4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8.9793228382701207E-2</v>
      </c>
      <c r="I127" s="36">
        <v>3.6304499999999994E-4</v>
      </c>
      <c r="J127" s="36">
        <v>3.6304499999999994E-4</v>
      </c>
      <c r="K127" s="71">
        <v>363045</v>
      </c>
      <c r="L127" s="36">
        <v>3.6301151799564919E-4</v>
      </c>
      <c r="M127" s="36">
        <v>0.29922841055822313</v>
      </c>
      <c r="N127" s="73"/>
      <c r="O127" s="59">
        <v>800</v>
      </c>
      <c r="P127" s="59">
        <v>850</v>
      </c>
      <c r="Q127" s="36">
        <v>3.6301151799564919E-4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0.10137976536381001</v>
      </c>
      <c r="I128" s="36">
        <v>3.4228800000000163E-4</v>
      </c>
      <c r="J128" s="36">
        <v>3.4228800000000163E-4</v>
      </c>
      <c r="K128" s="72">
        <v>342288</v>
      </c>
      <c r="L128" s="36">
        <v>3.4225643232022138E-4</v>
      </c>
      <c r="M128" s="36">
        <v>0.29922828902400922</v>
      </c>
      <c r="N128" s="73"/>
      <c r="O128" s="59">
        <v>850</v>
      </c>
      <c r="P128" s="59">
        <v>900</v>
      </c>
      <c r="Q128" s="36">
        <v>3.4225643232022138E-4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0.11266139995225501</v>
      </c>
      <c r="I129" s="36">
        <v>3.2373599999999873E-4</v>
      </c>
      <c r="J129" s="36">
        <v>3.2373599999999873E-4</v>
      </c>
      <c r="K129" s="72">
        <v>323736</v>
      </c>
      <c r="L129" s="36">
        <v>3.2370614328758004E-4</v>
      </c>
      <c r="M129" s="36">
        <v>0.29922859621932363</v>
      </c>
      <c r="N129" s="73"/>
      <c r="O129" s="59">
        <v>900</v>
      </c>
      <c r="P129" s="59">
        <v>950</v>
      </c>
      <c r="Q129" s="36">
        <v>3.2370614328758004E-4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0.126415523538321</v>
      </c>
      <c r="I130" s="36">
        <v>3.0714499999999934E-4</v>
      </c>
      <c r="J130" s="36">
        <v>3.0714499999999934E-4</v>
      </c>
      <c r="K130" s="72">
        <v>307145</v>
      </c>
      <c r="L130" s="36">
        <v>3.0711667340074556E-4</v>
      </c>
      <c r="M130" s="36">
        <v>0.29922772562762517</v>
      </c>
      <c r="N130" s="73"/>
      <c r="O130" s="59">
        <v>950</v>
      </c>
      <c r="P130" s="59">
        <v>1000</v>
      </c>
      <c r="Q130" s="36">
        <v>3.0711667340074556E-4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1.45796425050505E-2</v>
      </c>
      <c r="I131" s="36">
        <v>2.279359999999999E-4</v>
      </c>
      <c r="J131" s="36">
        <v>2.279359999999999E-4</v>
      </c>
      <c r="K131" s="72">
        <v>227936</v>
      </c>
      <c r="L131" s="36">
        <v>2.2791497848987397E-4</v>
      </c>
      <c r="M131" s="36">
        <v>0.29922795519731182</v>
      </c>
      <c r="N131" s="73"/>
      <c r="O131" s="59">
        <v>1000</v>
      </c>
      <c r="P131" s="59">
        <v>2000</v>
      </c>
      <c r="Q131" s="36">
        <v>2.2791497848987397E-4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0.13278725807369099</v>
      </c>
      <c r="I132" s="36">
        <v>2.5288600000000089E-4</v>
      </c>
      <c r="J132" s="36">
        <v>2.5288600000000089E-4</v>
      </c>
      <c r="K132" s="72">
        <v>374600</v>
      </c>
      <c r="L132" s="36">
        <v>3.7456545233006977E-4</v>
      </c>
      <c r="M132" s="36">
        <v>0.88649642911318072</v>
      </c>
      <c r="N132" s="73"/>
      <c r="O132" s="59">
        <v>2000</v>
      </c>
      <c r="P132" s="59">
        <v>3000</v>
      </c>
      <c r="Q132" s="36">
        <v>3.7456545233006977E-4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18.7528042</v>
      </c>
      <c r="I139" s="36">
        <v>2.9480000000000002E-5</v>
      </c>
      <c r="J139" s="36">
        <v>2.9480000000000002E-5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116</v>
      </c>
      <c r="H156" s="70">
        <v>1</v>
      </c>
      <c r="I156" s="36">
        <f>D156*H156</f>
        <v>1</v>
      </c>
      <c r="J156" s="80">
        <f>I156/SUM(I156)</f>
        <v>1</v>
      </c>
      <c r="K156" s="71">
        <f>ROUND(J156*$B$2,0)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1.4079676029371699</v>
      </c>
      <c r="I176" s="36">
        <v>3.3624101000000114E-2</v>
      </c>
      <c r="J176" s="36">
        <v>3.3624101000000121E-2</v>
      </c>
      <c r="K176" s="71">
        <v>33624101</v>
      </c>
      <c r="L176" s="36">
        <v>3.3623336472575288E-2</v>
      </c>
      <c r="M176" s="36">
        <v>0.758797324464075</v>
      </c>
      <c r="N176" s="73"/>
      <c r="O176" s="59">
        <v>20</v>
      </c>
      <c r="P176" s="59">
        <v>25</v>
      </c>
      <c r="Q176" s="36">
        <v>3.3623336472575288E-2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5.7727394207904901</v>
      </c>
      <c r="I177" s="36">
        <v>0.1424953530000001</v>
      </c>
      <c r="J177" s="36">
        <v>0.14249535300000013</v>
      </c>
      <c r="K177" s="71">
        <v>142495353</v>
      </c>
      <c r="L177" s="36">
        <v>0.14249211301433429</v>
      </c>
      <c r="M177" s="36">
        <v>3.9282150527593345</v>
      </c>
      <c r="N177" s="73"/>
      <c r="O177" s="59">
        <v>25</v>
      </c>
      <c r="P177" s="59">
        <v>30</v>
      </c>
      <c r="Q177" s="36">
        <v>0.14249211301433429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2.1855017436272099</v>
      </c>
      <c r="I178" s="36">
        <v>5.3611251999999963E-2</v>
      </c>
      <c r="J178" s="36">
        <v>5.361125199999997E-2</v>
      </c>
      <c r="K178" s="71">
        <v>53611252</v>
      </c>
      <c r="L178" s="36">
        <v>5.3610033015069301E-2</v>
      </c>
      <c r="M178" s="36">
        <v>1.7454123970341284</v>
      </c>
      <c r="N178" s="73"/>
      <c r="O178" s="59">
        <v>30</v>
      </c>
      <c r="P178" s="59">
        <v>35</v>
      </c>
      <c r="Q178" s="36">
        <v>5.3610033015069301E-2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3.8229316979903598</v>
      </c>
      <c r="I179" s="36">
        <v>9.4377962999999954E-2</v>
      </c>
      <c r="J179" s="36">
        <v>9.4377962999999968E-2</v>
      </c>
      <c r="K179" s="71">
        <v>94377963</v>
      </c>
      <c r="L179" s="36">
        <v>9.4375817082671176E-2</v>
      </c>
      <c r="M179" s="36">
        <v>3.5441345667767616</v>
      </c>
      <c r="N179" s="73"/>
      <c r="O179" s="59">
        <v>35</v>
      </c>
      <c r="P179" s="59">
        <v>40</v>
      </c>
      <c r="Q179" s="36">
        <v>9.4375817082671176E-2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3.3724575994364998</v>
      </c>
      <c r="I180" s="36">
        <v>8.2045784999999885E-2</v>
      </c>
      <c r="J180" s="36">
        <v>8.2045784999999899E-2</v>
      </c>
      <c r="K180" s="71">
        <v>82045785</v>
      </c>
      <c r="L180" s="36">
        <v>8.2043919485358746E-2</v>
      </c>
      <c r="M180" s="36">
        <v>3.4910693337136078</v>
      </c>
      <c r="N180" s="73"/>
      <c r="O180" s="59">
        <v>40</v>
      </c>
      <c r="P180" s="59">
        <v>45</v>
      </c>
      <c r="Q180" s="36">
        <v>8.2043919485358746E-2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2.9240328039144301</v>
      </c>
      <c r="I181" s="36">
        <v>7.0222520000000052E-2</v>
      </c>
      <c r="J181" s="36">
        <v>7.0222520000000066E-2</v>
      </c>
      <c r="K181" s="71">
        <v>70222520</v>
      </c>
      <c r="L181" s="36">
        <v>7.0220923316645631E-2</v>
      </c>
      <c r="M181" s="36">
        <v>3.3386847110051918</v>
      </c>
      <c r="N181" s="73"/>
      <c r="O181" s="59">
        <v>45</v>
      </c>
      <c r="P181" s="59">
        <v>50</v>
      </c>
      <c r="Q181" s="36">
        <v>7.0220923316645631E-2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1.4685059476043001</v>
      </c>
      <c r="I182" s="36">
        <v>6.7928091999999857E-2</v>
      </c>
      <c r="J182" s="36">
        <v>6.7928091999999871E-2</v>
      </c>
      <c r="K182" s="71">
        <v>67928092</v>
      </c>
      <c r="L182" s="36">
        <v>6.7926547486163266E-2</v>
      </c>
      <c r="M182" s="36">
        <v>3.7368515332997867</v>
      </c>
      <c r="N182" s="73"/>
      <c r="O182" s="59">
        <v>50</v>
      </c>
      <c r="P182" s="59">
        <v>60</v>
      </c>
      <c r="Q182" s="36">
        <v>6.7926547486163266E-2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2.1176754095742698</v>
      </c>
      <c r="I183" s="36">
        <v>9.2830630999999802E-2</v>
      </c>
      <c r="J183" s="36">
        <v>9.2830630999999816E-2</v>
      </c>
      <c r="K183" s="71">
        <v>92830631</v>
      </c>
      <c r="L183" s="36">
        <v>9.2828520265106212E-2</v>
      </c>
      <c r="M183" s="36">
        <v>6.0345032400941037</v>
      </c>
      <c r="N183" s="73"/>
      <c r="O183" s="59">
        <v>60</v>
      </c>
      <c r="P183" s="59">
        <v>70</v>
      </c>
      <c r="Q183" s="36">
        <v>9.2828520265106212E-2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1.0670735705251799</v>
      </c>
      <c r="I184" s="36">
        <v>4.4401194000000199E-2</v>
      </c>
      <c r="J184" s="36">
        <v>4.4401194000000206E-2</v>
      </c>
      <c r="K184" s="71">
        <v>44401194</v>
      </c>
      <c r="L184" s="36">
        <v>4.4400184428606465E-2</v>
      </c>
      <c r="M184" s="36">
        <v>3.3299435628606084</v>
      </c>
      <c r="N184" s="73"/>
      <c r="O184" s="59">
        <v>70</v>
      </c>
      <c r="P184" s="59">
        <v>80</v>
      </c>
      <c r="Q184" s="36">
        <v>4.4400184428606465E-2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2.1835629909846701</v>
      </c>
      <c r="I185" s="36">
        <v>8.4947917000000123E-2</v>
      </c>
      <c r="J185" s="36">
        <v>8.4947917000000137E-2</v>
      </c>
      <c r="K185" s="71">
        <v>84947917</v>
      </c>
      <c r="L185" s="36">
        <v>8.4945985498181747E-2</v>
      </c>
      <c r="M185" s="36">
        <v>7.2193264525323686</v>
      </c>
      <c r="N185" s="73"/>
      <c r="O185" s="59">
        <v>80</v>
      </c>
      <c r="P185" s="59">
        <v>90</v>
      </c>
      <c r="Q185" s="36">
        <v>8.4945985498181747E-2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0.89662895161216105</v>
      </c>
      <c r="I186" s="36">
        <v>3.2505660999999991E-2</v>
      </c>
      <c r="J186" s="36">
        <v>3.2505660999999998E-2</v>
      </c>
      <c r="K186" s="71">
        <v>32505661</v>
      </c>
      <c r="L186" s="36">
        <v>3.2504921903085765E-2</v>
      </c>
      <c r="M186" s="36">
        <v>3.0879939383862705</v>
      </c>
      <c r="N186" s="73"/>
      <c r="O186" s="59">
        <v>90</v>
      </c>
      <c r="P186" s="59">
        <v>100</v>
      </c>
      <c r="Q186" s="36">
        <v>3.2504921903085765E-2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1.1651361031623599</v>
      </c>
      <c r="I187" s="36">
        <v>7.6061462999999843E-2</v>
      </c>
      <c r="J187" s="36">
        <v>7.6061462999999857E-2</v>
      </c>
      <c r="K187" s="71">
        <v>76061463</v>
      </c>
      <c r="L187" s="36">
        <v>7.6059733553778458E-2</v>
      </c>
      <c r="M187" s="36">
        <v>8.3538826906033119</v>
      </c>
      <c r="N187" s="73"/>
      <c r="O187" s="59">
        <v>100</v>
      </c>
      <c r="P187" s="59">
        <v>120</v>
      </c>
      <c r="Q187" s="36">
        <v>7.6059733553778458E-2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0.49213134154451699</v>
      </c>
      <c r="I188" s="36">
        <v>2.7838103999999985E-2</v>
      </c>
      <c r="J188" s="36">
        <v>2.7838103999999989E-2</v>
      </c>
      <c r="K188" s="71">
        <v>27838104</v>
      </c>
      <c r="L188" s="36">
        <v>2.7837471031583683E-2</v>
      </c>
      <c r="M188" s="36">
        <v>3.6136653408507913</v>
      </c>
      <c r="N188" s="73"/>
      <c r="O188" s="59">
        <v>120</v>
      </c>
      <c r="P188" s="59">
        <v>140</v>
      </c>
      <c r="Q188" s="36">
        <v>2.7837471031583683E-2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0.90821403284645297</v>
      </c>
      <c r="I189" s="36">
        <v>4.4588484999999976E-2</v>
      </c>
      <c r="J189" s="36">
        <v>4.4588484999999983E-2</v>
      </c>
      <c r="K189" s="71">
        <v>44588485</v>
      </c>
      <c r="L189" s="36">
        <v>4.4587471170080537E-2</v>
      </c>
      <c r="M189" s="36">
        <v>6.6793839616420465</v>
      </c>
      <c r="N189" s="73"/>
      <c r="O189" s="59">
        <v>140</v>
      </c>
      <c r="P189" s="59">
        <v>160</v>
      </c>
      <c r="Q189" s="36">
        <v>4.4587471170080537E-2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0.54626995595036298</v>
      </c>
      <c r="I190" s="36">
        <v>2.3313443E-2</v>
      </c>
      <c r="J190" s="36">
        <v>2.3313443000000003E-2</v>
      </c>
      <c r="K190" s="71">
        <v>23313443</v>
      </c>
      <c r="L190" s="36">
        <v>2.3312912910986229E-2</v>
      </c>
      <c r="M190" s="36">
        <v>3.9587221466077986</v>
      </c>
      <c r="N190" s="73"/>
      <c r="O190" s="59">
        <v>160</v>
      </c>
      <c r="P190" s="59">
        <v>180</v>
      </c>
      <c r="Q190" s="36">
        <v>2.3312912910986229E-2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0.72236065804023397</v>
      </c>
      <c r="I191" s="36">
        <v>2.6669155999999992E-2</v>
      </c>
      <c r="J191" s="36">
        <v>2.6669155999999996E-2</v>
      </c>
      <c r="K191" s="71">
        <v>26669156</v>
      </c>
      <c r="L191" s="36">
        <v>2.6668549610518955E-2</v>
      </c>
      <c r="M191" s="36">
        <v>5.0618759703981926</v>
      </c>
      <c r="N191" s="73"/>
      <c r="O191" s="59">
        <v>180</v>
      </c>
      <c r="P191" s="59">
        <v>200</v>
      </c>
      <c r="Q191" s="36">
        <v>2.6668549610518955E-2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4.5594855235059602E-3</v>
      </c>
      <c r="I192" s="36">
        <v>3.3454900000000012E-4</v>
      </c>
      <c r="J192" s="36">
        <v>3.3454900000000017E-4</v>
      </c>
      <c r="K192" s="71">
        <v>334549</v>
      </c>
      <c r="L192" s="36">
        <v>3.3454139319780146E-4</v>
      </c>
      <c r="M192" s="36">
        <v>7.4820378945393853E-2</v>
      </c>
      <c r="N192" s="73"/>
      <c r="O192" s="59">
        <v>200</v>
      </c>
      <c r="P192" s="59">
        <v>250</v>
      </c>
      <c r="Q192" s="36">
        <v>3.3454139319780146E-4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5.1598868903890097E-3</v>
      </c>
      <c r="I193" s="36">
        <v>2.7331200000000022E-4</v>
      </c>
      <c r="J193" s="36">
        <v>2.7331200000000027E-4</v>
      </c>
      <c r="K193" s="71">
        <v>273312</v>
      </c>
      <c r="L193" s="36">
        <v>2.7330578557304764E-4</v>
      </c>
      <c r="M193" s="36">
        <v>7.4820446679300864E-2</v>
      </c>
      <c r="N193" s="73"/>
      <c r="O193" s="59">
        <v>250</v>
      </c>
      <c r="P193" s="59">
        <v>300</v>
      </c>
      <c r="Q193" s="36">
        <v>2.7330578557304764E-4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5.9002001053081003E-3</v>
      </c>
      <c r="I194" s="36">
        <v>2.3108400000000013E-4</v>
      </c>
      <c r="J194" s="36">
        <v>2.3108400000000016E-4</v>
      </c>
      <c r="K194" s="71">
        <v>231084</v>
      </c>
      <c r="L194" s="36">
        <v>2.3107874573147956E-4</v>
      </c>
      <c r="M194" s="36">
        <v>7.4820287890394063E-2</v>
      </c>
      <c r="N194" s="73"/>
      <c r="O194" s="59">
        <v>300</v>
      </c>
      <c r="P194" s="59">
        <v>350</v>
      </c>
      <c r="Q194" s="36">
        <v>2.3107874573147956E-4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6.8163787332424699E-3</v>
      </c>
      <c r="I195" s="36">
        <v>2.0011800000000008E-4</v>
      </c>
      <c r="J195" s="36">
        <v>2.0011800000000011E-4</v>
      </c>
      <c r="K195" s="71">
        <v>200118</v>
      </c>
      <c r="L195" s="36">
        <v>2.0011344982037799E-4</v>
      </c>
      <c r="M195" s="36">
        <v>7.482058009042146E-2</v>
      </c>
      <c r="N195" s="73"/>
      <c r="O195" s="59">
        <v>350</v>
      </c>
      <c r="P195" s="59">
        <v>400</v>
      </c>
      <c r="Q195" s="36">
        <v>2.0011344982037799E-4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7.9177924043479404E-3</v>
      </c>
      <c r="I196" s="36">
        <v>1.7650100000000005E-4</v>
      </c>
      <c r="J196" s="36">
        <v>1.7650100000000008E-4</v>
      </c>
      <c r="K196" s="71">
        <v>176501</v>
      </c>
      <c r="L196" s="36">
        <v>1.7649698681151388E-4</v>
      </c>
      <c r="M196" s="36">
        <v>7.4820510101993379E-2</v>
      </c>
      <c r="N196" s="73"/>
      <c r="O196" s="59">
        <v>400</v>
      </c>
      <c r="P196" s="59">
        <v>450</v>
      </c>
      <c r="Q196" s="36">
        <v>1.7649698681151388E-4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9.0919069507215608E-3</v>
      </c>
      <c r="I197" s="36">
        <v>1.5783500000000002E-4</v>
      </c>
      <c r="J197" s="36">
        <v>1.5783500000000005E-4</v>
      </c>
      <c r="K197" s="71">
        <v>157835</v>
      </c>
      <c r="L197" s="36">
        <v>1.5783141122937148E-4</v>
      </c>
      <c r="M197" s="36">
        <v>7.4820620924511846E-2</v>
      </c>
      <c r="N197" s="73"/>
      <c r="O197" s="59">
        <v>450</v>
      </c>
      <c r="P197" s="59">
        <v>500</v>
      </c>
      <c r="Q197" s="36">
        <v>1.5783141122937148E-4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1.04247918338793E-2</v>
      </c>
      <c r="I198" s="36">
        <v>1.4279399999999934E-4</v>
      </c>
      <c r="J198" s="36">
        <v>1.4279399999999937E-4</v>
      </c>
      <c r="K198" s="71">
        <v>142794</v>
      </c>
      <c r="L198" s="36">
        <v>1.427907532238532E-4</v>
      </c>
      <c r="M198" s="36">
        <v>7.4820306595607164E-2</v>
      </c>
      <c r="N198" s="73"/>
      <c r="O198" s="59">
        <v>500</v>
      </c>
      <c r="P198" s="59">
        <v>550</v>
      </c>
      <c r="Q198" s="36">
        <v>1.427907532238532E-4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1.19683833193553E-2</v>
      </c>
      <c r="I199" s="36">
        <v>1.3031899999999994E-4</v>
      </c>
      <c r="J199" s="36">
        <v>1.3031899999999997E-4</v>
      </c>
      <c r="K199" s="71">
        <v>130319</v>
      </c>
      <c r="L199" s="36">
        <v>1.3031603687395355E-4</v>
      </c>
      <c r="M199" s="36">
        <v>7.4819884862579428E-2</v>
      </c>
      <c r="N199" s="73"/>
      <c r="O199" s="59">
        <v>550</v>
      </c>
      <c r="P199" s="59">
        <v>600</v>
      </c>
      <c r="Q199" s="36">
        <v>1.3031603687395355E-4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1.37370615285487E-2</v>
      </c>
      <c r="I200" s="36">
        <v>1.1989399999999966E-4</v>
      </c>
      <c r="J200" s="36">
        <v>1.1989399999999968E-4</v>
      </c>
      <c r="K200" s="71">
        <v>119894</v>
      </c>
      <c r="L200" s="36">
        <v>1.1989127391221379E-4</v>
      </c>
      <c r="M200" s="36">
        <v>7.4820269486009144E-2</v>
      </c>
      <c r="N200" s="73"/>
      <c r="O200" s="59">
        <v>600</v>
      </c>
      <c r="P200" s="59">
        <v>650</v>
      </c>
      <c r="Q200" s="36">
        <v>1.1989127391221379E-4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1.5685689017473001E-2</v>
      </c>
      <c r="I201" s="36">
        <v>1.1097400000000013E-4</v>
      </c>
      <c r="J201" s="36">
        <v>1.1097400000000015E-4</v>
      </c>
      <c r="K201" s="71">
        <v>110974</v>
      </c>
      <c r="L201" s="36">
        <v>1.109714767305621E-4</v>
      </c>
      <c r="M201" s="36">
        <v>7.4819983471970483E-2</v>
      </c>
      <c r="N201" s="73"/>
      <c r="O201" s="59">
        <v>650</v>
      </c>
      <c r="P201" s="59">
        <v>700</v>
      </c>
      <c r="Q201" s="36">
        <v>1.109714767305621E-4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1.7679147796678601E-2</v>
      </c>
      <c r="I202" s="36">
        <v>1.033010000000002E-4</v>
      </c>
      <c r="J202" s="36">
        <v>1.0330100000000021E-4</v>
      </c>
      <c r="K202" s="71">
        <v>103301</v>
      </c>
      <c r="L202" s="36">
        <v>1.0329865119526912E-4</v>
      </c>
      <c r="M202" s="36">
        <v>7.4820590763480008E-2</v>
      </c>
      <c r="N202" s="73"/>
      <c r="O202" s="59">
        <v>700</v>
      </c>
      <c r="P202" s="59">
        <v>750</v>
      </c>
      <c r="Q202" s="36">
        <v>1.0329865119526912E-4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1.9972428950290898E-2</v>
      </c>
      <c r="I203" s="36">
        <v>9.6637999999999843E-5</v>
      </c>
      <c r="J203" s="36">
        <v>9.6637999999999856E-5</v>
      </c>
      <c r="K203" s="71">
        <v>96638</v>
      </c>
      <c r="L203" s="36">
        <v>9.6635802695118313E-5</v>
      </c>
      <c r="M203" s="36">
        <v>7.4820654559312028E-2</v>
      </c>
      <c r="N203" s="73"/>
      <c r="O203" s="59">
        <v>750</v>
      </c>
      <c r="P203" s="59">
        <v>800</v>
      </c>
      <c r="Q203" s="36">
        <v>9.6635802695118313E-5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2.2450718598317501E-2</v>
      </c>
      <c r="I204" s="36">
        <v>9.0771000000000056E-5</v>
      </c>
      <c r="J204" s="36">
        <v>9.077100000000007E-5</v>
      </c>
      <c r="K204" s="71">
        <v>90771</v>
      </c>
      <c r="L204" s="36">
        <v>9.0768936095931045E-5</v>
      </c>
      <c r="M204" s="36">
        <v>7.4820338004734879E-2</v>
      </c>
      <c r="N204" s="73"/>
      <c r="O204" s="59">
        <v>800</v>
      </c>
      <c r="P204" s="59">
        <v>850</v>
      </c>
      <c r="Q204" s="36">
        <v>9.0768936095931045E-5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2.5347606984761899E-2</v>
      </c>
      <c r="I205" s="36">
        <v>8.5580999999999979E-5</v>
      </c>
      <c r="J205" s="36">
        <v>8.5580999999999993E-5</v>
      </c>
      <c r="K205" s="72">
        <v>85581</v>
      </c>
      <c r="L205" s="36">
        <v>8.5579054103467801E-5</v>
      </c>
      <c r="M205" s="36">
        <v>7.4820139279996867E-2</v>
      </c>
      <c r="N205" s="73"/>
      <c r="O205" s="59">
        <v>850</v>
      </c>
      <c r="P205" s="59">
        <v>900</v>
      </c>
      <c r="Q205" s="36">
        <v>8.5579054103467801E-5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2.8168134019495701E-2</v>
      </c>
      <c r="I206" s="36">
        <v>8.0941999999999999E-5</v>
      </c>
      <c r="J206" s="36">
        <v>8.0942000000000012E-5</v>
      </c>
      <c r="K206" s="72">
        <v>80942</v>
      </c>
      <c r="L206" s="36">
        <v>8.0940159582651409E-5</v>
      </c>
      <c r="M206" s="36">
        <v>7.4819742633577865E-2</v>
      </c>
      <c r="N206" s="73"/>
      <c r="O206" s="59">
        <v>900</v>
      </c>
      <c r="P206" s="59">
        <v>950</v>
      </c>
      <c r="Q206" s="36">
        <v>8.0940159582651409E-5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3.1607482231927497E-2</v>
      </c>
      <c r="I207" s="36">
        <v>7.6794999999999904E-5</v>
      </c>
      <c r="J207" s="36">
        <v>7.6794999999999918E-5</v>
      </c>
      <c r="K207" s="72">
        <v>76795</v>
      </c>
      <c r="L207" s="36">
        <v>7.6793253874993397E-5</v>
      </c>
      <c r="M207" s="36">
        <v>7.4820655114921239E-2</v>
      </c>
      <c r="N207" s="73"/>
      <c r="O207" s="59">
        <v>950</v>
      </c>
      <c r="P207" s="59">
        <v>1000</v>
      </c>
      <c r="Q207" s="36">
        <v>7.6793253874993397E-5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3.6452944087938199E-3</v>
      </c>
      <c r="I208" s="36">
        <v>5.6989999999999981E-5</v>
      </c>
      <c r="J208" s="36">
        <v>5.6989999999999988E-5</v>
      </c>
      <c r="K208" s="72">
        <v>56990</v>
      </c>
      <c r="L208" s="36">
        <v>5.6988704190844109E-5</v>
      </c>
      <c r="M208" s="36">
        <v>7.4820064645853848E-2</v>
      </c>
      <c r="N208" s="73"/>
      <c r="O208" s="59">
        <v>1000</v>
      </c>
      <c r="P208" s="59">
        <v>2000</v>
      </c>
      <c r="Q208" s="36">
        <v>5.6988704190844109E-5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3.3201277761518801E-2</v>
      </c>
      <c r="I209" s="36">
        <v>6.3229999999999935E-5</v>
      </c>
      <c r="J209" s="36">
        <v>6.3229999999999949E-5</v>
      </c>
      <c r="K209" s="72">
        <v>93220</v>
      </c>
      <c r="L209" s="36">
        <v>9.3217880411835191E-5</v>
      </c>
      <c r="M209" s="36">
        <v>0.22062183685261719</v>
      </c>
      <c r="N209" s="73"/>
      <c r="O209" s="59">
        <v>2000</v>
      </c>
      <c r="P209" s="59">
        <v>3000</v>
      </c>
      <c r="Q209" s="36">
        <v>9.3217880411835191E-5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4.6131389436363603</v>
      </c>
      <c r="I216" s="36">
        <v>7.2519999999999951E-6</v>
      </c>
      <c r="J216" s="36">
        <v>7.251999999999996E-6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topLeftCell="C43"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f>Overview!B11</f>
        <v>1</v>
      </c>
      <c r="C7" s="40">
        <f>SUM(M15:M79)</f>
        <v>0.72008498629709505</v>
      </c>
      <c r="D7" s="40">
        <f>SUM(_xlfn.ANCHORARRAY(M86))*F7</f>
        <v>0.20991468149786327</v>
      </c>
      <c r="E7" s="41">
        <f>SUM(C7:D7)</f>
        <v>0.92999966779495835</v>
      </c>
      <c r="F7" s="42">
        <f>L79</f>
        <v>3.5763494174742556E-3</v>
      </c>
      <c r="G7" s="43">
        <f>1/F7</f>
        <v>279.61473650028171</v>
      </c>
      <c r="H7" s="44">
        <f>D7*G7</f>
        <v>58.695238354565596</v>
      </c>
      <c r="I7" s="60" cm="1">
        <f t="array" ref="I7">LOOKUP(2,1/(K15:K78&lt;&gt;0),P15:P78)</f>
        <v>30</v>
      </c>
      <c r="J7" s="60" cm="1">
        <f t="array" ref="J7">LOOKUP(2,1/(K86:K149&lt;&gt;0),P86:P149)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>
        <v>733362426</v>
      </c>
      <c r="L15" s="36" cm="1">
        <f t="array" ref="L15:L79">_xlfn.LET(_xlpm.x, K15:K79, _xlpm.x/SUM(_xlpm.x))</f>
        <v>0.73044184631318931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0.73044184631318931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147073504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43093495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19740550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12108868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7862117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6066338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3265440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3661421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2962011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1920529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10160353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4355288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2430625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2344760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100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3641760160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2026-09-22T09:22:21Z</dcterms:modified>
</cp:coreProperties>
</file>