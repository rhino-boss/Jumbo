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8_雷神爆金\Source\"/>
    </mc:Choice>
  </mc:AlternateContent>
  <xr:revisionPtr revIDLastSave="0" documentId="13_ncr:1_{A2740839-6A39-4129-AAB9-601082A7F4FE}" xr6:coauthVersionLast="47" xr6:coauthVersionMax="47" xr10:uidLastSave="{00000000-0000-0000-0000-000000000000}"/>
  <bookViews>
    <workbookView xWindow="-492" yWindow="588" windowWidth="17280" windowHeight="8880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5" l="1" a="1"/>
  <c r="J8" i="5"/>
  <c r="J7" i="5" a="1"/>
  <c r="J7" i="5" s="1"/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K86" i="6" s="1" a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I15" i="6" s="1" a="1"/>
  <c r="A15" i="6"/>
  <c r="B7" i="6"/>
  <c r="B3" i="6"/>
  <c r="E15" i="6" s="1" a="1"/>
  <c r="E15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D163" i="5" s="1" a="1"/>
  <c r="D163" i="5" s="1"/>
  <c r="I163" i="5" s="1" a="1"/>
  <c r="I163" i="5" s="1"/>
  <c r="J163" i="5" s="1" a="1"/>
  <c r="J163" i="5" s="1"/>
  <c r="A163" i="5"/>
  <c r="I156" i="5"/>
  <c r="J156" i="5" s="1"/>
  <c r="K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A15" i="5"/>
  <c r="F8" i="5"/>
  <c r="G8" i="5" s="1"/>
  <c r="B7" i="5" a="1"/>
  <c r="B7" i="5" s="1"/>
  <c r="B3" i="5"/>
  <c r="E15" i="5" s="1" a="1"/>
  <c r="E15" i="5" s="1"/>
  <c r="C21" i="1"/>
  <c r="A21" i="1"/>
  <c r="A17" i="1"/>
  <c r="A11" i="1" a="1"/>
  <c r="A12" i="1" s="1"/>
  <c r="I15" i="5" l="1" a="1"/>
  <c r="I15" i="5" s="1"/>
  <c r="J15" i="5" s="1" a="1"/>
  <c r="J15" i="5" s="1"/>
  <c r="K86" i="6"/>
  <c r="C24" i="3"/>
  <c r="C40" i="3"/>
  <c r="C8" i="3"/>
  <c r="L156" i="5"/>
  <c r="E163" i="5" a="1"/>
  <c r="E163" i="5" s="1"/>
  <c r="E86" i="5" a="1"/>
  <c r="E86" i="5" s="1"/>
  <c r="E156" i="5"/>
  <c r="E62" i="3"/>
  <c r="E14" i="3"/>
  <c r="E86" i="6" a="1"/>
  <c r="E86" i="6" s="1"/>
  <c r="J79" i="6"/>
  <c r="I15" i="6"/>
  <c r="J15" i="6" s="1" a="1"/>
  <c r="J15" i="6" s="1"/>
  <c r="C62" i="3"/>
  <c r="C46" i="3"/>
  <c r="C30" i="3"/>
  <c r="C14" i="3"/>
  <c r="C52" i="3"/>
  <c r="C36" i="3"/>
  <c r="C20" i="3"/>
  <c r="C23" i="3"/>
  <c r="C7" i="3"/>
  <c r="C29" i="3"/>
  <c r="C25" i="3"/>
  <c r="C50" i="3"/>
  <c r="C37" i="3"/>
  <c r="C65" i="3"/>
  <c r="C49" i="3"/>
  <c r="C33" i="3"/>
  <c r="C17" i="3"/>
  <c r="C4" i="3"/>
  <c r="C55" i="3"/>
  <c r="C39" i="3"/>
  <c r="C51" i="3"/>
  <c r="C38" i="3"/>
  <c r="C47" i="3"/>
  <c r="C9" i="3"/>
  <c r="C18" i="3"/>
  <c r="C58" i="3"/>
  <c r="C42" i="3"/>
  <c r="C26" i="3"/>
  <c r="C10" i="3"/>
  <c r="C61" i="3"/>
  <c r="C13" i="3"/>
  <c r="C35" i="3"/>
  <c r="C19" i="3"/>
  <c r="C31" i="3"/>
  <c r="C15" i="3"/>
  <c r="C66" i="3"/>
  <c r="C34" i="3"/>
  <c r="C45" i="3"/>
  <c r="C57" i="3"/>
  <c r="C12" i="3"/>
  <c r="C63" i="3"/>
  <c r="C53" i="3"/>
  <c r="C21" i="3"/>
  <c r="C64" i="3"/>
  <c r="C48" i="3"/>
  <c r="C32" i="3"/>
  <c r="C16" i="3"/>
  <c r="C54" i="3"/>
  <c r="C6" i="3"/>
  <c r="C60" i="3"/>
  <c r="C44" i="3"/>
  <c r="C28" i="3"/>
  <c r="C5" i="3"/>
  <c r="C22" i="3"/>
  <c r="C41" i="3"/>
  <c r="C59" i="3"/>
  <c r="C43" i="3"/>
  <c r="C27" i="3"/>
  <c r="C11" i="3"/>
  <c r="F53" i="3"/>
  <c r="F21" i="3"/>
  <c r="F12" i="3"/>
  <c r="F62" i="3"/>
  <c r="C56" i="3"/>
  <c r="E52" i="3"/>
  <c r="E36" i="3"/>
  <c r="E23" i="3"/>
  <c r="E7" i="3"/>
  <c r="E42" i="3"/>
  <c r="E10" i="3"/>
  <c r="E61" i="3"/>
  <c r="E45" i="3"/>
  <c r="E19" i="3"/>
  <c r="E47" i="3"/>
  <c r="E37" i="3"/>
  <c r="E40" i="3"/>
  <c r="E64" i="3"/>
  <c r="E48" i="3"/>
  <c r="E6" i="3"/>
  <c r="E41" i="3"/>
  <c r="E34" i="3"/>
  <c r="E59" i="3"/>
  <c r="E24" i="3"/>
  <c r="E65" i="3"/>
  <c r="A11" i="1"/>
  <c r="J79" i="5" l="1"/>
  <c r="K15" i="5" s="1" a="1"/>
  <c r="K15" i="5" s="1"/>
  <c r="M156" i="5"/>
  <c r="C8" i="5" s="1"/>
  <c r="B21" i="1" s="1"/>
  <c r="F27" i="3"/>
  <c r="F37" i="3"/>
  <c r="F6" i="3"/>
  <c r="F63" i="3"/>
  <c r="F44" i="3"/>
  <c r="E46" i="3"/>
  <c r="F28" i="3"/>
  <c r="F47" i="3"/>
  <c r="F15" i="3"/>
  <c r="F11" i="3"/>
  <c r="F64" i="3"/>
  <c r="F22" i="3"/>
  <c r="F4" i="3"/>
  <c r="F54" i="3"/>
  <c r="F31" i="3"/>
  <c r="F24" i="3"/>
  <c r="F14" i="3"/>
  <c r="E38" i="3"/>
  <c r="E55" i="3"/>
  <c r="F36" i="3"/>
  <c r="F16" i="3"/>
  <c r="E35" i="3"/>
  <c r="E11" i="3"/>
  <c r="E66" i="3"/>
  <c r="F43" i="3"/>
  <c r="E56" i="3"/>
  <c r="E60" i="3"/>
  <c r="F50" i="3"/>
  <c r="F8" i="3"/>
  <c r="F49" i="3"/>
  <c r="E25" i="3"/>
  <c r="E21" i="3"/>
  <c r="E12" i="3"/>
  <c r="E9" i="3"/>
  <c r="F9" i="3"/>
  <c r="F66" i="3"/>
  <c r="F38" i="3"/>
  <c r="F7" i="3"/>
  <c r="F33" i="3"/>
  <c r="E30" i="3"/>
  <c r="E57" i="3"/>
  <c r="E31" i="3"/>
  <c r="E28" i="3"/>
  <c r="E26" i="3"/>
  <c r="F25" i="3"/>
  <c r="F60" i="3"/>
  <c r="F10" i="3"/>
  <c r="F23" i="3"/>
  <c r="F65" i="3"/>
  <c r="E22" i="3"/>
  <c r="E5" i="3"/>
  <c r="E39" i="3"/>
  <c r="F20" i="3"/>
  <c r="F40" i="3"/>
  <c r="F5" i="3"/>
  <c r="F32" i="3"/>
  <c r="E53" i="3"/>
  <c r="E63" i="3"/>
  <c r="F56" i="3"/>
  <c r="F48" i="3"/>
  <c r="E54" i="3"/>
  <c r="F52" i="3"/>
  <c r="F29" i="3"/>
  <c r="F59" i="3"/>
  <c r="E18" i="3"/>
  <c r="E8" i="3"/>
  <c r="F18" i="3"/>
  <c r="F13" i="3"/>
  <c r="E50" i="3"/>
  <c r="E43" i="3"/>
  <c r="F34" i="3"/>
  <c r="F45" i="3"/>
  <c r="E27" i="3"/>
  <c r="F30" i="3"/>
  <c r="F61" i="3"/>
  <c r="F17" i="3"/>
  <c r="E17" i="3"/>
  <c r="E51" i="3"/>
  <c r="E44" i="3"/>
  <c r="E58" i="3"/>
  <c r="F41" i="3"/>
  <c r="F19" i="3"/>
  <c r="F26" i="3"/>
  <c r="F39" i="3"/>
  <c r="E33" i="3"/>
  <c r="E16" i="3"/>
  <c r="E13" i="3"/>
  <c r="E4" i="3"/>
  <c r="F57" i="3"/>
  <c r="F35" i="3"/>
  <c r="F42" i="3"/>
  <c r="F55" i="3"/>
  <c r="E15" i="3"/>
  <c r="E49" i="3"/>
  <c r="E32" i="3"/>
  <c r="E29" i="3"/>
  <c r="E20" i="3"/>
  <c r="F46" i="3"/>
  <c r="F51" i="3"/>
  <c r="F58" i="3"/>
  <c r="L86" i="5" a="1"/>
  <c r="L86" i="5" s="1"/>
  <c r="E3" i="3"/>
  <c r="F3" i="3"/>
  <c r="L163" i="5" a="1"/>
  <c r="L163" i="5" s="1"/>
  <c r="L86" i="6" a="1"/>
  <c r="L86" i="6" s="1"/>
  <c r="J7" i="6" a="1"/>
  <c r="J7" i="6" s="1"/>
  <c r="C3" i="3"/>
  <c r="B28" i="3" l="1"/>
  <c r="B56" i="3"/>
  <c r="B51" i="3"/>
  <c r="B14" i="3"/>
  <c r="B43" i="3"/>
  <c r="B30" i="3"/>
  <c r="B49" i="3"/>
  <c r="B26" i="3"/>
  <c r="B60" i="3"/>
  <c r="B4" i="3"/>
  <c r="B65" i="3"/>
  <c r="B11" i="3"/>
  <c r="B48" i="3"/>
  <c r="B23" i="3"/>
  <c r="B50" i="3"/>
  <c r="B22" i="3"/>
  <c r="B38" i="3"/>
  <c r="B27" i="3"/>
  <c r="B64" i="3"/>
  <c r="B59" i="3"/>
  <c r="B45" i="3"/>
  <c r="B46" i="3"/>
  <c r="B37" i="3"/>
  <c r="B62" i="3"/>
  <c r="B47" i="3"/>
  <c r="B44" i="3"/>
  <c r="B18" i="3"/>
  <c r="B5" i="3"/>
  <c r="B34" i="3"/>
  <c r="B36" i="3"/>
  <c r="B63" i="3"/>
  <c r="B42" i="3"/>
  <c r="B58" i="3"/>
  <c r="B20" i="3"/>
  <c r="B17" i="3"/>
  <c r="B13" i="3"/>
  <c r="B7" i="3"/>
  <c r="B39" i="3"/>
  <c r="B29" i="3"/>
  <c r="B21" i="3"/>
  <c r="B61" i="3"/>
  <c r="B53" i="3"/>
  <c r="B55" i="3"/>
  <c r="B57" i="3"/>
  <c r="B19" i="3"/>
  <c r="B52" i="3"/>
  <c r="B54" i="3"/>
  <c r="B67" i="3"/>
  <c r="B6" i="3"/>
  <c r="B16" i="3"/>
  <c r="B32" i="3"/>
  <c r="B15" i="3"/>
  <c r="B35" i="3"/>
  <c r="B40" i="3"/>
  <c r="B33" i="3"/>
  <c r="B9" i="3"/>
  <c r="B41" i="3"/>
  <c r="B31" i="3"/>
  <c r="B66" i="3"/>
  <c r="B8" i="3"/>
  <c r="B24" i="3"/>
  <c r="B12" i="3"/>
  <c r="B25" i="3"/>
  <c r="B10" i="3"/>
  <c r="D15" i="3"/>
  <c r="D55" i="3"/>
  <c r="D23" i="3"/>
  <c r="D20" i="3"/>
  <c r="D16" i="3"/>
  <c r="D4" i="3"/>
  <c r="D33" i="3"/>
  <c r="D49" i="3"/>
  <c r="D52" i="3"/>
  <c r="D11" i="3"/>
  <c r="D54" i="3"/>
  <c r="D45" i="3"/>
  <c r="D5" i="3"/>
  <c r="D44" i="3"/>
  <c r="D35" i="3"/>
  <c r="D51" i="3"/>
  <c r="D60" i="3"/>
  <c r="D13" i="3"/>
  <c r="D25" i="3"/>
  <c r="D29" i="3"/>
  <c r="D61" i="3"/>
  <c r="D53" i="3"/>
  <c r="D14" i="3"/>
  <c r="D50" i="3"/>
  <c r="D48" i="3"/>
  <c r="D64" i="3"/>
  <c r="D30" i="3"/>
  <c r="D66" i="3"/>
  <c r="D9" i="3"/>
  <c r="D10" i="3"/>
  <c r="D40" i="3"/>
  <c r="D34" i="3"/>
  <c r="D26" i="3"/>
  <c r="D32" i="3"/>
  <c r="D27" i="3"/>
  <c r="D67" i="3"/>
  <c r="D37" i="3"/>
  <c r="D43" i="3"/>
  <c r="D56" i="3"/>
  <c r="D62" i="3"/>
  <c r="D47" i="3"/>
  <c r="D24" i="3"/>
  <c r="D42" i="3"/>
  <c r="D12" i="3"/>
  <c r="D57" i="3"/>
  <c r="D58" i="3"/>
  <c r="D39" i="3"/>
  <c r="D19" i="3"/>
  <c r="D17" i="3"/>
  <c r="D36" i="3"/>
  <c r="D38" i="3"/>
  <c r="D65" i="3"/>
  <c r="D59" i="3"/>
  <c r="D18" i="3"/>
  <c r="D6" i="3"/>
  <c r="D41" i="3"/>
  <c r="D46" i="3"/>
  <c r="D31" i="3"/>
  <c r="D8" i="3"/>
  <c r="D63" i="3"/>
  <c r="D21" i="3"/>
  <c r="D28" i="3"/>
  <c r="D22" i="3"/>
  <c r="D7" i="3"/>
  <c r="Q86" i="6" a="1"/>
  <c r="Q86" i="6" s="1"/>
  <c r="M86" i="6" a="1"/>
  <c r="M86" i="6" s="1"/>
  <c r="U86" i="6" a="1"/>
  <c r="U86" i="6" s="1"/>
  <c r="L15" i="5" a="1"/>
  <c r="I7" i="5" a="1"/>
  <c r="I7" i="5" s="1"/>
  <c r="D3" i="3"/>
  <c r="U163" i="5" a="1"/>
  <c r="U163" i="5" s="1"/>
  <c r="Q163" i="5" a="1"/>
  <c r="Q163" i="5" s="1"/>
  <c r="M163" i="5" a="1"/>
  <c r="M163" i="5" s="1"/>
  <c r="D8" i="5" s="1"/>
  <c r="B3" i="3"/>
  <c r="L15" i="6" a="1"/>
  <c r="I7" i="6" a="1"/>
  <c r="I7" i="6" s="1"/>
  <c r="U86" i="5" a="1"/>
  <c r="U86" i="5" s="1"/>
  <c r="Q86" i="5" a="1"/>
  <c r="Q86" i="5" s="1"/>
  <c r="M86" i="5" a="1"/>
  <c r="M86" i="5" s="1"/>
  <c r="L15" i="6" l="1"/>
  <c r="F7" i="6"/>
  <c r="F7" i="5"/>
  <c r="L15" i="5"/>
  <c r="H8" i="5"/>
  <c r="B22" i="1"/>
  <c r="C12" i="1" s="1"/>
  <c r="E8" i="5"/>
  <c r="Q15" i="5" l="1" a="1"/>
  <c r="Q15" i="5" s="1"/>
  <c r="M15" i="5" a="1"/>
  <c r="M15" i="5" s="1"/>
  <c r="C7" i="5" s="1"/>
  <c r="U15" i="5" a="1"/>
  <c r="U15" i="5" s="1"/>
  <c r="D7" i="5"/>
  <c r="G7" i="5"/>
  <c r="D17" i="1" s="1"/>
  <c r="C17" i="1" s="1"/>
  <c r="G7" i="6"/>
  <c r="D7" i="6"/>
  <c r="U15" i="6" a="1"/>
  <c r="U15" i="6" s="1"/>
  <c r="Q15" i="6" a="1"/>
  <c r="Q15" i="6" s="1"/>
  <c r="M15" i="6" a="1"/>
  <c r="M15" i="6" s="1"/>
  <c r="C7" i="6" s="1"/>
  <c r="E7" i="6" l="1"/>
  <c r="H7" i="6"/>
  <c r="B18" i="1"/>
  <c r="H7" i="5"/>
  <c r="B17" i="1"/>
  <c r="E7" i="5"/>
  <c r="C1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<sst xmlns="http://schemas.openxmlformats.org/spreadsheetml/2006/main" count="287" uniqueCount="127">
  <si>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</si>
  <si>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</si>
  <si>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</si>
  <si>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</si>
  <si>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</si>
  <si>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</si>
  <si>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</si>
  <si>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</si>
  <si>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</si>
  <si>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</si>
  <si>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</si>
  <si>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</si>
  <si>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</si>
  <si>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</si>
  <si>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</si>
  <si>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</si>
  <si>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</si>
  <si>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</si>
  <si>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</si>
  <si>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</si>
  <si>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</si>
  <si>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</si>
  <si>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</si>
  <si>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</si>
  <si>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</si>
  <si>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</si>
  <si>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</si>
  <si>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</si>
  <si>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</si>
  <si>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</si>
  <si>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</si>
  <si>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</si>
  <si>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</si>
  <si>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</si>
  <si>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</si>
  <si>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</si>
  <si>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</si>
  <si>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</si>
  <si>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</si>
  <si>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</si>
  <si>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</si>
  <si>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</si>
  <si>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</si>
  <si>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</si>
  <si>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</si>
  <si>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</si>
  <si>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</si>
  <si>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</si>
  <si>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</si>
  <si>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</si>
  <si>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</si>
  <si>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</si>
  <si>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</si>
  <si>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</si>
  <si>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</si>
  <si>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</si>
  <si>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</si>
  <si>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</si>
  <si>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</si>
  <si>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</si>
  <si>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</si>
  <si>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</si>
  <si>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</si>
  <si>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</si>
  <si>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</si>
  <si>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</si>
  <si>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</si>
  <si>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</si>
  <si>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</si>
  <si>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</si>
  <si>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</si>
  <si>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</si>
  <si>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</si>
  <si>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</si>
  <si>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</si>
  <si>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</si>
  <si>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</si>
  <si>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</si>
  <si>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</si>
  <si>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</si>
  <si>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</si>
  <si>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</si>
  <si>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</si>
  <si>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</si>
  <si>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</si>
  <si>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</si>
  <si>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</si>
  <si>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</si>
  <si>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</si>
  <si>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</si>
  <si>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</si>
  <si>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</si>
  <si>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</si>
  <si>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</si>
  <si>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</si>
  <si>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</si>
  <si>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</si>
  <si>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</si>
  <si>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</si>
  <si>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</si>
  <si>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</si>
  <si>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</si>
  <si>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</si>
  <si>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</si>
  <si>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</si>
  <si>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</si>
  <si>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</si>
  <si>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</si>
  <si>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</si>
  <si>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</si>
  <si>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</si>
  <si>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</si>
  <si>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</si>
  <si>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</si>
  <si>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</si>
  <si>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</si>
  <si>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</si>
  <si>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</si>
  <si>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</si>
  <si>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</si>
  <si>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</si>
  <si>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</si>
  <si>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</si>
  <si>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</si>
  <si>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</si>
  <si>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</si>
  <si>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3.5.0.3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</si>
</sst>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76" fontId="26" fillId="36" borderId="11" xfId="1" applyNumberFormat="1" applyFont="1" applyFill="1" applyBorder="1">
      <alignment vertical="center"/>
    </xf>
    <xf numFmtId="0" fontId="19" fillId="36" borderId="11" xfId="0" applyFont="1" applyFill="1" applyBorder="1"/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F10" sqref="F10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8" t="s">
        <v>120</v>
      </c>
    </row>
    <row r="3" spans="1:10" x14ac:dyDescent="0.3">
      <c r="A3" s="3" t="s">
        <v>0</v>
      </c>
      <c r="B3" s="99" t="s">
        <v>126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95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0.92000000079366184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0.92500039351908048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2" t="str">
        <f>D11</f>
        <v>Normal Bet</v>
      </c>
      <c r="B17" s="19">
        <f>Detail!C7</f>
        <v>0.71999955330765253</v>
      </c>
      <c r="C17" s="104">
        <f>1/D17</f>
        <v>3.3333327253666674E-3</v>
      </c>
      <c r="D17" s="107">
        <f>Detail!G7</f>
        <v>300.0000547170099</v>
      </c>
      <c r="E17" s="16" t="s">
        <v>13</v>
      </c>
      <c r="H17" s="26"/>
      <c r="I17" s="30"/>
      <c r="J17" s="31"/>
    </row>
    <row r="18" spans="1:10" ht="15.6" customHeight="1" x14ac:dyDescent="0.3">
      <c r="A18" s="103"/>
      <c r="B18" s="19">
        <f>Detail!D7</f>
        <v>0.20000044748600931</v>
      </c>
      <c r="C18" s="105"/>
      <c r="D18" s="105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8" t="str">
        <f>D12</f>
        <v>Buy Feature</v>
      </c>
      <c r="B21" s="19">
        <f>Detail!C8</f>
        <v>0</v>
      </c>
      <c r="C21" s="104">
        <f>1/D21</f>
        <v>1</v>
      </c>
      <c r="D21" s="106">
        <v>1</v>
      </c>
      <c r="E21" s="16" t="s">
        <v>13</v>
      </c>
      <c r="H21" s="26"/>
      <c r="I21" s="30"/>
      <c r="J21" s="31"/>
    </row>
    <row r="22" spans="1:10" x14ac:dyDescent="0.3">
      <c r="A22" s="109"/>
      <c r="B22" s="19">
        <f>Detail!D8</f>
        <v>0.92500039351908048</v>
      </c>
      <c r="C22" s="105"/>
      <c r="D22" s="105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G20" sqref="G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725290353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154419248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45353384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20823040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12801058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8330031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6441913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3475080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3905192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3166363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2057514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6253639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2710826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1529839</v>
      </c>
      <c r="E16" s="10">
        <f>Detail!K99</f>
        <v>48302949</v>
      </c>
      <c r="F16" s="10">
        <f>Detail!K176</f>
        <v>33624101</v>
      </c>
    </row>
    <row r="17" spans="1:6" x14ac:dyDescent="0.3">
      <c r="A17" s="14" t="s">
        <v>30</v>
      </c>
      <c r="B17" s="101">
        <f>Detail_Newbie!K29</f>
        <v>2344760</v>
      </c>
      <c r="C17" s="10">
        <f>Detail_Newbie!K100</f>
        <v>0</v>
      </c>
      <c r="D17" s="10">
        <f>Detail!K29</f>
        <v>1232818</v>
      </c>
      <c r="E17" s="10">
        <f>Detail!K100</f>
        <v>194996320</v>
      </c>
      <c r="F17" s="10">
        <f>Detail!K177</f>
        <v>142495353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589469</v>
      </c>
      <c r="E18" s="10">
        <f>Detail!K101</f>
        <v>69916525</v>
      </c>
      <c r="F18" s="10">
        <f>Detail!K178</f>
        <v>53611252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407617</v>
      </c>
      <c r="E19" s="10">
        <f>Detail!K102</f>
        <v>117251431</v>
      </c>
      <c r="F19" s="10">
        <f>Detail!K179</f>
        <v>94377963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249167</v>
      </c>
      <c r="E20" s="10">
        <f>Detail!K103</f>
        <v>97100037</v>
      </c>
      <c r="F20" s="10">
        <f>Detail!K180</f>
        <v>82045785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208681</v>
      </c>
      <c r="E21" s="10">
        <f>Detail!K104</f>
        <v>79195505</v>
      </c>
      <c r="F21" s="10">
        <f>Detail!K181</f>
        <v>70222520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445875</v>
      </c>
      <c r="E22" s="10">
        <f>Detail!K105</f>
        <v>71248938</v>
      </c>
      <c r="F22" s="10">
        <f>Detail!K182</f>
        <v>67928092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308895</v>
      </c>
      <c r="E23" s="10">
        <f>Detail!K106</f>
        <v>88383903</v>
      </c>
      <c r="F23" s="10">
        <f>Detail!K183</f>
        <v>92830631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38372281</v>
      </c>
      <c r="F24" s="10">
        <f>Detail!K184</f>
        <v>44401194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66635558</v>
      </c>
      <c r="F25" s="10">
        <f>Detail!K185</f>
        <v>84947917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23147088</v>
      </c>
      <c r="F26" s="10">
        <f>Detail!K186</f>
        <v>32505661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46877120</v>
      </c>
      <c r="F27" s="10">
        <f>Detail!K187</f>
        <v>76061463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14132497</v>
      </c>
      <c r="F28" s="10">
        <f>Detail!K188</f>
        <v>27838104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18657198</v>
      </c>
      <c r="F29" s="10">
        <f>Detail!K189</f>
        <v>44588485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8035760</v>
      </c>
      <c r="F30" s="10">
        <f>Detail!K190</f>
        <v>23313443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7574523</v>
      </c>
      <c r="F31" s="10">
        <f>Detail!K191</f>
        <v>26669156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1340444</v>
      </c>
      <c r="F32" s="10">
        <f>Detail!K192</f>
        <v>334549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1095083</v>
      </c>
      <c r="F33" s="10">
        <f>Detail!K193</f>
        <v>273312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925889</v>
      </c>
      <c r="F34" s="10">
        <f>Detail!K194</f>
        <v>231084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801814</v>
      </c>
      <c r="F35" s="10">
        <f>Detail!K195</f>
        <v>200118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707188</v>
      </c>
      <c r="F36" s="10">
        <f>Detail!K196</f>
        <v>176501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632399</v>
      </c>
      <c r="F37" s="10">
        <f>Detail!K197</f>
        <v>157835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572136</v>
      </c>
      <c r="F38" s="10">
        <f>Detail!K198</f>
        <v>142794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522154</v>
      </c>
      <c r="F39" s="10">
        <f>Detail!K199</f>
        <v>130319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480382</v>
      </c>
      <c r="F40" s="10">
        <f>Detail!K200</f>
        <v>119894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444643</v>
      </c>
      <c r="F41" s="10">
        <f>Detail!K201</f>
        <v>110974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413897</v>
      </c>
      <c r="F42" s="10">
        <f>Detail!K202</f>
        <v>103301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387200</v>
      </c>
      <c r="F43" s="10">
        <f>Detail!K203</f>
        <v>96638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363694</v>
      </c>
      <c r="F44" s="10">
        <f>Detail!K204</f>
        <v>90771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342900</v>
      </c>
      <c r="F45" s="10">
        <f>Detail!K205</f>
        <v>85581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324315</v>
      </c>
      <c r="F46" s="10">
        <f>Detail!K206</f>
        <v>80942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307695</v>
      </c>
      <c r="F47" s="10">
        <f>Detail!K207</f>
        <v>76795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228343</v>
      </c>
      <c r="F48" s="10">
        <f>Detail!K208</f>
        <v>56990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372300</v>
      </c>
      <c r="F49" s="10">
        <f>Detail!K209</f>
        <v>93220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topLeftCell="C1" workbookViewId="0">
      <selection activeCell="G1"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 cm="1">
        <f t="array" ref="B7:B8">Overview!B11:B12</f>
        <v>1</v>
      </c>
      <c r="C7" s="40">
        <f>SUM(M15:M79)</f>
        <v>0.71999955330765253</v>
      </c>
      <c r="D7" s="40">
        <f>SUM(_xlfn.ANCHORARRAY(M86))*F7</f>
        <v>0.20000044748600931</v>
      </c>
      <c r="E7" s="41">
        <f>SUM(C7:D7)</f>
        <v>0.92000000079366184</v>
      </c>
      <c r="F7" s="42">
        <f>L79</f>
        <v>3.3333327253666674E-3</v>
      </c>
      <c r="G7" s="43">
        <f>1/F7</f>
        <v>300.0000547170099</v>
      </c>
      <c r="H7" s="44">
        <f>D7*G7</f>
        <v>60.000145189229258</v>
      </c>
      <c r="I7" s="60" cm="1">
        <f t="array" ref="I7">LOOKUP(2,1/(K15:K78&lt;&gt;0),P15:P78)</f>
        <v>70</v>
      </c>
      <c r="J7" s="60" cm="1">
        <f t="array" ref="J7">LOOKUP(2,1/(K86:K149&lt;&gt;0),P86:P149)</f>
        <v>3000</v>
      </c>
      <c r="K7" s="48"/>
      <c r="L7" s="49"/>
      <c r="M7" s="58"/>
    </row>
    <row r="8" spans="1:21" x14ac:dyDescent="0.3">
      <c r="A8" s="59" t="s">
        <v>94</v>
      </c>
      <c r="B8" s="59">
        <v>75</v>
      </c>
      <c r="C8" s="40">
        <f>M156/B8</f>
        <v>0</v>
      </c>
      <c r="D8" s="40">
        <f>SUM(_xlfn.ANCHORARRAY(M163))/B8</f>
        <v>0.92500039351908048</v>
      </c>
      <c r="E8" s="41">
        <f>SUM(C8:D8)</f>
        <v>0.92500039351908048</v>
      </c>
      <c r="F8" s="45">
        <f>D156</f>
        <v>1</v>
      </c>
      <c r="G8" s="43">
        <f>1/F8</f>
        <v>1</v>
      </c>
      <c r="H8" s="44">
        <f>D8*G8*B8</f>
        <v>69.37502951393104</v>
      </c>
      <c r="I8" s="61"/>
      <c r="J8" s="61" cm="1">
        <f t="array" ref="J8">LOOKUP(2,1/(K163:K226&lt;&gt;0),P163:P226)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8">_xlfn.LET(_xlpm.x, C15:C78/B15:B78/B3,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0.72533028700000246</v>
      </c>
      <c r="J15" s="36" cm="1">
        <f t="array" ref="J15:J78">I15:I78/SUM(I15:I78)</f>
        <v>0.7252903534922297</v>
      </c>
      <c r="K15" s="71" cm="1">
        <f t="array" ref="K15:K79">ROUND(J15:J79*$B$2,0)</f>
        <v>725290353</v>
      </c>
      <c r="L15" s="36" cm="1">
        <f t="array" ref="L15:L79">_xlfn.LET(_xlpm.x, K15:K79, _xlpm.x/SUM(_xlpm.x))</f>
        <v>0.72287271748520687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0.72287271748520687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1.0779287532110999</v>
      </c>
      <c r="I16" s="36">
        <v>0.15442774999999939</v>
      </c>
      <c r="J16" s="36">
        <v>0.15441924788466591</v>
      </c>
      <c r="K16" s="71">
        <v>154419248</v>
      </c>
      <c r="L16" s="36">
        <v>0.15390451695940605</v>
      </c>
      <c r="M16" s="36">
        <v>6.6755351981445832E-2</v>
      </c>
      <c r="N16" s="73"/>
      <c r="O16" s="59">
        <v>0</v>
      </c>
      <c r="P16" s="59">
        <v>1</v>
      </c>
      <c r="Q16" s="36">
        <v>0.15390451695940605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0.82567255279996499</v>
      </c>
      <c r="I17" s="36">
        <v>4.5355881000000001E-2</v>
      </c>
      <c r="J17" s="36">
        <v>4.53533839039061E-2</v>
      </c>
      <c r="K17" s="71">
        <v>45353384</v>
      </c>
      <c r="L17" s="36">
        <v>4.5202205990502266E-2</v>
      </c>
      <c r="M17" s="36">
        <v>6.8051783334864543E-2</v>
      </c>
      <c r="N17" s="73"/>
      <c r="O17" s="59">
        <v>1</v>
      </c>
      <c r="P17" s="59">
        <v>2</v>
      </c>
      <c r="Q17" s="36">
        <v>4.5202205990502266E-2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0.63022480187847896</v>
      </c>
      <c r="I18" s="36">
        <v>2.0824185999999991E-2</v>
      </c>
      <c r="J18" s="36">
        <v>2.082303951155411E-2</v>
      </c>
      <c r="K18" s="71">
        <v>20823040</v>
      </c>
      <c r="L18" s="36">
        <v>2.0753629837819122E-2</v>
      </c>
      <c r="M18" s="36">
        <v>5.2539505568162129E-2</v>
      </c>
      <c r="N18" s="73"/>
      <c r="O18" s="59">
        <v>2</v>
      </c>
      <c r="P18" s="59">
        <v>3</v>
      </c>
      <c r="Q18" s="36">
        <v>2.0753629837819122E-2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0.55958455344942304</v>
      </c>
      <c r="I19" s="36">
        <v>1.2801763000000008E-2</v>
      </c>
      <c r="J19" s="36">
        <v>1.2801058191016531E-2</v>
      </c>
      <c r="K19" s="71">
        <v>12801058</v>
      </c>
      <c r="L19" s="36">
        <v>1.2758387788932507E-2</v>
      </c>
      <c r="M19" s="36">
        <v>4.5015506220798619E-2</v>
      </c>
      <c r="N19" s="73"/>
      <c r="O19" s="59">
        <v>3</v>
      </c>
      <c r="P19" s="59">
        <v>4</v>
      </c>
      <c r="Q19" s="36">
        <v>1.2758387788932507E-2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0.49091851226142702</v>
      </c>
      <c r="I20" s="36">
        <v>8.3304899999999977E-3</v>
      </c>
      <c r="J20" s="36">
        <v>8.3300313597182828E-3</v>
      </c>
      <c r="K20" s="71">
        <v>8330031</v>
      </c>
      <c r="L20" s="36">
        <v>8.3022642184598528E-3</v>
      </c>
      <c r="M20" s="36">
        <v>3.7630392913459453E-2</v>
      </c>
      <c r="N20" s="73"/>
      <c r="O20" s="59">
        <v>4</v>
      </c>
      <c r="P20" s="59">
        <v>5</v>
      </c>
      <c r="Q20" s="36">
        <v>8.3022642184598528E-3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0.47815081935772702</v>
      </c>
      <c r="I21" s="36">
        <v>6.4422680000000053E-3</v>
      </c>
      <c r="J21" s="36">
        <v>6.4419133169488999E-3</v>
      </c>
      <c r="K21" s="71">
        <v>6441913</v>
      </c>
      <c r="L21" s="36">
        <v>6.4204399477422553E-3</v>
      </c>
      <c r="M21" s="36">
        <v>3.5648738727371752E-2</v>
      </c>
      <c r="N21" s="73"/>
      <c r="O21" s="59">
        <v>5</v>
      </c>
      <c r="P21" s="59">
        <v>6</v>
      </c>
      <c r="Q21" s="36">
        <v>6.4204399477422553E-3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0.326631871258242</v>
      </c>
      <c r="I22" s="36">
        <v>3.4752709999999998E-3</v>
      </c>
      <c r="J22" s="36">
        <v>3.4750796668046565E-3</v>
      </c>
      <c r="K22" s="71">
        <v>3475080</v>
      </c>
      <c r="L22" s="36">
        <v>3.46349639518574E-3</v>
      </c>
      <c r="M22" s="36">
        <v>2.2597844557806453E-2</v>
      </c>
      <c r="N22" s="73"/>
      <c r="O22" s="59">
        <v>6</v>
      </c>
      <c r="P22" s="59">
        <v>7</v>
      </c>
      <c r="Q22" s="36">
        <v>3.46349639518574E-3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0.43617868663252202</v>
      </c>
      <c r="I23" s="36">
        <v>3.9054069999999996E-3</v>
      </c>
      <c r="J23" s="36">
        <v>3.9051919854010157E-3</v>
      </c>
      <c r="K23" s="71">
        <v>3905192</v>
      </c>
      <c r="L23" s="36">
        <v>3.8921746879232106E-3</v>
      </c>
      <c r="M23" s="36">
        <v>2.9317499853044611E-2</v>
      </c>
      <c r="N23" s="73"/>
      <c r="O23" s="59">
        <v>7</v>
      </c>
      <c r="P23" s="59">
        <v>8</v>
      </c>
      <c r="Q23" s="36">
        <v>3.8921746879232106E-3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0.42064249883565802</v>
      </c>
      <c r="I24" s="36">
        <v>3.1665369999999988E-3</v>
      </c>
      <c r="J24" s="36">
        <v>3.166362664346065E-3</v>
      </c>
      <c r="K24" s="71">
        <v>3166363</v>
      </c>
      <c r="L24" s="36">
        <v>3.1558084522800931E-3</v>
      </c>
      <c r="M24" s="36">
        <v>2.6989589749852907E-2</v>
      </c>
      <c r="N24" s="73"/>
      <c r="O24" s="59">
        <v>8</v>
      </c>
      <c r="P24" s="59">
        <v>9</v>
      </c>
      <c r="Q24" s="36">
        <v>3.1558084522800931E-3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0.33053871995998102</v>
      </c>
      <c r="I25" s="36">
        <v>2.0576269999999989E-3</v>
      </c>
      <c r="J25" s="36">
        <v>2.0575137160722895E-3</v>
      </c>
      <c r="K25" s="71">
        <v>2057514</v>
      </c>
      <c r="L25" s="36">
        <v>2.0506556171495886E-3</v>
      </c>
      <c r="M25" s="36">
        <v>1.9558877471114629E-2</v>
      </c>
      <c r="N25" s="73"/>
      <c r="O25" s="59">
        <v>9</v>
      </c>
      <c r="P25" s="59">
        <v>10</v>
      </c>
      <c r="Q25" s="36">
        <v>2.0506556171495886E-3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0.30198064884972797</v>
      </c>
      <c r="I26" s="36">
        <v>6.2539830000000046E-3</v>
      </c>
      <c r="J26" s="36">
        <v>6.253638683096082E-3</v>
      </c>
      <c r="K26" s="71">
        <v>6253639</v>
      </c>
      <c r="L26" s="36">
        <v>6.2327935280030835E-3</v>
      </c>
      <c r="M26" s="36">
        <v>7.6540162151295027E-2</v>
      </c>
      <c r="N26" s="73"/>
      <c r="O26" s="59">
        <v>10</v>
      </c>
      <c r="P26" s="59">
        <v>15</v>
      </c>
      <c r="Q26" s="36">
        <v>6.2327935280030835E-3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0.24304140751947101</v>
      </c>
      <c r="I27" s="36">
        <v>2.7109749999999991E-3</v>
      </c>
      <c r="J27" s="36">
        <v>2.7108257455938692E-3</v>
      </c>
      <c r="K27" s="71">
        <v>2710826</v>
      </c>
      <c r="L27" s="36">
        <v>2.7017899095778453E-3</v>
      </c>
      <c r="M27" s="36">
        <v>4.6840386266235712E-2</v>
      </c>
      <c r="N27" s="73"/>
      <c r="O27" s="59">
        <v>15</v>
      </c>
      <c r="P27" s="59">
        <v>20</v>
      </c>
      <c r="Q27" s="36">
        <v>2.7017899095778453E-3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0.22689896555559699</v>
      </c>
      <c r="I28" s="36">
        <v>1.5299230000000016E-3</v>
      </c>
      <c r="J28" s="36">
        <v>1.5298387691425465E-3</v>
      </c>
      <c r="K28" s="71">
        <v>1529839</v>
      </c>
      <c r="L28" s="36">
        <v>1.5247395345472786E-3</v>
      </c>
      <c r="M28" s="36">
        <v>3.4105815507151811E-2</v>
      </c>
      <c r="N28" s="73"/>
      <c r="O28" s="59">
        <v>20</v>
      </c>
      <c r="P28" s="59">
        <v>25</v>
      </c>
      <c r="Q28" s="36">
        <v>1.5247395345472786E-3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0.27526301993910202</v>
      </c>
      <c r="I29" s="36">
        <v>1.2328860000000016E-3</v>
      </c>
      <c r="J29" s="36">
        <v>1.2328181226983828E-3</v>
      </c>
      <c r="K29" s="71">
        <v>1232818</v>
      </c>
      <c r="L29" s="36">
        <v>1.2287086049587617E-3</v>
      </c>
      <c r="M29" s="36">
        <v>3.3661906936654648E-2</v>
      </c>
      <c r="N29" s="73"/>
      <c r="O29" s="59">
        <v>25</v>
      </c>
      <c r="P29" s="59">
        <v>30</v>
      </c>
      <c r="Q29" s="36">
        <v>1.2287086049587617E-3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0.195256096401696</v>
      </c>
      <c r="I30" s="36">
        <v>5.8950099999999922E-4</v>
      </c>
      <c r="J30" s="36">
        <v>5.8946854465767107E-4</v>
      </c>
      <c r="K30" s="71">
        <v>589469</v>
      </c>
      <c r="L30" s="36">
        <v>5.8750410251670268E-4</v>
      </c>
      <c r="M30" s="36">
        <v>1.9034155949227114E-2</v>
      </c>
      <c r="N30" s="73"/>
      <c r="O30" s="59">
        <v>30</v>
      </c>
      <c r="P30" s="59">
        <v>35</v>
      </c>
      <c r="Q30" s="36">
        <v>5.8750410251670268E-4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0.184646039866321</v>
      </c>
      <c r="I31" s="36">
        <v>4.0763899999999979E-4</v>
      </c>
      <c r="J31" s="36">
        <v>4.0761655718261474E-4</v>
      </c>
      <c r="K31" s="71">
        <v>407617</v>
      </c>
      <c r="L31" s="36">
        <v>4.0625827610196768E-4</v>
      </c>
      <c r="M31" s="36">
        <v>1.5209630467847299E-2</v>
      </c>
      <c r="N31" s="73"/>
      <c r="O31" s="59">
        <v>35</v>
      </c>
      <c r="P31" s="59">
        <v>40</v>
      </c>
      <c r="Q31" s="36">
        <v>4.0625827610196768E-4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0.15126135608982599</v>
      </c>
      <c r="I32" s="36">
        <v>2.491809999999992E-4</v>
      </c>
      <c r="J32" s="36">
        <v>2.4916728118585526E-4</v>
      </c>
      <c r="K32" s="71">
        <v>249167</v>
      </c>
      <c r="L32" s="36">
        <v>2.4833644298814567E-4</v>
      </c>
      <c r="M32" s="36">
        <v>1.0538722033603535E-2</v>
      </c>
      <c r="N32" s="73"/>
      <c r="O32" s="59">
        <v>40</v>
      </c>
      <c r="P32" s="59">
        <v>45</v>
      </c>
      <c r="Q32" s="36">
        <v>2.4833644298814567E-4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0.169420222909382</v>
      </c>
      <c r="I33" s="36">
        <v>2.0869199999999966E-4</v>
      </c>
      <c r="J33" s="36">
        <v>2.0868051033280462E-4</v>
      </c>
      <c r="K33" s="71">
        <v>208681</v>
      </c>
      <c r="L33" s="36">
        <v>2.0798539637756697E-4</v>
      </c>
      <c r="M33" s="36">
        <v>9.8710634147800447E-3</v>
      </c>
      <c r="N33" s="73"/>
      <c r="O33" s="59">
        <v>45</v>
      </c>
      <c r="P33" s="59">
        <v>50</v>
      </c>
      <c r="Q33" s="36">
        <v>2.0798539637756697E-4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0.25303841882483302</v>
      </c>
      <c r="I34" s="36">
        <v>4.4590000000000076E-4</v>
      </c>
      <c r="J34" s="36">
        <v>4.4587545069958549E-4</v>
      </c>
      <c r="K34" s="71">
        <v>445875</v>
      </c>
      <c r="L34" s="36">
        <v>4.4438874938229964E-4</v>
      </c>
      <c r="M34" s="36">
        <v>2.4308833742704917E-2</v>
      </c>
      <c r="N34" s="73"/>
      <c r="O34" s="59">
        <v>50</v>
      </c>
      <c r="P34" s="59">
        <v>60</v>
      </c>
      <c r="Q34" s="36">
        <v>4.4438874938229964E-4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0.27691297163221401</v>
      </c>
      <c r="I35" s="36">
        <v>3.0891165006917453E-4</v>
      </c>
      <c r="J35" s="36">
        <v>3.0889464274713073E-4</v>
      </c>
      <c r="K35" s="71">
        <v>308895</v>
      </c>
      <c r="L35" s="36">
        <v>3.0786534957206714E-4</v>
      </c>
      <c r="M35" s="36">
        <v>1.991412451193339E-2</v>
      </c>
      <c r="N35" s="73"/>
      <c r="O35" s="59">
        <v>60</v>
      </c>
      <c r="P35" s="59">
        <v>70</v>
      </c>
      <c r="Q35" s="36">
        <v>3.0786534957206714E-4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f>B79/B13</f>
        <v>6.9973149999999996E-3</v>
      </c>
      <c r="E79" s="69">
        <v>7.7609000000000004</v>
      </c>
      <c r="F79" s="77"/>
      <c r="G79" s="14" t="s">
        <v>115</v>
      </c>
      <c r="H79" s="70">
        <v>0.47796633422962997</v>
      </c>
      <c r="I79" s="36">
        <v>3.3444810000000029E-3</v>
      </c>
      <c r="J79" s="36">
        <f>I79</f>
        <v>3.3444810000000029E-3</v>
      </c>
      <c r="K79" s="72">
        <v>3344481</v>
      </c>
      <c r="L79" s="36">
        <v>3.3333327253666674E-3</v>
      </c>
      <c r="M79" s="36">
        <v>2.5869661948298171E-2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2.0226261906102998</v>
      </c>
      <c r="I99" s="36">
        <v>4.830294899999988E-2</v>
      </c>
      <c r="J99" s="36">
        <v>4.8302948999999866E-2</v>
      </c>
      <c r="K99" s="71">
        <v>48302949</v>
      </c>
      <c r="L99" s="36">
        <v>4.8298596861735384E-2</v>
      </c>
      <c r="M99" s="36">
        <v>1.0899824324081053</v>
      </c>
      <c r="N99" s="73"/>
      <c r="O99" s="59">
        <v>20</v>
      </c>
      <c r="P99" s="59">
        <v>25</v>
      </c>
      <c r="Q99" s="36">
        <v>4.8298596861735384E-2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7.8996466879384899</v>
      </c>
      <c r="I100" s="36">
        <v>0.19499631999999997</v>
      </c>
      <c r="J100" s="36">
        <v>0.19499631999999992</v>
      </c>
      <c r="K100" s="71">
        <v>194996320</v>
      </c>
      <c r="L100" s="36">
        <v>0.19497875065975681</v>
      </c>
      <c r="M100" s="36">
        <v>5.3751639098285855</v>
      </c>
      <c r="N100" s="73"/>
      <c r="O100" s="59">
        <v>25</v>
      </c>
      <c r="P100" s="59">
        <v>30</v>
      </c>
      <c r="Q100" s="36">
        <v>0.19497875065975681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2.8501980758788399</v>
      </c>
      <c r="I101" s="36">
        <v>6.9916525000000035E-2</v>
      </c>
      <c r="J101" s="36">
        <v>6.9916525000000021E-2</v>
      </c>
      <c r="K101" s="71">
        <v>69916525</v>
      </c>
      <c r="L101" s="36">
        <v>6.9910225459494074E-2</v>
      </c>
      <c r="M101" s="36">
        <v>2.2761070518675592</v>
      </c>
      <c r="N101" s="73"/>
      <c r="O101" s="59">
        <v>30</v>
      </c>
      <c r="P101" s="59">
        <v>35</v>
      </c>
      <c r="Q101" s="36">
        <v>6.9910225459494074E-2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4.74945843241637</v>
      </c>
      <c r="I102" s="36">
        <v>0.11725143100000011</v>
      </c>
      <c r="J102" s="36">
        <v>0.11725143100000009</v>
      </c>
      <c r="K102" s="71">
        <v>117251431</v>
      </c>
      <c r="L102" s="36">
        <v>0.1172408665427567</v>
      </c>
      <c r="M102" s="36">
        <v>4.4027953409829648</v>
      </c>
      <c r="N102" s="73"/>
      <c r="O102" s="59">
        <v>35</v>
      </c>
      <c r="P102" s="59">
        <v>40</v>
      </c>
      <c r="Q102" s="36">
        <v>0.1172408665427567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3.991256317265</v>
      </c>
      <c r="I103" s="36">
        <v>9.7100037000000056E-2</v>
      </c>
      <c r="J103" s="36">
        <v>9.7100037000000028E-2</v>
      </c>
      <c r="K103" s="71">
        <v>97100037</v>
      </c>
      <c r="L103" s="36">
        <v>9.7091288201111486E-2</v>
      </c>
      <c r="M103" s="36">
        <v>4.1313533158315083</v>
      </c>
      <c r="N103" s="73"/>
      <c r="O103" s="59">
        <v>40</v>
      </c>
      <c r="P103" s="59">
        <v>45</v>
      </c>
      <c r="Q103" s="36">
        <v>9.7091288201111486E-2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3.2976636916842201</v>
      </c>
      <c r="I104" s="36">
        <v>7.9195504999999972E-2</v>
      </c>
      <c r="J104" s="36">
        <v>7.9195504999999958E-2</v>
      </c>
      <c r="K104" s="71">
        <v>79195505</v>
      </c>
      <c r="L104" s="36">
        <v>7.9188369415220367E-2</v>
      </c>
      <c r="M104" s="36">
        <v>3.7650458833166009</v>
      </c>
      <c r="N104" s="73"/>
      <c r="O104" s="59">
        <v>45</v>
      </c>
      <c r="P104" s="59">
        <v>50</v>
      </c>
      <c r="Q104" s="36">
        <v>7.9188369415220367E-2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1.5402977786199299</v>
      </c>
      <c r="I105" s="36">
        <v>7.1248937999999998E-2</v>
      </c>
      <c r="J105" s="36">
        <v>7.1248937999999984E-2</v>
      </c>
      <c r="K105" s="71">
        <v>71248938</v>
      </c>
      <c r="L105" s="36">
        <v>7.1242518407908781E-2</v>
      </c>
      <c r="M105" s="36">
        <v>3.919273450530695</v>
      </c>
      <c r="N105" s="73"/>
      <c r="O105" s="59">
        <v>50</v>
      </c>
      <c r="P105" s="59">
        <v>60</v>
      </c>
      <c r="Q105" s="36">
        <v>7.1242518407908781E-2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2.0162355460591201</v>
      </c>
      <c r="I106" s="36">
        <v>8.8383902999999889E-2</v>
      </c>
      <c r="J106" s="36">
        <v>8.8383902999999875E-2</v>
      </c>
      <c r="K106" s="71">
        <v>88383903</v>
      </c>
      <c r="L106" s="36">
        <v>8.837593953246467E-2</v>
      </c>
      <c r="M106" s="36">
        <v>5.745054342479758</v>
      </c>
      <c r="N106" s="73"/>
      <c r="O106" s="59">
        <v>60</v>
      </c>
      <c r="P106" s="59">
        <v>70</v>
      </c>
      <c r="Q106" s="36">
        <v>8.837593953246467E-2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0.92218346416236796</v>
      </c>
      <c r="I107" s="36">
        <v>3.8372281000000008E-2</v>
      </c>
      <c r="J107" s="36">
        <v>3.8372281000000001E-2</v>
      </c>
      <c r="K107" s="71">
        <v>38372281</v>
      </c>
      <c r="L107" s="36">
        <v>3.8368823623672096E-2</v>
      </c>
      <c r="M107" s="36">
        <v>2.8776010479331018</v>
      </c>
      <c r="N107" s="73"/>
      <c r="O107" s="59">
        <v>70</v>
      </c>
      <c r="P107" s="59">
        <v>80</v>
      </c>
      <c r="Q107" s="36">
        <v>3.8368823623672096E-2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1.71284880749239</v>
      </c>
      <c r="I108" s="36">
        <v>6.6635558000000122E-2</v>
      </c>
      <c r="J108" s="36">
        <v>6.6635558000000109E-2</v>
      </c>
      <c r="K108" s="71">
        <v>66635558</v>
      </c>
      <c r="L108" s="36">
        <v>6.662955407751163E-2</v>
      </c>
      <c r="M108" s="36">
        <v>5.6626631553119342</v>
      </c>
      <c r="N108" s="73"/>
      <c r="O108" s="59">
        <v>80</v>
      </c>
      <c r="P108" s="59">
        <v>90</v>
      </c>
      <c r="Q108" s="36">
        <v>6.662955407751163E-2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0.63848414730943104</v>
      </c>
      <c r="I109" s="79">
        <v>2.3147087999999986E-2</v>
      </c>
      <c r="J109" s="79">
        <v>2.3147087999999982E-2</v>
      </c>
      <c r="K109" s="71">
        <v>23147088</v>
      </c>
      <c r="L109" s="79">
        <v>2.3145002426976306E-2</v>
      </c>
      <c r="M109" s="79">
        <v>2.1987939983837768</v>
      </c>
      <c r="N109" s="73"/>
      <c r="O109" s="59">
        <v>90</v>
      </c>
      <c r="P109" s="59">
        <v>100</v>
      </c>
      <c r="Q109" s="36">
        <v>2.3145002426976306E-2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0.71808012586182401</v>
      </c>
      <c r="I110" s="79">
        <v>4.6877120000000029E-2</v>
      </c>
      <c r="J110" s="79">
        <v>4.6877120000000022E-2</v>
      </c>
      <c r="K110" s="71">
        <v>46877120</v>
      </c>
      <c r="L110" s="79">
        <v>4.6872896330184585E-2</v>
      </c>
      <c r="M110" s="79">
        <v>5.1481994350441722</v>
      </c>
      <c r="N110" s="73"/>
      <c r="O110" s="59">
        <v>100</v>
      </c>
      <c r="P110" s="59">
        <v>120</v>
      </c>
      <c r="Q110" s="36">
        <v>4.6872896330184585E-2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0.249839023088062</v>
      </c>
      <c r="I111" s="79">
        <v>1.4132497000000011E-2</v>
      </c>
      <c r="J111" s="79">
        <v>1.4132497000000008E-2</v>
      </c>
      <c r="K111" s="71">
        <v>14132497</v>
      </c>
      <c r="L111" s="79">
        <v>1.4131223649568161E-2</v>
      </c>
      <c r="M111" s="79">
        <v>1.8344163903509003</v>
      </c>
      <c r="N111" s="73"/>
      <c r="O111" s="59">
        <v>120</v>
      </c>
      <c r="P111" s="59">
        <v>140</v>
      </c>
      <c r="Q111" s="36">
        <v>1.4131223649568161E-2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0.38002477628909798</v>
      </c>
      <c r="I112" s="79">
        <v>1.8657198000000017E-2</v>
      </c>
      <c r="J112" s="79">
        <v>1.8657198000000014E-2</v>
      </c>
      <c r="K112" s="71">
        <v>18657198</v>
      </c>
      <c r="L112" s="79">
        <v>1.8655516970021348E-2</v>
      </c>
      <c r="M112" s="79">
        <v>2.7946720810961065</v>
      </c>
      <c r="N112" s="73"/>
      <c r="O112" s="59">
        <v>140</v>
      </c>
      <c r="P112" s="59">
        <v>160</v>
      </c>
      <c r="Q112" s="36">
        <v>1.8655516970021348E-2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0.18829026074045299</v>
      </c>
      <c r="I113" s="79">
        <v>8.0357599999999994E-3</v>
      </c>
      <c r="J113" s="79">
        <v>8.0357599999999977E-3</v>
      </c>
      <c r="K113" s="71">
        <v>8035760</v>
      </c>
      <c r="L113" s="79">
        <v>8.0350359709436946E-3</v>
      </c>
      <c r="M113" s="79">
        <v>1.3644144328259955</v>
      </c>
      <c r="N113" s="73"/>
      <c r="O113" s="59">
        <v>160</v>
      </c>
      <c r="P113" s="59">
        <v>180</v>
      </c>
      <c r="Q113" s="36">
        <v>8.0350359709436946E-3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0.20516350118544799</v>
      </c>
      <c r="I114" s="79">
        <v>7.5745230000000118E-3</v>
      </c>
      <c r="J114" s="79">
        <v>7.5745230000000101E-3</v>
      </c>
      <c r="K114" s="71">
        <v>7574523</v>
      </c>
      <c r="L114" s="79">
        <v>7.5738405288037899E-3</v>
      </c>
      <c r="M114" s="79">
        <v>1.4375675444028699</v>
      </c>
      <c r="N114" s="73"/>
      <c r="O114" s="59">
        <v>180</v>
      </c>
      <c r="P114" s="59">
        <v>200</v>
      </c>
      <c r="Q114" s="36">
        <v>7.5738405288037899E-3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1.8268579529666599E-2</v>
      </c>
      <c r="I115" s="79">
        <v>1.340444000000002E-3</v>
      </c>
      <c r="J115" s="79">
        <v>1.3404440000000018E-3</v>
      </c>
      <c r="K115" s="71">
        <v>1340444</v>
      </c>
      <c r="L115" s="79">
        <v>1.3403232248145351E-3</v>
      </c>
      <c r="M115" s="79">
        <v>0.29976407592301163</v>
      </c>
      <c r="N115" s="73"/>
      <c r="O115" s="59">
        <v>200</v>
      </c>
      <c r="P115" s="59">
        <v>250</v>
      </c>
      <c r="Q115" s="36">
        <v>1.3403232248145351E-3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2.0674190725573201E-2</v>
      </c>
      <c r="I116" s="79">
        <v>1.095083E-3</v>
      </c>
      <c r="J116" s="79">
        <v>1.0950829999999997E-3</v>
      </c>
      <c r="K116" s="71">
        <v>1095083</v>
      </c>
      <c r="L116" s="79">
        <v>1.0949843320568226E-3</v>
      </c>
      <c r="M116" s="79">
        <v>0.29976393166924131</v>
      </c>
      <c r="N116" s="73"/>
      <c r="O116" s="59">
        <v>250</v>
      </c>
      <c r="P116" s="59">
        <v>300</v>
      </c>
      <c r="Q116" s="36">
        <v>1.0949843320568226E-3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2.3640452715478402E-2</v>
      </c>
      <c r="I117" s="79">
        <v>9.2588900000000038E-4</v>
      </c>
      <c r="J117" s="79">
        <v>9.2588900000000016E-4</v>
      </c>
      <c r="K117" s="71">
        <v>925889</v>
      </c>
      <c r="L117" s="79">
        <v>9.258055765852995E-4</v>
      </c>
      <c r="M117" s="79">
        <v>0.29976378637236106</v>
      </c>
      <c r="N117" s="73"/>
      <c r="O117" s="59">
        <v>300</v>
      </c>
      <c r="P117" s="59">
        <v>350</v>
      </c>
      <c r="Q117" s="36">
        <v>9.258055765852995E-4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2.7311225864820099E-2</v>
      </c>
      <c r="I118" s="79">
        <v>8.01813999999999E-4</v>
      </c>
      <c r="J118" s="79">
        <v>8.0181399999999878E-4</v>
      </c>
      <c r="K118" s="71">
        <v>801814</v>
      </c>
      <c r="L118" s="79">
        <v>8.0174175585212191E-4</v>
      </c>
      <c r="M118" s="79">
        <v>0.29976387548869404</v>
      </c>
      <c r="N118" s="73"/>
      <c r="O118" s="59">
        <v>350</v>
      </c>
      <c r="P118" s="59">
        <v>400</v>
      </c>
      <c r="Q118" s="36">
        <v>8.0174175585212191E-4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3.1724283572591702E-2</v>
      </c>
      <c r="I119" s="79">
        <v>7.0718799999999976E-4</v>
      </c>
      <c r="J119" s="79">
        <v>7.0718799999999965E-4</v>
      </c>
      <c r="K119" s="71">
        <v>707188</v>
      </c>
      <c r="L119" s="79">
        <v>7.0712428173809688E-4</v>
      </c>
      <c r="M119" s="79">
        <v>0.29976375472999656</v>
      </c>
      <c r="N119" s="73"/>
      <c r="O119" s="59">
        <v>400</v>
      </c>
      <c r="P119" s="59">
        <v>450</v>
      </c>
      <c r="Q119" s="36">
        <v>7.0712428173809688E-4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3.6428630302083598E-2</v>
      </c>
      <c r="I120" s="79">
        <v>6.3239900000000018E-4</v>
      </c>
      <c r="J120" s="79">
        <v>6.3239900000000007E-4</v>
      </c>
      <c r="K120" s="71">
        <v>632399</v>
      </c>
      <c r="L120" s="79">
        <v>6.3234202029289338E-4</v>
      </c>
      <c r="M120" s="79">
        <v>0.29976430056889736</v>
      </c>
      <c r="N120" s="73"/>
      <c r="O120" s="59">
        <v>450</v>
      </c>
      <c r="P120" s="59">
        <v>500</v>
      </c>
      <c r="Q120" s="36">
        <v>6.3234202029289338E-4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4.1769252914467002E-2</v>
      </c>
      <c r="I121" s="79">
        <v>5.7213600000000065E-4</v>
      </c>
      <c r="J121" s="79">
        <v>5.7213600000000054E-4</v>
      </c>
      <c r="K121" s="71">
        <v>572136</v>
      </c>
      <c r="L121" s="79">
        <v>5.7208445004229113E-4</v>
      </c>
      <c r="M121" s="79">
        <v>0.29976404623092362</v>
      </c>
      <c r="N121" s="73"/>
      <c r="O121" s="59">
        <v>500</v>
      </c>
      <c r="P121" s="59">
        <v>550</v>
      </c>
      <c r="Q121" s="36">
        <v>5.7208445004229113E-4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4.7954168031788501E-2</v>
      </c>
      <c r="I122" s="36">
        <v>5.2215399999999961E-4</v>
      </c>
      <c r="J122" s="36">
        <v>5.221539999999995E-4</v>
      </c>
      <c r="K122" s="71">
        <v>522154</v>
      </c>
      <c r="L122" s="36">
        <v>5.2210695346453025E-4</v>
      </c>
      <c r="M122" s="36">
        <v>0.29976342959195718</v>
      </c>
      <c r="N122" s="73"/>
      <c r="O122" s="59">
        <v>550</v>
      </c>
      <c r="P122" s="59">
        <v>600</v>
      </c>
      <c r="Q122" s="36">
        <v>5.2210695346453025E-4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5.50405949522687E-2</v>
      </c>
      <c r="I123" s="36">
        <v>4.8038200000000023E-4</v>
      </c>
      <c r="J123" s="36">
        <v>4.8038200000000012E-4</v>
      </c>
      <c r="K123" s="71">
        <v>480382</v>
      </c>
      <c r="L123" s="36">
        <v>4.8033871715853554E-4</v>
      </c>
      <c r="M123" s="36">
        <v>0.29976387012686756</v>
      </c>
      <c r="N123" s="73"/>
      <c r="O123" s="59">
        <v>600</v>
      </c>
      <c r="P123" s="59">
        <v>650</v>
      </c>
      <c r="Q123" s="36">
        <v>4.8033871715853554E-4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6.2848341249267706E-2</v>
      </c>
      <c r="I124" s="36">
        <v>4.4464299999999967E-4</v>
      </c>
      <c r="J124" s="36">
        <v>4.4464299999999956E-4</v>
      </c>
      <c r="K124" s="71">
        <v>444643</v>
      </c>
      <c r="L124" s="36">
        <v>4.4460293727392519E-4</v>
      </c>
      <c r="M124" s="36">
        <v>0.29976337522471858</v>
      </c>
      <c r="N124" s="73"/>
      <c r="O124" s="59">
        <v>650</v>
      </c>
      <c r="P124" s="59">
        <v>700</v>
      </c>
      <c r="Q124" s="36">
        <v>4.4460293727392519E-4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7.0835192646749506E-2</v>
      </c>
      <c r="I125" s="36">
        <v>4.1389700000000009E-4</v>
      </c>
      <c r="J125" s="36">
        <v>4.1389699999999998E-4</v>
      </c>
      <c r="K125" s="71">
        <v>413897</v>
      </c>
      <c r="L125" s="36">
        <v>4.1385970751561547E-4</v>
      </c>
      <c r="M125" s="36">
        <v>0.2997641058350774</v>
      </c>
      <c r="N125" s="73"/>
      <c r="O125" s="59">
        <v>700</v>
      </c>
      <c r="P125" s="59">
        <v>750</v>
      </c>
      <c r="Q125" s="36">
        <v>4.1385970751561547E-4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8.0023639660926807E-2</v>
      </c>
      <c r="I126" s="36">
        <v>3.8719999999999982E-4</v>
      </c>
      <c r="J126" s="36">
        <v>3.8719999999999971E-4</v>
      </c>
      <c r="K126" s="71">
        <v>387200</v>
      </c>
      <c r="L126" s="36">
        <v>3.8716511293883821E-4</v>
      </c>
      <c r="M126" s="36">
        <v>0.29976412845668016</v>
      </c>
      <c r="N126" s="73"/>
      <c r="O126" s="59">
        <v>750</v>
      </c>
      <c r="P126" s="59">
        <v>800</v>
      </c>
      <c r="Q126" s="36">
        <v>3.8716511293883821E-4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8.9953747891909103E-2</v>
      </c>
      <c r="I127" s="36">
        <v>3.6369400000000002E-4</v>
      </c>
      <c r="J127" s="36">
        <v>3.6369399999999996E-4</v>
      </c>
      <c r="K127" s="71">
        <v>363694</v>
      </c>
      <c r="L127" s="36">
        <v>3.6366123085014931E-4</v>
      </c>
      <c r="M127" s="36">
        <v>0.29976396531374372</v>
      </c>
      <c r="N127" s="73"/>
      <c r="O127" s="59">
        <v>800</v>
      </c>
      <c r="P127" s="59">
        <v>850</v>
      </c>
      <c r="Q127" s="36">
        <v>3.6366123085014931E-4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0.101561029142857</v>
      </c>
      <c r="I128" s="36">
        <v>3.428999999999995E-4</v>
      </c>
      <c r="J128" s="36">
        <v>3.4289999999999944E-4</v>
      </c>
      <c r="K128" s="72">
        <v>342900</v>
      </c>
      <c r="L128" s="36">
        <v>3.428691044078709E-4</v>
      </c>
      <c r="M128" s="36">
        <v>0.29976393657715328</v>
      </c>
      <c r="N128" s="73"/>
      <c r="O128" s="59">
        <v>850</v>
      </c>
      <c r="P128" s="59">
        <v>900</v>
      </c>
      <c r="Q128" s="36">
        <v>3.428691044078709E-4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0.112862894227135</v>
      </c>
      <c r="I129" s="36">
        <v>3.2431500000000048E-4</v>
      </c>
      <c r="J129" s="36">
        <v>3.2431500000000042E-4</v>
      </c>
      <c r="K129" s="72">
        <v>324315</v>
      </c>
      <c r="L129" s="36">
        <v>3.2428577893274616E-4</v>
      </c>
      <c r="M129" s="36">
        <v>0.29976440180725666</v>
      </c>
      <c r="N129" s="73"/>
      <c r="O129" s="59">
        <v>900</v>
      </c>
      <c r="P129" s="59">
        <v>950</v>
      </c>
      <c r="Q129" s="36">
        <v>3.2428577893274616E-4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0.12664189394300299</v>
      </c>
      <c r="I130" s="36">
        <v>3.0769499999999911E-4</v>
      </c>
      <c r="J130" s="36">
        <v>3.0769499999999905E-4</v>
      </c>
      <c r="K130" s="72">
        <v>307695</v>
      </c>
      <c r="L130" s="36">
        <v>3.0766727640939003E-4</v>
      </c>
      <c r="M130" s="36">
        <v>0.29976418522187664</v>
      </c>
      <c r="N130" s="73"/>
      <c r="O130" s="59">
        <v>950</v>
      </c>
      <c r="P130" s="59">
        <v>1000</v>
      </c>
      <c r="Q130" s="36">
        <v>3.0766727640939003E-4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1.46056757534165E-2</v>
      </c>
      <c r="I131" s="36">
        <v>2.2834299999999969E-4</v>
      </c>
      <c r="J131" s="36">
        <v>2.2834299999999964E-4</v>
      </c>
      <c r="K131" s="72">
        <v>228343</v>
      </c>
      <c r="L131" s="36">
        <v>2.2832242609450705E-4</v>
      </c>
      <c r="M131" s="36">
        <v>0.29976289026122127</v>
      </c>
      <c r="N131" s="73"/>
      <c r="O131" s="59">
        <v>1000</v>
      </c>
      <c r="P131" s="59">
        <v>2000</v>
      </c>
      <c r="Q131" s="36">
        <v>2.2832242609450705E-4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0.13302459758892399</v>
      </c>
      <c r="I132" s="36">
        <v>2.5333800000000014E-4</v>
      </c>
      <c r="J132" s="36">
        <v>2.5333800000000009E-4</v>
      </c>
      <c r="K132" s="72">
        <v>372300</v>
      </c>
      <c r="L132" s="36">
        <v>3.7226645544196659E-4</v>
      </c>
      <c r="M132" s="36">
        <v>0.88105531723495589</v>
      </c>
      <c r="N132" s="73"/>
      <c r="O132" s="59">
        <v>2000</v>
      </c>
      <c r="P132" s="59">
        <v>3000</v>
      </c>
      <c r="Q132" s="36">
        <v>3.7226645544196659E-4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18.353957245</v>
      </c>
      <c r="I139" s="36">
        <v>2.8853000000000003E-5</v>
      </c>
      <c r="J139" s="36">
        <v>2.8852999999999996E-5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94</v>
      </c>
      <c r="B152" s="96" t="s">
        <v>88</v>
      </c>
      <c r="C152" s="96"/>
      <c r="D152" s="84"/>
      <c r="E152" s="84"/>
      <c r="F152" s="85"/>
      <c r="G152" s="96" t="s">
        <v>94</v>
      </c>
      <c r="H152" s="96" t="s">
        <v>88</v>
      </c>
      <c r="I152" s="86"/>
      <c r="J152" s="86"/>
      <c r="K152" s="86"/>
      <c r="L152" s="86"/>
      <c r="M152" s="86"/>
      <c r="N152" s="85"/>
      <c r="O152" s="96" t="s">
        <v>94</v>
      </c>
      <c r="P152" s="96" t="s">
        <v>88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117</v>
      </c>
      <c r="B154" s="4">
        <v>100000000</v>
      </c>
      <c r="C154" s="1"/>
      <c r="D154" s="1"/>
      <c r="E154" s="1"/>
      <c r="G154" s="65" t="s">
        <v>101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4" t="s">
        <v>116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116</v>
      </c>
      <c r="H156" s="70">
        <v>1</v>
      </c>
      <c r="I156" s="36">
        <f>D156*H156</f>
        <v>1</v>
      </c>
      <c r="J156" s="80">
        <f>I156/SUM(I156)</f>
        <v>1</v>
      </c>
      <c r="K156" s="71">
        <f>ROUND(J156*$B$2,0)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94</v>
      </c>
      <c r="B159" s="96" t="s">
        <v>89</v>
      </c>
      <c r="C159" s="96"/>
      <c r="D159" s="84"/>
      <c r="E159" s="84"/>
      <c r="F159" s="85"/>
      <c r="G159" s="96" t="s">
        <v>94</v>
      </c>
      <c r="H159" s="96" t="s">
        <v>89</v>
      </c>
      <c r="I159" s="86"/>
      <c r="J159" s="86"/>
      <c r="K159" s="86"/>
      <c r="L159" s="86"/>
      <c r="M159" s="86"/>
      <c r="N159" s="85"/>
      <c r="O159" s="96" t="s">
        <v>94</v>
      </c>
      <c r="P159" s="96" t="s">
        <v>89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117</v>
      </c>
      <c r="C161" s="1"/>
      <c r="D161" s="1"/>
      <c r="E161" s="1"/>
      <c r="G161" s="65" t="s">
        <v>101</v>
      </c>
      <c r="H161" s="38"/>
      <c r="I161" s="38"/>
      <c r="J161" s="38"/>
      <c r="L161" s="38"/>
      <c r="M161" s="38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2" t="s">
        <v>118</v>
      </c>
      <c r="R162" s="12" t="s">
        <v>113</v>
      </c>
      <c r="T162" s="12" t="s">
        <v>118</v>
      </c>
      <c r="U162" s="12" t="s">
        <v>114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1.4079676029371699</v>
      </c>
      <c r="I176" s="36">
        <v>3.3624101000000114E-2</v>
      </c>
      <c r="J176" s="36">
        <v>3.3624101000000121E-2</v>
      </c>
      <c r="K176" s="71">
        <v>33624101</v>
      </c>
      <c r="L176" s="36">
        <v>3.3623336472575288E-2</v>
      </c>
      <c r="M176" s="36">
        <v>0.758797324464075</v>
      </c>
      <c r="N176" s="73"/>
      <c r="O176" s="59">
        <v>20</v>
      </c>
      <c r="P176" s="59">
        <v>25</v>
      </c>
      <c r="Q176" s="36">
        <v>3.3623336472575288E-2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5.7727394207904901</v>
      </c>
      <c r="I177" s="36">
        <v>0.1424953530000001</v>
      </c>
      <c r="J177" s="36">
        <v>0.14249535300000013</v>
      </c>
      <c r="K177" s="71">
        <v>142495353</v>
      </c>
      <c r="L177" s="36">
        <v>0.14249211301433429</v>
      </c>
      <c r="M177" s="36">
        <v>3.9282150527593345</v>
      </c>
      <c r="N177" s="73"/>
      <c r="O177" s="59">
        <v>25</v>
      </c>
      <c r="P177" s="59">
        <v>30</v>
      </c>
      <c r="Q177" s="36">
        <v>0.14249211301433429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2.1855017436272099</v>
      </c>
      <c r="I178" s="36">
        <v>5.3611251999999963E-2</v>
      </c>
      <c r="J178" s="36">
        <v>5.361125199999997E-2</v>
      </c>
      <c r="K178" s="71">
        <v>53611252</v>
      </c>
      <c r="L178" s="36">
        <v>5.3610033015069301E-2</v>
      </c>
      <c r="M178" s="36">
        <v>1.7454123970341284</v>
      </c>
      <c r="N178" s="73"/>
      <c r="O178" s="59">
        <v>30</v>
      </c>
      <c r="P178" s="59">
        <v>35</v>
      </c>
      <c r="Q178" s="36">
        <v>5.3610033015069301E-2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3.8229316979903598</v>
      </c>
      <c r="I179" s="36">
        <v>9.4377962999999954E-2</v>
      </c>
      <c r="J179" s="36">
        <v>9.4377962999999968E-2</v>
      </c>
      <c r="K179" s="71">
        <v>94377963</v>
      </c>
      <c r="L179" s="36">
        <v>9.4375817082671176E-2</v>
      </c>
      <c r="M179" s="36">
        <v>3.5441345667767616</v>
      </c>
      <c r="N179" s="73"/>
      <c r="O179" s="59">
        <v>35</v>
      </c>
      <c r="P179" s="59">
        <v>40</v>
      </c>
      <c r="Q179" s="36">
        <v>9.4375817082671176E-2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3.3724575994364998</v>
      </c>
      <c r="I180" s="36">
        <v>8.2045784999999885E-2</v>
      </c>
      <c r="J180" s="36">
        <v>8.2045784999999899E-2</v>
      </c>
      <c r="K180" s="71">
        <v>82045785</v>
      </c>
      <c r="L180" s="36">
        <v>8.2043919485358746E-2</v>
      </c>
      <c r="M180" s="36">
        <v>3.4910693337136078</v>
      </c>
      <c r="N180" s="73"/>
      <c r="O180" s="59">
        <v>40</v>
      </c>
      <c r="P180" s="59">
        <v>45</v>
      </c>
      <c r="Q180" s="36">
        <v>8.2043919485358746E-2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2.9240328039144301</v>
      </c>
      <c r="I181" s="36">
        <v>7.0222520000000052E-2</v>
      </c>
      <c r="J181" s="36">
        <v>7.0222520000000066E-2</v>
      </c>
      <c r="K181" s="71">
        <v>70222520</v>
      </c>
      <c r="L181" s="36">
        <v>7.0220923316645631E-2</v>
      </c>
      <c r="M181" s="36">
        <v>3.3386847110051918</v>
      </c>
      <c r="N181" s="73"/>
      <c r="O181" s="59">
        <v>45</v>
      </c>
      <c r="P181" s="59">
        <v>50</v>
      </c>
      <c r="Q181" s="36">
        <v>7.0220923316645631E-2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1.4685059476043001</v>
      </c>
      <c r="I182" s="36">
        <v>6.7928091999999857E-2</v>
      </c>
      <c r="J182" s="36">
        <v>6.7928091999999871E-2</v>
      </c>
      <c r="K182" s="71">
        <v>67928092</v>
      </c>
      <c r="L182" s="36">
        <v>6.7926547486163266E-2</v>
      </c>
      <c r="M182" s="36">
        <v>3.7368515332997867</v>
      </c>
      <c r="N182" s="73"/>
      <c r="O182" s="59">
        <v>50</v>
      </c>
      <c r="P182" s="59">
        <v>60</v>
      </c>
      <c r="Q182" s="36">
        <v>6.7926547486163266E-2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2.1176754095742698</v>
      </c>
      <c r="I183" s="36">
        <v>9.2830630999999802E-2</v>
      </c>
      <c r="J183" s="36">
        <v>9.2830630999999816E-2</v>
      </c>
      <c r="K183" s="71">
        <v>92830631</v>
      </c>
      <c r="L183" s="36">
        <v>9.2828520265106212E-2</v>
      </c>
      <c r="M183" s="36">
        <v>6.0345032400941037</v>
      </c>
      <c r="N183" s="73"/>
      <c r="O183" s="59">
        <v>60</v>
      </c>
      <c r="P183" s="59">
        <v>70</v>
      </c>
      <c r="Q183" s="36">
        <v>9.2828520265106212E-2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1.0670735705251799</v>
      </c>
      <c r="I184" s="36">
        <v>4.4401194000000199E-2</v>
      </c>
      <c r="J184" s="36">
        <v>4.4401194000000206E-2</v>
      </c>
      <c r="K184" s="71">
        <v>44401194</v>
      </c>
      <c r="L184" s="36">
        <v>4.4400184428606465E-2</v>
      </c>
      <c r="M184" s="36">
        <v>3.3299435628606084</v>
      </c>
      <c r="N184" s="73"/>
      <c r="O184" s="59">
        <v>70</v>
      </c>
      <c r="P184" s="59">
        <v>80</v>
      </c>
      <c r="Q184" s="36">
        <v>4.4400184428606465E-2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2.1835629909846701</v>
      </c>
      <c r="I185" s="36">
        <v>8.4947917000000123E-2</v>
      </c>
      <c r="J185" s="36">
        <v>8.4947917000000137E-2</v>
      </c>
      <c r="K185" s="71">
        <v>84947917</v>
      </c>
      <c r="L185" s="36">
        <v>8.4945985498181747E-2</v>
      </c>
      <c r="M185" s="36">
        <v>7.2193264525323686</v>
      </c>
      <c r="N185" s="73"/>
      <c r="O185" s="59">
        <v>80</v>
      </c>
      <c r="P185" s="59">
        <v>90</v>
      </c>
      <c r="Q185" s="36">
        <v>8.4945985498181747E-2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0.89662895161216105</v>
      </c>
      <c r="I186" s="36">
        <v>3.2505660999999991E-2</v>
      </c>
      <c r="J186" s="36">
        <v>3.2505660999999998E-2</v>
      </c>
      <c r="K186" s="71">
        <v>32505661</v>
      </c>
      <c r="L186" s="36">
        <v>3.2504921903085765E-2</v>
      </c>
      <c r="M186" s="36">
        <v>3.0879939383862705</v>
      </c>
      <c r="N186" s="73"/>
      <c r="O186" s="59">
        <v>90</v>
      </c>
      <c r="P186" s="59">
        <v>100</v>
      </c>
      <c r="Q186" s="36">
        <v>3.2504921903085765E-2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1.1651361031623599</v>
      </c>
      <c r="I187" s="36">
        <v>7.6061462999999843E-2</v>
      </c>
      <c r="J187" s="36">
        <v>7.6061462999999857E-2</v>
      </c>
      <c r="K187" s="71">
        <v>76061463</v>
      </c>
      <c r="L187" s="36">
        <v>7.6059733553778458E-2</v>
      </c>
      <c r="M187" s="36">
        <v>8.3538826906033119</v>
      </c>
      <c r="N187" s="73"/>
      <c r="O187" s="59">
        <v>100</v>
      </c>
      <c r="P187" s="59">
        <v>120</v>
      </c>
      <c r="Q187" s="36">
        <v>7.6059733553778458E-2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0.49213134154451699</v>
      </c>
      <c r="I188" s="36">
        <v>2.7838103999999985E-2</v>
      </c>
      <c r="J188" s="36">
        <v>2.7838103999999989E-2</v>
      </c>
      <c r="K188" s="71">
        <v>27838104</v>
      </c>
      <c r="L188" s="36">
        <v>2.7837471031583683E-2</v>
      </c>
      <c r="M188" s="36">
        <v>3.6136653408507913</v>
      </c>
      <c r="N188" s="73"/>
      <c r="O188" s="59">
        <v>120</v>
      </c>
      <c r="P188" s="59">
        <v>140</v>
      </c>
      <c r="Q188" s="36">
        <v>2.7837471031583683E-2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0.90821403284645297</v>
      </c>
      <c r="I189" s="36">
        <v>4.4588484999999976E-2</v>
      </c>
      <c r="J189" s="36">
        <v>4.4588484999999983E-2</v>
      </c>
      <c r="K189" s="71">
        <v>44588485</v>
      </c>
      <c r="L189" s="36">
        <v>4.4587471170080537E-2</v>
      </c>
      <c r="M189" s="36">
        <v>6.6793839616420465</v>
      </c>
      <c r="N189" s="73"/>
      <c r="O189" s="59">
        <v>140</v>
      </c>
      <c r="P189" s="59">
        <v>160</v>
      </c>
      <c r="Q189" s="36">
        <v>4.4587471170080537E-2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0.54626995595036298</v>
      </c>
      <c r="I190" s="36">
        <v>2.3313443E-2</v>
      </c>
      <c r="J190" s="36">
        <v>2.3313443000000003E-2</v>
      </c>
      <c r="K190" s="71">
        <v>23313443</v>
      </c>
      <c r="L190" s="36">
        <v>2.3312912910986229E-2</v>
      </c>
      <c r="M190" s="36">
        <v>3.9587221466077986</v>
      </c>
      <c r="N190" s="73"/>
      <c r="O190" s="59">
        <v>160</v>
      </c>
      <c r="P190" s="59">
        <v>180</v>
      </c>
      <c r="Q190" s="36">
        <v>2.3312912910986229E-2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0.72236065804023397</v>
      </c>
      <c r="I191" s="36">
        <v>2.6669155999999992E-2</v>
      </c>
      <c r="J191" s="36">
        <v>2.6669155999999996E-2</v>
      </c>
      <c r="K191" s="71">
        <v>26669156</v>
      </c>
      <c r="L191" s="36">
        <v>2.6668549610518955E-2</v>
      </c>
      <c r="M191" s="36">
        <v>5.0618759703981926</v>
      </c>
      <c r="N191" s="73"/>
      <c r="O191" s="59">
        <v>180</v>
      </c>
      <c r="P191" s="59">
        <v>200</v>
      </c>
      <c r="Q191" s="36">
        <v>2.6668549610518955E-2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4.5594855235059602E-3</v>
      </c>
      <c r="I192" s="36">
        <v>3.3454900000000012E-4</v>
      </c>
      <c r="J192" s="36">
        <v>3.3454900000000017E-4</v>
      </c>
      <c r="K192" s="71">
        <v>334549</v>
      </c>
      <c r="L192" s="36">
        <v>3.3454139319780146E-4</v>
      </c>
      <c r="M192" s="36">
        <v>7.4820378945393853E-2</v>
      </c>
      <c r="N192" s="73"/>
      <c r="O192" s="59">
        <v>200</v>
      </c>
      <c r="P192" s="59">
        <v>250</v>
      </c>
      <c r="Q192" s="36">
        <v>3.3454139319780146E-4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5.1598868903890097E-3</v>
      </c>
      <c r="I193" s="36">
        <v>2.7331200000000022E-4</v>
      </c>
      <c r="J193" s="36">
        <v>2.7331200000000027E-4</v>
      </c>
      <c r="K193" s="71">
        <v>273312</v>
      </c>
      <c r="L193" s="36">
        <v>2.7330578557304764E-4</v>
      </c>
      <c r="M193" s="36">
        <v>7.4820446679300864E-2</v>
      </c>
      <c r="N193" s="73"/>
      <c r="O193" s="59">
        <v>250</v>
      </c>
      <c r="P193" s="59">
        <v>300</v>
      </c>
      <c r="Q193" s="36">
        <v>2.7330578557304764E-4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5.9002001053081003E-3</v>
      </c>
      <c r="I194" s="36">
        <v>2.3108400000000013E-4</v>
      </c>
      <c r="J194" s="36">
        <v>2.3108400000000016E-4</v>
      </c>
      <c r="K194" s="71">
        <v>231084</v>
      </c>
      <c r="L194" s="36">
        <v>2.3107874573147956E-4</v>
      </c>
      <c r="M194" s="36">
        <v>7.4820287890394063E-2</v>
      </c>
      <c r="N194" s="73"/>
      <c r="O194" s="59">
        <v>300</v>
      </c>
      <c r="P194" s="59">
        <v>350</v>
      </c>
      <c r="Q194" s="36">
        <v>2.3107874573147956E-4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6.8163787332424699E-3</v>
      </c>
      <c r="I195" s="36">
        <v>2.0011800000000008E-4</v>
      </c>
      <c r="J195" s="36">
        <v>2.0011800000000011E-4</v>
      </c>
      <c r="K195" s="71">
        <v>200118</v>
      </c>
      <c r="L195" s="36">
        <v>2.0011344982037799E-4</v>
      </c>
      <c r="M195" s="36">
        <v>7.482058009042146E-2</v>
      </c>
      <c r="N195" s="73"/>
      <c r="O195" s="59">
        <v>350</v>
      </c>
      <c r="P195" s="59">
        <v>400</v>
      </c>
      <c r="Q195" s="36">
        <v>2.0011344982037799E-4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7.9177924043479404E-3</v>
      </c>
      <c r="I196" s="36">
        <v>1.7650100000000005E-4</v>
      </c>
      <c r="J196" s="36">
        <v>1.7650100000000008E-4</v>
      </c>
      <c r="K196" s="71">
        <v>176501</v>
      </c>
      <c r="L196" s="36">
        <v>1.7649698681151388E-4</v>
      </c>
      <c r="M196" s="36">
        <v>7.4820510101993379E-2</v>
      </c>
      <c r="N196" s="73"/>
      <c r="O196" s="59">
        <v>400</v>
      </c>
      <c r="P196" s="59">
        <v>450</v>
      </c>
      <c r="Q196" s="36">
        <v>1.7649698681151388E-4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9.0919069507215608E-3</v>
      </c>
      <c r="I197" s="36">
        <v>1.5783500000000002E-4</v>
      </c>
      <c r="J197" s="36">
        <v>1.5783500000000005E-4</v>
      </c>
      <c r="K197" s="71">
        <v>157835</v>
      </c>
      <c r="L197" s="36">
        <v>1.5783141122937148E-4</v>
      </c>
      <c r="M197" s="36">
        <v>7.4820620924511846E-2</v>
      </c>
      <c r="N197" s="73"/>
      <c r="O197" s="59">
        <v>450</v>
      </c>
      <c r="P197" s="59">
        <v>500</v>
      </c>
      <c r="Q197" s="36">
        <v>1.5783141122937148E-4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1.04247918338793E-2</v>
      </c>
      <c r="I198" s="36">
        <v>1.4279399999999934E-4</v>
      </c>
      <c r="J198" s="36">
        <v>1.4279399999999937E-4</v>
      </c>
      <c r="K198" s="71">
        <v>142794</v>
      </c>
      <c r="L198" s="36">
        <v>1.427907532238532E-4</v>
      </c>
      <c r="M198" s="36">
        <v>7.4820306595607164E-2</v>
      </c>
      <c r="N198" s="73"/>
      <c r="O198" s="59">
        <v>500</v>
      </c>
      <c r="P198" s="59">
        <v>550</v>
      </c>
      <c r="Q198" s="36">
        <v>1.427907532238532E-4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1.19683833193553E-2</v>
      </c>
      <c r="I199" s="36">
        <v>1.3031899999999994E-4</v>
      </c>
      <c r="J199" s="36">
        <v>1.3031899999999997E-4</v>
      </c>
      <c r="K199" s="71">
        <v>130319</v>
      </c>
      <c r="L199" s="36">
        <v>1.3031603687395355E-4</v>
      </c>
      <c r="M199" s="36">
        <v>7.4819884862579428E-2</v>
      </c>
      <c r="N199" s="73"/>
      <c r="O199" s="59">
        <v>550</v>
      </c>
      <c r="P199" s="59">
        <v>600</v>
      </c>
      <c r="Q199" s="36">
        <v>1.3031603687395355E-4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1.37370615285487E-2</v>
      </c>
      <c r="I200" s="36">
        <v>1.1989399999999966E-4</v>
      </c>
      <c r="J200" s="36">
        <v>1.1989399999999968E-4</v>
      </c>
      <c r="K200" s="71">
        <v>119894</v>
      </c>
      <c r="L200" s="36">
        <v>1.1989127391221379E-4</v>
      </c>
      <c r="M200" s="36">
        <v>7.4820269486009144E-2</v>
      </c>
      <c r="N200" s="73"/>
      <c r="O200" s="59">
        <v>600</v>
      </c>
      <c r="P200" s="59">
        <v>650</v>
      </c>
      <c r="Q200" s="36">
        <v>1.1989127391221379E-4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1.5685689017473001E-2</v>
      </c>
      <c r="I201" s="36">
        <v>1.1097400000000013E-4</v>
      </c>
      <c r="J201" s="36">
        <v>1.1097400000000015E-4</v>
      </c>
      <c r="K201" s="71">
        <v>110974</v>
      </c>
      <c r="L201" s="36">
        <v>1.109714767305621E-4</v>
      </c>
      <c r="M201" s="36">
        <v>7.4819983471970483E-2</v>
      </c>
      <c r="N201" s="73"/>
      <c r="O201" s="59">
        <v>650</v>
      </c>
      <c r="P201" s="59">
        <v>700</v>
      </c>
      <c r="Q201" s="36">
        <v>1.109714767305621E-4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1.7679147796678601E-2</v>
      </c>
      <c r="I202" s="36">
        <v>1.033010000000002E-4</v>
      </c>
      <c r="J202" s="36">
        <v>1.0330100000000021E-4</v>
      </c>
      <c r="K202" s="71">
        <v>103301</v>
      </c>
      <c r="L202" s="36">
        <v>1.0329865119526912E-4</v>
      </c>
      <c r="M202" s="36">
        <v>7.4820590763480008E-2</v>
      </c>
      <c r="N202" s="73"/>
      <c r="O202" s="59">
        <v>700</v>
      </c>
      <c r="P202" s="59">
        <v>750</v>
      </c>
      <c r="Q202" s="36">
        <v>1.0329865119526912E-4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1.9972428950290898E-2</v>
      </c>
      <c r="I203" s="36">
        <v>9.6637999999999843E-5</v>
      </c>
      <c r="J203" s="36">
        <v>9.6637999999999856E-5</v>
      </c>
      <c r="K203" s="71">
        <v>96638</v>
      </c>
      <c r="L203" s="36">
        <v>9.6635802695118313E-5</v>
      </c>
      <c r="M203" s="36">
        <v>7.4820654559312028E-2</v>
      </c>
      <c r="N203" s="73"/>
      <c r="O203" s="59">
        <v>750</v>
      </c>
      <c r="P203" s="59">
        <v>800</v>
      </c>
      <c r="Q203" s="36">
        <v>9.6635802695118313E-5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2.2450718598317501E-2</v>
      </c>
      <c r="I204" s="36">
        <v>9.0771000000000056E-5</v>
      </c>
      <c r="J204" s="36">
        <v>9.077100000000007E-5</v>
      </c>
      <c r="K204" s="71">
        <v>90771</v>
      </c>
      <c r="L204" s="36">
        <v>9.0768936095931045E-5</v>
      </c>
      <c r="M204" s="36">
        <v>7.4820338004734879E-2</v>
      </c>
      <c r="N204" s="73"/>
      <c r="O204" s="59">
        <v>800</v>
      </c>
      <c r="P204" s="59">
        <v>850</v>
      </c>
      <c r="Q204" s="36">
        <v>9.0768936095931045E-5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2.5347606984761899E-2</v>
      </c>
      <c r="I205" s="36">
        <v>8.5580999999999979E-5</v>
      </c>
      <c r="J205" s="36">
        <v>8.5580999999999993E-5</v>
      </c>
      <c r="K205" s="72">
        <v>85581</v>
      </c>
      <c r="L205" s="36">
        <v>8.5579054103467801E-5</v>
      </c>
      <c r="M205" s="36">
        <v>7.4820139279996867E-2</v>
      </c>
      <c r="N205" s="73"/>
      <c r="O205" s="59">
        <v>850</v>
      </c>
      <c r="P205" s="59">
        <v>900</v>
      </c>
      <c r="Q205" s="36">
        <v>8.5579054103467801E-5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2.8168134019495701E-2</v>
      </c>
      <c r="I206" s="36">
        <v>8.0941999999999999E-5</v>
      </c>
      <c r="J206" s="36">
        <v>8.0942000000000012E-5</v>
      </c>
      <c r="K206" s="72">
        <v>80942</v>
      </c>
      <c r="L206" s="36">
        <v>8.0940159582651409E-5</v>
      </c>
      <c r="M206" s="36">
        <v>7.4819742633577865E-2</v>
      </c>
      <c r="N206" s="73"/>
      <c r="O206" s="59">
        <v>900</v>
      </c>
      <c r="P206" s="59">
        <v>950</v>
      </c>
      <c r="Q206" s="36">
        <v>8.0940159582651409E-5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3.1607482231927497E-2</v>
      </c>
      <c r="I207" s="36">
        <v>7.6794999999999904E-5</v>
      </c>
      <c r="J207" s="36">
        <v>7.6794999999999918E-5</v>
      </c>
      <c r="K207" s="72">
        <v>76795</v>
      </c>
      <c r="L207" s="36">
        <v>7.6793253874993397E-5</v>
      </c>
      <c r="M207" s="36">
        <v>7.4820655114921239E-2</v>
      </c>
      <c r="N207" s="73"/>
      <c r="O207" s="59">
        <v>950</v>
      </c>
      <c r="P207" s="59">
        <v>1000</v>
      </c>
      <c r="Q207" s="36">
        <v>7.6793253874993397E-5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3.6452944087938199E-3</v>
      </c>
      <c r="I208" s="36">
        <v>5.6989999999999981E-5</v>
      </c>
      <c r="J208" s="36">
        <v>5.6989999999999988E-5</v>
      </c>
      <c r="K208" s="72">
        <v>56990</v>
      </c>
      <c r="L208" s="36">
        <v>5.6988704190844109E-5</v>
      </c>
      <c r="M208" s="36">
        <v>7.4820064645853848E-2</v>
      </c>
      <c r="N208" s="73"/>
      <c r="O208" s="59">
        <v>1000</v>
      </c>
      <c r="P208" s="59">
        <v>2000</v>
      </c>
      <c r="Q208" s="36">
        <v>5.6988704190844109E-5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3.3201277761518801E-2</v>
      </c>
      <c r="I209" s="36">
        <v>6.3229999999999935E-5</v>
      </c>
      <c r="J209" s="36">
        <v>6.3229999999999949E-5</v>
      </c>
      <c r="K209" s="72">
        <v>93220</v>
      </c>
      <c r="L209" s="36">
        <v>9.3217880411835191E-5</v>
      </c>
      <c r="M209" s="36">
        <v>0.22062183685261719</v>
      </c>
      <c r="N209" s="73"/>
      <c r="O209" s="59">
        <v>2000</v>
      </c>
      <c r="P209" s="59">
        <v>3000</v>
      </c>
      <c r="Q209" s="36">
        <v>9.3217880411835191E-5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4.6131389436363603</v>
      </c>
      <c r="I216" s="36">
        <v>7.2519999999999951E-6</v>
      </c>
      <c r="J216" s="36">
        <v>7.251999999999996E-6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zoomScale="70" zoomScaleNormal="70" workbookViewId="0">
      <selection activeCell="A28"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>
        <f>Overview!B11</f>
        <v>1</v>
      </c>
      <c r="C7" s="40">
        <f>SUM(M15:M79)</f>
        <v>0.72008498629709505</v>
      </c>
      <c r="D7" s="40">
        <f>SUM(_xlfn.ANCHORARRAY(M86))*F7</f>
        <v>0.20991468149786327</v>
      </c>
      <c r="E7" s="41">
        <f>SUM(C7:D7)</f>
        <v>0.92999966779495835</v>
      </c>
      <c r="F7" s="42">
        <f>L79</f>
        <v>3.5763494174742556E-3</v>
      </c>
      <c r="G7" s="43">
        <f>1/F7</f>
        <v>279.61473650028171</v>
      </c>
      <c r="H7" s="44">
        <f>D7*G7</f>
        <v>58.695238354565596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8">_xlfn.LET(_xlpm.x, C15:C78/B15:B78/B3, IF(ISERR(_xlpm.x), 0, _xlpm.x))</f>
        <v>0</v>
      </c>
      <c r="G15" s="14" t="str">
        <f t="shared" ref="G15:G78" si="1">"("&amp;$O15&amp;", "&amp;$P15&amp;"]"</f>
        <v>(-1, 0]</v>
      </c>
      <c r="H15" s="70">
        <v>1.1738136836973501</v>
      </c>
      <c r="I15" s="36" cm="1">
        <f t="array" ref="I15:I79">D15:D79*H15:H79</f>
        <v>0.73336242599999701</v>
      </c>
      <c r="J15" s="36" cm="1">
        <f t="array" ref="J15:J78">I15:I78/SUM(I15:I78)</f>
        <v>0.73336242599999946</v>
      </c>
      <c r="K15" s="71">
        <v>733362426</v>
      </c>
      <c r="L15" s="36" cm="1">
        <f t="array" ref="L15:L79">_xlfn.LET(_xlpm.x, K15:K79, _xlpm.x/SUM(_xlpm.x))</f>
        <v>0.73044184631318931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0.73044184631318931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0.14707350399999974</v>
      </c>
      <c r="J16" s="36">
        <v>0.14707350400000024</v>
      </c>
      <c r="K16" s="71">
        <v>147073504</v>
      </c>
      <c r="L16" s="36">
        <v>0.14648779102504803</v>
      </c>
      <c r="M16" s="36">
        <v>6.3538382394850934E-2</v>
      </c>
      <c r="N16" s="73"/>
      <c r="O16" s="59">
        <v>0</v>
      </c>
      <c r="P16" s="59">
        <v>1</v>
      </c>
      <c r="Q16" s="36">
        <v>0.14648779102504803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0.78448737498280596</v>
      </c>
      <c r="I17" s="36">
        <v>4.3093494999999996E-2</v>
      </c>
      <c r="J17" s="36">
        <v>4.3093495000000141E-2</v>
      </c>
      <c r="K17" s="71">
        <v>43093495</v>
      </c>
      <c r="L17" s="36">
        <v>4.2921877281845079E-2</v>
      </c>
      <c r="M17" s="36">
        <v>6.4618755414802054E-2</v>
      </c>
      <c r="N17" s="73"/>
      <c r="O17" s="59">
        <v>1</v>
      </c>
      <c r="P17" s="59">
        <v>2</v>
      </c>
      <c r="Q17" s="36">
        <v>4.2921877281845079E-2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0.59742955680103005</v>
      </c>
      <c r="I18" s="36">
        <v>1.9740550000000003E-2</v>
      </c>
      <c r="J18" s="36">
        <v>1.9740550000000068E-2</v>
      </c>
      <c r="K18" s="71">
        <v>19740550</v>
      </c>
      <c r="L18" s="36">
        <v>1.9661934233371578E-2</v>
      </c>
      <c r="M18" s="36">
        <v>4.977578916111277E-2</v>
      </c>
      <c r="N18" s="73"/>
      <c r="O18" s="59">
        <v>2</v>
      </c>
      <c r="P18" s="59">
        <v>3</v>
      </c>
      <c r="Q18" s="36">
        <v>1.9661934233371578E-2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0.52929705795662696</v>
      </c>
      <c r="I19" s="36">
        <v>1.2108867999999997E-2</v>
      </c>
      <c r="J19" s="36">
        <v>1.2108868000000036E-2</v>
      </c>
      <c r="K19" s="71">
        <v>12108868</v>
      </c>
      <c r="L19" s="36">
        <v>1.2060645030486872E-2</v>
      </c>
      <c r="M19" s="36">
        <v>4.2553655710926737E-2</v>
      </c>
      <c r="N19" s="73"/>
      <c r="O19" s="59">
        <v>3</v>
      </c>
      <c r="P19" s="59">
        <v>4</v>
      </c>
      <c r="Q19" s="36">
        <v>1.2060645030486872E-2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7.8621170000000035E-3</v>
      </c>
      <c r="J20" s="36">
        <v>7.8621170000000296E-3</v>
      </c>
      <c r="K20" s="71">
        <v>7862117</v>
      </c>
      <c r="L20" s="36">
        <v>7.830806506863925E-3</v>
      </c>
      <c r="M20" s="36">
        <v>3.5493489237232397E-2</v>
      </c>
      <c r="N20" s="73"/>
      <c r="O20" s="59">
        <v>4</v>
      </c>
      <c r="P20" s="59">
        <v>5</v>
      </c>
      <c r="Q20" s="36">
        <v>7.830806506863925E-3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0.45024896281882598</v>
      </c>
      <c r="I21" s="36">
        <v>6.0663380000000001E-3</v>
      </c>
      <c r="J21" s="36">
        <v>6.0663380000000201E-3</v>
      </c>
      <c r="K21" s="71">
        <v>6066338</v>
      </c>
      <c r="L21" s="36">
        <v>6.0421791081506273E-3</v>
      </c>
      <c r="M21" s="36">
        <v>3.354848984238061E-2</v>
      </c>
      <c r="N21" s="73"/>
      <c r="O21" s="59">
        <v>5</v>
      </c>
      <c r="P21" s="59">
        <v>6</v>
      </c>
      <c r="Q21" s="36">
        <v>6.0421791081506273E-3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3.2654399999999992E-3</v>
      </c>
      <c r="J22" s="36">
        <v>3.2654400000000101E-3</v>
      </c>
      <c r="K22" s="71">
        <v>3265440</v>
      </c>
      <c r="L22" s="36">
        <v>3.2524355462750978E-3</v>
      </c>
      <c r="M22" s="36">
        <v>2.1220762063206198E-2</v>
      </c>
      <c r="N22" s="73"/>
      <c r="O22" s="59">
        <v>6</v>
      </c>
      <c r="P22" s="59">
        <v>7</v>
      </c>
      <c r="Q22" s="36">
        <v>3.2524355462750978E-3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0.40892890369396501</v>
      </c>
      <c r="I23" s="36">
        <v>3.6614210000000028E-3</v>
      </c>
      <c r="J23" s="36">
        <v>3.661421000000015E-3</v>
      </c>
      <c r="K23" s="71">
        <v>3661421</v>
      </c>
      <c r="L23" s="36">
        <v>3.6468395714752424E-3</v>
      </c>
      <c r="M23" s="36">
        <v>2.7469532375447189E-2</v>
      </c>
      <c r="N23" s="73"/>
      <c r="O23" s="59">
        <v>7</v>
      </c>
      <c r="P23" s="59">
        <v>8</v>
      </c>
      <c r="Q23" s="36">
        <v>3.6468395714752424E-3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0.39347328283822602</v>
      </c>
      <c r="I24" s="36">
        <v>2.9620110000000027E-3</v>
      </c>
      <c r="J24" s="36">
        <v>2.9620110000000126E-3</v>
      </c>
      <c r="K24" s="71">
        <v>2962011</v>
      </c>
      <c r="L24" s="36">
        <v>2.9502149373002869E-3</v>
      </c>
      <c r="M24" s="36">
        <v>2.5231281313697316E-2</v>
      </c>
      <c r="N24" s="73"/>
      <c r="O24" s="59">
        <v>8</v>
      </c>
      <c r="P24" s="59">
        <v>9</v>
      </c>
      <c r="Q24" s="36">
        <v>2.9502149373002869E-3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0.30851519605157901</v>
      </c>
      <c r="I25" s="36">
        <v>1.9205289999999992E-3</v>
      </c>
      <c r="J25" s="36">
        <v>1.9205290000000055E-3</v>
      </c>
      <c r="K25" s="71">
        <v>1920529</v>
      </c>
      <c r="L25" s="36">
        <v>1.9128805879918686E-3</v>
      </c>
      <c r="M25" s="36">
        <v>1.8244797773217445E-2</v>
      </c>
      <c r="N25" s="73"/>
      <c r="O25" s="59">
        <v>9</v>
      </c>
      <c r="P25" s="59">
        <v>10</v>
      </c>
      <c r="Q25" s="36">
        <v>1.9128805879918686E-3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1.0160353000000007E-2</v>
      </c>
      <c r="J26" s="36">
        <v>1.0160353000000042E-2</v>
      </c>
      <c r="K26" s="71">
        <v>10160353</v>
      </c>
      <c r="L26" s="36">
        <v>1.0119889895359531E-2</v>
      </c>
      <c r="M26" s="36">
        <v>0.12427461459520489</v>
      </c>
      <c r="N26" s="73"/>
      <c r="O26" s="59">
        <v>10</v>
      </c>
      <c r="P26" s="59">
        <v>15</v>
      </c>
      <c r="Q26" s="36">
        <v>1.0119889895359531E-2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0.39045558357146898</v>
      </c>
      <c r="I27" s="36">
        <v>4.355288000000004E-3</v>
      </c>
      <c r="J27" s="36">
        <v>4.3552880000000188E-3</v>
      </c>
      <c r="K27" s="71">
        <v>4355288</v>
      </c>
      <c r="L27" s="36">
        <v>4.3379432803742771E-3</v>
      </c>
      <c r="M27" s="36">
        <v>7.5206046974060012E-2</v>
      </c>
      <c r="N27" s="73"/>
      <c r="O27" s="59">
        <v>15</v>
      </c>
      <c r="P27" s="59">
        <v>20</v>
      </c>
      <c r="Q27" s="36">
        <v>4.3379432803742771E-3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0.36047977457268898</v>
      </c>
      <c r="I28" s="36">
        <v>2.4306249999999983E-3</v>
      </c>
      <c r="J28" s="36">
        <v>2.4306250000000066E-3</v>
      </c>
      <c r="K28" s="71">
        <v>2430625</v>
      </c>
      <c r="L28" s="36">
        <v>2.4209451558334896E-3</v>
      </c>
      <c r="M28" s="36">
        <v>5.4152402405113639E-2</v>
      </c>
      <c r="N28" s="73"/>
      <c r="O28" s="59">
        <v>20</v>
      </c>
      <c r="P28" s="59">
        <v>25</v>
      </c>
      <c r="Q28" s="36">
        <v>2.4209451558334896E-3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1.9370349999999986E-3</v>
      </c>
      <c r="J29" s="36">
        <v>1.9370350000000051E-3</v>
      </c>
      <c r="K29" s="71">
        <v>2344760</v>
      </c>
      <c r="L29" s="36">
        <v>2.335422108960507E-3</v>
      </c>
      <c r="M29" s="36">
        <v>6.3981615634793099E-2</v>
      </c>
      <c r="N29" s="73"/>
      <c r="O29" s="59">
        <v>25</v>
      </c>
      <c r="P29" s="59">
        <v>30</v>
      </c>
      <c r="Q29" s="36">
        <v>2.335422108960507E-3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f>B79/B13</f>
        <v>6.9973149999999996E-3</v>
      </c>
      <c r="E79" s="100">
        <v>5.8090999999999999</v>
      </c>
      <c r="F79" s="77"/>
      <c r="G79" s="14" t="s">
        <v>115</v>
      </c>
      <c r="H79" s="70">
        <v>0.51314668555010001</v>
      </c>
      <c r="I79" s="36">
        <v>3.5906489999999978E-3</v>
      </c>
      <c r="J79" s="36">
        <f>I79</f>
        <v>3.5906489999999978E-3</v>
      </c>
      <c r="K79" s="72">
        <v>3590649</v>
      </c>
      <c r="L79" s="36">
        <v>3.5763494174742556E-3</v>
      </c>
      <c r="M79" s="36">
        <v>2.0775371401049698E-2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ROUND(_xlfn.ANCHORARRAY(J86)*$B$2,0)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7.6827719000000003E-2</v>
      </c>
      <c r="M101" s="36">
        <v>2.5013238313201791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0.13832187700000001</v>
      </c>
      <c r="M102" s="36">
        <v>5.1944593516759863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</v>
      </c>
      <c r="M103" s="36">
        <v>5.2329980723492886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0.10763513500000001</v>
      </c>
      <c r="M104" s="36">
        <v>5.1175598755804854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0.10767357800000001</v>
      </c>
      <c r="M105" s="36">
        <v>5.9234598244101182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</v>
      </c>
      <c r="M106" s="36">
        <v>10.004132287514393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7.6983252000000002E-2</v>
      </c>
      <c r="M107" s="36">
        <v>5.7736220636127165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3.9595496503695</v>
      </c>
      <c r="I108" s="36">
        <v>0.15403974899999998</v>
      </c>
      <c r="J108" s="36">
        <v>0.15403974900000003</v>
      </c>
      <c r="K108" s="71">
        <v>154039749</v>
      </c>
      <c r="L108" s="36">
        <v>0.154039749</v>
      </c>
      <c r="M108" s="36">
        <v>13.091416011895582</v>
      </c>
      <c r="N108" s="73"/>
      <c r="O108" s="59">
        <v>80</v>
      </c>
      <c r="P108" s="59">
        <v>90</v>
      </c>
      <c r="Q108" s="36">
        <v>0.154039749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1.70038519685759</v>
      </c>
      <c r="I109" s="79">
        <v>6.1644389999999875E-2</v>
      </c>
      <c r="J109" s="79">
        <v>6.1644389999999903E-2</v>
      </c>
      <c r="K109" s="71">
        <v>61644390</v>
      </c>
      <c r="L109" s="79">
        <v>6.164439E-2</v>
      </c>
      <c r="M109" s="79">
        <v>5.8562670362068516</v>
      </c>
      <c r="N109" s="73"/>
      <c r="O109" s="59">
        <v>90</v>
      </c>
      <c r="P109" s="59">
        <v>100</v>
      </c>
      <c r="Q109" s="36">
        <v>6.164439E-2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83</v>
      </c>
      <c r="C6" s="22">
        <v>3641035800</v>
      </c>
    </row>
    <row r="7" spans="1:3" x14ac:dyDescent="0.3">
      <c r="A7" s="21"/>
      <c r="B7" s="15" t="s">
        <v>84</v>
      </c>
      <c r="C7" s="22">
        <v>36921890400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2026-09-22T09:22:20Z</dcterms:modified>
</cp:coreProperties>
</file>