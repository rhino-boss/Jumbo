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Source\"/>
    </mc:Choice>
  </mc:AlternateContent>
  <xr:revisionPtr revIDLastSave="0" documentId="13_ncr:1_{3554EBB6-33C6-4C0F-95AD-26E0FFB66D4F}" xr6:coauthVersionLast="47" xr6:coauthVersionMax="47" xr10:uidLastSave="{00000000-0000-0000-0000-000000000000}"/>
  <bookViews>
    <workbookView xWindow="-492" yWindow="588" windowWidth="17280" windowHeight="888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J79" i="6" s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K163" i="5" s="1"/>
  <c r="A163" i="5"/>
  <c r="I156" i="5"/>
  <c r="J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K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7" i="5" s="1"/>
  <c r="B3" i="5"/>
  <c r="E15" i="5" s="1" a="1"/>
  <c r="E15" i="5" s="1"/>
  <c r="C21" i="1"/>
  <c r="A21" i="1"/>
  <c r="A17" i="1"/>
  <c r="A11" i="1" a="1"/>
  <c r="A12" i="1" s="1"/>
  <c r="I15" i="5" l="1" a="1"/>
  <c r="K156" i="5"/>
  <c r="L156" i="5" s="1"/>
  <c r="E86" i="5" a="1"/>
  <c r="E86" i="5" s="1"/>
  <c r="E86" i="6" a="1"/>
  <c r="E86" i="6" s="1"/>
  <c r="E156" i="5"/>
  <c r="E163" i="5" a="1"/>
  <c r="E163" i="5" s="1"/>
  <c r="I15" i="5"/>
  <c r="J15" i="5" s="1" a="1"/>
  <c r="J15" i="5" s="1"/>
  <c r="J79" i="5"/>
  <c r="C62" i="3"/>
  <c r="C46" i="3"/>
  <c r="C30" i="3"/>
  <c r="C14" i="3"/>
  <c r="C45" i="3"/>
  <c r="C57" i="3"/>
  <c r="C41" i="3"/>
  <c r="C25" i="3"/>
  <c r="C63" i="3"/>
  <c r="C31" i="3"/>
  <c r="C15" i="3"/>
  <c r="C53" i="3"/>
  <c r="C21" i="3"/>
  <c r="C5" i="3"/>
  <c r="C8" i="3"/>
  <c r="C65" i="3"/>
  <c r="C49" i="3"/>
  <c r="C33" i="3"/>
  <c r="C17" i="3"/>
  <c r="C13" i="3"/>
  <c r="C56" i="3"/>
  <c r="C40" i="3"/>
  <c r="C24" i="3"/>
  <c r="C52" i="3"/>
  <c r="C36" i="3"/>
  <c r="C20" i="3"/>
  <c r="C4" i="3"/>
  <c r="C29" i="3"/>
  <c r="C9" i="3"/>
  <c r="C12" i="3"/>
  <c r="C18" i="3"/>
  <c r="C55" i="3"/>
  <c r="C39" i="3"/>
  <c r="C23" i="3"/>
  <c r="C7" i="3"/>
  <c r="C60" i="3"/>
  <c r="C44" i="3"/>
  <c r="C28" i="3"/>
  <c r="C47" i="3"/>
  <c r="C58" i="3"/>
  <c r="C42" i="3"/>
  <c r="C26" i="3"/>
  <c r="C10" i="3"/>
  <c r="C61" i="3"/>
  <c r="C37" i="3"/>
  <c r="C64" i="3"/>
  <c r="C48" i="3"/>
  <c r="C32" i="3"/>
  <c r="C16" i="3"/>
  <c r="C51" i="3"/>
  <c r="C35" i="3"/>
  <c r="C19" i="3"/>
  <c r="C54" i="3"/>
  <c r="C38" i="3"/>
  <c r="C22" i="3"/>
  <c r="C6" i="3"/>
  <c r="C50" i="3"/>
  <c r="C59" i="3"/>
  <c r="C43" i="3"/>
  <c r="C27" i="3"/>
  <c r="C11" i="3"/>
  <c r="C66" i="3"/>
  <c r="C34" i="3"/>
  <c r="F55" i="3"/>
  <c r="F39" i="3"/>
  <c r="F23" i="3"/>
  <c r="F7" i="3"/>
  <c r="F50" i="3"/>
  <c r="F46" i="3"/>
  <c r="F30" i="3"/>
  <c r="F14" i="3"/>
  <c r="F58" i="3"/>
  <c r="F42" i="3"/>
  <c r="F26" i="3"/>
  <c r="F10" i="3"/>
  <c r="F22" i="3"/>
  <c r="F53" i="3"/>
  <c r="F21" i="3"/>
  <c r="F49" i="3"/>
  <c r="F33" i="3"/>
  <c r="F17" i="3"/>
  <c r="F61" i="3"/>
  <c r="F45" i="3"/>
  <c r="F29" i="3"/>
  <c r="F13" i="3"/>
  <c r="F54" i="3"/>
  <c r="F38" i="3"/>
  <c r="F6" i="3"/>
  <c r="F66" i="3"/>
  <c r="F34" i="3"/>
  <c r="F18" i="3"/>
  <c r="F56" i="3"/>
  <c r="F64" i="3"/>
  <c r="F48" i="3"/>
  <c r="F32" i="3"/>
  <c r="F16" i="3"/>
  <c r="F37" i="3"/>
  <c r="F5" i="3"/>
  <c r="F8" i="3"/>
  <c r="F59" i="3"/>
  <c r="F43" i="3"/>
  <c r="F27" i="3"/>
  <c r="F51" i="3"/>
  <c r="F35" i="3"/>
  <c r="F19" i="3"/>
  <c r="F24" i="3"/>
  <c r="F11" i="3"/>
  <c r="F62" i="3"/>
  <c r="F65" i="3"/>
  <c r="F57" i="3"/>
  <c r="F41" i="3"/>
  <c r="F25" i="3"/>
  <c r="F9" i="3"/>
  <c r="F60" i="3"/>
  <c r="F44" i="3"/>
  <c r="F28" i="3"/>
  <c r="F12" i="3"/>
  <c r="F63" i="3"/>
  <c r="F47" i="3"/>
  <c r="F31" i="3"/>
  <c r="F15" i="3"/>
  <c r="F52" i="3"/>
  <c r="F36" i="3"/>
  <c r="F20" i="3"/>
  <c r="F4" i="3"/>
  <c r="F40" i="3"/>
  <c r="E52" i="3"/>
  <c r="E36" i="3"/>
  <c r="E20" i="3"/>
  <c r="E4" i="3"/>
  <c r="E63" i="3"/>
  <c r="E31" i="3"/>
  <c r="E53" i="3"/>
  <c r="E59" i="3"/>
  <c r="E55" i="3"/>
  <c r="E39" i="3"/>
  <c r="E23" i="3"/>
  <c r="E7" i="3"/>
  <c r="E51" i="3"/>
  <c r="E35" i="3"/>
  <c r="E56" i="3"/>
  <c r="E27" i="3"/>
  <c r="E62" i="3"/>
  <c r="E30" i="3"/>
  <c r="E58" i="3"/>
  <c r="E42" i="3"/>
  <c r="E26" i="3"/>
  <c r="E10" i="3"/>
  <c r="E19" i="3"/>
  <c r="E47" i="3"/>
  <c r="E66" i="3"/>
  <c r="E50" i="3"/>
  <c r="E21" i="3"/>
  <c r="E5" i="3"/>
  <c r="E61" i="3"/>
  <c r="E45" i="3"/>
  <c r="E29" i="3"/>
  <c r="E13" i="3"/>
  <c r="E18" i="3"/>
  <c r="E37" i="3"/>
  <c r="E8" i="3"/>
  <c r="E11" i="3"/>
  <c r="E14" i="3"/>
  <c r="E64" i="3"/>
  <c r="E48" i="3"/>
  <c r="E32" i="3"/>
  <c r="E16" i="3"/>
  <c r="E40" i="3"/>
  <c r="E54" i="3"/>
  <c r="E38" i="3"/>
  <c r="E22" i="3"/>
  <c r="E6" i="3"/>
  <c r="E57" i="3"/>
  <c r="E41" i="3"/>
  <c r="E25" i="3"/>
  <c r="E9" i="3"/>
  <c r="E60" i="3"/>
  <c r="E44" i="3"/>
  <c r="E28" i="3"/>
  <c r="E12" i="3"/>
  <c r="E15" i="3"/>
  <c r="E24" i="3"/>
  <c r="E43" i="3"/>
  <c r="E65" i="3"/>
  <c r="E49" i="3"/>
  <c r="E33" i="3"/>
  <c r="E17" i="3"/>
  <c r="E34" i="3"/>
  <c r="E46" i="3"/>
  <c r="I15" i="6"/>
  <c r="J15" i="6" s="1" a="1"/>
  <c r="J15" i="6" s="1"/>
  <c r="A11" i="1"/>
  <c r="K15" i="5" l="1" a="1"/>
  <c r="K15" i="5" s="1"/>
  <c r="M156" i="5"/>
  <c r="C8" i="5" s="1"/>
  <c r="B21" i="1" s="1"/>
  <c r="L86" i="6" a="1"/>
  <c r="L86" i="6" s="1"/>
  <c r="J7" i="6" a="1"/>
  <c r="J7" i="6" s="1"/>
  <c r="C3" i="3"/>
  <c r="B59" i="3"/>
  <c r="B43" i="3"/>
  <c r="B27" i="3"/>
  <c r="B11" i="3"/>
  <c r="B58" i="3"/>
  <c r="B26" i="3"/>
  <c r="B10" i="3"/>
  <c r="B44" i="3"/>
  <c r="B34" i="3"/>
  <c r="B62" i="3"/>
  <c r="B46" i="3"/>
  <c r="B30" i="3"/>
  <c r="B14" i="3"/>
  <c r="B12" i="3"/>
  <c r="B63" i="3"/>
  <c r="B47" i="3"/>
  <c r="B31" i="3"/>
  <c r="B65" i="3"/>
  <c r="B49" i="3"/>
  <c r="B33" i="3"/>
  <c r="B17" i="3"/>
  <c r="B42" i="3"/>
  <c r="B54" i="3"/>
  <c r="B38" i="3"/>
  <c r="B22" i="3"/>
  <c r="B6" i="3"/>
  <c r="B57" i="3"/>
  <c r="B41" i="3"/>
  <c r="B25" i="3"/>
  <c r="B52" i="3"/>
  <c r="B36" i="3"/>
  <c r="B20" i="3"/>
  <c r="B4" i="3"/>
  <c r="B60" i="3"/>
  <c r="B28" i="3"/>
  <c r="B15" i="3"/>
  <c r="B53" i="3"/>
  <c r="B55" i="3"/>
  <c r="B39" i="3"/>
  <c r="B23" i="3"/>
  <c r="B7" i="3"/>
  <c r="B37" i="3"/>
  <c r="B61" i="3"/>
  <c r="B45" i="3"/>
  <c r="B29" i="3"/>
  <c r="B13" i="3"/>
  <c r="B64" i="3"/>
  <c r="B48" i="3"/>
  <c r="B32" i="3"/>
  <c r="B16" i="3"/>
  <c r="B67" i="3"/>
  <c r="B51" i="3"/>
  <c r="B35" i="3"/>
  <c r="B19" i="3"/>
  <c r="B66" i="3"/>
  <c r="B21" i="3"/>
  <c r="B56" i="3"/>
  <c r="B40" i="3"/>
  <c r="B24" i="3"/>
  <c r="B8" i="3"/>
  <c r="B9" i="3"/>
  <c r="B50" i="3"/>
  <c r="B18" i="3"/>
  <c r="B5" i="3"/>
  <c r="J8" i="5" a="1"/>
  <c r="J8" i="5" s="1"/>
  <c r="F3" i="3"/>
  <c r="L163" i="5" a="1"/>
  <c r="L163" i="5" s="1"/>
  <c r="L86" i="5" a="1"/>
  <c r="L86" i="5" s="1"/>
  <c r="E3" i="3"/>
  <c r="J7" i="5" a="1"/>
  <c r="J7" i="5" s="1"/>
  <c r="D53" i="3" l="1"/>
  <c r="D52" i="3"/>
  <c r="D24" i="3"/>
  <c r="D40" i="3"/>
  <c r="D42" i="3"/>
  <c r="D11" i="3"/>
  <c r="D34" i="3"/>
  <c r="D50" i="3"/>
  <c r="D20" i="3"/>
  <c r="D36" i="3"/>
  <c r="D15" i="3"/>
  <c r="D12" i="3"/>
  <c r="D18" i="3"/>
  <c r="D66" i="3"/>
  <c r="D25" i="3"/>
  <c r="D41" i="3"/>
  <c r="D6" i="3"/>
  <c r="D22" i="3"/>
  <c r="D54" i="3"/>
  <c r="D27" i="3"/>
  <c r="D10" i="3"/>
  <c r="D67" i="3"/>
  <c r="D31" i="3"/>
  <c r="D17" i="3"/>
  <c r="D35" i="3"/>
  <c r="D28" i="3"/>
  <c r="D33" i="3"/>
  <c r="D5" i="3"/>
  <c r="D51" i="3"/>
  <c r="D44" i="3"/>
  <c r="D49" i="3"/>
  <c r="D63" i="3"/>
  <c r="D47" i="3"/>
  <c r="D60" i="3"/>
  <c r="D65" i="3"/>
  <c r="D14" i="3"/>
  <c r="D32" i="3"/>
  <c r="D48" i="3"/>
  <c r="D46" i="3"/>
  <c r="D13" i="3"/>
  <c r="D64" i="3"/>
  <c r="D62" i="3"/>
  <c r="D29" i="3"/>
  <c r="D7" i="3"/>
  <c r="D59" i="3"/>
  <c r="D45" i="3"/>
  <c r="D23" i="3"/>
  <c r="D8" i="3"/>
  <c r="D61" i="3"/>
  <c r="D39" i="3"/>
  <c r="D9" i="3"/>
  <c r="D56" i="3"/>
  <c r="D55" i="3"/>
  <c r="D57" i="3"/>
  <c r="D16" i="3"/>
  <c r="D43" i="3"/>
  <c r="D38" i="3"/>
  <c r="D26" i="3"/>
  <c r="D21" i="3"/>
  <c r="D30" i="3"/>
  <c r="D19" i="3"/>
  <c r="D58" i="3"/>
  <c r="D37" i="3"/>
  <c r="D4" i="3"/>
  <c r="U86" i="5" a="1"/>
  <c r="U86" i="5" s="1"/>
  <c r="M86" i="5" a="1"/>
  <c r="M86" i="5" s="1"/>
  <c r="Q86" i="5" a="1"/>
  <c r="Q86" i="5" s="1"/>
  <c r="U163" i="5" a="1"/>
  <c r="U163" i="5" s="1"/>
  <c r="Q163" i="5" a="1"/>
  <c r="Q163" i="5" s="1"/>
  <c r="M163" i="5" a="1"/>
  <c r="M163" i="5" s="1"/>
  <c r="D8" i="5" s="1"/>
  <c r="I7" i="5" a="1"/>
  <c r="I7" i="5" s="1"/>
  <c r="L15" i="5" a="1"/>
  <c r="D3" i="3"/>
  <c r="L15" i="6" a="1"/>
  <c r="I7" i="6" a="1"/>
  <c r="I7" i="6" s="1"/>
  <c r="B3" i="3"/>
  <c r="Q86" i="6" a="1"/>
  <c r="Q86" i="6" s="1"/>
  <c r="U86" i="6" a="1"/>
  <c r="U86" i="6" s="1"/>
  <c r="M86" i="6" a="1"/>
  <c r="M86" i="6" s="1"/>
  <c r="L15" i="6" l="1"/>
  <c r="F7" i="6"/>
  <c r="F7" i="5"/>
  <c r="D7" i="5" s="1"/>
  <c r="L15" i="5"/>
  <c r="B22" i="1"/>
  <c r="C12" i="1" s="1"/>
  <c r="H8" i="5"/>
  <c r="E8" i="5"/>
  <c r="G7" i="5" l="1"/>
  <c r="D17" i="1" s="1"/>
  <c r="C17" i="1" s="1"/>
  <c r="D7" i="6"/>
  <c r="G7" i="6"/>
  <c r="Q15" i="5" a="1"/>
  <c r="Q15" i="5" s="1"/>
  <c r="M15" i="5" a="1"/>
  <c r="M15" i="5" s="1"/>
  <c r="C7" i="5" s="1"/>
  <c r="E7" i="5" s="1"/>
  <c r="U15" i="5" a="1"/>
  <c r="U15" i="5" s="1"/>
  <c r="U15" i="6" a="1"/>
  <c r="U15" i="6" s="1"/>
  <c r="Q15" i="6" a="1"/>
  <c r="Q15" i="6" s="1"/>
  <c r="M15" i="6" a="1"/>
  <c r="M15" i="6" s="1"/>
  <c r="C7" i="6" s="1"/>
  <c r="E7" i="6" s="1"/>
  <c r="H7" i="6" l="1"/>
  <c r="B17" i="1"/>
  <c r="H7" i="5"/>
  <c r="B18" i="1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<sst xmlns="http://schemas.openxmlformats.org/spreadsheetml/2006/main" count="287" uniqueCount="127">
  <si>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</si>
  <si>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</si>
  <si>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</si>
  <si>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</si>
  <si>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</si>
  <si>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</si>
  <si>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</si>
  <si>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</si>
  <si>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</si>
  <si>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</si>
  <si>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</si>
  <si>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</si>
  <si>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</si>
  <si>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</si>
  <si>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</si>
  <si>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</si>
  <si>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</si>
  <si>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</si>
  <si>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</si>
  <si>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</si>
  <si>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</si>
  <si>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</si>
  <si>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</si>
  <si>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</si>
  <si>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</si>
  <si>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</si>
  <si>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</si>
  <si>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</si>
  <si>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</si>
  <si>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</si>
  <si>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</si>
  <si>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</si>
  <si>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</si>
  <si>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</si>
  <si>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</si>
  <si>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</si>
  <si>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</si>
  <si>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</si>
  <si>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</si>
  <si>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</si>
  <si>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</si>
  <si>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</si>
  <si>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</si>
  <si>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</si>
  <si>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</si>
  <si>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</si>
  <si>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</si>
  <si>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</si>
  <si>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</si>
  <si>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</si>
  <si>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</si>
  <si>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</si>
  <si>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</si>
  <si>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</si>
  <si>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</si>
  <si>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</si>
  <si>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</si>
  <si>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</si>
  <si>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</si>
  <si>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</si>
  <si>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</si>
  <si>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</si>
  <si>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</si>
  <si>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</si>
  <si>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</si>
  <si>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</si>
  <si>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</si>
  <si>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</si>
  <si>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</si>
  <si>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</si>
  <si>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</si>
  <si>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</si>
  <si>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</si>
  <si>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</si>
  <si>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</si>
  <si>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</si>
  <si>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</si>
  <si>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</si>
  <si>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</si>
  <si>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</si>
  <si>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</si>
  <si>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</si>
  <si>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</si>
  <si>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</si>
  <si>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</si>
  <si>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</si>
  <si>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</si>
  <si>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</si>
  <si>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</si>
  <si>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</si>
  <si>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</si>
  <si>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</si>
  <si>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</si>
  <si>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</si>
  <si>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</si>
  <si>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</si>
  <si>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</si>
  <si>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</si>
  <si>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</si>
  <si>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</si>
  <si>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</si>
  <si>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</si>
  <si>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</si>
  <si>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</si>
  <si>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</si>
  <si>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</si>
  <si>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</si>
  <si>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</si>
  <si>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</si>
  <si>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</si>
  <si>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</si>
  <si>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</si>
  <si>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</si>
  <si>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</si>
  <si>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</si>
  <si>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</si>
  <si>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</si>
  <si>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</si>
  <si>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</si>
  <si>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</si>
  <si>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</si>
  <si>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</si>
  <si>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</si>
  <si>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</si>
  <si>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</si>
  <si>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</si>
  <si>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3.5.0.3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</si>
</sst>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0.9199999973330294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0.92499998930197624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1" t="str">
        <f>D11</f>
        <v>Normal Bet</v>
      </c>
      <c r="B17" s="19">
        <f>Detail!C7</f>
        <v>0.71999955330765253</v>
      </c>
      <c r="C17" s="103">
        <f>1/D17</f>
        <v>3.3333327253666674E-3</v>
      </c>
      <c r="D17" s="106">
        <f>Detail!G7</f>
        <v>300.0000547170099</v>
      </c>
      <c r="E17" s="16" t="s">
        <v>13</v>
      </c>
      <c r="H17" s="26"/>
      <c r="I17" s="30"/>
      <c r="J17" s="31"/>
    </row>
    <row r="18" spans="1:10" ht="15.6" customHeight="1" x14ac:dyDescent="0.3">
      <c r="A18" s="102"/>
      <c r="B18" s="19">
        <f>Detail!D7</f>
        <v>0.20000044402537689</v>
      </c>
      <c r="C18" s="104"/>
      <c r="D18" s="104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7" t="str">
        <f>D12</f>
        <v>Buy Feature</v>
      </c>
      <c r="B21" s="19">
        <f>Detail!C8</f>
        <v>0</v>
      </c>
      <c r="C21" s="103">
        <f>1/D21</f>
        <v>1</v>
      </c>
      <c r="D21" s="105">
        <v>1</v>
      </c>
      <c r="E21" s="16" t="s">
        <v>13</v>
      </c>
      <c r="H21" s="26"/>
      <c r="I21" s="30"/>
      <c r="J21" s="31"/>
    </row>
    <row r="22" spans="1:10" x14ac:dyDescent="0.3">
      <c r="A22" s="108"/>
      <c r="B22" s="19">
        <f>Detail!D8</f>
        <v>0.92499998930197624</v>
      </c>
      <c r="C22" s="104"/>
      <c r="D22" s="104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opLeftCell="A2"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725290353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154419248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45353384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20823040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12801058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8330031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6441913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3475080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3905192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3166363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2057514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6253639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2710826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1529839</v>
      </c>
      <c r="E16" s="10">
        <f>Detail!K99</f>
        <v>48224217</v>
      </c>
      <c r="F16" s="10">
        <f>Detail!K176</f>
        <v>33610331</v>
      </c>
    </row>
    <row r="17" spans="1:6" x14ac:dyDescent="0.3">
      <c r="A17" s="14" t="s">
        <v>30</v>
      </c>
      <c r="B17" s="100">
        <f>Detail_Newbie!K29</f>
        <v>2344760</v>
      </c>
      <c r="C17" s="10">
        <f>Detail_Newbie!K100</f>
        <v>0</v>
      </c>
      <c r="D17" s="10">
        <f>Detail!K29</f>
        <v>1232818</v>
      </c>
      <c r="E17" s="10">
        <f>Detail!K100</f>
        <v>194678480</v>
      </c>
      <c r="F17" s="10">
        <f>Detail!K177</f>
        <v>142436996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589469</v>
      </c>
      <c r="E18" s="10">
        <f>Detail!K101</f>
        <v>69802563</v>
      </c>
      <c r="F18" s="10">
        <f>Detail!K178</f>
        <v>53589296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407617</v>
      </c>
      <c r="E19" s="10">
        <f>Detail!K102</f>
        <v>117060313</v>
      </c>
      <c r="F19" s="10">
        <f>Detail!K179</f>
        <v>94339312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249167</v>
      </c>
      <c r="E20" s="10">
        <f>Detail!K103</f>
        <v>96941766</v>
      </c>
      <c r="F20" s="10">
        <f>Detail!K180</f>
        <v>82012184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208681</v>
      </c>
      <c r="E21" s="10">
        <f>Detail!K104</f>
        <v>79066418</v>
      </c>
      <c r="F21" s="10">
        <f>Detail!K181</f>
        <v>70193761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445875</v>
      </c>
      <c r="E22" s="10">
        <f>Detail!K105</f>
        <v>71132803</v>
      </c>
      <c r="F22" s="10">
        <f>Detail!K182</f>
        <v>67900273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308895</v>
      </c>
      <c r="E23" s="10">
        <f>Detail!K106</f>
        <v>88268735</v>
      </c>
      <c r="F23" s="10">
        <f>Detail!K183</f>
        <v>92792613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38309735</v>
      </c>
      <c r="F24" s="10">
        <f>Detail!K184</f>
        <v>44383010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66526944</v>
      </c>
      <c r="F25" s="10">
        <f>Detail!K185</f>
        <v>84913128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23109359</v>
      </c>
      <c r="F26" s="10">
        <f>Detail!K186</f>
        <v>32492349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46800712</v>
      </c>
      <c r="F27" s="10">
        <f>Detail!K187</f>
        <v>76030313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14109461</v>
      </c>
      <c r="F28" s="10">
        <f>Detail!K188</f>
        <v>27826704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18626787</v>
      </c>
      <c r="F29" s="10">
        <f>Detail!K189</f>
        <v>44570224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8022662</v>
      </c>
      <c r="F30" s="10">
        <f>Detail!K190</f>
        <v>23303895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7562176</v>
      </c>
      <c r="F31" s="10">
        <f>Detail!K191</f>
        <v>26658234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1593441</v>
      </c>
      <c r="F32" s="10">
        <f>Detail!K192</f>
        <v>399466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1301771</v>
      </c>
      <c r="F33" s="10">
        <f>Detail!K193</f>
        <v>326346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1100643</v>
      </c>
      <c r="F34" s="10">
        <f>Detail!K194</f>
        <v>275925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953150</v>
      </c>
      <c r="F35" s="10">
        <f>Detail!K195</f>
        <v>238950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840664</v>
      </c>
      <c r="F36" s="10">
        <f>Detail!K196</f>
        <v>210750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751759</v>
      </c>
      <c r="F37" s="10">
        <f>Detail!K197</f>
        <v>188462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680122</v>
      </c>
      <c r="F38" s="10">
        <f>Detail!K198</f>
        <v>170502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620706</v>
      </c>
      <c r="F39" s="10">
        <f>Detail!K199</f>
        <v>155607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571050</v>
      </c>
      <c r="F40" s="10">
        <f>Detail!K200</f>
        <v>143159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528566</v>
      </c>
      <c r="F41" s="10">
        <f>Detail!K201</f>
        <v>132508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492017</v>
      </c>
      <c r="F42" s="10">
        <f>Detail!K202</f>
        <v>123346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460281</v>
      </c>
      <c r="F43" s="10">
        <f>Detail!K203</f>
        <v>115390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432339</v>
      </c>
      <c r="F44" s="10">
        <f>Detail!K204</f>
        <v>108385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407619</v>
      </c>
      <c r="F45" s="10">
        <f>Detail!K205</f>
        <v>102187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385527</v>
      </c>
      <c r="F46" s="10">
        <f>Detail!K206</f>
        <v>96648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365770</v>
      </c>
      <c r="F47" s="10">
        <f>Detail!K207</f>
        <v>91697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271441</v>
      </c>
      <c r="F48" s="10">
        <f>Detail!K208</f>
        <v>68049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I1" workbookViewId="0">
      <selection activeCell="L7" sqref="L7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0.71999955330765253</v>
      </c>
      <c r="D7" s="40">
        <f>SUM(_xlfn.ANCHORARRAY(M86))*F7</f>
        <v>0.20000044402537689</v>
      </c>
      <c r="E7" s="41">
        <f>SUM(C7:D7)</f>
        <v>0.9199999973330294</v>
      </c>
      <c r="F7" s="42">
        <f>L79</f>
        <v>3.3333327253666674E-3</v>
      </c>
      <c r="G7" s="43">
        <f>1/F7</f>
        <v>300.0000547170099</v>
      </c>
      <c r="H7" s="44">
        <f>D7*G7</f>
        <v>60.000144151039343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0.92499998930197624</v>
      </c>
      <c r="E8" s="41">
        <f>SUM(C8:D8)</f>
        <v>0.92499998930197624</v>
      </c>
      <c r="F8" s="45">
        <f>D156</f>
        <v>1</v>
      </c>
      <c r="G8" s="43">
        <f>1/F8</f>
        <v>1</v>
      </c>
      <c r="H8" s="44">
        <f>D8*G8*B8</f>
        <v>69.374999197648222</v>
      </c>
      <c r="I8" s="61"/>
      <c r="J8" s="61" cm="1">
        <f t="array" ref="J8">LOOKUP(2,1/(_xlfn.ANCHORARRAY(K163)&lt;&gt;0),P15:P78)</f>
        <v>2000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0.7252903534922297</v>
      </c>
      <c r="K15" s="71" cm="1">
        <f t="array" ref="K15:K79">ROUND(J15:J79*$B$2,0)</f>
        <v>725290353</v>
      </c>
      <c r="L15" s="36" cm="1">
        <f t="array" ref="L15:L79">_xlfn.LET(_xlpm.x, K15:K79, _xlpm.x/SUM(_xlpm.x))</f>
        <v>0.72287271748520687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0.72287271748520687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0.15441924788466591</v>
      </c>
      <c r="K16" s="71">
        <v>154419248</v>
      </c>
      <c r="L16" s="36">
        <v>0.15390451695940605</v>
      </c>
      <c r="M16" s="36">
        <v>6.6755351981445832E-2</v>
      </c>
      <c r="N16" s="73"/>
      <c r="O16" s="59">
        <v>0</v>
      </c>
      <c r="P16" s="59">
        <v>1</v>
      </c>
      <c r="Q16" s="36">
        <v>0.15390451695940605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4.53533839039061E-2</v>
      </c>
      <c r="K17" s="71">
        <v>45353384</v>
      </c>
      <c r="L17" s="36">
        <v>4.5202205990502266E-2</v>
      </c>
      <c r="M17" s="36">
        <v>6.8051783334864543E-2</v>
      </c>
      <c r="N17" s="73"/>
      <c r="O17" s="59">
        <v>1</v>
      </c>
      <c r="P17" s="59">
        <v>2</v>
      </c>
      <c r="Q17" s="36">
        <v>4.5202205990502266E-2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2.082303951155411E-2</v>
      </c>
      <c r="K18" s="71">
        <v>20823040</v>
      </c>
      <c r="L18" s="36">
        <v>2.0753629837819122E-2</v>
      </c>
      <c r="M18" s="36">
        <v>5.2539505568162129E-2</v>
      </c>
      <c r="N18" s="73"/>
      <c r="O18" s="59">
        <v>2</v>
      </c>
      <c r="P18" s="59">
        <v>3</v>
      </c>
      <c r="Q18" s="36">
        <v>2.0753629837819122E-2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1.2801058191016531E-2</v>
      </c>
      <c r="K19" s="71">
        <v>12801058</v>
      </c>
      <c r="L19" s="36">
        <v>1.2758387788932507E-2</v>
      </c>
      <c r="M19" s="36">
        <v>4.5015506220798619E-2</v>
      </c>
      <c r="N19" s="73"/>
      <c r="O19" s="59">
        <v>3</v>
      </c>
      <c r="P19" s="59">
        <v>4</v>
      </c>
      <c r="Q19" s="36">
        <v>1.2758387788932507E-2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8.3300313597182828E-3</v>
      </c>
      <c r="K20" s="71">
        <v>8330031</v>
      </c>
      <c r="L20" s="36">
        <v>8.3022642184598528E-3</v>
      </c>
      <c r="M20" s="36">
        <v>3.7630392913459453E-2</v>
      </c>
      <c r="N20" s="73"/>
      <c r="O20" s="59">
        <v>4</v>
      </c>
      <c r="P20" s="59">
        <v>5</v>
      </c>
      <c r="Q20" s="36">
        <v>8.3022642184598528E-3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6.4419133169488999E-3</v>
      </c>
      <c r="K21" s="71">
        <v>6441913</v>
      </c>
      <c r="L21" s="36">
        <v>6.4204399477422553E-3</v>
      </c>
      <c r="M21" s="36">
        <v>3.5648738727371752E-2</v>
      </c>
      <c r="N21" s="73"/>
      <c r="O21" s="59">
        <v>5</v>
      </c>
      <c r="P21" s="59">
        <v>6</v>
      </c>
      <c r="Q21" s="36">
        <v>6.4204399477422553E-3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3.4750796668046565E-3</v>
      </c>
      <c r="K22" s="71">
        <v>3475080</v>
      </c>
      <c r="L22" s="36">
        <v>3.46349639518574E-3</v>
      </c>
      <c r="M22" s="36">
        <v>2.2597844557806453E-2</v>
      </c>
      <c r="N22" s="73"/>
      <c r="O22" s="59">
        <v>6</v>
      </c>
      <c r="P22" s="59">
        <v>7</v>
      </c>
      <c r="Q22" s="36">
        <v>3.46349639518574E-3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3.9051919854010157E-3</v>
      </c>
      <c r="K23" s="71">
        <v>3905192</v>
      </c>
      <c r="L23" s="36">
        <v>3.8921746879232106E-3</v>
      </c>
      <c r="M23" s="36">
        <v>2.9317499853044611E-2</v>
      </c>
      <c r="N23" s="73"/>
      <c r="O23" s="59">
        <v>7</v>
      </c>
      <c r="P23" s="59">
        <v>8</v>
      </c>
      <c r="Q23" s="36">
        <v>3.8921746879232106E-3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3.166362664346065E-3</v>
      </c>
      <c r="K24" s="71">
        <v>3166363</v>
      </c>
      <c r="L24" s="36">
        <v>3.1558084522800931E-3</v>
      </c>
      <c r="M24" s="36">
        <v>2.6989589749852907E-2</v>
      </c>
      <c r="N24" s="73"/>
      <c r="O24" s="59">
        <v>8</v>
      </c>
      <c r="P24" s="59">
        <v>9</v>
      </c>
      <c r="Q24" s="36">
        <v>3.1558084522800931E-3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2.0575137160722895E-3</v>
      </c>
      <c r="K25" s="71">
        <v>2057514</v>
      </c>
      <c r="L25" s="36">
        <v>2.0506556171495886E-3</v>
      </c>
      <c r="M25" s="36">
        <v>1.9558877471114629E-2</v>
      </c>
      <c r="N25" s="73"/>
      <c r="O25" s="59">
        <v>9</v>
      </c>
      <c r="P25" s="59">
        <v>10</v>
      </c>
      <c r="Q25" s="36">
        <v>2.0506556171495886E-3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6.253638683096082E-3</v>
      </c>
      <c r="K26" s="71">
        <v>6253639</v>
      </c>
      <c r="L26" s="36">
        <v>6.2327935280030835E-3</v>
      </c>
      <c r="M26" s="36">
        <v>7.6540162151295027E-2</v>
      </c>
      <c r="N26" s="73"/>
      <c r="O26" s="59">
        <v>10</v>
      </c>
      <c r="P26" s="59">
        <v>15</v>
      </c>
      <c r="Q26" s="36">
        <v>6.2327935280030835E-3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2.7108257455938692E-3</v>
      </c>
      <c r="K27" s="71">
        <v>2710826</v>
      </c>
      <c r="L27" s="36">
        <v>2.7017899095778453E-3</v>
      </c>
      <c r="M27" s="36">
        <v>4.6840386266235712E-2</v>
      </c>
      <c r="N27" s="73"/>
      <c r="O27" s="59">
        <v>15</v>
      </c>
      <c r="P27" s="59">
        <v>20</v>
      </c>
      <c r="Q27" s="36">
        <v>2.7017899095778453E-3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1.5298387691425465E-3</v>
      </c>
      <c r="K28" s="71">
        <v>1529839</v>
      </c>
      <c r="L28" s="36">
        <v>1.5247395345472786E-3</v>
      </c>
      <c r="M28" s="36">
        <v>3.4105815507151811E-2</v>
      </c>
      <c r="N28" s="73"/>
      <c r="O28" s="59">
        <v>20</v>
      </c>
      <c r="P28" s="59">
        <v>25</v>
      </c>
      <c r="Q28" s="36">
        <v>1.5247395345472786E-3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1.2328181226983828E-3</v>
      </c>
      <c r="K29" s="71">
        <v>1232818</v>
      </c>
      <c r="L29" s="36">
        <v>1.2287086049587617E-3</v>
      </c>
      <c r="M29" s="36">
        <v>3.3661906936654648E-2</v>
      </c>
      <c r="N29" s="73"/>
      <c r="O29" s="59">
        <v>25</v>
      </c>
      <c r="P29" s="59">
        <v>30</v>
      </c>
      <c r="Q29" s="36">
        <v>1.2287086049587617E-3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5.8946854465767107E-4</v>
      </c>
      <c r="K30" s="71">
        <v>589469</v>
      </c>
      <c r="L30" s="36">
        <v>5.8750410251670268E-4</v>
      </c>
      <c r="M30" s="36">
        <v>1.9034155949227114E-2</v>
      </c>
      <c r="N30" s="73"/>
      <c r="O30" s="59">
        <v>30</v>
      </c>
      <c r="P30" s="59">
        <v>35</v>
      </c>
      <c r="Q30" s="36">
        <v>5.8750410251670268E-4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4.0761655718261474E-4</v>
      </c>
      <c r="K31" s="71">
        <v>407617</v>
      </c>
      <c r="L31" s="36">
        <v>4.0625827610196768E-4</v>
      </c>
      <c r="M31" s="36">
        <v>1.5209630467847299E-2</v>
      </c>
      <c r="N31" s="73"/>
      <c r="O31" s="59">
        <v>35</v>
      </c>
      <c r="P31" s="59">
        <v>40</v>
      </c>
      <c r="Q31" s="36">
        <v>4.0625827610196768E-4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2.4916728118585526E-4</v>
      </c>
      <c r="K32" s="71">
        <v>249167</v>
      </c>
      <c r="L32" s="36">
        <v>2.4833644298814567E-4</v>
      </c>
      <c r="M32" s="36">
        <v>1.0538722033603535E-2</v>
      </c>
      <c r="N32" s="73"/>
      <c r="O32" s="59">
        <v>40</v>
      </c>
      <c r="P32" s="59">
        <v>45</v>
      </c>
      <c r="Q32" s="36">
        <v>2.4833644298814567E-4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2.0868051033280462E-4</v>
      </c>
      <c r="K33" s="71">
        <v>208681</v>
      </c>
      <c r="L33" s="36">
        <v>2.0798539637756697E-4</v>
      </c>
      <c r="M33" s="36">
        <v>9.8710634147800447E-3</v>
      </c>
      <c r="N33" s="73"/>
      <c r="O33" s="59">
        <v>45</v>
      </c>
      <c r="P33" s="59">
        <v>50</v>
      </c>
      <c r="Q33" s="36">
        <v>2.0798539637756697E-4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4.4587545069958549E-4</v>
      </c>
      <c r="K34" s="71">
        <v>445875</v>
      </c>
      <c r="L34" s="36">
        <v>4.4438874938229964E-4</v>
      </c>
      <c r="M34" s="36">
        <v>2.4308833742704917E-2</v>
      </c>
      <c r="N34" s="73"/>
      <c r="O34" s="59">
        <v>50</v>
      </c>
      <c r="P34" s="59">
        <v>60</v>
      </c>
      <c r="Q34" s="36">
        <v>4.4438874938229964E-4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0.27691297163221401</v>
      </c>
      <c r="I35" s="36">
        <v>3.0891165006917453E-4</v>
      </c>
      <c r="J35" s="36">
        <v>3.0889464274713073E-4</v>
      </c>
      <c r="K35" s="71">
        <v>308895</v>
      </c>
      <c r="L35" s="36">
        <v>3.0786534957206714E-4</v>
      </c>
      <c r="M35" s="36">
        <v>1.991412451193339E-2</v>
      </c>
      <c r="N35" s="73"/>
      <c r="O35" s="59">
        <v>60</v>
      </c>
      <c r="P35" s="59">
        <v>70</v>
      </c>
      <c r="Q35" s="36">
        <v>3.0786534957206714E-4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7.7609000000000004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3.3333327253666674E-3</v>
      </c>
      <c r="M79" s="36">
        <v>2.5869661948298171E-2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2.0193877576042856</v>
      </c>
      <c r="I99" s="36">
        <v>4.8225610999999877E-2</v>
      </c>
      <c r="J99" s="36">
        <v>4.8224217460174454E-2</v>
      </c>
      <c r="K99" s="71">
        <v>48224217</v>
      </c>
      <c r="L99" s="36">
        <v>4.8224217144672649E-2</v>
      </c>
      <c r="M99" s="36">
        <v>1.0883038622177963</v>
      </c>
      <c r="N99" s="73"/>
      <c r="O99" s="59">
        <v>20</v>
      </c>
      <c r="P99" s="59">
        <v>25</v>
      </c>
      <c r="Q99" s="36">
        <v>4.8224217144672649E-2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7.8869983451850061</v>
      </c>
      <c r="I100" s="36">
        <v>0.19468410599999997</v>
      </c>
      <c r="J100" s="36">
        <v>0.19467848035732874</v>
      </c>
      <c r="K100" s="71">
        <v>194678480</v>
      </c>
      <c r="L100" s="36">
        <v>0.19467848058403545</v>
      </c>
      <c r="M100" s="36">
        <v>5.3668860802253207</v>
      </c>
      <c r="N100" s="73"/>
      <c r="O100" s="59">
        <v>25</v>
      </c>
      <c r="P100" s="59">
        <v>30</v>
      </c>
      <c r="Q100" s="36">
        <v>0.19467848058403545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2.8456345564018024</v>
      </c>
      <c r="I101" s="36">
        <v>6.9804580000000033E-2</v>
      </c>
      <c r="J101" s="36">
        <v>6.9802562908661839E-2</v>
      </c>
      <c r="K101" s="71">
        <v>69802563</v>
      </c>
      <c r="L101" s="36">
        <v>6.9802563209407684E-2</v>
      </c>
      <c r="M101" s="36">
        <v>2.2726018306351725</v>
      </c>
      <c r="N101" s="73"/>
      <c r="O101" s="59">
        <v>30</v>
      </c>
      <c r="P101" s="59">
        <v>35</v>
      </c>
      <c r="Q101" s="36">
        <v>6.9802563209407684E-2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4.7418539232755839</v>
      </c>
      <c r="I102" s="36">
        <v>0.11706369600000009</v>
      </c>
      <c r="J102" s="36">
        <v>0.11706031329692791</v>
      </c>
      <c r="K102" s="71">
        <v>117060313</v>
      </c>
      <c r="L102" s="36">
        <v>0.11706031335118094</v>
      </c>
      <c r="M102" s="36">
        <v>4.3960149513960332</v>
      </c>
      <c r="N102" s="73"/>
      <c r="O102" s="59">
        <v>35</v>
      </c>
      <c r="P102" s="59">
        <v>40</v>
      </c>
      <c r="Q102" s="36">
        <v>0.11706031335118094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3.9848657880868785</v>
      </c>
      <c r="I103" s="36">
        <v>9.6944567000000065E-2</v>
      </c>
      <c r="J103" s="36">
        <v>9.6941765664523505E-2</v>
      </c>
      <c r="K103" s="71">
        <v>96941766</v>
      </c>
      <c r="L103" s="36">
        <v>9.6941766290825293E-2</v>
      </c>
      <c r="M103" s="36">
        <v>4.1249909752827785</v>
      </c>
      <c r="N103" s="73"/>
      <c r="O103" s="59">
        <v>40</v>
      </c>
      <c r="P103" s="59">
        <v>45</v>
      </c>
      <c r="Q103" s="36">
        <v>9.6941766290825293E-2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3.2923837158644695</v>
      </c>
      <c r="I104" s="36">
        <v>7.9068702999999962E-2</v>
      </c>
      <c r="J104" s="36">
        <v>7.9066418210148884E-2</v>
      </c>
      <c r="K104" s="71">
        <v>79066418</v>
      </c>
      <c r="L104" s="36">
        <v>7.906641823719926E-2</v>
      </c>
      <c r="M104" s="36">
        <v>3.7592476608735246</v>
      </c>
      <c r="N104" s="73"/>
      <c r="O104" s="59">
        <v>45</v>
      </c>
      <c r="P104" s="59">
        <v>50</v>
      </c>
      <c r="Q104" s="36">
        <v>7.906641823719926E-2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1.5378315575755237</v>
      </c>
      <c r="I105" s="36">
        <v>7.1134858999999981E-2</v>
      </c>
      <c r="J105" s="36">
        <v>7.1132803468573078E-2</v>
      </c>
      <c r="K105" s="71">
        <v>71132803</v>
      </c>
      <c r="L105" s="36">
        <v>7.1132803213398405E-2</v>
      </c>
      <c r="M105" s="36">
        <v>3.9132376750054352</v>
      </c>
      <c r="N105" s="73"/>
      <c r="O105" s="59">
        <v>50</v>
      </c>
      <c r="P105" s="59">
        <v>60</v>
      </c>
      <c r="Q105" s="36">
        <v>7.1132803213398405E-2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2.0136665012682169</v>
      </c>
      <c r="I106" s="36">
        <v>8.8271286095667631E-2</v>
      </c>
      <c r="J106" s="36">
        <v>8.8268735385576766E-2</v>
      </c>
      <c r="K106" s="71">
        <v>88268735</v>
      </c>
      <c r="L106" s="36">
        <v>8.8268735264806206E-2</v>
      </c>
      <c r="M106" s="36">
        <v>5.7380853150872131</v>
      </c>
      <c r="N106" s="73"/>
      <c r="O106" s="59">
        <v>60</v>
      </c>
      <c r="P106" s="59">
        <v>70</v>
      </c>
      <c r="Q106" s="36">
        <v>8.8268735264806206E-2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0.92070692879938887</v>
      </c>
      <c r="I107" s="36">
        <v>3.8310842000000012E-2</v>
      </c>
      <c r="J107" s="36">
        <v>3.8309734959923888E-2</v>
      </c>
      <c r="K107" s="71">
        <v>38309735</v>
      </c>
      <c r="L107" s="36">
        <v>3.8309735114929203E-2</v>
      </c>
      <c r="M107" s="36">
        <v>2.8731695032929254</v>
      </c>
      <c r="N107" s="73"/>
      <c r="O107" s="59">
        <v>70</v>
      </c>
      <c r="P107" s="59">
        <v>80</v>
      </c>
      <c r="Q107" s="36">
        <v>3.8309735114929203E-2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1.7101063187903522</v>
      </c>
      <c r="I108" s="36">
        <v>6.6528866000000117E-2</v>
      </c>
      <c r="J108" s="36">
        <v>6.6526943564547483E-2</v>
      </c>
      <c r="K108" s="71">
        <v>66526944</v>
      </c>
      <c r="L108" s="36">
        <v>6.6526944199580829E-2</v>
      </c>
      <c r="M108" s="36">
        <v>5.6539426230620276</v>
      </c>
      <c r="N108" s="73"/>
      <c r="O108" s="59">
        <v>80</v>
      </c>
      <c r="P108" s="59">
        <v>90</v>
      </c>
      <c r="Q108" s="36">
        <v>6.6526944199580829E-2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0.63746186489604773</v>
      </c>
      <c r="I109" s="79">
        <v>2.3110026999999984E-2</v>
      </c>
      <c r="J109" s="79">
        <v>2.3109359206636183E-2</v>
      </c>
      <c r="K109" s="71">
        <v>23109359</v>
      </c>
      <c r="L109" s="79">
        <v>2.3109359069328077E-2</v>
      </c>
      <c r="M109" s="79">
        <v>2.195407850504707</v>
      </c>
      <c r="N109" s="73"/>
      <c r="O109" s="59">
        <v>90</v>
      </c>
      <c r="P109" s="59">
        <v>100</v>
      </c>
      <c r="Q109" s="36">
        <v>2.3109359069328077E-2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0.71693039179269424</v>
      </c>
      <c r="I110" s="79">
        <v>4.6802064000000025E-2</v>
      </c>
      <c r="J110" s="79">
        <v>4.6800711595359763E-2</v>
      </c>
      <c r="K110" s="71">
        <v>46800712</v>
      </c>
      <c r="L110" s="79">
        <v>4.6800712140402136E-2</v>
      </c>
      <c r="M110" s="79">
        <v>5.1402712156646961</v>
      </c>
      <c r="N110" s="73"/>
      <c r="O110" s="59">
        <v>100</v>
      </c>
      <c r="P110" s="59">
        <v>120</v>
      </c>
      <c r="Q110" s="36">
        <v>4.6800712140402136E-2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0.24943899771289746</v>
      </c>
      <c r="I111" s="79">
        <v>1.4109869000000011E-2</v>
      </c>
      <c r="J111" s="79">
        <v>1.410946127754766E-2</v>
      </c>
      <c r="K111" s="71">
        <v>14109461</v>
      </c>
      <c r="L111" s="79">
        <v>1.4109461042328382E-2</v>
      </c>
      <c r="M111" s="79">
        <v>1.8315913212410049</v>
      </c>
      <c r="N111" s="73"/>
      <c r="O111" s="59">
        <v>120</v>
      </c>
      <c r="P111" s="59">
        <v>140</v>
      </c>
      <c r="Q111" s="36">
        <v>1.4109461042328382E-2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0.37941629905998331</v>
      </c>
      <c r="I112" s="79">
        <v>1.8627325000000017E-2</v>
      </c>
      <c r="J112" s="79">
        <v>1.8626786739961619E-2</v>
      </c>
      <c r="K112" s="71">
        <v>18626787</v>
      </c>
      <c r="L112" s="79">
        <v>1.8626787055880362E-2</v>
      </c>
      <c r="M112" s="79">
        <v>2.7903682234720519</v>
      </c>
      <c r="N112" s="73"/>
      <c r="O112" s="59">
        <v>140</v>
      </c>
      <c r="P112" s="59">
        <v>160</v>
      </c>
      <c r="Q112" s="36">
        <v>1.8626787055880362E-2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0.18798879050058934</v>
      </c>
      <c r="I113" s="79">
        <v>8.0228939999999992E-3</v>
      </c>
      <c r="J113" s="79">
        <v>8.0226621683638141E-3</v>
      </c>
      <c r="K113" s="71">
        <v>8022662</v>
      </c>
      <c r="L113" s="79">
        <v>8.0226620240679853E-3</v>
      </c>
      <c r="M113" s="79">
        <v>1.3623132360461312</v>
      </c>
      <c r="N113" s="73"/>
      <c r="O113" s="59">
        <v>160</v>
      </c>
      <c r="P113" s="59">
        <v>180</v>
      </c>
      <c r="Q113" s="36">
        <v>8.0226620240679853E-3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0.20483500222354939</v>
      </c>
      <c r="I114" s="79">
        <v>7.5623950000000117E-3</v>
      </c>
      <c r="J114" s="79">
        <v>7.5621764750629598E-3</v>
      </c>
      <c r="K114" s="71">
        <v>7562176</v>
      </c>
      <c r="L114" s="79">
        <v>7.5621760226865283E-3</v>
      </c>
      <c r="M114" s="79">
        <v>1.4353535401137787</v>
      </c>
      <c r="N114" s="73"/>
      <c r="O114" s="59">
        <v>180</v>
      </c>
      <c r="P114" s="59">
        <v>200</v>
      </c>
      <c r="Q114" s="36">
        <v>7.5621760226865283E-3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2.1717239951083253E-2</v>
      </c>
      <c r="I115" s="79">
        <v>1.5934870000000026E-3</v>
      </c>
      <c r="J115" s="79">
        <v>1.5934409541843095E-3</v>
      </c>
      <c r="K115" s="71">
        <v>1593441</v>
      </c>
      <c r="L115" s="79">
        <v>1.593441004780323E-3</v>
      </c>
      <c r="M115" s="79">
        <v>0.35637401597805152</v>
      </c>
      <c r="N115" s="73"/>
      <c r="O115" s="59">
        <v>200</v>
      </c>
      <c r="P115" s="59">
        <v>250</v>
      </c>
      <c r="Q115" s="36">
        <v>1.593441004780323E-3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2.4576993300295707E-2</v>
      </c>
      <c r="I116" s="79">
        <v>1.3018089999999999E-3</v>
      </c>
      <c r="J116" s="79">
        <v>1.3017713825878203E-3</v>
      </c>
      <c r="K116" s="71">
        <v>1301771</v>
      </c>
      <c r="L116" s="79">
        <v>1.3017710039053131E-3</v>
      </c>
      <c r="M116" s="79">
        <v>0.35637404375519582</v>
      </c>
      <c r="N116" s="73"/>
      <c r="O116" s="59">
        <v>250</v>
      </c>
      <c r="P116" s="59">
        <v>300</v>
      </c>
      <c r="Q116" s="36">
        <v>1.3017710039053131E-3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2.8103212472131312E-2</v>
      </c>
      <c r="I117" s="79">
        <v>1.1006750000000004E-3</v>
      </c>
      <c r="J117" s="79">
        <v>1.1006431946083103E-3</v>
      </c>
      <c r="K117" s="71">
        <v>1100643</v>
      </c>
      <c r="L117" s="79">
        <v>1.1006430033019289E-3</v>
      </c>
      <c r="M117" s="79">
        <v>0.35637386775195645</v>
      </c>
      <c r="N117" s="73"/>
      <c r="O117" s="59">
        <v>300</v>
      </c>
      <c r="P117" s="59">
        <v>350</v>
      </c>
      <c r="Q117" s="36">
        <v>1.1006430033019289E-3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3.2466955737088021E-2</v>
      </c>
      <c r="I118" s="79">
        <v>9.5317799999999886E-4</v>
      </c>
      <c r="J118" s="79">
        <v>9.5315045672006579E-4</v>
      </c>
      <c r="K118" s="71">
        <v>953150</v>
      </c>
      <c r="L118" s="79">
        <v>9.5315000285945003E-4</v>
      </c>
      <c r="M118" s="79">
        <v>0.35637402778845473</v>
      </c>
      <c r="N118" s="73"/>
      <c r="O118" s="59">
        <v>350</v>
      </c>
      <c r="P118" s="59">
        <v>400</v>
      </c>
      <c r="Q118" s="36">
        <v>9.5315000285945003E-4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3.7713061460424913E-2</v>
      </c>
      <c r="I119" s="79">
        <v>8.4068799999999981E-4</v>
      </c>
      <c r="J119" s="79">
        <v>8.4066370726042716E-4</v>
      </c>
      <c r="K119" s="71">
        <v>840664</v>
      </c>
      <c r="L119" s="79">
        <v>8.4066400252199203E-4</v>
      </c>
      <c r="M119" s="79">
        <v>0.35637384314243514</v>
      </c>
      <c r="N119" s="73"/>
      <c r="O119" s="59">
        <v>400</v>
      </c>
      <c r="P119" s="59">
        <v>450</v>
      </c>
      <c r="Q119" s="36">
        <v>8.4066400252199203E-4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4.330549560820101E-2</v>
      </c>
      <c r="I120" s="79">
        <v>7.5178100000000019E-4</v>
      </c>
      <c r="J120" s="79">
        <v>7.517592763402731E-4</v>
      </c>
      <c r="K120" s="71">
        <v>751759</v>
      </c>
      <c r="L120" s="79">
        <v>7.5175900225527698E-4</v>
      </c>
      <c r="M120" s="79">
        <v>0.35637440542547771</v>
      </c>
      <c r="N120" s="73"/>
      <c r="O120" s="59">
        <v>450</v>
      </c>
      <c r="P120" s="59">
        <v>500</v>
      </c>
      <c r="Q120" s="36">
        <v>7.5175900225527698E-4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4.9654318581161497E-2</v>
      </c>
      <c r="I121" s="79">
        <v>6.8014200000000066E-4</v>
      </c>
      <c r="J121" s="79">
        <v>6.8012234643949018E-4</v>
      </c>
      <c r="K121" s="71">
        <v>680122</v>
      </c>
      <c r="L121" s="79">
        <v>6.8012200204036605E-4</v>
      </c>
      <c r="M121" s="79">
        <v>0.35637417386056403</v>
      </c>
      <c r="N121" s="73"/>
      <c r="O121" s="59">
        <v>500</v>
      </c>
      <c r="P121" s="59">
        <v>550</v>
      </c>
      <c r="Q121" s="36">
        <v>6.8012200204036605E-4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5.7006750876875192E-2</v>
      </c>
      <c r="I122" s="36">
        <v>6.2072399999999969E-4</v>
      </c>
      <c r="J122" s="36">
        <v>6.2070606339750443E-4</v>
      </c>
      <c r="K122" s="71">
        <v>620706</v>
      </c>
      <c r="L122" s="36">
        <v>6.2070600186211805E-4</v>
      </c>
      <c r="M122" s="36">
        <v>0.35637326538525166</v>
      </c>
      <c r="N122" s="73"/>
      <c r="O122" s="59">
        <v>550</v>
      </c>
      <c r="P122" s="59">
        <v>600</v>
      </c>
      <c r="Q122" s="36">
        <v>6.2070600186211805E-4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6.5430985002783687E-2</v>
      </c>
      <c r="I123" s="36">
        <v>5.7106700000000041E-4</v>
      </c>
      <c r="J123" s="36">
        <v>5.710504982991202E-4</v>
      </c>
      <c r="K123" s="71">
        <v>571050</v>
      </c>
      <c r="L123" s="36">
        <v>5.7105000171315005E-4</v>
      </c>
      <c r="M123" s="36">
        <v>0.35637385127335108</v>
      </c>
      <c r="N123" s="73"/>
      <c r="O123" s="59">
        <v>600</v>
      </c>
      <c r="P123" s="59">
        <v>650</v>
      </c>
      <c r="Q123" s="36">
        <v>5.7105000171315005E-4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7.47126100396929E-2</v>
      </c>
      <c r="I124" s="36">
        <v>5.2858099999999954E-4</v>
      </c>
      <c r="J124" s="36">
        <v>5.2856572598564936E-4</v>
      </c>
      <c r="K124" s="71">
        <v>528566</v>
      </c>
      <c r="L124" s="36">
        <v>5.28566001585698E-4</v>
      </c>
      <c r="M124" s="36">
        <v>0.35637355352590278</v>
      </c>
      <c r="N124" s="73"/>
      <c r="O124" s="59">
        <v>650</v>
      </c>
      <c r="P124" s="59">
        <v>700</v>
      </c>
      <c r="Q124" s="36">
        <v>5.28566001585698E-4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8.4207207767084097E-2</v>
      </c>
      <c r="I125" s="36">
        <v>4.9203100000000009E-4</v>
      </c>
      <c r="J125" s="36">
        <v>4.9201678214397661E-4</v>
      </c>
      <c r="K125" s="71">
        <v>492017</v>
      </c>
      <c r="L125" s="36">
        <v>4.9201700147605103E-4</v>
      </c>
      <c r="M125" s="36">
        <v>0.35637447624098423</v>
      </c>
      <c r="N125" s="73"/>
      <c r="O125" s="59">
        <v>700</v>
      </c>
      <c r="P125" s="59">
        <v>750</v>
      </c>
      <c r="Q125" s="36">
        <v>4.9201700147605103E-4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9.5130168373157645E-2</v>
      </c>
      <c r="I126" s="36">
        <v>4.6029399999999976E-4</v>
      </c>
      <c r="J126" s="36">
        <v>4.6028069922460051E-4</v>
      </c>
      <c r="K126" s="71">
        <v>460281</v>
      </c>
      <c r="L126" s="36">
        <v>4.6028100138084302E-4</v>
      </c>
      <c r="M126" s="36">
        <v>0.35637439586632613</v>
      </c>
      <c r="N126" s="73"/>
      <c r="O126" s="59">
        <v>750</v>
      </c>
      <c r="P126" s="59">
        <v>800</v>
      </c>
      <c r="Q126" s="36">
        <v>4.6028100138084302E-4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0.10693493116415116</v>
      </c>
      <c r="I127" s="36">
        <v>4.3235100000000004E-4</v>
      </c>
      <c r="J127" s="36">
        <v>4.323385066728121E-4</v>
      </c>
      <c r="K127" s="71">
        <v>432339</v>
      </c>
      <c r="L127" s="36">
        <v>4.3233900129701703E-4</v>
      </c>
      <c r="M127" s="36">
        <v>0.35637467619412144</v>
      </c>
      <c r="N127" s="73"/>
      <c r="O127" s="59">
        <v>800</v>
      </c>
      <c r="P127" s="59">
        <v>850</v>
      </c>
      <c r="Q127" s="36">
        <v>4.3233900129701703E-4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0.12073322796888872</v>
      </c>
      <c r="I128" s="36">
        <v>4.0763099999999945E-4</v>
      </c>
      <c r="J128" s="36">
        <v>4.0761922098837475E-4</v>
      </c>
      <c r="K128" s="72">
        <v>407619</v>
      </c>
      <c r="L128" s="36">
        <v>4.0761900122285701E-4</v>
      </c>
      <c r="M128" s="36">
        <v>0.35637353981260639</v>
      </c>
      <c r="N128" s="73"/>
      <c r="O128" s="59">
        <v>850</v>
      </c>
      <c r="P128" s="59">
        <v>900</v>
      </c>
      <c r="Q128" s="36">
        <v>4.0761900122285701E-4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0.13416873877107494</v>
      </c>
      <c r="I129" s="36">
        <v>3.8553800000000054E-4</v>
      </c>
      <c r="J129" s="36">
        <v>3.8552685939346234E-4</v>
      </c>
      <c r="K129" s="72">
        <v>385527</v>
      </c>
      <c r="L129" s="36">
        <v>3.85527001156581E-4</v>
      </c>
      <c r="M129" s="36">
        <v>0.35637477308622784</v>
      </c>
      <c r="N129" s="73"/>
      <c r="O129" s="59">
        <v>900</v>
      </c>
      <c r="P129" s="59">
        <v>950</v>
      </c>
      <c r="Q129" s="36">
        <v>3.85527001156581E-4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0.15054907817275409</v>
      </c>
      <c r="I130" s="36">
        <v>3.6578099999999889E-4</v>
      </c>
      <c r="J130" s="36">
        <v>3.6577043029688234E-4</v>
      </c>
      <c r="K130" s="72">
        <v>365770</v>
      </c>
      <c r="L130" s="36">
        <v>3.6577000109730998E-4</v>
      </c>
      <c r="M130" s="36">
        <v>0.3563744173158146</v>
      </c>
      <c r="N130" s="73"/>
      <c r="O130" s="59">
        <v>950</v>
      </c>
      <c r="P130" s="59">
        <v>1000</v>
      </c>
      <c r="Q130" s="36">
        <v>3.6577000109730998E-4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1.7362897385026714E-2</v>
      </c>
      <c r="I131" s="36">
        <v>2.7144899999999962E-4</v>
      </c>
      <c r="J131" s="36">
        <v>2.7144115613894263E-4</v>
      </c>
      <c r="K131" s="72">
        <v>271441</v>
      </c>
      <c r="L131" s="36">
        <v>2.7144100081432298E-4</v>
      </c>
      <c r="M131" s="36">
        <v>0.35637296051602141</v>
      </c>
      <c r="N131" s="73"/>
      <c r="O131" s="59">
        <v>1000</v>
      </c>
      <c r="P131" s="59">
        <v>2000</v>
      </c>
      <c r="Q131" s="36">
        <v>2.7144100081432298E-4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ROUND(_xlfn.ANCHORARRAY(J163)*$B$2,0)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1.4073910012343482</v>
      </c>
      <c r="I176" s="36">
        <v>3.3610331000000111E-2</v>
      </c>
      <c r="J176" s="36">
        <v>3.3610331000000118E-2</v>
      </c>
      <c r="K176" s="71">
        <v>33610331</v>
      </c>
      <c r="L176" s="36">
        <v>3.3610331E-2</v>
      </c>
      <c r="M176" s="36">
        <v>0.75850382242564496</v>
      </c>
      <c r="N176" s="73"/>
      <c r="O176" s="59">
        <v>20</v>
      </c>
      <c r="P176" s="59">
        <v>25</v>
      </c>
      <c r="Q176" s="36">
        <v>3.3610331E-2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5.7703752752426771</v>
      </c>
      <c r="I177" s="36">
        <v>0.14243699600000012</v>
      </c>
      <c r="J177" s="36">
        <v>0.14243699600000015</v>
      </c>
      <c r="K177" s="71">
        <v>142436996</v>
      </c>
      <c r="L177" s="36">
        <v>0.14243699600000001</v>
      </c>
      <c r="M177" s="36">
        <v>3.9266955898165032</v>
      </c>
      <c r="N177" s="73"/>
      <c r="O177" s="59">
        <v>25</v>
      </c>
      <c r="P177" s="59">
        <v>30</v>
      </c>
      <c r="Q177" s="36">
        <v>0.14243699600000001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2.1846066912922435</v>
      </c>
      <c r="I178" s="36">
        <v>5.358929599999996E-2</v>
      </c>
      <c r="J178" s="36">
        <v>5.3589295999999974E-2</v>
      </c>
      <c r="K178" s="71">
        <v>53589296</v>
      </c>
      <c r="L178" s="36">
        <v>5.3589296000000002E-2</v>
      </c>
      <c r="M178" s="36">
        <v>1.7447372502165679</v>
      </c>
      <c r="N178" s="73"/>
      <c r="O178" s="59">
        <v>30</v>
      </c>
      <c r="P178" s="59">
        <v>35</v>
      </c>
      <c r="Q178" s="36">
        <v>5.3589296000000002E-2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3.8213660768605728</v>
      </c>
      <c r="I179" s="36">
        <v>9.4339311999999939E-2</v>
      </c>
      <c r="J179" s="36">
        <v>9.4339311999999967E-2</v>
      </c>
      <c r="K179" s="71">
        <v>94339312</v>
      </c>
      <c r="L179" s="36">
        <v>9.4339311999999995E-2</v>
      </c>
      <c r="M179" s="36">
        <v>3.5427636761253498</v>
      </c>
      <c r="N179" s="73"/>
      <c r="O179" s="59">
        <v>35</v>
      </c>
      <c r="P179" s="59">
        <v>40</v>
      </c>
      <c r="Q179" s="36">
        <v>9.4339311999999995E-2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3.3710764444167913</v>
      </c>
      <c r="I180" s="36">
        <v>8.2012183999999891E-2</v>
      </c>
      <c r="J180" s="36">
        <v>8.2012183999999905E-2</v>
      </c>
      <c r="K180" s="71">
        <v>82012184</v>
      </c>
      <c r="L180" s="36">
        <v>8.2012184000000002E-2</v>
      </c>
      <c r="M180" s="36">
        <v>3.4897189499140353</v>
      </c>
      <c r="N180" s="73"/>
      <c r="O180" s="59">
        <v>40</v>
      </c>
      <c r="P180" s="59">
        <v>45</v>
      </c>
      <c r="Q180" s="36">
        <v>8.2012184000000002E-2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2.922835292640158</v>
      </c>
      <c r="I181" s="36">
        <v>7.0193761000000049E-2</v>
      </c>
      <c r="J181" s="36">
        <v>7.0193761000000063E-2</v>
      </c>
      <c r="K181" s="71">
        <v>70193761</v>
      </c>
      <c r="L181" s="36">
        <v>7.0193760999999993E-2</v>
      </c>
      <c r="M181" s="36">
        <v>3.3373932667031658</v>
      </c>
      <c r="N181" s="73"/>
      <c r="O181" s="59">
        <v>45</v>
      </c>
      <c r="P181" s="59">
        <v>50</v>
      </c>
      <c r="Q181" s="36">
        <v>7.0193760999999993E-2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1.4679045415327678</v>
      </c>
      <c r="I182" s="36">
        <v>6.7900272999999858E-2</v>
      </c>
      <c r="J182" s="36">
        <v>6.7900272999999872E-2</v>
      </c>
      <c r="K182" s="71">
        <v>67900273</v>
      </c>
      <c r="L182" s="36">
        <v>6.7900272999999997E-2</v>
      </c>
      <c r="M182" s="36">
        <v>3.735406091752417</v>
      </c>
      <c r="N182" s="73"/>
      <c r="O182" s="59">
        <v>50</v>
      </c>
      <c r="P182" s="59">
        <v>60</v>
      </c>
      <c r="Q182" s="36">
        <v>6.7900272999999997E-2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2.1168081335162068</v>
      </c>
      <c r="I183" s="36">
        <v>9.2792612999999816E-2</v>
      </c>
      <c r="J183" s="36">
        <v>9.2792612999999829E-2</v>
      </c>
      <c r="K183" s="71">
        <v>92792613</v>
      </c>
      <c r="L183" s="36">
        <v>9.2792612999999996E-2</v>
      </c>
      <c r="M183" s="36">
        <v>6.0321690166570869</v>
      </c>
      <c r="N183" s="73"/>
      <c r="O183" s="59">
        <v>60</v>
      </c>
      <c r="P183" s="59">
        <v>70</v>
      </c>
      <c r="Q183" s="36">
        <v>9.2792612999999996E-2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1.0666365627770003</v>
      </c>
      <c r="I184" s="36">
        <v>4.4383010000000195E-2</v>
      </c>
      <c r="J184" s="36">
        <v>4.4383010000000202E-2</v>
      </c>
      <c r="K184" s="71">
        <v>44383010</v>
      </c>
      <c r="L184" s="36">
        <v>4.4383010000000001E-2</v>
      </c>
      <c r="M184" s="36">
        <v>3.328655507895975</v>
      </c>
      <c r="N184" s="73"/>
      <c r="O184" s="59">
        <v>70</v>
      </c>
      <c r="P184" s="59">
        <v>80</v>
      </c>
      <c r="Q184" s="36">
        <v>4.4383010000000001E-2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2.1826687492471906</v>
      </c>
      <c r="I185" s="36">
        <v>8.4913128000000129E-2</v>
      </c>
      <c r="J185" s="36">
        <v>8.4913128000000143E-2</v>
      </c>
      <c r="K185" s="71">
        <v>84913128</v>
      </c>
      <c r="L185" s="36">
        <v>8.4913128000000004E-2</v>
      </c>
      <c r="M185" s="36">
        <v>7.2165339838312716</v>
      </c>
      <c r="N185" s="73"/>
      <c r="O185" s="59">
        <v>80</v>
      </c>
      <c r="P185" s="59">
        <v>90</v>
      </c>
      <c r="Q185" s="36">
        <v>8.4913128000000004E-2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0.8962617563533456</v>
      </c>
      <c r="I186" s="36">
        <v>3.249234899999999E-2</v>
      </c>
      <c r="J186" s="36">
        <v>3.2492348999999997E-2</v>
      </c>
      <c r="K186" s="71">
        <v>32492349</v>
      </c>
      <c r="L186" s="36">
        <v>3.2492348999999997E-2</v>
      </c>
      <c r="M186" s="36">
        <v>3.0867995023980059</v>
      </c>
      <c r="N186" s="73"/>
      <c r="O186" s="59">
        <v>90</v>
      </c>
      <c r="P186" s="59">
        <v>100</v>
      </c>
      <c r="Q186" s="36">
        <v>3.2492348999999997E-2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1.1646589365633753</v>
      </c>
      <c r="I187" s="36">
        <v>7.6030312999999836E-2</v>
      </c>
      <c r="J187" s="36">
        <v>7.6030312999999849E-2</v>
      </c>
      <c r="K187" s="71">
        <v>76030313</v>
      </c>
      <c r="L187" s="36">
        <v>7.6030313000000002E-2</v>
      </c>
      <c r="M187" s="36">
        <v>8.3506513375144404</v>
      </c>
      <c r="N187" s="73"/>
      <c r="O187" s="59">
        <v>100</v>
      </c>
      <c r="P187" s="59">
        <v>120</v>
      </c>
      <c r="Q187" s="36">
        <v>7.6030313000000002E-2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0.49192980852008372</v>
      </c>
      <c r="I188" s="36">
        <v>2.7826703999999983E-2</v>
      </c>
      <c r="J188" s="36">
        <v>2.782670399999999E-2</v>
      </c>
      <c r="K188" s="71">
        <v>27826704</v>
      </c>
      <c r="L188" s="36">
        <v>2.7826704000000001E-2</v>
      </c>
      <c r="M188" s="36">
        <v>3.6122676402905052</v>
      </c>
      <c r="N188" s="73"/>
      <c r="O188" s="59">
        <v>120</v>
      </c>
      <c r="P188" s="59">
        <v>140</v>
      </c>
      <c r="Q188" s="36">
        <v>2.7826704000000001E-2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0.90784207814887108</v>
      </c>
      <c r="I189" s="36">
        <v>4.4570223999999978E-2</v>
      </c>
      <c r="J189" s="36">
        <v>4.4570223999999985E-2</v>
      </c>
      <c r="K189" s="71">
        <v>44570224</v>
      </c>
      <c r="L189" s="36">
        <v>4.4570223999999999E-2</v>
      </c>
      <c r="M189" s="36">
        <v>6.6768002656351522</v>
      </c>
      <c r="N189" s="73"/>
      <c r="O189" s="59">
        <v>140</v>
      </c>
      <c r="P189" s="59">
        <v>160</v>
      </c>
      <c r="Q189" s="36">
        <v>4.4570223999999999E-2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0.54604623157213994</v>
      </c>
      <c r="I190" s="36">
        <v>2.3303895000000002E-2</v>
      </c>
      <c r="J190" s="36">
        <v>2.3303895000000005E-2</v>
      </c>
      <c r="K190" s="71">
        <v>23303895</v>
      </c>
      <c r="L190" s="36">
        <v>2.3303895000000002E-2</v>
      </c>
      <c r="M190" s="36">
        <v>3.9571908320065892</v>
      </c>
      <c r="N190" s="73"/>
      <c r="O190" s="59">
        <v>160</v>
      </c>
      <c r="P190" s="59">
        <v>180</v>
      </c>
      <c r="Q190" s="36">
        <v>2.3303895000000002E-2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0.72206482478975109</v>
      </c>
      <c r="I191" s="36">
        <v>2.6658233999999992E-2</v>
      </c>
      <c r="J191" s="36">
        <v>2.6658233999999999E-2</v>
      </c>
      <c r="K191" s="71">
        <v>26658234</v>
      </c>
      <c r="L191" s="36">
        <v>2.6658233999999999E-2</v>
      </c>
      <c r="M191" s="36">
        <v>5.0599179958638265</v>
      </c>
      <c r="N191" s="73"/>
      <c r="O191" s="59">
        <v>180</v>
      </c>
      <c r="P191" s="59">
        <v>200</v>
      </c>
      <c r="Q191" s="36">
        <v>2.6658233999999999E-2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5.444223250204998E-3</v>
      </c>
      <c r="I192" s="36">
        <v>3.9946600000000012E-4</v>
      </c>
      <c r="J192" s="36">
        <v>3.9946600000000023E-4</v>
      </c>
      <c r="K192" s="71">
        <v>399466</v>
      </c>
      <c r="L192" s="36">
        <v>3.9946600000000001E-4</v>
      </c>
      <c r="M192" s="36">
        <v>8.9340805363744516E-2</v>
      </c>
      <c r="N192" s="73"/>
      <c r="O192" s="59">
        <v>200</v>
      </c>
      <c r="P192" s="59">
        <v>250</v>
      </c>
      <c r="Q192" s="36">
        <v>3.9946600000000001E-4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6.1611215282566878E-3</v>
      </c>
      <c r="I193" s="36">
        <v>3.2634600000000031E-4</v>
      </c>
      <c r="J193" s="36">
        <v>3.2634600000000036E-4</v>
      </c>
      <c r="K193" s="71">
        <v>326346</v>
      </c>
      <c r="L193" s="36">
        <v>3.2634599999999998E-4</v>
      </c>
      <c r="M193" s="36">
        <v>8.9340785233677333E-2</v>
      </c>
      <c r="N193" s="73"/>
      <c r="O193" s="59">
        <v>250</v>
      </c>
      <c r="P193" s="59">
        <v>300</v>
      </c>
      <c r="Q193" s="36">
        <v>3.2634599999999998E-4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7.0451122278354953E-3</v>
      </c>
      <c r="I194" s="36">
        <v>2.7592500000000016E-4</v>
      </c>
      <c r="J194" s="36">
        <v>2.7592500000000022E-4</v>
      </c>
      <c r="K194" s="71">
        <v>275925</v>
      </c>
      <c r="L194" s="36">
        <v>2.75925E-4</v>
      </c>
      <c r="M194" s="36">
        <v>8.9340920865767753E-2</v>
      </c>
      <c r="N194" s="73"/>
      <c r="O194" s="59">
        <v>300</v>
      </c>
      <c r="P194" s="59">
        <v>350</v>
      </c>
      <c r="Q194" s="36">
        <v>2.75925E-4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8.1390664423404598E-3</v>
      </c>
      <c r="I195" s="36">
        <v>2.3895000000000009E-4</v>
      </c>
      <c r="J195" s="36">
        <v>2.3895000000000014E-4</v>
      </c>
      <c r="K195" s="71">
        <v>238950</v>
      </c>
      <c r="L195" s="36">
        <v>2.3895000000000001E-4</v>
      </c>
      <c r="M195" s="36">
        <v>8.934120934226987E-2</v>
      </c>
      <c r="N195" s="73"/>
      <c r="O195" s="59">
        <v>350</v>
      </c>
      <c r="P195" s="59">
        <v>400</v>
      </c>
      <c r="Q195" s="36">
        <v>2.3895000000000001E-4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9.4541943060737817E-3</v>
      </c>
      <c r="I196" s="36">
        <v>2.1075000000000008E-4</v>
      </c>
      <c r="J196" s="36">
        <v>2.1075000000000014E-4</v>
      </c>
      <c r="K196" s="71">
        <v>210750</v>
      </c>
      <c r="L196" s="36">
        <v>2.1075E-4</v>
      </c>
      <c r="M196" s="36">
        <v>8.9341029492104859E-2</v>
      </c>
      <c r="N196" s="73"/>
      <c r="O196" s="59">
        <v>400</v>
      </c>
      <c r="P196" s="59">
        <v>450</v>
      </c>
      <c r="Q196" s="36">
        <v>2.1075E-4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1.0856140702295985E-2</v>
      </c>
      <c r="I197" s="36">
        <v>1.8846200000000005E-4</v>
      </c>
      <c r="J197" s="36">
        <v>1.8846200000000011E-4</v>
      </c>
      <c r="K197" s="71">
        <v>188462</v>
      </c>
      <c r="L197" s="36">
        <v>1.88462E-4</v>
      </c>
      <c r="M197" s="36">
        <v>8.9341175820718183E-2</v>
      </c>
      <c r="N197" s="73"/>
      <c r="O197" s="59">
        <v>450</v>
      </c>
      <c r="P197" s="59">
        <v>500</v>
      </c>
      <c r="Q197" s="36">
        <v>1.88462E-4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1.2447636856311109E-2</v>
      </c>
      <c r="I198" s="36">
        <v>1.7050199999999922E-4</v>
      </c>
      <c r="J198" s="36">
        <v>1.7050199999999924E-4</v>
      </c>
      <c r="K198" s="71">
        <v>170502</v>
      </c>
      <c r="L198" s="36">
        <v>1.70502E-4</v>
      </c>
      <c r="M198" s="36">
        <v>8.9340602434984248E-2</v>
      </c>
      <c r="N198" s="73"/>
      <c r="O198" s="59">
        <v>500</v>
      </c>
      <c r="P198" s="59">
        <v>550</v>
      </c>
      <c r="Q198" s="36">
        <v>1.70502E-4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1.4290811187738704E-2</v>
      </c>
      <c r="I199" s="36">
        <v>1.5560699999999994E-4</v>
      </c>
      <c r="J199" s="36">
        <v>1.5560699999999996E-4</v>
      </c>
      <c r="K199" s="71">
        <v>155607</v>
      </c>
      <c r="L199" s="36">
        <v>1.5560699999999999E-4</v>
      </c>
      <c r="M199" s="36">
        <v>8.9340484126849626E-2</v>
      </c>
      <c r="N199" s="73"/>
      <c r="O199" s="59">
        <v>550</v>
      </c>
      <c r="P199" s="59">
        <v>600</v>
      </c>
      <c r="Q199" s="36">
        <v>1.5560699999999999E-4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1.6402688969969336E-2</v>
      </c>
      <c r="I200" s="36">
        <v>1.4315899999999961E-4</v>
      </c>
      <c r="J200" s="36">
        <v>1.4315899999999964E-4</v>
      </c>
      <c r="K200" s="71">
        <v>143159</v>
      </c>
      <c r="L200" s="36">
        <v>1.4315899999999999E-4</v>
      </c>
      <c r="M200" s="36">
        <v>8.9340905387246802E-2</v>
      </c>
      <c r="N200" s="73"/>
      <c r="O200" s="59">
        <v>600</v>
      </c>
      <c r="P200" s="59">
        <v>650</v>
      </c>
      <c r="Q200" s="36">
        <v>1.4315899999999999E-4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1.8729425634178388E-2</v>
      </c>
      <c r="I201" s="36">
        <v>1.3250800000000015E-4</v>
      </c>
      <c r="J201" s="36">
        <v>1.3250800000000018E-4</v>
      </c>
      <c r="K201" s="71">
        <v>132508</v>
      </c>
      <c r="L201" s="36">
        <v>1.3250800000000001E-4</v>
      </c>
      <c r="M201" s="36">
        <v>8.9340492367922436E-2</v>
      </c>
      <c r="N201" s="73"/>
      <c r="O201" s="59">
        <v>650</v>
      </c>
      <c r="P201" s="59">
        <v>700</v>
      </c>
      <c r="Q201" s="36">
        <v>1.3250800000000001E-4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2.1109690749645395E-2</v>
      </c>
      <c r="I202" s="36">
        <v>1.2334600000000025E-4</v>
      </c>
      <c r="J202" s="36">
        <v>1.2334600000000028E-4</v>
      </c>
      <c r="K202" s="71">
        <v>123346</v>
      </c>
      <c r="L202" s="36">
        <v>1.2334600000000001E-4</v>
      </c>
      <c r="M202" s="36">
        <v>8.9341152875913515E-2</v>
      </c>
      <c r="N202" s="73"/>
      <c r="O202" s="59">
        <v>700</v>
      </c>
      <c r="P202" s="59">
        <v>750</v>
      </c>
      <c r="Q202" s="36">
        <v>1.2334600000000001E-4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2.3847953978497764E-2</v>
      </c>
      <c r="I203" s="36">
        <v>1.1538999999999982E-4</v>
      </c>
      <c r="J203" s="36">
        <v>1.1538999999999984E-4</v>
      </c>
      <c r="K203" s="71">
        <v>115390</v>
      </c>
      <c r="L203" s="36">
        <v>1.1539E-4</v>
      </c>
      <c r="M203" s="36">
        <v>8.9341166408453201E-2</v>
      </c>
      <c r="N203" s="73"/>
      <c r="O203" s="59">
        <v>750</v>
      </c>
      <c r="P203" s="59">
        <v>800</v>
      </c>
      <c r="Q203" s="36">
        <v>1.1539E-4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2.6807252704923845E-2</v>
      </c>
      <c r="I204" s="36">
        <v>1.0838500000000007E-4</v>
      </c>
      <c r="J204" s="36">
        <v>1.0838500000000009E-4</v>
      </c>
      <c r="K204" s="71">
        <v>108385</v>
      </c>
      <c r="L204" s="36">
        <v>1.08385E-4</v>
      </c>
      <c r="M204" s="36">
        <v>8.9341163215492569E-2</v>
      </c>
      <c r="N204" s="73"/>
      <c r="O204" s="59">
        <v>800</v>
      </c>
      <c r="P204" s="59">
        <v>850</v>
      </c>
      <c r="Q204" s="36">
        <v>1.08385E-4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3.0266015995978831E-2</v>
      </c>
      <c r="I205" s="36">
        <v>1.0218699999999998E-4</v>
      </c>
      <c r="J205" s="36">
        <v>1.02187E-4</v>
      </c>
      <c r="K205" s="72">
        <v>102187</v>
      </c>
      <c r="L205" s="36">
        <v>1.02187E-4</v>
      </c>
      <c r="M205" s="36">
        <v>8.9340150492446563E-2</v>
      </c>
      <c r="N205" s="73"/>
      <c r="O205" s="59">
        <v>850</v>
      </c>
      <c r="P205" s="59">
        <v>900</v>
      </c>
      <c r="Q205" s="36">
        <v>1.02187E-4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3.3633883728054904E-2</v>
      </c>
      <c r="I206" s="36">
        <v>9.6647999999999987E-5</v>
      </c>
      <c r="J206" s="36">
        <v>9.6648000000000014E-5</v>
      </c>
      <c r="K206" s="72">
        <v>96648</v>
      </c>
      <c r="L206" s="36">
        <v>9.6648E-5</v>
      </c>
      <c r="M206" s="36">
        <v>8.9339810093479882E-2</v>
      </c>
      <c r="N206" s="73"/>
      <c r="O206" s="59">
        <v>900</v>
      </c>
      <c r="P206" s="59">
        <v>950</v>
      </c>
      <c r="Q206" s="36">
        <v>9.6648E-5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3.774088545114989E-2</v>
      </c>
      <c r="I207" s="36">
        <v>9.1696999999999891E-5</v>
      </c>
      <c r="J207" s="36">
        <v>9.1696999999999918E-5</v>
      </c>
      <c r="K207" s="72">
        <v>91697</v>
      </c>
      <c r="L207" s="36">
        <v>9.1697E-5</v>
      </c>
      <c r="M207" s="36">
        <v>8.9341566685547907E-2</v>
      </c>
      <c r="N207" s="73"/>
      <c r="O207" s="59">
        <v>950</v>
      </c>
      <c r="P207" s="59">
        <v>1000</v>
      </c>
      <c r="Q207" s="36">
        <v>9.1697E-5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4.352669577540106E-3</v>
      </c>
      <c r="I208" s="36">
        <v>6.8048999999999971E-5</v>
      </c>
      <c r="J208" s="36">
        <v>6.8048999999999985E-5</v>
      </c>
      <c r="K208" s="72">
        <v>68049</v>
      </c>
      <c r="L208" s="36">
        <v>6.8048999999999998E-5</v>
      </c>
      <c r="M208" s="36">
        <v>8.9341048395055536E-2</v>
      </c>
      <c r="N208" s="73"/>
      <c r="O208" s="59">
        <v>1000</v>
      </c>
      <c r="P208" s="59">
        <v>2000</v>
      </c>
      <c r="Q208" s="36">
        <v>6.8048999999999998E-5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</v>
      </c>
      <c r="I209" s="36">
        <v>0</v>
      </c>
      <c r="J209" s="36">
        <v>0</v>
      </c>
      <c r="K209" s="72">
        <v>0</v>
      </c>
      <c r="L209" s="36">
        <v>0</v>
      </c>
      <c r="M209" s="36">
        <v>0</v>
      </c>
      <c r="N209" s="73"/>
      <c r="O209" s="59">
        <v>2000</v>
      </c>
      <c r="P209" s="59">
        <v>3000</v>
      </c>
      <c r="Q209" s="36">
        <v>0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16" sqref="E1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733362426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2344760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2026-09-22T09:20:09Z</dcterms:modified>
</cp:coreProperties>
</file>