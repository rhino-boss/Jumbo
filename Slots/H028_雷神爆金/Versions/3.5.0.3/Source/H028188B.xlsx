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F400C67-98C5-4D0E-A20C-A27073A9C61C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A15" i="5"/>
  <c r="F8" i="5"/>
  <c r="G8" i="5" s="1"/>
  <c r="B7" i="5" a="1"/>
  <c r="B7" i="5" s="1"/>
  <c r="B3" i="5"/>
  <c r="E86" i="5" s="1" a="1"/>
  <c r="E86" i="5" s="1"/>
  <c r="C21" i="1"/>
  <c r="A21" i="1"/>
  <c r="A17" i="1"/>
  <c r="A11" i="1" a="1"/>
  <c r="A12" i="1" s="1"/>
  <c r="E15" i="6" l="1" a="1"/>
  <c r="E15" i="6" s="1"/>
  <c r="I15" i="6" a="1"/>
  <c r="J79" i="6" s="1"/>
  <c r="L156" i="5"/>
  <c r="A11" i="1"/>
  <c r="E15" i="5" a="1"/>
  <c r="E15" i="5" s="1"/>
  <c r="J79" i="5"/>
  <c r="I15" i="5"/>
  <c r="J15" i="5" s="1" a="1"/>
  <c r="J15" i="5" s="1"/>
  <c r="E52" i="3"/>
  <c r="E36" i="3"/>
  <c r="E20" i="3"/>
  <c r="E4" i="3"/>
  <c r="E26" i="3"/>
  <c r="E61" i="3"/>
  <c r="E45" i="3"/>
  <c r="E29" i="3"/>
  <c r="E13" i="3"/>
  <c r="E64" i="3"/>
  <c r="E48" i="3"/>
  <c r="E32" i="3"/>
  <c r="E16" i="3"/>
  <c r="E60" i="3"/>
  <c r="E12" i="3"/>
  <c r="E62" i="3"/>
  <c r="E30" i="3"/>
  <c r="E14" i="3"/>
  <c r="E51" i="3"/>
  <c r="E35" i="3"/>
  <c r="E19" i="3"/>
  <c r="E54" i="3"/>
  <c r="E6" i="3"/>
  <c r="E46" i="3"/>
  <c r="E17" i="3"/>
  <c r="E38" i="3"/>
  <c r="E22" i="3"/>
  <c r="E44" i="3"/>
  <c r="E49" i="3"/>
  <c r="E33" i="3"/>
  <c r="E7" i="3"/>
  <c r="E57" i="3"/>
  <c r="E41" i="3"/>
  <c r="E25" i="3"/>
  <c r="E9" i="3"/>
  <c r="E28" i="3"/>
  <c r="E63" i="3"/>
  <c r="E47" i="3"/>
  <c r="E31" i="3"/>
  <c r="E15" i="3"/>
  <c r="E66" i="3"/>
  <c r="E34" i="3"/>
  <c r="E18" i="3"/>
  <c r="E21" i="3"/>
  <c r="E5" i="3"/>
  <c r="E65" i="3"/>
  <c r="E42" i="3"/>
  <c r="E50" i="3"/>
  <c r="E53" i="3"/>
  <c r="E37" i="3"/>
  <c r="E59" i="3"/>
  <c r="E55" i="3"/>
  <c r="E39" i="3"/>
  <c r="E23" i="3"/>
  <c r="E58" i="3"/>
  <c r="E10" i="3"/>
  <c r="E27" i="3"/>
  <c r="E11" i="3"/>
  <c r="E56" i="3"/>
  <c r="E40" i="3"/>
  <c r="E24" i="3"/>
  <c r="E8" i="3"/>
  <c r="E43" i="3"/>
  <c r="C62" i="3"/>
  <c r="C46" i="3"/>
  <c r="C30" i="3"/>
  <c r="C14" i="3"/>
  <c r="C49" i="3"/>
  <c r="C55" i="3"/>
  <c r="C39" i="3"/>
  <c r="C23" i="3"/>
  <c r="C7" i="3"/>
  <c r="C58" i="3"/>
  <c r="C42" i="3"/>
  <c r="C26" i="3"/>
  <c r="C10" i="3"/>
  <c r="C38" i="3"/>
  <c r="C22" i="3"/>
  <c r="C36" i="3"/>
  <c r="C61" i="3"/>
  <c r="C45" i="3"/>
  <c r="C29" i="3"/>
  <c r="C13" i="3"/>
  <c r="C48" i="3"/>
  <c r="C32" i="3"/>
  <c r="C24" i="3"/>
  <c r="C64" i="3"/>
  <c r="C16" i="3"/>
  <c r="C6" i="3"/>
  <c r="C56" i="3"/>
  <c r="C40" i="3"/>
  <c r="C8" i="3"/>
  <c r="C11" i="3"/>
  <c r="C4" i="3"/>
  <c r="C51" i="3"/>
  <c r="C35" i="3"/>
  <c r="C19" i="3"/>
  <c r="C54" i="3"/>
  <c r="C65" i="3"/>
  <c r="C20" i="3"/>
  <c r="C57" i="3"/>
  <c r="C41" i="3"/>
  <c r="C25" i="3"/>
  <c r="C9" i="3"/>
  <c r="C12" i="3"/>
  <c r="C31" i="3"/>
  <c r="C15" i="3"/>
  <c r="C21" i="3"/>
  <c r="C60" i="3"/>
  <c r="C44" i="3"/>
  <c r="C28" i="3"/>
  <c r="C47" i="3"/>
  <c r="C59" i="3"/>
  <c r="C27" i="3"/>
  <c r="C33" i="3"/>
  <c r="C63" i="3"/>
  <c r="C37" i="3"/>
  <c r="C43" i="3"/>
  <c r="C52" i="3"/>
  <c r="C66" i="3"/>
  <c r="C50" i="3"/>
  <c r="C34" i="3"/>
  <c r="C18" i="3"/>
  <c r="C53" i="3"/>
  <c r="C5" i="3"/>
  <c r="C17" i="3"/>
  <c r="D163" i="5" a="1"/>
  <c r="D163" i="5" s="1"/>
  <c r="I163" i="5" s="1" a="1"/>
  <c r="I163" i="5" s="1"/>
  <c r="J163" i="5" s="1" a="1"/>
  <c r="J163" i="5" s="1"/>
  <c r="E163" i="5" a="1"/>
  <c r="E163" i="5" s="1"/>
  <c r="E156" i="5"/>
  <c r="I15" i="6" l="1"/>
  <c r="J15" i="6" s="1" a="1"/>
  <c r="J15" i="6" s="1"/>
  <c r="M156" i="5"/>
  <c r="C8" i="5" s="1"/>
  <c r="B21" i="1" s="1"/>
  <c r="K15" i="5" a="1"/>
  <c r="K15" i="5" s="1"/>
  <c r="L86" i="5" a="1"/>
  <c r="L86" i="5" s="1"/>
  <c r="E3" i="3"/>
  <c r="J7" i="5" a="1"/>
  <c r="J7" i="5" s="1"/>
  <c r="F55" i="3"/>
  <c r="F39" i="3"/>
  <c r="F23" i="3"/>
  <c r="F7" i="3"/>
  <c r="F45" i="3"/>
  <c r="F64" i="3"/>
  <c r="F48" i="3"/>
  <c r="F32" i="3"/>
  <c r="F16" i="3"/>
  <c r="F51" i="3"/>
  <c r="F35" i="3"/>
  <c r="F19" i="3"/>
  <c r="F13" i="3"/>
  <c r="F54" i="3"/>
  <c r="F38" i="3"/>
  <c r="F22" i="3"/>
  <c r="F6" i="3"/>
  <c r="F41" i="3"/>
  <c r="F25" i="3"/>
  <c r="F65" i="3"/>
  <c r="F58" i="3"/>
  <c r="F42" i="3"/>
  <c r="F57" i="3"/>
  <c r="F9" i="3"/>
  <c r="F15" i="3"/>
  <c r="F29" i="3"/>
  <c r="F60" i="3"/>
  <c r="F44" i="3"/>
  <c r="F28" i="3"/>
  <c r="F12" i="3"/>
  <c r="F63" i="3"/>
  <c r="F47" i="3"/>
  <c r="F10" i="3"/>
  <c r="F31" i="3"/>
  <c r="F26" i="3"/>
  <c r="F66" i="3"/>
  <c r="F50" i="3"/>
  <c r="F34" i="3"/>
  <c r="F18" i="3"/>
  <c r="F53" i="3"/>
  <c r="F5" i="3"/>
  <c r="F56" i="3"/>
  <c r="F62" i="3"/>
  <c r="F30" i="3"/>
  <c r="F33" i="3"/>
  <c r="F52" i="3"/>
  <c r="F61" i="3"/>
  <c r="F37" i="3"/>
  <c r="F21" i="3"/>
  <c r="F8" i="3"/>
  <c r="F14" i="3"/>
  <c r="F36" i="3"/>
  <c r="F40" i="3"/>
  <c r="F24" i="3"/>
  <c r="F46" i="3"/>
  <c r="F49" i="3"/>
  <c r="F17" i="3"/>
  <c r="F4" i="3"/>
  <c r="F59" i="3"/>
  <c r="F43" i="3"/>
  <c r="F27" i="3"/>
  <c r="F11" i="3"/>
  <c r="F20" i="3"/>
  <c r="L86" i="6" a="1"/>
  <c r="L86" i="6" s="1"/>
  <c r="J7" i="6" a="1"/>
  <c r="J7" i="6" s="1"/>
  <c r="C3" i="3"/>
  <c r="B59" i="3" l="1"/>
  <c r="D53" i="3"/>
  <c r="D23" i="3"/>
  <c r="D6" i="3"/>
  <c r="D48" i="3"/>
  <c r="D12" i="3"/>
  <c r="D10" i="3"/>
  <c r="D26" i="3"/>
  <c r="D42" i="3"/>
  <c r="D58" i="3"/>
  <c r="D49" i="3"/>
  <c r="D7" i="3"/>
  <c r="D27" i="3"/>
  <c r="D17" i="3"/>
  <c r="D5" i="3"/>
  <c r="D33" i="3"/>
  <c r="D66" i="3"/>
  <c r="D8" i="3"/>
  <c r="D40" i="3"/>
  <c r="D14" i="3"/>
  <c r="D44" i="3"/>
  <c r="D60" i="3"/>
  <c r="D52" i="3"/>
  <c r="D41" i="3"/>
  <c r="D65" i="3"/>
  <c r="D67" i="3"/>
  <c r="D54" i="3"/>
  <c r="D24" i="3"/>
  <c r="D51" i="3"/>
  <c r="D20" i="3"/>
  <c r="D55" i="3"/>
  <c r="D39" i="3"/>
  <c r="D25" i="3"/>
  <c r="D4" i="3"/>
  <c r="D57" i="3"/>
  <c r="D15" i="3"/>
  <c r="D35" i="3"/>
  <c r="D19" i="3"/>
  <c r="D63" i="3"/>
  <c r="D16" i="3"/>
  <c r="D28" i="3"/>
  <c r="D32" i="3"/>
  <c r="D56" i="3"/>
  <c r="D62" i="3"/>
  <c r="D64" i="3"/>
  <c r="D34" i="3"/>
  <c r="D59" i="3"/>
  <c r="D45" i="3"/>
  <c r="D50" i="3"/>
  <c r="D36" i="3"/>
  <c r="D61" i="3"/>
  <c r="D46" i="3"/>
  <c r="D30" i="3"/>
  <c r="D11" i="3"/>
  <c r="D18" i="3"/>
  <c r="D9" i="3"/>
  <c r="D43" i="3"/>
  <c r="D21" i="3"/>
  <c r="D31" i="3"/>
  <c r="D22" i="3"/>
  <c r="D13" i="3"/>
  <c r="D37" i="3"/>
  <c r="D47" i="3"/>
  <c r="D38" i="3"/>
  <c r="D29" i="3"/>
  <c r="B63" i="3"/>
  <c r="B30" i="3"/>
  <c r="B18" i="3"/>
  <c r="B22" i="3"/>
  <c r="B12" i="3"/>
  <c r="B38" i="3"/>
  <c r="B42" i="3"/>
  <c r="B3" i="3"/>
  <c r="B54" i="3"/>
  <c r="B58" i="3"/>
  <c r="B67" i="3"/>
  <c r="B32" i="3"/>
  <c r="B28" i="3"/>
  <c r="B60" i="3"/>
  <c r="B64" i="3"/>
  <c r="B23" i="3"/>
  <c r="B6" i="3"/>
  <c r="B48" i="3"/>
  <c r="B13" i="3"/>
  <c r="B8" i="3"/>
  <c r="B4" i="3"/>
  <c r="B24" i="3"/>
  <c r="B21" i="3"/>
  <c r="B55" i="3"/>
  <c r="B56" i="3"/>
  <c r="B40" i="3"/>
  <c r="B35" i="3"/>
  <c r="B20" i="3"/>
  <c r="B53" i="3"/>
  <c r="B50" i="3"/>
  <c r="B51" i="3"/>
  <c r="B36" i="3"/>
  <c r="B66" i="3"/>
  <c r="B44" i="3"/>
  <c r="B29" i="3"/>
  <c r="B52" i="3"/>
  <c r="B15" i="3"/>
  <c r="B25" i="3"/>
  <c r="B45" i="3"/>
  <c r="B65" i="3"/>
  <c r="B31" i="3"/>
  <c r="B41" i="3"/>
  <c r="B33" i="3"/>
  <c r="B11" i="3"/>
  <c r="B62" i="3"/>
  <c r="B49" i="3"/>
  <c r="B34" i="3"/>
  <c r="B5" i="3"/>
  <c r="B7" i="3"/>
  <c r="B39" i="3"/>
  <c r="B47" i="3"/>
  <c r="B57" i="3"/>
  <c r="B14" i="3"/>
  <c r="B37" i="3"/>
  <c r="B61" i="3"/>
  <c r="B27" i="3"/>
  <c r="B9" i="3"/>
  <c r="B19" i="3"/>
  <c r="B10" i="3"/>
  <c r="B43" i="3"/>
  <c r="B46" i="3"/>
  <c r="B17" i="3"/>
  <c r="B16" i="3"/>
  <c r="B26" i="3"/>
  <c r="L15" i="5" a="1"/>
  <c r="D3" i="3"/>
  <c r="I7" i="5" a="1"/>
  <c r="I7" i="5" s="1"/>
  <c r="F3" i="3"/>
  <c r="L163" i="5" a="1"/>
  <c r="L163" i="5" s="1"/>
  <c r="J8" i="5" a="1"/>
  <c r="J8" i="5" s="1"/>
  <c r="I7" i="6" a="1"/>
  <c r="I7" i="6" s="1"/>
  <c r="M86" i="5" a="1"/>
  <c r="M86" i="5" s="1"/>
  <c r="U86" i="5" a="1"/>
  <c r="U86" i="5" s="1"/>
  <c r="Q86" i="5" a="1"/>
  <c r="Q86" i="5" s="1"/>
  <c r="Q86" i="6" a="1"/>
  <c r="Q86" i="6" s="1"/>
  <c r="M86" i="6" a="1"/>
  <c r="M86" i="6" s="1"/>
  <c r="U86" i="6" a="1"/>
  <c r="U86" i="6" s="1"/>
  <c r="L15" i="6" l="1" a="1"/>
  <c r="L15" i="6" s="1"/>
  <c r="U163" i="5" a="1"/>
  <c r="U163" i="5" s="1"/>
  <c r="M163" i="5" a="1"/>
  <c r="M163" i="5" s="1"/>
  <c r="D8" i="5" s="1"/>
  <c r="Q163" i="5" a="1"/>
  <c r="Q163" i="5" s="1"/>
  <c r="F7" i="5"/>
  <c r="L15" i="5"/>
  <c r="F7" i="6" l="1"/>
  <c r="D7" i="6" s="1"/>
  <c r="Q15" i="5" a="1"/>
  <c r="Q15" i="5" s="1"/>
  <c r="M15" i="5" a="1"/>
  <c r="M15" i="5" s="1"/>
  <c r="C7" i="5" s="1"/>
  <c r="U15" i="5" a="1"/>
  <c r="U15" i="5" s="1"/>
  <c r="D7" i="5"/>
  <c r="G7" i="5"/>
  <c r="D17" i="1" s="1"/>
  <c r="C17" i="1" s="1"/>
  <c r="H8" i="5"/>
  <c r="B22" i="1"/>
  <c r="C12" i="1" s="1"/>
  <c r="E8" i="5"/>
  <c r="Q15" i="6" a="1"/>
  <c r="Q15" i="6" s="1"/>
  <c r="U15" i="6" a="1"/>
  <c r="U15" i="6" s="1"/>
  <c r="M15" i="6" a="1"/>
  <c r="M15" i="6" s="1"/>
  <c r="C7" i="6" s="1"/>
  <c r="G7" i="6" l="1"/>
  <c r="H7" i="6" s="1"/>
  <c r="E7" i="6"/>
  <c r="H7" i="5"/>
  <c r="B18" i="1"/>
  <c r="B17" i="1"/>
  <c r="E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<sst xmlns="http://schemas.openxmlformats.org/spreadsheetml/2006/main" count="287" uniqueCount="127">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</sst>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0.88000048431163769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str">
        <f>D11</f>
        <v>Normal Bet</v>
      </c>
      <c r="B17" s="18">
        <f>Detail!C7</f>
        <v>0.71999975006627315</v>
      </c>
      <c r="C17" s="102">
        <f>1/D17</f>
        <v>2.6666668741120001E-3</v>
      </c>
      <c r="D17" s="105">
        <f>Detail!G7</f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f>Detail!D7</f>
        <v>0.16000073424536454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str">
        <f>D12</f>
        <v>Buy Feature</v>
      </c>
      <c r="B21" s="18">
        <f>Detail!C8</f>
        <v>0</v>
      </c>
      <c r="C21" s="102">
        <f>1/D21</f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f>Detail!D8</f>
        <v>0.92500039351908048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99">
        <f>Detail!K163</f>
        <v>0</v>
      </c>
    </row>
    <row r="4" spans="1:6" x14ac:dyDescent="0.3">
      <c r="A4" s="13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99">
        <f>Detail!K164</f>
        <v>0</v>
      </c>
    </row>
    <row r="5" spans="1:6" x14ac:dyDescent="0.3">
      <c r="A5" s="13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99">
        <f>Detail!K165</f>
        <v>0</v>
      </c>
    </row>
    <row r="6" spans="1:6" x14ac:dyDescent="0.3">
      <c r="A6" s="13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99">
        <f>Detail!K166</f>
        <v>0</v>
      </c>
    </row>
    <row r="7" spans="1:6" x14ac:dyDescent="0.3">
      <c r="A7" s="13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99">
        <f>Detail!K167</f>
        <v>0</v>
      </c>
    </row>
    <row r="8" spans="1:6" x14ac:dyDescent="0.3">
      <c r="A8" s="13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99">
        <f>Detail!K168</f>
        <v>0</v>
      </c>
    </row>
    <row r="9" spans="1:6" x14ac:dyDescent="0.3">
      <c r="A9" s="13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99">
        <f>Detail!K169</f>
        <v>0</v>
      </c>
    </row>
    <row r="10" spans="1:6" x14ac:dyDescent="0.3">
      <c r="A10" s="13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99">
        <f>Detail!K170</f>
        <v>0</v>
      </c>
    </row>
    <row r="11" spans="1:6" x14ac:dyDescent="0.3">
      <c r="A11" s="13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99">
        <f>Detail!K171</f>
        <v>0</v>
      </c>
    </row>
    <row r="12" spans="1:6" x14ac:dyDescent="0.3">
      <c r="A12" s="13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99">
        <f>Detail!K172</f>
        <v>0</v>
      </c>
    </row>
    <row r="13" spans="1:6" x14ac:dyDescent="0.3">
      <c r="A13" s="13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99">
        <f>Detail!K173</f>
        <v>0</v>
      </c>
    </row>
    <row r="14" spans="1:6" x14ac:dyDescent="0.3">
      <c r="A14" s="13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99">
        <f>Detail!K174</f>
        <v>0</v>
      </c>
    </row>
    <row r="15" spans="1:6" x14ac:dyDescent="0.3">
      <c r="A15" s="13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99">
        <f>Detail!K175</f>
        <v>0</v>
      </c>
    </row>
    <row r="16" spans="1:6" x14ac:dyDescent="0.3">
      <c r="A16" s="13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56807954</v>
      </c>
      <c r="F16" s="99">
        <f>Detail!K176</f>
        <v>33624101</v>
      </c>
    </row>
    <row r="17" spans="1:6" x14ac:dyDescent="0.3">
      <c r="A17" s="13" t="s">
        <v>30</v>
      </c>
      <c r="B17" s="99">
        <f>Detail_Newbie!K29</f>
        <v>2344760</v>
      </c>
      <c r="C17" s="10">
        <f>Detail_Newbie!K100</f>
        <v>0</v>
      </c>
      <c r="D17" s="10">
        <f>Detail!K29</f>
        <v>1252591</v>
      </c>
      <c r="E17" s="10">
        <f>Detail!K100</f>
        <v>150101929</v>
      </c>
      <c r="F17" s="99">
        <f>Detail!K177</f>
        <v>142495353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79980935</v>
      </c>
      <c r="F18" s="99">
        <f>Detail!K178</f>
        <v>53611252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132246110</v>
      </c>
      <c r="F19" s="99">
        <f>Detail!K179</f>
        <v>94377963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107957063</v>
      </c>
      <c r="F20" s="99">
        <f>Detail!K180</f>
        <v>82045785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86778826</v>
      </c>
      <c r="F21" s="99">
        <f>Detail!K181</f>
        <v>70222520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76360256</v>
      </c>
      <c r="F22" s="99">
        <f>Detail!K182</f>
        <v>67928092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91884316</v>
      </c>
      <c r="F23" s="99">
        <f>Detail!K183</f>
        <v>92830631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38659022</v>
      </c>
      <c r="F24" s="99">
        <f>Detail!K184</f>
        <v>44401194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64993215</v>
      </c>
      <c r="F25" s="99">
        <f>Detail!K185</f>
        <v>84947917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21831226</v>
      </c>
      <c r="F26" s="99">
        <f>Detail!K186</f>
        <v>32505661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41976423</v>
      </c>
      <c r="F27" s="99">
        <f>Detail!K187</f>
        <v>76061463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11747032</v>
      </c>
      <c r="F28" s="99">
        <f>Detail!K188</f>
        <v>27838104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14308642</v>
      </c>
      <c r="F29" s="99">
        <f>Detail!K189</f>
        <v>44588485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5645901</v>
      </c>
      <c r="F30" s="99">
        <f>Detail!K190</f>
        <v>23313443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4834726</v>
      </c>
      <c r="F31" s="99">
        <f>Detail!K191</f>
        <v>26669156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1731698</v>
      </c>
      <c r="F32" s="99">
        <f>Detail!K192</f>
        <v>334549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1467051</v>
      </c>
      <c r="F33" s="99">
        <f>Detail!K193</f>
        <v>273312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1278742</v>
      </c>
      <c r="F34" s="99">
        <f>Detail!K194</f>
        <v>231084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1135605</v>
      </c>
      <c r="F35" s="99">
        <f>Detail!K195</f>
        <v>200118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1022015</v>
      </c>
      <c r="F36" s="99">
        <f>Detail!K196</f>
        <v>176501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928253</v>
      </c>
      <c r="F37" s="99">
        <f>Detail!K197</f>
        <v>157835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849121</v>
      </c>
      <c r="F38" s="99">
        <f>Detail!K198</f>
        <v>142794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780211</v>
      </c>
      <c r="F39" s="99">
        <f>Detail!K199</f>
        <v>130319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719610</v>
      </c>
      <c r="F40" s="99">
        <f>Detail!K200</f>
        <v>119894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664973</v>
      </c>
      <c r="F41" s="99">
        <f>Detail!K201</f>
        <v>110974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615354</v>
      </c>
      <c r="F42" s="99">
        <f>Detail!K202</f>
        <v>103301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569855</v>
      </c>
      <c r="F43" s="99">
        <f>Detail!K203</f>
        <v>96638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527522</v>
      </c>
      <c r="F44" s="99">
        <f>Detail!K204</f>
        <v>90771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487909</v>
      </c>
      <c r="F45" s="99">
        <f>Detail!K205</f>
        <v>85581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450478</v>
      </c>
      <c r="F46" s="99">
        <f>Detail!K206</f>
        <v>80942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415082</v>
      </c>
      <c r="F47" s="99">
        <f>Detail!K207</f>
        <v>76795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99">
        <f>Detail!K131</f>
        <v>470400</v>
      </c>
      <c r="F48" s="99">
        <f>Detail!K208</f>
        <v>56990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99">
        <f>Detail!K209</f>
        <v>93220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9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9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9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9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9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9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9">
        <f>Detail!K139</f>
        <v>0</v>
      </c>
      <c r="F56" s="99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9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9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9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9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9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9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9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9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9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9">
        <f>Detail!K226</f>
        <v>0</v>
      </c>
    </row>
    <row r="67" spans="1:7" x14ac:dyDescent="0.3">
      <c r="A67" s="13" t="s">
        <v>14</v>
      </c>
      <c r="B67" s="10">
        <f>Detail_Newbie!K79</f>
        <v>3590649</v>
      </c>
      <c r="C67" s="34">
        <v>0</v>
      </c>
      <c r="D67" s="32">
        <f>Detail!K79</f>
        <v>2673797</v>
      </c>
      <c r="E67" s="32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0.71999975006627315</v>
      </c>
      <c r="D7" s="39">
        <f>SUM(_xlfn.ANCHORARRAY(M86))*F7</f>
        <v>0.16000073424536454</v>
      </c>
      <c r="E7" s="40">
        <f>SUM(C7:D7)</f>
        <v>0.88000048431163769</v>
      </c>
      <c r="F7" s="41">
        <f>L79</f>
        <v>2.6666668741120001E-3</v>
      </c>
      <c r="G7" s="42">
        <f>1/F7</f>
        <v>374.99997082800223</v>
      </c>
      <c r="H7" s="43">
        <f>D7*G7</f>
        <v>60.000270674470642</v>
      </c>
      <c r="I7" s="59" cm="1">
        <f t="array" ref="I7">LOOKUP(2,1/(K15:K78&lt;&gt;0),P15:P78)</f>
        <v>70</v>
      </c>
      <c r="J7" s="59" t="e" cm="1">
        <f t="array" ref="J7">LOOKUP(2,1/(_xlfn.ANCHORARRAY(K86)&lt;&gt;0),P15:P78)</f>
        <v>#REF!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0.92500039351908048</v>
      </c>
      <c r="E8" s="40">
        <f>SUM(C8:D8)</f>
        <v>0.92500039351908048</v>
      </c>
      <c r="F8" s="44">
        <f>D156</f>
        <v>1</v>
      </c>
      <c r="G8" s="42">
        <f>1/F8</f>
        <v>1</v>
      </c>
      <c r="H8" s="43">
        <f>D8*G8*B8</f>
        <v>69.37502951393104</v>
      </c>
      <c r="I8" s="60"/>
      <c r="J8" s="60" t="e" cm="1">
        <f t="array" ref="J8">LOOKUP(2,1/(_xlfn.ANCHORARRAY(K163)&lt;&gt;0),P15:P78)</f>
        <v>#REF!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1.1604780144820901</v>
      </c>
      <c r="I15" s="35" cm="1">
        <f t="array" ref="I15:I79">D15:D79*H15:H79</f>
        <v>0.72503071299999922</v>
      </c>
      <c r="J15" s="35" cm="1">
        <f t="array" ref="J15:J78">I15:I78/SUM(I15:I78)</f>
        <v>0.72503071299999966</v>
      </c>
      <c r="K15" s="70" cm="1">
        <f t="array" ref="K15:K79">ROUND(J15:J79*$B$2,0)</f>
        <v>725030713</v>
      </c>
      <c r="L15" s="35" cm="1">
        <f t="array" ref="L15:L79">_xlfn.LET(_xlpm.x, K15:K79, _xlpm.x/SUM(_xlpm.x))</f>
        <v>0.72309729761492914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0.72309729761492914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f>I79</f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2.3787627458395</v>
      </c>
      <c r="I99" s="35">
        <v>5.6807953999999952E-2</v>
      </c>
      <c r="J99" s="35">
        <v>5.6807953999999987E-2</v>
      </c>
      <c r="K99" s="70">
        <v>56807954</v>
      </c>
      <c r="L99" s="35">
        <v>5.6795035685158229E-2</v>
      </c>
      <c r="M99" s="35">
        <v>1.2817264924285758</v>
      </c>
      <c r="N99" s="72"/>
      <c r="O99" s="58">
        <v>20</v>
      </c>
      <c r="P99" s="58">
        <v>25</v>
      </c>
      <c r="Q99" s="35">
        <v>5.6795035685158229E-2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6.0808953024243202</v>
      </c>
      <c r="I100" s="35">
        <v>0.15010192900000011</v>
      </c>
      <c r="J100" s="35">
        <v>0.15010192900000022</v>
      </c>
      <c r="K100" s="70">
        <v>150101929</v>
      </c>
      <c r="L100" s="35">
        <v>0.15006779532961331</v>
      </c>
      <c r="M100" s="35">
        <v>4.1370610630841878</v>
      </c>
      <c r="N100" s="72"/>
      <c r="O100" s="58">
        <v>25</v>
      </c>
      <c r="P100" s="58">
        <v>30</v>
      </c>
      <c r="Q100" s="35">
        <v>0.15006779532961331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3.26048108146093</v>
      </c>
      <c r="I101" s="35">
        <v>7.9980934999999892E-2</v>
      </c>
      <c r="J101" s="35">
        <v>7.9980934999999947E-2</v>
      </c>
      <c r="K101" s="70">
        <v>79980935</v>
      </c>
      <c r="L101" s="35">
        <v>7.9962747073364426E-2</v>
      </c>
      <c r="M101" s="35">
        <v>2.6033927269457831</v>
      </c>
      <c r="N101" s="72"/>
      <c r="O101" s="58">
        <v>30</v>
      </c>
      <c r="P101" s="58">
        <v>35</v>
      </c>
      <c r="Q101" s="35">
        <v>7.9962747073364426E-2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5.3568421036478604</v>
      </c>
      <c r="I102" s="35">
        <v>0.13224610999999994</v>
      </c>
      <c r="J102" s="35">
        <v>0.13224611000000003</v>
      </c>
      <c r="K102" s="70">
        <v>132246110</v>
      </c>
      <c r="L102" s="35">
        <v>0.13221603680134936</v>
      </c>
      <c r="M102" s="35">
        <v>4.9651641786519818</v>
      </c>
      <c r="N102" s="72"/>
      <c r="O102" s="58">
        <v>35</v>
      </c>
      <c r="P102" s="58">
        <v>40</v>
      </c>
      <c r="Q102" s="35">
        <v>0.13221603680134936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4.4375298198096997</v>
      </c>
      <c r="I103" s="35">
        <v>0.10795706299999996</v>
      </c>
      <c r="J103" s="35">
        <v>0.10795706300000003</v>
      </c>
      <c r="K103" s="70">
        <v>107957063</v>
      </c>
      <c r="L103" s="35">
        <v>0.10793251321020778</v>
      </c>
      <c r="M103" s="35">
        <v>4.5926607278439144</v>
      </c>
      <c r="N103" s="72"/>
      <c r="O103" s="58">
        <v>40</v>
      </c>
      <c r="P103" s="58">
        <v>45</v>
      </c>
      <c r="Q103" s="35">
        <v>0.10793251321020778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3.6134296221380602</v>
      </c>
      <c r="I104" s="35">
        <v>8.6778826000000045E-2</v>
      </c>
      <c r="J104" s="35">
        <v>8.67788260000001E-2</v>
      </c>
      <c r="K104" s="70">
        <v>86778826</v>
      </c>
      <c r="L104" s="35">
        <v>8.6759092210681218E-2</v>
      </c>
      <c r="M104" s="35">
        <v>4.1249992313306389</v>
      </c>
      <c r="N104" s="72"/>
      <c r="O104" s="58">
        <v>45</v>
      </c>
      <c r="P104" s="58">
        <v>50</v>
      </c>
      <c r="Q104" s="35">
        <v>8.6759092210681218E-2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1.65079699421834</v>
      </c>
      <c r="I105" s="35">
        <v>7.6360255999999793E-2</v>
      </c>
      <c r="J105" s="35">
        <v>7.6360255999999849E-2</v>
      </c>
      <c r="K105" s="70">
        <v>76360256</v>
      </c>
      <c r="L105" s="35">
        <v>7.634289142763033E-2</v>
      </c>
      <c r="M105" s="35">
        <v>4.1998609004232383</v>
      </c>
      <c r="N105" s="72"/>
      <c r="O105" s="58">
        <v>50</v>
      </c>
      <c r="P105" s="58">
        <v>60</v>
      </c>
      <c r="Q105" s="35">
        <v>7.634289142763033E-2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2.0960878367696498</v>
      </c>
      <c r="I106" s="35">
        <v>9.1884315999999785E-2</v>
      </c>
      <c r="J106" s="35">
        <v>9.1884315999999841E-2</v>
      </c>
      <c r="K106" s="70">
        <v>91884316</v>
      </c>
      <c r="L106" s="35">
        <v>9.1863421205529691E-2</v>
      </c>
      <c r="M106" s="35">
        <v>5.9717650494454322</v>
      </c>
      <c r="N106" s="72"/>
      <c r="O106" s="58">
        <v>60</v>
      </c>
      <c r="P106" s="58">
        <v>70</v>
      </c>
      <c r="Q106" s="35">
        <v>9.1863421205529691E-2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0.92907457935818805</v>
      </c>
      <c r="I107" s="35">
        <v>3.8659022000000001E-2</v>
      </c>
      <c r="J107" s="35">
        <v>3.8659022000000029E-2</v>
      </c>
      <c r="K107" s="70">
        <v>38659022</v>
      </c>
      <c r="L107" s="35">
        <v>3.8650230811750716E-2</v>
      </c>
      <c r="M107" s="35">
        <v>2.8987061416741393</v>
      </c>
      <c r="N107" s="72"/>
      <c r="O107" s="58">
        <v>70</v>
      </c>
      <c r="P107" s="58">
        <v>80</v>
      </c>
      <c r="Q107" s="35">
        <v>3.8650230811750716E-2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1.67063282951493</v>
      </c>
      <c r="I108" s="35">
        <v>6.4993214999999951E-2</v>
      </c>
      <c r="J108" s="35">
        <v>6.4993214999999993E-2</v>
      </c>
      <c r="K108" s="70">
        <v>64993215</v>
      </c>
      <c r="L108" s="35">
        <v>6.4978435329992021E-2</v>
      </c>
      <c r="M108" s="35">
        <v>5.5223390990268308</v>
      </c>
      <c r="N108" s="72"/>
      <c r="O108" s="58">
        <v>80</v>
      </c>
      <c r="P108" s="58">
        <v>90</v>
      </c>
      <c r="Q108" s="35">
        <v>6.4978435329992021E-2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0.60218770142185896</v>
      </c>
      <c r="I109" s="78">
        <v>2.1831226000000009E-2</v>
      </c>
      <c r="J109" s="78">
        <v>2.1831226000000023E-2</v>
      </c>
      <c r="K109" s="70">
        <v>21831226</v>
      </c>
      <c r="L109" s="78">
        <v>2.1826261507688769E-2</v>
      </c>
      <c r="M109" s="78">
        <v>2.0735125417107412</v>
      </c>
      <c r="N109" s="72"/>
      <c r="O109" s="58">
        <v>90</v>
      </c>
      <c r="P109" s="58">
        <v>100</v>
      </c>
      <c r="Q109" s="35">
        <v>2.1826261507688769E-2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0.64300953452492704</v>
      </c>
      <c r="I110" s="78">
        <v>4.1976422999999999E-2</v>
      </c>
      <c r="J110" s="78">
        <v>4.1976423000000027E-2</v>
      </c>
      <c r="K110" s="70">
        <v>41976423</v>
      </c>
      <c r="L110" s="78">
        <v>4.196687742389555E-2</v>
      </c>
      <c r="M110" s="78">
        <v>4.6093557590793814</v>
      </c>
      <c r="N110" s="72"/>
      <c r="O110" s="58">
        <v>100</v>
      </c>
      <c r="P110" s="58">
        <v>120</v>
      </c>
      <c r="Q110" s="35">
        <v>4.196687742389555E-2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0.20766797255037101</v>
      </c>
      <c r="I111" s="78">
        <v>1.1747031999999999E-2</v>
      </c>
      <c r="J111" s="78">
        <v>1.1747032000000008E-2</v>
      </c>
      <c r="K111" s="70">
        <v>11747032</v>
      </c>
      <c r="L111" s="78">
        <v>1.1744360686440065E-2</v>
      </c>
      <c r="M111" s="78">
        <v>1.5245705730555594</v>
      </c>
      <c r="N111" s="72"/>
      <c r="O111" s="58">
        <v>120</v>
      </c>
      <c r="P111" s="58">
        <v>140</v>
      </c>
      <c r="Q111" s="35">
        <v>1.1744360686440065E-2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0.29144989912476599</v>
      </c>
      <c r="I112" s="78">
        <v>1.4308641999999998E-2</v>
      </c>
      <c r="J112" s="78">
        <v>1.4308642000000007E-2</v>
      </c>
      <c r="K112" s="70">
        <v>14308642</v>
      </c>
      <c r="L112" s="78">
        <v>1.4305388167934262E-2</v>
      </c>
      <c r="M112" s="78">
        <v>2.1430051489011461</v>
      </c>
      <c r="N112" s="72"/>
      <c r="O112" s="58">
        <v>140</v>
      </c>
      <c r="P112" s="58">
        <v>160</v>
      </c>
      <c r="Q112" s="35">
        <v>1.4305388167934262E-2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0.132292175401553</v>
      </c>
      <c r="I113" s="78">
        <v>5.6459009999999957E-3</v>
      </c>
      <c r="J113" s="78">
        <v>5.6459009999999992E-3</v>
      </c>
      <c r="K113" s="70">
        <v>5645901</v>
      </c>
      <c r="L113" s="78">
        <v>5.644617103616697E-3</v>
      </c>
      <c r="M113" s="78">
        <v>0.95850187501357953</v>
      </c>
      <c r="N113" s="72"/>
      <c r="O113" s="58">
        <v>160</v>
      </c>
      <c r="P113" s="58">
        <v>180</v>
      </c>
      <c r="Q113" s="35">
        <v>5.644617103616697E-3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0.13095337005806401</v>
      </c>
      <c r="I114" s="78">
        <v>4.8347260000000123E-3</v>
      </c>
      <c r="J114" s="78">
        <v>4.8347260000000157E-3</v>
      </c>
      <c r="K114" s="70">
        <v>4834726</v>
      </c>
      <c r="L114" s="78">
        <v>4.8336265674690966E-3</v>
      </c>
      <c r="M114" s="78">
        <v>0.91745589951766415</v>
      </c>
      <c r="N114" s="72"/>
      <c r="O114" s="58">
        <v>180</v>
      </c>
      <c r="P114" s="58">
        <v>200</v>
      </c>
      <c r="Q114" s="35">
        <v>4.8336265674690966E-3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2.3600883464258499E-2</v>
      </c>
      <c r="I115" s="78">
        <v>1.7316979999999987E-3</v>
      </c>
      <c r="J115" s="78">
        <v>1.7316979999999998E-3</v>
      </c>
      <c r="K115" s="70">
        <v>1731698</v>
      </c>
      <c r="L115" s="78">
        <v>1.7313042062017784E-3</v>
      </c>
      <c r="M115" s="78">
        <v>0.38720720189379143</v>
      </c>
      <c r="N115" s="72"/>
      <c r="O115" s="58">
        <v>200</v>
      </c>
      <c r="P115" s="58">
        <v>250</v>
      </c>
      <c r="Q115" s="35">
        <v>1.7313042062017784E-3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2.7696614939820001E-2</v>
      </c>
      <c r="I116" s="78">
        <v>1.4670510000000007E-3</v>
      </c>
      <c r="J116" s="78">
        <v>1.4670510000000018E-3</v>
      </c>
      <c r="K116" s="70">
        <v>1467051</v>
      </c>
      <c r="L116" s="78">
        <v>1.4667173877965587E-3</v>
      </c>
      <c r="M116" s="78">
        <v>0.40152991959954343</v>
      </c>
      <c r="N116" s="72"/>
      <c r="O116" s="58">
        <v>250</v>
      </c>
      <c r="P116" s="58">
        <v>300</v>
      </c>
      <c r="Q116" s="35">
        <v>1.4667173877965587E-3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3.2649745041032199E-2</v>
      </c>
      <c r="I117" s="78">
        <v>1.2787419999999996E-3</v>
      </c>
      <c r="J117" s="78">
        <v>1.2787420000000005E-3</v>
      </c>
      <c r="K117" s="70">
        <v>1278742</v>
      </c>
      <c r="L117" s="78">
        <v>1.2784512098800568E-3</v>
      </c>
      <c r="M117" s="78">
        <v>0.41394584895402442</v>
      </c>
      <c r="N117" s="72"/>
      <c r="O117" s="58">
        <v>300</v>
      </c>
      <c r="P117" s="58">
        <v>350</v>
      </c>
      <c r="Q117" s="35">
        <v>1.2784512098800568E-3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3.8680747215961597E-2</v>
      </c>
      <c r="I118" s="78">
        <v>1.1356049999999987E-3</v>
      </c>
      <c r="J118" s="78">
        <v>1.1356049999999994E-3</v>
      </c>
      <c r="K118" s="70">
        <v>1135605</v>
      </c>
      <c r="L118" s="78">
        <v>1.1353467597027718E-3</v>
      </c>
      <c r="M118" s="78">
        <v>0.42449572100721117</v>
      </c>
      <c r="N118" s="72"/>
      <c r="O118" s="58">
        <v>350</v>
      </c>
      <c r="P118" s="58">
        <v>400</v>
      </c>
      <c r="Q118" s="35">
        <v>1.1353467597027718E-3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4.5847347063924002E-2</v>
      </c>
      <c r="I119" s="78">
        <v>1.0220149999999989E-3</v>
      </c>
      <c r="J119" s="78">
        <v>1.0220149999999996E-3</v>
      </c>
      <c r="K119" s="70">
        <v>1022015</v>
      </c>
      <c r="L119" s="78">
        <v>1.0217825904408912E-3</v>
      </c>
      <c r="M119" s="78">
        <v>0.43315353996250988</v>
      </c>
      <c r="N119" s="72"/>
      <c r="O119" s="58">
        <v>400</v>
      </c>
      <c r="P119" s="58">
        <v>450</v>
      </c>
      <c r="Q119" s="35">
        <v>1.0217825904408912E-3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5.3470965899376798E-2</v>
      </c>
      <c r="I120" s="78">
        <v>9.2825299999999976E-4</v>
      </c>
      <c r="J120" s="78">
        <v>9.2825300000000041E-4</v>
      </c>
      <c r="K120" s="70">
        <v>928253</v>
      </c>
      <c r="L120" s="78">
        <v>9.2804191222685449E-4</v>
      </c>
      <c r="M120" s="78">
        <v>0.43994203419922812</v>
      </c>
      <c r="N120" s="72"/>
      <c r="O120" s="58">
        <v>450</v>
      </c>
      <c r="P120" s="58">
        <v>500</v>
      </c>
      <c r="Q120" s="35">
        <v>9.2804191222685449E-4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6.1990767586701599E-2</v>
      </c>
      <c r="I121" s="78">
        <v>8.4912100000000021E-4</v>
      </c>
      <c r="J121" s="78">
        <v>8.4912100000000075E-4</v>
      </c>
      <c r="K121" s="70">
        <v>849121</v>
      </c>
      <c r="L121" s="78">
        <v>8.4892790710288995E-4</v>
      </c>
      <c r="M121" s="78">
        <v>0.4448260468759459</v>
      </c>
      <c r="N121" s="72"/>
      <c r="O121" s="58">
        <v>500</v>
      </c>
      <c r="P121" s="58">
        <v>550</v>
      </c>
      <c r="Q121" s="35">
        <v>8.4892790710288995E-4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7.1653897881180206E-2</v>
      </c>
      <c r="I122" s="35">
        <v>7.8021100000000016E-4</v>
      </c>
      <c r="J122" s="35">
        <v>7.8021100000000071E-4</v>
      </c>
      <c r="K122" s="70">
        <v>780211</v>
      </c>
      <c r="L122" s="35">
        <v>7.8003357746263822E-4</v>
      </c>
      <c r="M122" s="35">
        <v>0.44784988750962718</v>
      </c>
      <c r="N122" s="72"/>
      <c r="O122" s="58">
        <v>550</v>
      </c>
      <c r="P122" s="58">
        <v>600</v>
      </c>
      <c r="Q122" s="35">
        <v>7.8003357746263822E-4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8.2450555044947693E-2</v>
      </c>
      <c r="I123" s="35">
        <v>7.1961000000000008E-4</v>
      </c>
      <c r="J123" s="35">
        <v>7.1961000000000052E-4</v>
      </c>
      <c r="K123" s="70">
        <v>719610</v>
      </c>
      <c r="L123" s="35">
        <v>7.1944635832856636E-4</v>
      </c>
      <c r="M123" s="35">
        <v>0.44898322166703952</v>
      </c>
      <c r="N123" s="72"/>
      <c r="O123" s="58">
        <v>600</v>
      </c>
      <c r="P123" s="58">
        <v>650</v>
      </c>
      <c r="Q123" s="35">
        <v>7.1944635832856636E-4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9.3991022068376895E-2</v>
      </c>
      <c r="I124" s="35">
        <v>6.6497299999999969E-4</v>
      </c>
      <c r="J124" s="35">
        <v>6.6497300000000013E-4</v>
      </c>
      <c r="K124" s="70">
        <v>664973</v>
      </c>
      <c r="L124" s="35">
        <v>6.6482178296135657E-4</v>
      </c>
      <c r="M124" s="35">
        <v>0.44824090188281202</v>
      </c>
      <c r="N124" s="72"/>
      <c r="O124" s="58">
        <v>650</v>
      </c>
      <c r="P124" s="58">
        <v>700</v>
      </c>
      <c r="Q124" s="35">
        <v>6.6482178296135657E-4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0.10531296224893601</v>
      </c>
      <c r="I125" s="35">
        <v>6.1535399999999971E-4</v>
      </c>
      <c r="J125" s="35">
        <v>6.1535400000000014E-4</v>
      </c>
      <c r="K125" s="70">
        <v>615354</v>
      </c>
      <c r="L125" s="35">
        <v>6.1521406648450778E-4</v>
      </c>
      <c r="M125" s="35">
        <v>0.44560775351616455</v>
      </c>
      <c r="N125" s="72"/>
      <c r="O125" s="58">
        <v>700</v>
      </c>
      <c r="P125" s="58">
        <v>750</v>
      </c>
      <c r="Q125" s="35">
        <v>6.1521406648450778E-4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0.117773427631657</v>
      </c>
      <c r="I126" s="35">
        <v>5.698550000000016E-4</v>
      </c>
      <c r="J126" s="35">
        <v>5.6985500000000203E-4</v>
      </c>
      <c r="K126" s="70">
        <v>569855</v>
      </c>
      <c r="L126" s="35">
        <v>5.6972541310616189E-4</v>
      </c>
      <c r="M126" s="35">
        <v>0.44111216690737803</v>
      </c>
      <c r="N126" s="72"/>
      <c r="O126" s="58">
        <v>750</v>
      </c>
      <c r="P126" s="58">
        <v>800</v>
      </c>
      <c r="Q126" s="35">
        <v>5.6972541310616189E-4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0.13047391762150501</v>
      </c>
      <c r="I127" s="35">
        <v>5.2752199999999967E-4</v>
      </c>
      <c r="J127" s="35">
        <v>5.27522E-4</v>
      </c>
      <c r="K127" s="70">
        <v>527522</v>
      </c>
      <c r="L127" s="35">
        <v>5.2740203976904434E-4</v>
      </c>
      <c r="M127" s="35">
        <v>0.43473461932176866</v>
      </c>
      <c r="N127" s="72"/>
      <c r="O127" s="58">
        <v>800</v>
      </c>
      <c r="P127" s="58">
        <v>850</v>
      </c>
      <c r="Q127" s="35">
        <v>5.2740203976904434E-4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0.14451017838454999</v>
      </c>
      <c r="I128" s="35">
        <v>4.879089999999991E-4</v>
      </c>
      <c r="J128" s="35">
        <v>4.8790899999999942E-4</v>
      </c>
      <c r="K128" s="71">
        <v>487909</v>
      </c>
      <c r="L128" s="35">
        <v>4.8779804789501603E-4</v>
      </c>
      <c r="M128" s="35">
        <v>0.42647255530412276</v>
      </c>
      <c r="N128" s="72"/>
      <c r="O128" s="58">
        <v>850</v>
      </c>
      <c r="P128" s="58">
        <v>900</v>
      </c>
      <c r="Q128" s="35">
        <v>4.8779804789501603E-4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0.156768113919033</v>
      </c>
      <c r="I129" s="35">
        <v>4.5047799999999949E-4</v>
      </c>
      <c r="J129" s="35">
        <v>4.5047799999999982E-4</v>
      </c>
      <c r="K129" s="71">
        <v>450478</v>
      </c>
      <c r="L129" s="35">
        <v>4.5037555982703953E-4</v>
      </c>
      <c r="M129" s="35">
        <v>0.41631970641598792</v>
      </c>
      <c r="N129" s="72"/>
      <c r="O129" s="58">
        <v>900</v>
      </c>
      <c r="P129" s="58">
        <v>950</v>
      </c>
      <c r="Q129" s="35">
        <v>4.5037555982703953E-4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0.170840509665902</v>
      </c>
      <c r="I130" s="35">
        <v>4.1508199999999999E-4</v>
      </c>
      <c r="J130" s="35">
        <v>4.1508200000000027E-4</v>
      </c>
      <c r="K130" s="71">
        <v>415082</v>
      </c>
      <c r="L130" s="35">
        <v>4.1498760899339642E-4</v>
      </c>
      <c r="M130" s="35">
        <v>0.40432776582177832</v>
      </c>
      <c r="N130" s="72"/>
      <c r="O130" s="58">
        <v>950</v>
      </c>
      <c r="P130" s="58">
        <v>1000</v>
      </c>
      <c r="Q130" s="35">
        <v>4.1498760899339642E-4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1.3333052879976199E-2</v>
      </c>
      <c r="I131" s="35">
        <v>2.0844699999999946E-4</v>
      </c>
      <c r="J131" s="35">
        <v>2.084469999999996E-4</v>
      </c>
      <c r="K131" s="71">
        <v>470400</v>
      </c>
      <c r="L131" s="35">
        <v>4.702930294989753E-4</v>
      </c>
      <c r="M131" s="35">
        <v>0.61744437549890863</v>
      </c>
      <c r="N131" s="72"/>
      <c r="O131" s="58">
        <v>1000</v>
      </c>
      <c r="P131" s="58">
        <v>2000</v>
      </c>
      <c r="Q131" s="35">
        <v>4.702930294989753E-4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21.9448520790909</v>
      </c>
      <c r="I139" s="35">
        <v>3.4497999999999987E-5</v>
      </c>
      <c r="J139" s="35">
        <v>3.4498000000000008E-5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1.40796777043221</v>
      </c>
      <c r="I176" s="35">
        <v>3.3624104999999925E-2</v>
      </c>
      <c r="J176" s="35">
        <v>3.3624104999999911E-2</v>
      </c>
      <c r="K176" s="70">
        <v>33624101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5.77273946130226</v>
      </c>
      <c r="I177" s="35">
        <v>0.14249535400000002</v>
      </c>
      <c r="J177" s="35">
        <v>0.14249535399999996</v>
      </c>
      <c r="K177" s="70">
        <v>142495353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2.1855017436272099</v>
      </c>
      <c r="I178" s="35">
        <v>5.3611251999999963E-2</v>
      </c>
      <c r="J178" s="35">
        <v>5.3611251999999943E-2</v>
      </c>
      <c r="K178" s="70">
        <v>53611252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3.8229317384969801</v>
      </c>
      <c r="I179" s="35">
        <v>9.437796400000012E-2</v>
      </c>
      <c r="J179" s="35">
        <v>9.4377964000000078E-2</v>
      </c>
      <c r="K179" s="70">
        <v>94377963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3.3724575994364998</v>
      </c>
      <c r="I180" s="35">
        <v>8.2045784999999885E-2</v>
      </c>
      <c r="J180" s="35">
        <v>8.2045784999999843E-2</v>
      </c>
      <c r="K180" s="70">
        <v>82045785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2.9240328455539601</v>
      </c>
      <c r="I181" s="35">
        <v>7.0222521000000038E-2</v>
      </c>
      <c r="J181" s="35">
        <v>7.022252100000001E-2</v>
      </c>
      <c r="K181" s="70">
        <v>70222520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1.46850592598577</v>
      </c>
      <c r="I182" s="35">
        <v>6.7928091000000163E-2</v>
      </c>
      <c r="J182" s="35">
        <v>6.7928091000000135E-2</v>
      </c>
      <c r="K182" s="70">
        <v>67928092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2.1176754323865201</v>
      </c>
      <c r="I183" s="35">
        <v>9.2830631999999885E-2</v>
      </c>
      <c r="J183" s="35">
        <v>9.2830631999999844E-2</v>
      </c>
      <c r="K183" s="70">
        <v>92830631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1.0670735705251799</v>
      </c>
      <c r="I184" s="35">
        <v>4.4401194000000199E-2</v>
      </c>
      <c r="J184" s="35">
        <v>4.4401194000000178E-2</v>
      </c>
      <c r="K184" s="70">
        <v>44401194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2.1835629909846701</v>
      </c>
      <c r="I185" s="35">
        <v>8.4947917000000123E-2</v>
      </c>
      <c r="J185" s="35">
        <v>8.4947917000000081E-2</v>
      </c>
      <c r="K185" s="70">
        <v>84947917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0.89662897919593998</v>
      </c>
      <c r="I186" s="35">
        <v>3.2505662000000012E-2</v>
      </c>
      <c r="J186" s="35">
        <v>3.2505661999999998E-2</v>
      </c>
      <c r="K186" s="70">
        <v>32505661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1.16513608784401</v>
      </c>
      <c r="I187" s="35">
        <v>7.6061461999999844E-2</v>
      </c>
      <c r="J187" s="35">
        <v>7.6061461999999816E-2</v>
      </c>
      <c r="K187" s="70">
        <v>76061463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0.492131359222853</v>
      </c>
      <c r="I188" s="35">
        <v>2.7838105000000016E-2</v>
      </c>
      <c r="J188" s="35">
        <v>2.7838105000000002E-2</v>
      </c>
      <c r="K188" s="70">
        <v>27838104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0.90821405321525595</v>
      </c>
      <c r="I189" s="35">
        <v>4.4588486000000011E-2</v>
      </c>
      <c r="J189" s="35">
        <v>4.458848599999999E-2</v>
      </c>
      <c r="K189" s="70">
        <v>44588485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0.54626995595036298</v>
      </c>
      <c r="I190" s="35">
        <v>2.3313443E-2</v>
      </c>
      <c r="J190" s="35">
        <v>2.3313442999999989E-2</v>
      </c>
      <c r="K190" s="70">
        <v>23313443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0.72236065804023397</v>
      </c>
      <c r="I191" s="35">
        <v>2.6669155999999992E-2</v>
      </c>
      <c r="J191" s="35">
        <v>2.6669155999999982E-2</v>
      </c>
      <c r="K191" s="70">
        <v>26669156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4.55947189475345E-3</v>
      </c>
      <c r="I192" s="35">
        <v>3.345480000000001E-4</v>
      </c>
      <c r="J192" s="35">
        <v>3.3454799999999994E-4</v>
      </c>
      <c r="K192" s="70">
        <v>334549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5.1598868903890097E-3</v>
      </c>
      <c r="I193" s="35">
        <v>2.7331200000000022E-4</v>
      </c>
      <c r="J193" s="35">
        <v>2.7331200000000011E-4</v>
      </c>
      <c r="K193" s="70">
        <v>273312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5.9002001053081003E-3</v>
      </c>
      <c r="I194" s="35">
        <v>2.3108400000000013E-4</v>
      </c>
      <c r="J194" s="35">
        <v>2.3108400000000003E-4</v>
      </c>
      <c r="K194" s="70">
        <v>231084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6.8163446714452599E-3</v>
      </c>
      <c r="I195" s="35">
        <v>2.0011699999999995E-4</v>
      </c>
      <c r="J195" s="35">
        <v>2.0011699999999987E-4</v>
      </c>
      <c r="K195" s="70">
        <v>200118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7.9177924043479404E-3</v>
      </c>
      <c r="I196" s="35">
        <v>1.7650100000000005E-4</v>
      </c>
      <c r="J196" s="35">
        <v>1.7650099999999997E-4</v>
      </c>
      <c r="K196" s="70">
        <v>176501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9.0919069507215608E-3</v>
      </c>
      <c r="I197" s="35">
        <v>1.5783500000000002E-4</v>
      </c>
      <c r="J197" s="35">
        <v>1.5783499999999994E-4</v>
      </c>
      <c r="K197" s="70">
        <v>157835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1.04247918338793E-2</v>
      </c>
      <c r="I198" s="35">
        <v>1.4279399999999934E-4</v>
      </c>
      <c r="J198" s="35">
        <v>1.4279399999999928E-4</v>
      </c>
      <c r="K198" s="70">
        <v>142794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1.19684751584833E-2</v>
      </c>
      <c r="I199" s="35">
        <v>1.3032000000000015E-4</v>
      </c>
      <c r="J199" s="35">
        <v>1.3032000000000009E-4</v>
      </c>
      <c r="K199" s="70">
        <v>130319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1.37370615285487E-2</v>
      </c>
      <c r="I200" s="35">
        <v>1.1989399999999966E-4</v>
      </c>
      <c r="J200" s="35">
        <v>1.1989399999999961E-4</v>
      </c>
      <c r="K200" s="70">
        <v>119894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1.5685689017473001E-2</v>
      </c>
      <c r="I201" s="35">
        <v>1.1097400000000013E-4</v>
      </c>
      <c r="J201" s="35">
        <v>1.1097400000000008E-4</v>
      </c>
      <c r="K201" s="70">
        <v>110974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1.7679147796678601E-2</v>
      </c>
      <c r="I202" s="35">
        <v>1.033010000000002E-4</v>
      </c>
      <c r="J202" s="35">
        <v>1.0330100000000015E-4</v>
      </c>
      <c r="K202" s="70">
        <v>103301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1.9972428950290898E-2</v>
      </c>
      <c r="I203" s="35">
        <v>9.6637999999999843E-5</v>
      </c>
      <c r="J203" s="35">
        <v>9.6637999999999802E-5</v>
      </c>
      <c r="K203" s="70">
        <v>96638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2.2450223931108799E-2</v>
      </c>
      <c r="I204" s="35">
        <v>9.0768999999999862E-5</v>
      </c>
      <c r="J204" s="35">
        <v>9.0768999999999822E-5</v>
      </c>
      <c r="K204" s="70">
        <v>90771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2.5347606984761899E-2</v>
      </c>
      <c r="I205" s="35">
        <v>8.5580999999999979E-5</v>
      </c>
      <c r="J205" s="35">
        <v>8.5580999999999938E-5</v>
      </c>
      <c r="K205" s="71">
        <v>85581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2.8167786015566701E-2</v>
      </c>
      <c r="I206" s="35">
        <v>8.0940999999999942E-5</v>
      </c>
      <c r="J206" s="35">
        <v>8.0940999999999901E-5</v>
      </c>
      <c r="K206" s="71">
        <v>80942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3.1607482231927497E-2</v>
      </c>
      <c r="I207" s="35">
        <v>7.6794999999999904E-5</v>
      </c>
      <c r="J207" s="35">
        <v>7.6794999999999864E-5</v>
      </c>
      <c r="K207" s="71">
        <v>76795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3.6452304450386198E-3</v>
      </c>
      <c r="I208" s="35">
        <v>5.6988999999999965E-5</v>
      </c>
      <c r="J208" s="35">
        <v>5.6988999999999938E-5</v>
      </c>
      <c r="K208" s="71">
        <v>56990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3.3198652324403402E-2</v>
      </c>
      <c r="I209" s="35">
        <v>6.3224999999999965E-5</v>
      </c>
      <c r="J209" s="35">
        <v>6.3224999999999938E-5</v>
      </c>
      <c r="K209" s="71">
        <v>93220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 cm="1">
        <f t="array" ref="J7">LOOKUP(2,1/(_xlfn.ANCHORARRAY(K86)&lt;&gt;0),P15:P78)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733362426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147073504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43093495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19740550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12108868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7862117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6066338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3265440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3661421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2962011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1920529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10160353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4355288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2430625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2344760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10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3590649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2026-09-18T08:52:59Z</dcterms:modified>
</cp:coreProperties>
</file>