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E0E1103D-5251-4DAA-8676-43AAA30C2386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C21" i="1"/>
  <c r="A21" i="1"/>
  <c r="A17" i="1"/>
  <c r="A11" i="1" a="1"/>
  <c r="A12" i="1" s="1"/>
  <c r="L156" i="5" l="1"/>
  <c r="E163" i="5" a="1"/>
  <c r="E163" i="5" s="1"/>
  <c r="E46" i="3"/>
  <c r="E30" i="3"/>
  <c r="E14" i="3"/>
  <c r="E11" i="3"/>
  <c r="E15" i="5" a="1"/>
  <c r="E15" i="5" s="1"/>
  <c r="E86" i="5" a="1"/>
  <c r="E86" i="5" s="1"/>
  <c r="E156" i="5"/>
  <c r="C8" i="3"/>
  <c r="C66" i="3"/>
  <c r="C53" i="3"/>
  <c r="C21" i="3"/>
  <c r="C56" i="3"/>
  <c r="C37" i="3"/>
  <c r="C24" i="3"/>
  <c r="C18" i="3"/>
  <c r="C50" i="3"/>
  <c r="C40" i="3"/>
  <c r="C34" i="3"/>
  <c r="C5" i="3"/>
  <c r="J79" i="5"/>
  <c r="K15" i="5" s="1" a="1"/>
  <c r="K15" i="5" s="1"/>
  <c r="E86" i="6" a="1"/>
  <c r="E86" i="6" s="1"/>
  <c r="A11" i="1"/>
  <c r="J79" i="6"/>
  <c r="I15" i="6"/>
  <c r="J15" i="6" s="1" a="1"/>
  <c r="J15" i="6" s="1"/>
  <c r="F58" i="3"/>
  <c r="F42" i="3"/>
  <c r="F26" i="3"/>
  <c r="F10" i="3"/>
  <c r="F5" i="3"/>
  <c r="F24" i="3"/>
  <c r="F61" i="3"/>
  <c r="F45" i="3"/>
  <c r="F29" i="3"/>
  <c r="F13" i="3"/>
  <c r="F60" i="3"/>
  <c r="F34" i="3"/>
  <c r="F53" i="3"/>
  <c r="F37" i="3"/>
  <c r="F64" i="3"/>
  <c r="F48" i="3"/>
  <c r="F32" i="3"/>
  <c r="F16" i="3"/>
  <c r="F57" i="3"/>
  <c r="F25" i="3"/>
  <c r="F28" i="3"/>
  <c r="F12" i="3"/>
  <c r="F66" i="3"/>
  <c r="F50" i="3"/>
  <c r="F18" i="3"/>
  <c r="F21" i="3"/>
  <c r="F51" i="3"/>
  <c r="F35" i="3"/>
  <c r="F19" i="3"/>
  <c r="F54" i="3"/>
  <c r="F38" i="3"/>
  <c r="F22" i="3"/>
  <c r="F6" i="3"/>
  <c r="F41" i="3"/>
  <c r="F9" i="3"/>
  <c r="F44" i="3"/>
  <c r="F63" i="3"/>
  <c r="F47" i="3"/>
  <c r="F31" i="3"/>
  <c r="F15" i="3"/>
  <c r="F56" i="3"/>
  <c r="F40" i="3"/>
  <c r="F8" i="3"/>
  <c r="F52" i="3"/>
  <c r="F36" i="3"/>
  <c r="F20" i="3"/>
  <c r="F4" i="3"/>
  <c r="F55" i="3"/>
  <c r="F39" i="3"/>
  <c r="F23" i="3"/>
  <c r="F7" i="3"/>
  <c r="F43" i="3"/>
  <c r="F59" i="3"/>
  <c r="F65" i="3"/>
  <c r="F33" i="3"/>
  <c r="F49" i="3"/>
  <c r="F14" i="3"/>
  <c r="F27" i="3"/>
  <c r="F17" i="3"/>
  <c r="F30" i="3"/>
  <c r="F46" i="3"/>
  <c r="F11" i="3"/>
  <c r="F62" i="3"/>
  <c r="E55" i="3"/>
  <c r="E39" i="3"/>
  <c r="E23" i="3"/>
  <c r="E7" i="3"/>
  <c r="E22" i="3"/>
  <c r="E6" i="3"/>
  <c r="E53" i="3"/>
  <c r="E5" i="3"/>
  <c r="E58" i="3"/>
  <c r="E42" i="3"/>
  <c r="E26" i="3"/>
  <c r="E10" i="3"/>
  <c r="E61" i="3"/>
  <c r="E45" i="3"/>
  <c r="E29" i="3"/>
  <c r="E13" i="3"/>
  <c r="E35" i="3"/>
  <c r="E38" i="3"/>
  <c r="E57" i="3"/>
  <c r="E41" i="3"/>
  <c r="E25" i="3"/>
  <c r="E63" i="3"/>
  <c r="E47" i="3"/>
  <c r="E31" i="3"/>
  <c r="E15" i="3"/>
  <c r="E66" i="3"/>
  <c r="E64" i="3"/>
  <c r="E48" i="3"/>
  <c r="E32" i="3"/>
  <c r="E16" i="3"/>
  <c r="E51" i="3"/>
  <c r="E19" i="3"/>
  <c r="E54" i="3"/>
  <c r="E9" i="3"/>
  <c r="E60" i="3"/>
  <c r="E44" i="3"/>
  <c r="E28" i="3"/>
  <c r="E12" i="3"/>
  <c r="E50" i="3"/>
  <c r="E34" i="3"/>
  <c r="E18" i="3"/>
  <c r="E37" i="3"/>
  <c r="E21" i="3"/>
  <c r="E65" i="3"/>
  <c r="E49" i="3"/>
  <c r="E33" i="3"/>
  <c r="E17" i="3"/>
  <c r="E52" i="3"/>
  <c r="E36" i="3"/>
  <c r="E20" i="3"/>
  <c r="E4" i="3"/>
  <c r="E56" i="3"/>
  <c r="E40" i="3"/>
  <c r="E24" i="3"/>
  <c r="E59" i="3"/>
  <c r="E8" i="3"/>
  <c r="E43" i="3"/>
  <c r="E27" i="3"/>
  <c r="E62" i="3"/>
  <c r="C65" i="3"/>
  <c r="C49" i="3"/>
  <c r="C33" i="3"/>
  <c r="C17" i="3"/>
  <c r="C64" i="3"/>
  <c r="C51" i="3"/>
  <c r="C57" i="3"/>
  <c r="C41" i="3"/>
  <c r="C25" i="3"/>
  <c r="C52" i="3"/>
  <c r="C36" i="3"/>
  <c r="C20" i="3"/>
  <c r="C4" i="3"/>
  <c r="C9" i="3"/>
  <c r="C31" i="3"/>
  <c r="C55" i="3"/>
  <c r="C39" i="3"/>
  <c r="C23" i="3"/>
  <c r="C7" i="3"/>
  <c r="C48" i="3"/>
  <c r="C32" i="3"/>
  <c r="C16" i="3"/>
  <c r="C19" i="3"/>
  <c r="C44" i="3"/>
  <c r="C12" i="3"/>
  <c r="C58" i="3"/>
  <c r="C42" i="3"/>
  <c r="C26" i="3"/>
  <c r="C10" i="3"/>
  <c r="C61" i="3"/>
  <c r="C45" i="3"/>
  <c r="C29" i="3"/>
  <c r="C13" i="3"/>
  <c r="C35" i="3"/>
  <c r="C54" i="3"/>
  <c r="C38" i="3"/>
  <c r="C22" i="3"/>
  <c r="C6" i="3"/>
  <c r="C60" i="3"/>
  <c r="C28" i="3"/>
  <c r="C63" i="3"/>
  <c r="C47" i="3"/>
  <c r="C15" i="3"/>
  <c r="C59" i="3"/>
  <c r="C43" i="3"/>
  <c r="C27" i="3"/>
  <c r="C11" i="3"/>
  <c r="C62" i="3"/>
  <c r="C46" i="3"/>
  <c r="C30" i="3"/>
  <c r="C14" i="3"/>
  <c r="M156" i="5" l="1"/>
  <c r="C8" i="5" s="1"/>
  <c r="B21" i="1" s="1"/>
  <c r="D52" i="3"/>
  <c r="D36" i="3"/>
  <c r="D20" i="3"/>
  <c r="D4" i="3"/>
  <c r="D51" i="3"/>
  <c r="D35" i="3"/>
  <c r="D67" i="3"/>
  <c r="D38" i="3"/>
  <c r="D12" i="3"/>
  <c r="D66" i="3"/>
  <c r="D55" i="3"/>
  <c r="D39" i="3"/>
  <c r="D23" i="3"/>
  <c r="D7" i="3"/>
  <c r="D6" i="3"/>
  <c r="D60" i="3"/>
  <c r="D63" i="3"/>
  <c r="D15" i="3"/>
  <c r="D50" i="3"/>
  <c r="D58" i="3"/>
  <c r="D42" i="3"/>
  <c r="D26" i="3"/>
  <c r="D10" i="3"/>
  <c r="D44" i="3"/>
  <c r="D28" i="3"/>
  <c r="D31" i="3"/>
  <c r="D34" i="3"/>
  <c r="D61" i="3"/>
  <c r="D45" i="3"/>
  <c r="D29" i="3"/>
  <c r="D13" i="3"/>
  <c r="D64" i="3"/>
  <c r="D48" i="3"/>
  <c r="D32" i="3"/>
  <c r="D16" i="3"/>
  <c r="D19" i="3"/>
  <c r="D54" i="3"/>
  <c r="D22" i="3"/>
  <c r="D57" i="3"/>
  <c r="D41" i="3"/>
  <c r="D25" i="3"/>
  <c r="D9" i="3"/>
  <c r="D47" i="3"/>
  <c r="D18" i="3"/>
  <c r="D62" i="3"/>
  <c r="D46" i="3"/>
  <c r="D30" i="3"/>
  <c r="D14" i="3"/>
  <c r="D65" i="3"/>
  <c r="D49" i="3"/>
  <c r="D33" i="3"/>
  <c r="D17" i="3"/>
  <c r="D11" i="3"/>
  <c r="D27" i="3"/>
  <c r="D43" i="3"/>
  <c r="D8" i="3"/>
  <c r="D59" i="3"/>
  <c r="D24" i="3"/>
  <c r="D40" i="3"/>
  <c r="D5" i="3"/>
  <c r="D56" i="3"/>
  <c r="D21" i="3"/>
  <c r="D37" i="3"/>
  <c r="D53" i="3"/>
  <c r="J8" i="5" a="1"/>
  <c r="J8" i="5" s="1"/>
  <c r="L163" i="5" a="1"/>
  <c r="L163" i="5" s="1"/>
  <c r="F3" i="3"/>
  <c r="E3" i="3"/>
  <c r="J7" i="5" a="1"/>
  <c r="J7" i="5" s="1"/>
  <c r="L86" i="5" a="1"/>
  <c r="L86" i="5" s="1"/>
  <c r="J7" i="6" a="1"/>
  <c r="J7" i="6" s="1"/>
  <c r="C3" i="3"/>
  <c r="L86" i="6" a="1"/>
  <c r="L86" i="6" s="1"/>
  <c r="B40" i="3" l="1"/>
  <c r="B23" i="3"/>
  <c r="B39" i="3"/>
  <c r="B6" i="3"/>
  <c r="B52" i="3"/>
  <c r="B20" i="3"/>
  <c r="B43" i="3"/>
  <c r="B12" i="3"/>
  <c r="B32" i="3"/>
  <c r="B36" i="3"/>
  <c r="B5" i="3"/>
  <c r="B65" i="3"/>
  <c r="B34" i="3"/>
  <c r="B27" i="3"/>
  <c r="B59" i="3"/>
  <c r="B26" i="3"/>
  <c r="B7" i="3"/>
  <c r="B8" i="3"/>
  <c r="B24" i="3"/>
  <c r="B18" i="3"/>
  <c r="B54" i="3"/>
  <c r="B38" i="3"/>
  <c r="B21" i="3"/>
  <c r="B4" i="3"/>
  <c r="B9" i="3"/>
  <c r="B60" i="3"/>
  <c r="B25" i="3"/>
  <c r="B19" i="3"/>
  <c r="B44" i="3"/>
  <c r="B42" i="3"/>
  <c r="B58" i="3"/>
  <c r="B47" i="3"/>
  <c r="B53" i="3"/>
  <c r="B56" i="3"/>
  <c r="B55" i="3"/>
  <c r="B17" i="3"/>
  <c r="B49" i="3"/>
  <c r="B37" i="3"/>
  <c r="B28" i="3"/>
  <c r="B57" i="3"/>
  <c r="B33" i="3"/>
  <c r="B15" i="3"/>
  <c r="B35" i="3"/>
  <c r="B48" i="3"/>
  <c r="B16" i="3"/>
  <c r="B50" i="3"/>
  <c r="B51" i="3"/>
  <c r="B13" i="3"/>
  <c r="B14" i="3"/>
  <c r="B31" i="3"/>
  <c r="B67" i="3"/>
  <c r="B45" i="3"/>
  <c r="B30" i="3"/>
  <c r="B66" i="3"/>
  <c r="B64" i="3"/>
  <c r="B61" i="3"/>
  <c r="B46" i="3"/>
  <c r="B11" i="3"/>
  <c r="B29" i="3"/>
  <c r="B10" i="3"/>
  <c r="B62" i="3"/>
  <c r="B63" i="3"/>
  <c r="B41" i="3"/>
  <c r="B22" i="3"/>
  <c r="L15" i="6" a="1"/>
  <c r="I7" i="6" a="1"/>
  <c r="I7" i="6" s="1"/>
  <c r="B3" i="3"/>
  <c r="M86" i="6" a="1"/>
  <c r="M86" i="6" s="1"/>
  <c r="Q86" i="6" a="1"/>
  <c r="Q86" i="6" s="1"/>
  <c r="U86" i="6" a="1"/>
  <c r="U86" i="6" s="1"/>
  <c r="D3" i="3"/>
  <c r="L15" i="5" a="1"/>
  <c r="I7" i="5" a="1"/>
  <c r="I7" i="5" s="1"/>
  <c r="U86" i="5" a="1"/>
  <c r="U86" i="5" s="1"/>
  <c r="Q86" i="5" a="1"/>
  <c r="Q86" i="5" s="1"/>
  <c r="M86" i="5" a="1"/>
  <c r="M86" i="5" s="1"/>
  <c r="Q163" i="5" a="1"/>
  <c r="Q163" i="5" s="1"/>
  <c r="M163" i="5" a="1"/>
  <c r="M163" i="5" s="1"/>
  <c r="D8" i="5" s="1"/>
  <c r="U163" i="5" a="1"/>
  <c r="U163" i="5" s="1"/>
  <c r="B22" i="1" l="1"/>
  <c r="C12" i="1" s="1"/>
  <c r="H8" i="5"/>
  <c r="E8" i="5"/>
  <c r="L15" i="5"/>
  <c r="F7" i="5"/>
  <c r="L15" i="6"/>
  <c r="F7" i="6"/>
  <c r="U15" i="6" l="1" a="1"/>
  <c r="U15" i="6" s="1"/>
  <c r="M15" i="6" a="1"/>
  <c r="M15" i="6" s="1"/>
  <c r="C7" i="6" s="1"/>
  <c r="Q15" i="6" a="1"/>
  <c r="Q15" i="6" s="1"/>
  <c r="D7" i="5"/>
  <c r="G7" i="5"/>
  <c r="D17" i="1" s="1"/>
  <c r="C17" i="1" s="1"/>
  <c r="M15" i="5" a="1"/>
  <c r="M15" i="5" s="1"/>
  <c r="C7" i="5" s="1"/>
  <c r="Q15" i="5" a="1"/>
  <c r="Q15" i="5" s="1"/>
  <c r="U15" i="5" a="1"/>
  <c r="U15" i="5" s="1"/>
  <c r="G7" i="6"/>
  <c r="D7" i="6"/>
  <c r="H7" i="6" l="1"/>
  <c r="E7" i="5"/>
  <c r="B17" i="1"/>
  <c r="H7" i="5"/>
  <c r="B18" i="1"/>
  <c r="E7" i="6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<sst xmlns="http://schemas.openxmlformats.org/spreadsheetml/2006/main" count="287" uniqueCount="127">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</sst>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0.87999976196741947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0.92499998930197624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0.16000001190114629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0.92499998930197624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56768999</v>
      </c>
      <c r="F16" s="99">
        <f>Detail!K176</f>
        <v>33610331</v>
      </c>
    </row>
    <row r="17" spans="1:6" x14ac:dyDescent="0.3">
      <c r="A17" s="13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99">
        <f>Detail!K177</f>
        <v>142436996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99">
        <f>Detail!K178</f>
        <v>53589296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99">
        <f>Detail!K179</f>
        <v>94339312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99">
        <f>Detail!K180</f>
        <v>82012184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86719320</v>
      </c>
      <c r="F21" s="99">
        <f>Detail!K181</f>
        <v>70193761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76307894</v>
      </c>
      <c r="F22" s="99">
        <f>Detail!K182</f>
        <v>67900273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91821309</v>
      </c>
      <c r="F23" s="99">
        <f>Detail!K183</f>
        <v>92792613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99">
        <f>Detail!K184</f>
        <v>44383010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64948648</v>
      </c>
      <c r="F25" s="99">
        <f>Detail!K185</f>
        <v>84913128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21816255</v>
      </c>
      <c r="F26" s="99">
        <f>Detail!K186</f>
        <v>32492349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41947639</v>
      </c>
      <c r="F27" s="99">
        <f>Detail!K187</f>
        <v>76030313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99">
        <f>Detail!K188</f>
        <v>27826704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14298831</v>
      </c>
      <c r="F29" s="99">
        <f>Detail!K189</f>
        <v>44570224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99">
        <f>Detail!K190</f>
        <v>23303895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99">
        <f>Detail!K191</f>
        <v>26658234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1820546</v>
      </c>
      <c r="F32" s="99">
        <f>Detail!K192</f>
        <v>399466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1542321</v>
      </c>
      <c r="F33" s="99">
        <f>Detail!K193</f>
        <v>326346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1344350</v>
      </c>
      <c r="F34" s="99">
        <f>Detail!K194</f>
        <v>275925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1193869</v>
      </c>
      <c r="F35" s="99">
        <f>Detail!K195</f>
        <v>238950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99">
        <f>Detail!K196</f>
        <v>210750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99">
        <f>Detail!K197</f>
        <v>188462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99">
        <f>Detail!K198</f>
        <v>170502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99">
        <f>Detail!K199</f>
        <v>155607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99">
        <f>Detail!K200</f>
        <v>143159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99">
        <f>Detail!K201</f>
        <v>132508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99">
        <f>Detail!K202</f>
        <v>123346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99">
        <f>Detail!K203</f>
        <v>115390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554588</v>
      </c>
      <c r="F44" s="99">
        <f>Detail!K204</f>
        <v>108385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99">
        <f>Detail!K205</f>
        <v>102187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99">
        <f>Detail!K206</f>
        <v>96648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99">
        <f>Detail!K207</f>
        <v>91697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99">
        <f>Detail!K208</f>
        <v>68049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2673797</v>
      </c>
      <c r="E67" s="34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F1" workbookViewId="0">
      <selection activeCell="F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0.16000001190114629</v>
      </c>
      <c r="E7" s="40">
        <f>SUM(C7:D7)</f>
        <v>0.87999976196741947</v>
      </c>
      <c r="F7" s="41">
        <f>L79</f>
        <v>2.6666668741120001E-3</v>
      </c>
      <c r="G7" s="42">
        <f>1/F7</f>
        <v>374.99997082800223</v>
      </c>
      <c r="H7" s="43">
        <f>D7*G7</f>
        <v>59.99999979540987</v>
      </c>
      <c r="I7" s="59" cm="1">
        <f t="array" ref="I7">LOOKUP(2,1/(K15:K78&lt;&gt;0),P15:P78)</f>
        <v>70</v>
      </c>
      <c r="J7" s="59" cm="1">
        <f t="array" ref="J7">LOOKUP(2,1/(_xlfn.ANCHORARRAY(K86)&lt;&gt;0),P15:P78)</f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0.92499998930197624</v>
      </c>
      <c r="E8" s="40">
        <f>SUM(C8:D8)</f>
        <v>0.92499998930197624</v>
      </c>
      <c r="F8" s="44">
        <f>D156</f>
        <v>1</v>
      </c>
      <c r="G8" s="42">
        <f>1/F8</f>
        <v>1</v>
      </c>
      <c r="H8" s="43">
        <f>D8*G8*B8</f>
        <v>69.374999197648222</v>
      </c>
      <c r="I8" s="60"/>
      <c r="J8" s="60" cm="1">
        <f t="array" ref="J8">LOOKUP(2,1/(_xlfn.ANCHORARRAY(K163)&lt;&gt;0),P15:P78)</f>
        <v>2000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2.377131553440559</v>
      </c>
      <c r="I99" s="35">
        <v>5.6768998999999945E-2</v>
      </c>
      <c r="J99" s="35">
        <v>5.676899899999998E-2</v>
      </c>
      <c r="K99" s="70">
        <v>56768999</v>
      </c>
      <c r="L99" s="35">
        <v>5.6768999000000001E-2</v>
      </c>
      <c r="M99" s="35">
        <v>1.2811389074620423</v>
      </c>
      <c r="N99" s="72"/>
      <c r="O99" s="58">
        <v>20</v>
      </c>
      <c r="P99" s="58">
        <v>25</v>
      </c>
      <c r="Q99" s="35">
        <v>5.6768999000000001E-2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6.0767254661220615</v>
      </c>
      <c r="I100" s="35">
        <v>0.1499990000000001</v>
      </c>
      <c r="J100" s="35">
        <v>0.14999900000000019</v>
      </c>
      <c r="K100" s="70">
        <v>149999000</v>
      </c>
      <c r="L100" s="35">
        <v>0.14999899999999999</v>
      </c>
      <c r="M100" s="35">
        <v>4.1351645170675013</v>
      </c>
      <c r="N100" s="72"/>
      <c r="O100" s="58">
        <v>25</v>
      </c>
      <c r="P100" s="58">
        <v>30</v>
      </c>
      <c r="Q100" s="35">
        <v>0.14999899999999999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3.258245285081296</v>
      </c>
      <c r="I101" s="35">
        <v>7.9926089999999894E-2</v>
      </c>
      <c r="J101" s="35">
        <v>7.9926089999999936E-2</v>
      </c>
      <c r="K101" s="70">
        <v>79926090</v>
      </c>
      <c r="L101" s="35">
        <v>7.9926090000000005E-2</v>
      </c>
      <c r="M101" s="35">
        <v>2.6021992617175251</v>
      </c>
      <c r="N101" s="72"/>
      <c r="O101" s="58">
        <v>30</v>
      </c>
      <c r="P101" s="58">
        <v>35</v>
      </c>
      <c r="Q101" s="35">
        <v>7.9926090000000005E-2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5.3531687613758701</v>
      </c>
      <c r="I102" s="35">
        <v>0.13215542499999994</v>
      </c>
      <c r="J102" s="35">
        <v>0.13215542500000002</v>
      </c>
      <c r="K102" s="70">
        <v>132155425</v>
      </c>
      <c r="L102" s="35">
        <v>0.13215542499999999</v>
      </c>
      <c r="M102" s="35">
        <v>4.9628879983024259</v>
      </c>
      <c r="N102" s="72"/>
      <c r="O102" s="58">
        <v>35</v>
      </c>
      <c r="P102" s="58">
        <v>40</v>
      </c>
      <c r="Q102" s="35">
        <v>0.13215542499999999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4.4344868887971112</v>
      </c>
      <c r="I103" s="35">
        <v>0.10788303399999997</v>
      </c>
      <c r="J103" s="35">
        <v>0.10788303400000003</v>
      </c>
      <c r="K103" s="70">
        <v>107883034</v>
      </c>
      <c r="L103" s="35">
        <v>0.107883034</v>
      </c>
      <c r="M103" s="35">
        <v>4.5905553268038828</v>
      </c>
      <c r="N103" s="72"/>
      <c r="O103" s="58">
        <v>40</v>
      </c>
      <c r="P103" s="58">
        <v>45</v>
      </c>
      <c r="Q103" s="35">
        <v>0.107883034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3.6109518202017337</v>
      </c>
      <c r="I104" s="35">
        <v>8.6719320000000044E-2</v>
      </c>
      <c r="J104" s="35">
        <v>8.6719320000000086E-2</v>
      </c>
      <c r="K104" s="70">
        <v>86719320</v>
      </c>
      <c r="L104" s="35">
        <v>8.6719320000000003E-2</v>
      </c>
      <c r="M104" s="35">
        <v>4.1231082440656968</v>
      </c>
      <c r="N104" s="72"/>
      <c r="O104" s="58">
        <v>45</v>
      </c>
      <c r="P104" s="58">
        <v>50</v>
      </c>
      <c r="Q104" s="35">
        <v>8.6719320000000003E-2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1.6496650044013956</v>
      </c>
      <c r="I105" s="35">
        <v>7.6307893999999793E-2</v>
      </c>
      <c r="J105" s="35">
        <v>7.6307893999999835E-2</v>
      </c>
      <c r="K105" s="70">
        <v>76307894</v>
      </c>
      <c r="L105" s="35">
        <v>7.6307894000000001E-2</v>
      </c>
      <c r="M105" s="35">
        <v>4.1979355826212617</v>
      </c>
      <c r="N105" s="72"/>
      <c r="O105" s="58">
        <v>50</v>
      </c>
      <c r="P105" s="58">
        <v>60</v>
      </c>
      <c r="Q105" s="35">
        <v>7.6307894000000001E-2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2.0946505054373761</v>
      </c>
      <c r="I106" s="35">
        <v>9.1821308999999796E-2</v>
      </c>
      <c r="J106" s="35">
        <v>9.1821308999999851E-2</v>
      </c>
      <c r="K106" s="70">
        <v>91821309</v>
      </c>
      <c r="L106" s="35">
        <v>9.1821309000000004E-2</v>
      </c>
      <c r="M106" s="35">
        <v>5.9690274614714927</v>
      </c>
      <c r="N106" s="72"/>
      <c r="O106" s="58">
        <v>60</v>
      </c>
      <c r="P106" s="58">
        <v>70</v>
      </c>
      <c r="Q106" s="35">
        <v>9.1821309000000004E-2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0.92843747666327803</v>
      </c>
      <c r="I107" s="35">
        <v>3.8632512000000001E-2</v>
      </c>
      <c r="J107" s="35">
        <v>3.8632512000000022E-2</v>
      </c>
      <c r="K107" s="70">
        <v>38632512</v>
      </c>
      <c r="L107" s="35">
        <v>3.8632512000000001E-2</v>
      </c>
      <c r="M107" s="35">
        <v>2.8973772588352471</v>
      </c>
      <c r="N107" s="72"/>
      <c r="O107" s="58">
        <v>70</v>
      </c>
      <c r="P107" s="58">
        <v>80</v>
      </c>
      <c r="Q107" s="35">
        <v>3.8632512000000001E-2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1.6694872469596895</v>
      </c>
      <c r="I108" s="35">
        <v>6.4948647999999956E-2</v>
      </c>
      <c r="J108" s="35">
        <v>6.4948647999999998E-2</v>
      </c>
      <c r="K108" s="70">
        <v>64948648</v>
      </c>
      <c r="L108" s="35">
        <v>6.4948647999999998E-2</v>
      </c>
      <c r="M108" s="35">
        <v>5.5198075555041966</v>
      </c>
      <c r="N108" s="72"/>
      <c r="O108" s="58">
        <v>80</v>
      </c>
      <c r="P108" s="58">
        <v>90</v>
      </c>
      <c r="Q108" s="35">
        <v>6.4948647999999998E-2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0.60177474467458392</v>
      </c>
      <c r="I109" s="78">
        <v>2.181625500000001E-2</v>
      </c>
      <c r="J109" s="78">
        <v>2.181625500000002E-2</v>
      </c>
      <c r="K109" s="70">
        <v>21816255</v>
      </c>
      <c r="L109" s="78">
        <v>2.1816255E-2</v>
      </c>
      <c r="M109" s="78">
        <v>2.0725619153662302</v>
      </c>
      <c r="N109" s="72"/>
      <c r="O109" s="58">
        <v>90</v>
      </c>
      <c r="P109" s="58">
        <v>100</v>
      </c>
      <c r="Q109" s="35">
        <v>2.1816255E-2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0.64256861114177544</v>
      </c>
      <c r="I110" s="78">
        <v>4.1947639000000002E-2</v>
      </c>
      <c r="J110" s="78">
        <v>4.1947639000000023E-2</v>
      </c>
      <c r="K110" s="70">
        <v>41947639</v>
      </c>
      <c r="L110" s="78">
        <v>4.1947639000000002E-2</v>
      </c>
      <c r="M110" s="78">
        <v>4.607242741732799</v>
      </c>
      <c r="N110" s="72"/>
      <c r="O110" s="58">
        <v>100</v>
      </c>
      <c r="P110" s="58">
        <v>120</v>
      </c>
      <c r="Q110" s="35">
        <v>4.1947639000000002E-2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0.20752557355810697</v>
      </c>
      <c r="I111" s="78">
        <v>1.1738976999999998E-2</v>
      </c>
      <c r="J111" s="78">
        <v>1.1738977000000005E-2</v>
      </c>
      <c r="K111" s="70">
        <v>11738977</v>
      </c>
      <c r="L111" s="78">
        <v>1.1738976999999999E-2</v>
      </c>
      <c r="M111" s="78">
        <v>1.52387170062306</v>
      </c>
      <c r="N111" s="72"/>
      <c r="O111" s="58">
        <v>120</v>
      </c>
      <c r="P111" s="58">
        <v>140</v>
      </c>
      <c r="Q111" s="35">
        <v>1.1738976999999999E-2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0.29125006080605531</v>
      </c>
      <c r="I112" s="78">
        <v>1.4298830999999998E-2</v>
      </c>
      <c r="J112" s="78">
        <v>1.4298831000000007E-2</v>
      </c>
      <c r="K112" s="70">
        <v>14298831</v>
      </c>
      <c r="L112" s="78">
        <v>1.4298831E-2</v>
      </c>
      <c r="M112" s="78">
        <v>2.1420228585584882</v>
      </c>
      <c r="N112" s="72"/>
      <c r="O112" s="58">
        <v>140</v>
      </c>
      <c r="P112" s="58">
        <v>160</v>
      </c>
      <c r="Q112" s="35">
        <v>1.4298831E-2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0.13220144846476206</v>
      </c>
      <c r="I113" s="78">
        <v>5.6420289999999946E-3</v>
      </c>
      <c r="J113" s="78">
        <v>5.6420289999999981E-3</v>
      </c>
      <c r="K113" s="70">
        <v>5642029</v>
      </c>
      <c r="L113" s="78">
        <v>5.6420289999999998E-3</v>
      </c>
      <c r="M113" s="78">
        <v>0.95806239397814408</v>
      </c>
      <c r="N113" s="72"/>
      <c r="O113" s="58">
        <v>160</v>
      </c>
      <c r="P113" s="58">
        <v>180</v>
      </c>
      <c r="Q113" s="35">
        <v>5.6420289999999998E-3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0.13086357998066511</v>
      </c>
      <c r="I114" s="78">
        <v>4.831411000000012E-3</v>
      </c>
      <c r="J114" s="78">
        <v>4.8314110000000146E-3</v>
      </c>
      <c r="K114" s="70">
        <v>4831411</v>
      </c>
      <c r="L114" s="78">
        <v>4.8314109999999999E-3</v>
      </c>
      <c r="M114" s="78">
        <v>0.917035369421487</v>
      </c>
      <c r="N114" s="72"/>
      <c r="O114" s="58">
        <v>180</v>
      </c>
      <c r="P114" s="58">
        <v>200</v>
      </c>
      <c r="Q114" s="35">
        <v>4.8314109999999999E-3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2.4811770867277063E-2</v>
      </c>
      <c r="I115" s="78">
        <v>1.8205459999999988E-3</v>
      </c>
      <c r="J115" s="78">
        <v>1.8205459999999999E-3</v>
      </c>
      <c r="K115" s="70">
        <v>1820546</v>
      </c>
      <c r="L115" s="78">
        <v>1.8205459999999999E-3</v>
      </c>
      <c r="M115" s="78">
        <v>0.4071661814566036</v>
      </c>
      <c r="N115" s="72"/>
      <c r="O115" s="58">
        <v>200</v>
      </c>
      <c r="P115" s="58">
        <v>250</v>
      </c>
      <c r="Q115" s="35">
        <v>1.8205459999999999E-3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2.9117645433320401E-2</v>
      </c>
      <c r="I116" s="78">
        <v>1.542321000000001E-3</v>
      </c>
      <c r="J116" s="78">
        <v>1.5423210000000019E-3</v>
      </c>
      <c r="K116" s="70">
        <v>1542321</v>
      </c>
      <c r="L116" s="78">
        <v>1.5423209999999999E-3</v>
      </c>
      <c r="M116" s="78">
        <v>0.42222723496654002</v>
      </c>
      <c r="N116" s="72"/>
      <c r="O116" s="58">
        <v>250</v>
      </c>
      <c r="P116" s="58">
        <v>300</v>
      </c>
      <c r="Q116" s="35">
        <v>1.5423209999999999E-3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3.4324894893505993E-2</v>
      </c>
      <c r="I117" s="78">
        <v>1.3443499999999998E-3</v>
      </c>
      <c r="J117" s="78">
        <v>1.3443500000000004E-3</v>
      </c>
      <c r="K117" s="70">
        <v>1344350</v>
      </c>
      <c r="L117" s="78">
        <v>1.34435E-3</v>
      </c>
      <c r="M117" s="78">
        <v>0.43528301881270226</v>
      </c>
      <c r="N117" s="72"/>
      <c r="O117" s="58">
        <v>300</v>
      </c>
      <c r="P117" s="58">
        <v>350</v>
      </c>
      <c r="Q117" s="35">
        <v>1.34435E-3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4.0665323768363869E-2</v>
      </c>
      <c r="I118" s="78">
        <v>1.1938689999999984E-3</v>
      </c>
      <c r="J118" s="78">
        <v>1.1938689999999991E-3</v>
      </c>
      <c r="K118" s="70">
        <v>1193869</v>
      </c>
      <c r="L118" s="78">
        <v>1.193869E-3</v>
      </c>
      <c r="M118" s="78">
        <v>0.4463766489066599</v>
      </c>
      <c r="N118" s="72"/>
      <c r="O118" s="58">
        <v>350</v>
      </c>
      <c r="P118" s="58">
        <v>400</v>
      </c>
      <c r="Q118" s="35">
        <v>1.193869E-3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4.8199658270697866E-2</v>
      </c>
      <c r="I119" s="78">
        <v>1.0744519999999992E-3</v>
      </c>
      <c r="J119" s="78">
        <v>1.0744519999999998E-3</v>
      </c>
      <c r="K119" s="70">
        <v>1074452</v>
      </c>
      <c r="L119" s="78">
        <v>1.074452E-3</v>
      </c>
      <c r="M119" s="78">
        <v>0.45548112844531935</v>
      </c>
      <c r="N119" s="72"/>
      <c r="O119" s="58">
        <v>400</v>
      </c>
      <c r="P119" s="58">
        <v>450</v>
      </c>
      <c r="Q119" s="35">
        <v>1.074452E-3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5.6214407851003907E-2</v>
      </c>
      <c r="I120" s="78">
        <v>9.758789999999997E-4</v>
      </c>
      <c r="J120" s="78">
        <v>9.7587900000000024E-4</v>
      </c>
      <c r="K120" s="70">
        <v>975879</v>
      </c>
      <c r="L120" s="78">
        <v>9.7587900000000003E-4</v>
      </c>
      <c r="M120" s="78">
        <v>0.46261939976624811</v>
      </c>
      <c r="N120" s="72"/>
      <c r="O120" s="58">
        <v>450</v>
      </c>
      <c r="P120" s="58">
        <v>500</v>
      </c>
      <c r="Q120" s="35">
        <v>9.7587900000000003E-4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6.5171338766406545E-2</v>
      </c>
      <c r="I121" s="78">
        <v>8.9268700000000019E-4</v>
      </c>
      <c r="J121" s="78">
        <v>8.9268700000000073E-4</v>
      </c>
      <c r="K121" s="70">
        <v>892687</v>
      </c>
      <c r="L121" s="78">
        <v>8.9268699999999997E-4</v>
      </c>
      <c r="M121" s="78">
        <v>0.46775518390329013</v>
      </c>
      <c r="N121" s="72"/>
      <c r="O121" s="58">
        <v>500</v>
      </c>
      <c r="P121" s="58">
        <v>550</v>
      </c>
      <c r="Q121" s="35">
        <v>8.9268699999999997E-4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7.5330218174259431E-2</v>
      </c>
      <c r="I122" s="35">
        <v>8.2024099999999998E-4</v>
      </c>
      <c r="J122" s="35">
        <v>8.2024100000000042E-4</v>
      </c>
      <c r="K122" s="70">
        <v>820241</v>
      </c>
      <c r="L122" s="35">
        <v>8.2024099999999998E-4</v>
      </c>
      <c r="M122" s="35">
        <v>0.47093464973099708</v>
      </c>
      <c r="N122" s="72"/>
      <c r="O122" s="58">
        <v>550</v>
      </c>
      <c r="P122" s="58">
        <v>600</v>
      </c>
      <c r="Q122" s="35">
        <v>8.2024099999999998E-4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8.6680842204401448E-2</v>
      </c>
      <c r="I123" s="35">
        <v>7.5653100000000007E-4</v>
      </c>
      <c r="J123" s="35">
        <v>7.565310000000005E-4</v>
      </c>
      <c r="K123" s="70">
        <v>756531</v>
      </c>
      <c r="L123" s="35">
        <v>7.5653099999999996E-4</v>
      </c>
      <c r="M123" s="35">
        <v>0.47212654805858667</v>
      </c>
      <c r="N123" s="72"/>
      <c r="O123" s="58">
        <v>600</v>
      </c>
      <c r="P123" s="58">
        <v>650</v>
      </c>
      <c r="Q123" s="35">
        <v>7.5653099999999996E-4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9.8813451987980971E-2</v>
      </c>
      <c r="I124" s="35">
        <v>6.9909099999999967E-4</v>
      </c>
      <c r="J124" s="35">
        <v>6.990910000000001E-4</v>
      </c>
      <c r="K124" s="70">
        <v>699091</v>
      </c>
      <c r="L124" s="35">
        <v>6.9909099999999999E-4</v>
      </c>
      <c r="M124" s="35">
        <v>0.47134613872357334</v>
      </c>
      <c r="N124" s="72"/>
      <c r="O124" s="58">
        <v>650</v>
      </c>
      <c r="P124" s="58">
        <v>700</v>
      </c>
      <c r="Q124" s="35">
        <v>6.9909099999999999E-4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0.11071625993469641</v>
      </c>
      <c r="I125" s="35">
        <v>6.4692599999999971E-4</v>
      </c>
      <c r="J125" s="35">
        <v>6.4692600000000003E-4</v>
      </c>
      <c r="K125" s="70">
        <v>646926</v>
      </c>
      <c r="L125" s="35">
        <v>6.4692600000000003E-4</v>
      </c>
      <c r="M125" s="35">
        <v>0.46857712990614392</v>
      </c>
      <c r="N125" s="72"/>
      <c r="O125" s="58">
        <v>700</v>
      </c>
      <c r="P125" s="58">
        <v>750</v>
      </c>
      <c r="Q125" s="35">
        <v>6.4692600000000003E-4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0.12381612178559859</v>
      </c>
      <c r="I126" s="35">
        <v>5.990930000000016E-4</v>
      </c>
      <c r="J126" s="35">
        <v>5.9909300000000193E-4</v>
      </c>
      <c r="K126" s="70">
        <v>599093</v>
      </c>
      <c r="L126" s="35">
        <v>5.9909299999999998E-4</v>
      </c>
      <c r="M126" s="35">
        <v>0.46385013785544199</v>
      </c>
      <c r="N126" s="72"/>
      <c r="O126" s="58">
        <v>750</v>
      </c>
      <c r="P126" s="58">
        <v>800</v>
      </c>
      <c r="Q126" s="35">
        <v>5.9909299999999998E-4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0.13716824895620508</v>
      </c>
      <c r="I127" s="35">
        <v>5.5458799999999963E-4</v>
      </c>
      <c r="J127" s="35">
        <v>5.5458799999999996E-4</v>
      </c>
      <c r="K127" s="70">
        <v>554588</v>
      </c>
      <c r="L127" s="35">
        <v>5.5458799999999996E-4</v>
      </c>
      <c r="M127" s="35">
        <v>0.4571438577787848</v>
      </c>
      <c r="N127" s="72"/>
      <c r="O127" s="58">
        <v>800</v>
      </c>
      <c r="P127" s="58">
        <v>850</v>
      </c>
      <c r="Q127" s="35">
        <v>5.5458799999999996E-4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0.15192451854941769</v>
      </c>
      <c r="I128" s="35">
        <v>5.1294199999999898E-4</v>
      </c>
      <c r="J128" s="35">
        <v>5.129419999999993E-4</v>
      </c>
      <c r="K128" s="71">
        <v>512942</v>
      </c>
      <c r="L128" s="35">
        <v>5.1294199999999996E-4</v>
      </c>
      <c r="M128" s="35">
        <v>0.44845543438888041</v>
      </c>
      <c r="N128" s="72"/>
      <c r="O128" s="58">
        <v>850</v>
      </c>
      <c r="P128" s="58">
        <v>900</v>
      </c>
      <c r="Q128" s="35">
        <v>5.1294199999999996E-4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0.16481152872954677</v>
      </c>
      <c r="I129" s="35">
        <v>4.7359099999999955E-4</v>
      </c>
      <c r="J129" s="35">
        <v>4.7359099999999982E-4</v>
      </c>
      <c r="K129" s="71">
        <v>473591</v>
      </c>
      <c r="L129" s="35">
        <v>4.7359099999999999E-4</v>
      </c>
      <c r="M129" s="35">
        <v>0.4377796747163028</v>
      </c>
      <c r="N129" s="72"/>
      <c r="O129" s="58">
        <v>900</v>
      </c>
      <c r="P129" s="58">
        <v>950</v>
      </c>
      <c r="Q129" s="35">
        <v>4.7359099999999999E-4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0.17960598331774602</v>
      </c>
      <c r="I130" s="35">
        <v>4.3637899999999998E-4</v>
      </c>
      <c r="J130" s="35">
        <v>4.3637900000000019E-4</v>
      </c>
      <c r="K130" s="71">
        <v>436379</v>
      </c>
      <c r="L130" s="35">
        <v>4.3637899999999998E-4</v>
      </c>
      <c r="M130" s="35">
        <v>0.42516967325727895</v>
      </c>
      <c r="N130" s="72"/>
      <c r="O130" s="58">
        <v>950</v>
      </c>
      <c r="P130" s="58">
        <v>1000</v>
      </c>
      <c r="Q130" s="35">
        <v>4.3637899999999998E-4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1.4017081278074833E-2</v>
      </c>
      <c r="I131" s="35">
        <v>2.1914099999999947E-4</v>
      </c>
      <c r="J131" s="35">
        <v>2.1914099999999957E-4</v>
      </c>
      <c r="K131" s="71">
        <v>219141</v>
      </c>
      <c r="L131" s="35">
        <v>2.1914100000000001E-4</v>
      </c>
      <c r="M131" s="35">
        <v>0.28770866120502681</v>
      </c>
      <c r="N131" s="72"/>
      <c r="O131" s="58">
        <v>1000</v>
      </c>
      <c r="P131" s="58">
        <v>2000</v>
      </c>
      <c r="Q131" s="35">
        <v>2.1914100000000001E-4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 cm="1">
        <f t="array" ref="K163:K226">ROUND(_xlfn.ANCHORARRAY(J163)*$B$2,0)</f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1.4073910012343482</v>
      </c>
      <c r="I176" s="35">
        <v>3.3610331000000111E-2</v>
      </c>
      <c r="J176" s="35">
        <v>3.3610331000000118E-2</v>
      </c>
      <c r="K176" s="70">
        <v>33610331</v>
      </c>
      <c r="L176" s="35">
        <v>3.3610331E-2</v>
      </c>
      <c r="M176" s="35">
        <v>0.75850382242564496</v>
      </c>
      <c r="N176" s="72"/>
      <c r="O176" s="58">
        <v>20</v>
      </c>
      <c r="P176" s="58">
        <v>25</v>
      </c>
      <c r="Q176" s="35">
        <v>3.3610331E-2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5.7703752752426771</v>
      </c>
      <c r="I177" s="35">
        <v>0.14243699600000012</v>
      </c>
      <c r="J177" s="35">
        <v>0.14243699600000015</v>
      </c>
      <c r="K177" s="70">
        <v>142436996</v>
      </c>
      <c r="L177" s="35">
        <v>0.14243699600000001</v>
      </c>
      <c r="M177" s="35">
        <v>3.9266955898165032</v>
      </c>
      <c r="N177" s="72"/>
      <c r="O177" s="58">
        <v>25</v>
      </c>
      <c r="P177" s="58">
        <v>30</v>
      </c>
      <c r="Q177" s="35">
        <v>0.14243699600000001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2.1846066912922435</v>
      </c>
      <c r="I178" s="35">
        <v>5.358929599999996E-2</v>
      </c>
      <c r="J178" s="35">
        <v>5.3589295999999974E-2</v>
      </c>
      <c r="K178" s="70">
        <v>53589296</v>
      </c>
      <c r="L178" s="35">
        <v>5.3589296000000002E-2</v>
      </c>
      <c r="M178" s="35">
        <v>1.7447372502165679</v>
      </c>
      <c r="N178" s="72"/>
      <c r="O178" s="58">
        <v>30</v>
      </c>
      <c r="P178" s="58">
        <v>35</v>
      </c>
      <c r="Q178" s="35">
        <v>5.3589296000000002E-2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3.8213660768605728</v>
      </c>
      <c r="I179" s="35">
        <v>9.4339311999999939E-2</v>
      </c>
      <c r="J179" s="35">
        <v>9.4339311999999967E-2</v>
      </c>
      <c r="K179" s="70">
        <v>94339312</v>
      </c>
      <c r="L179" s="35">
        <v>9.4339311999999995E-2</v>
      </c>
      <c r="M179" s="35">
        <v>3.5427636761253498</v>
      </c>
      <c r="N179" s="72"/>
      <c r="O179" s="58">
        <v>35</v>
      </c>
      <c r="P179" s="58">
        <v>40</v>
      </c>
      <c r="Q179" s="35">
        <v>9.4339311999999995E-2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3.3710764444167913</v>
      </c>
      <c r="I180" s="35">
        <v>8.2012183999999891E-2</v>
      </c>
      <c r="J180" s="35">
        <v>8.2012183999999905E-2</v>
      </c>
      <c r="K180" s="70">
        <v>82012184</v>
      </c>
      <c r="L180" s="35">
        <v>8.2012184000000002E-2</v>
      </c>
      <c r="M180" s="35">
        <v>3.4897189499140353</v>
      </c>
      <c r="N180" s="72"/>
      <c r="O180" s="58">
        <v>40</v>
      </c>
      <c r="P180" s="58">
        <v>45</v>
      </c>
      <c r="Q180" s="35">
        <v>8.2012184000000002E-2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2.922835292640158</v>
      </c>
      <c r="I181" s="35">
        <v>7.0193761000000049E-2</v>
      </c>
      <c r="J181" s="35">
        <v>7.0193761000000063E-2</v>
      </c>
      <c r="K181" s="70">
        <v>70193761</v>
      </c>
      <c r="L181" s="35">
        <v>7.0193760999999993E-2</v>
      </c>
      <c r="M181" s="35">
        <v>3.3373932667031658</v>
      </c>
      <c r="N181" s="72"/>
      <c r="O181" s="58">
        <v>45</v>
      </c>
      <c r="P181" s="58">
        <v>50</v>
      </c>
      <c r="Q181" s="35">
        <v>7.0193760999999993E-2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1.4679045415327678</v>
      </c>
      <c r="I182" s="35">
        <v>6.7900272999999858E-2</v>
      </c>
      <c r="J182" s="35">
        <v>6.7900272999999872E-2</v>
      </c>
      <c r="K182" s="70">
        <v>67900273</v>
      </c>
      <c r="L182" s="35">
        <v>6.7900272999999997E-2</v>
      </c>
      <c r="M182" s="35">
        <v>3.735406091752417</v>
      </c>
      <c r="N182" s="72"/>
      <c r="O182" s="58">
        <v>50</v>
      </c>
      <c r="P182" s="58">
        <v>60</v>
      </c>
      <c r="Q182" s="35">
        <v>6.7900272999999997E-2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2.1168081335162068</v>
      </c>
      <c r="I183" s="35">
        <v>9.2792612999999816E-2</v>
      </c>
      <c r="J183" s="35">
        <v>9.2792612999999829E-2</v>
      </c>
      <c r="K183" s="70">
        <v>92792613</v>
      </c>
      <c r="L183" s="35">
        <v>9.2792612999999996E-2</v>
      </c>
      <c r="M183" s="35">
        <v>6.0321690166570869</v>
      </c>
      <c r="N183" s="72"/>
      <c r="O183" s="58">
        <v>60</v>
      </c>
      <c r="P183" s="58">
        <v>70</v>
      </c>
      <c r="Q183" s="35">
        <v>9.2792612999999996E-2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1.0666365627770003</v>
      </c>
      <c r="I184" s="35">
        <v>4.4383010000000195E-2</v>
      </c>
      <c r="J184" s="35">
        <v>4.4383010000000202E-2</v>
      </c>
      <c r="K184" s="70">
        <v>44383010</v>
      </c>
      <c r="L184" s="35">
        <v>4.4383010000000001E-2</v>
      </c>
      <c r="M184" s="35">
        <v>3.328655507895975</v>
      </c>
      <c r="N184" s="72"/>
      <c r="O184" s="58">
        <v>70</v>
      </c>
      <c r="P184" s="58">
        <v>80</v>
      </c>
      <c r="Q184" s="35">
        <v>4.4383010000000001E-2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2.1826687492471906</v>
      </c>
      <c r="I185" s="35">
        <v>8.4913128000000129E-2</v>
      </c>
      <c r="J185" s="35">
        <v>8.4913128000000143E-2</v>
      </c>
      <c r="K185" s="70">
        <v>84913128</v>
      </c>
      <c r="L185" s="35">
        <v>8.4913128000000004E-2</v>
      </c>
      <c r="M185" s="35">
        <v>7.2165339838312716</v>
      </c>
      <c r="N185" s="72"/>
      <c r="O185" s="58">
        <v>80</v>
      </c>
      <c r="P185" s="58">
        <v>90</v>
      </c>
      <c r="Q185" s="35">
        <v>8.4913128000000004E-2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0.8962617563533456</v>
      </c>
      <c r="I186" s="35">
        <v>3.249234899999999E-2</v>
      </c>
      <c r="J186" s="35">
        <v>3.2492348999999997E-2</v>
      </c>
      <c r="K186" s="70">
        <v>32492349</v>
      </c>
      <c r="L186" s="35">
        <v>3.2492348999999997E-2</v>
      </c>
      <c r="M186" s="35">
        <v>3.0867995023980059</v>
      </c>
      <c r="N186" s="72"/>
      <c r="O186" s="58">
        <v>90</v>
      </c>
      <c r="P186" s="58">
        <v>100</v>
      </c>
      <c r="Q186" s="35">
        <v>3.2492348999999997E-2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1.1646589365633753</v>
      </c>
      <c r="I187" s="35">
        <v>7.6030312999999836E-2</v>
      </c>
      <c r="J187" s="35">
        <v>7.6030312999999849E-2</v>
      </c>
      <c r="K187" s="70">
        <v>76030313</v>
      </c>
      <c r="L187" s="35">
        <v>7.6030313000000002E-2</v>
      </c>
      <c r="M187" s="35">
        <v>8.3506513375144404</v>
      </c>
      <c r="N187" s="72"/>
      <c r="O187" s="58">
        <v>100</v>
      </c>
      <c r="P187" s="58">
        <v>120</v>
      </c>
      <c r="Q187" s="35">
        <v>7.6030313000000002E-2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0.49192980852008372</v>
      </c>
      <c r="I188" s="35">
        <v>2.7826703999999983E-2</v>
      </c>
      <c r="J188" s="35">
        <v>2.782670399999999E-2</v>
      </c>
      <c r="K188" s="70">
        <v>27826704</v>
      </c>
      <c r="L188" s="35">
        <v>2.7826704000000001E-2</v>
      </c>
      <c r="M188" s="35">
        <v>3.6122676402905052</v>
      </c>
      <c r="N188" s="72"/>
      <c r="O188" s="58">
        <v>120</v>
      </c>
      <c r="P188" s="58">
        <v>140</v>
      </c>
      <c r="Q188" s="35">
        <v>2.7826704000000001E-2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0.90784207814887108</v>
      </c>
      <c r="I189" s="35">
        <v>4.4570223999999978E-2</v>
      </c>
      <c r="J189" s="35">
        <v>4.4570223999999985E-2</v>
      </c>
      <c r="K189" s="70">
        <v>44570224</v>
      </c>
      <c r="L189" s="35">
        <v>4.4570223999999999E-2</v>
      </c>
      <c r="M189" s="35">
        <v>6.6768002656351522</v>
      </c>
      <c r="N189" s="72"/>
      <c r="O189" s="58">
        <v>140</v>
      </c>
      <c r="P189" s="58">
        <v>160</v>
      </c>
      <c r="Q189" s="35">
        <v>4.4570223999999999E-2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0.54604623157213994</v>
      </c>
      <c r="I190" s="35">
        <v>2.3303895000000002E-2</v>
      </c>
      <c r="J190" s="35">
        <v>2.3303895000000005E-2</v>
      </c>
      <c r="K190" s="70">
        <v>23303895</v>
      </c>
      <c r="L190" s="35">
        <v>2.3303895000000002E-2</v>
      </c>
      <c r="M190" s="35">
        <v>3.9571908320065892</v>
      </c>
      <c r="N190" s="72"/>
      <c r="O190" s="58">
        <v>160</v>
      </c>
      <c r="P190" s="58">
        <v>180</v>
      </c>
      <c r="Q190" s="35">
        <v>2.3303895000000002E-2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0.72206482478975109</v>
      </c>
      <c r="I191" s="35">
        <v>2.6658233999999992E-2</v>
      </c>
      <c r="J191" s="35">
        <v>2.6658233999999999E-2</v>
      </c>
      <c r="K191" s="70">
        <v>26658234</v>
      </c>
      <c r="L191" s="35">
        <v>2.6658233999999999E-2</v>
      </c>
      <c r="M191" s="35">
        <v>5.0599179958638265</v>
      </c>
      <c r="N191" s="72"/>
      <c r="O191" s="58">
        <v>180</v>
      </c>
      <c r="P191" s="58">
        <v>200</v>
      </c>
      <c r="Q191" s="35">
        <v>2.6658233999999999E-2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5.444223250204998E-3</v>
      </c>
      <c r="I192" s="35">
        <v>3.9946600000000012E-4</v>
      </c>
      <c r="J192" s="35">
        <v>3.9946600000000023E-4</v>
      </c>
      <c r="K192" s="70">
        <v>399466</v>
      </c>
      <c r="L192" s="35">
        <v>3.9946600000000001E-4</v>
      </c>
      <c r="M192" s="35">
        <v>8.9340805363744516E-2</v>
      </c>
      <c r="N192" s="72"/>
      <c r="O192" s="58">
        <v>200</v>
      </c>
      <c r="P192" s="58">
        <v>250</v>
      </c>
      <c r="Q192" s="35">
        <v>3.9946600000000001E-4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6.1611215282566878E-3</v>
      </c>
      <c r="I193" s="35">
        <v>3.2634600000000031E-4</v>
      </c>
      <c r="J193" s="35">
        <v>3.2634600000000036E-4</v>
      </c>
      <c r="K193" s="70">
        <v>326346</v>
      </c>
      <c r="L193" s="35">
        <v>3.2634599999999998E-4</v>
      </c>
      <c r="M193" s="35">
        <v>8.9340785233677333E-2</v>
      </c>
      <c r="N193" s="72"/>
      <c r="O193" s="58">
        <v>250</v>
      </c>
      <c r="P193" s="58">
        <v>300</v>
      </c>
      <c r="Q193" s="35">
        <v>3.2634599999999998E-4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7.0451122278354953E-3</v>
      </c>
      <c r="I194" s="35">
        <v>2.7592500000000016E-4</v>
      </c>
      <c r="J194" s="35">
        <v>2.7592500000000022E-4</v>
      </c>
      <c r="K194" s="70">
        <v>275925</v>
      </c>
      <c r="L194" s="35">
        <v>2.75925E-4</v>
      </c>
      <c r="M194" s="35">
        <v>8.9340920865767753E-2</v>
      </c>
      <c r="N194" s="72"/>
      <c r="O194" s="58">
        <v>300</v>
      </c>
      <c r="P194" s="58">
        <v>350</v>
      </c>
      <c r="Q194" s="35">
        <v>2.75925E-4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8.1390664423404598E-3</v>
      </c>
      <c r="I195" s="35">
        <v>2.3895000000000009E-4</v>
      </c>
      <c r="J195" s="35">
        <v>2.3895000000000014E-4</v>
      </c>
      <c r="K195" s="70">
        <v>238950</v>
      </c>
      <c r="L195" s="35">
        <v>2.3895000000000001E-4</v>
      </c>
      <c r="M195" s="35">
        <v>8.934120934226987E-2</v>
      </c>
      <c r="N195" s="72"/>
      <c r="O195" s="58">
        <v>350</v>
      </c>
      <c r="P195" s="58">
        <v>400</v>
      </c>
      <c r="Q195" s="35">
        <v>2.3895000000000001E-4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9.4541943060737817E-3</v>
      </c>
      <c r="I196" s="35">
        <v>2.1075000000000008E-4</v>
      </c>
      <c r="J196" s="35">
        <v>2.1075000000000014E-4</v>
      </c>
      <c r="K196" s="70">
        <v>210750</v>
      </c>
      <c r="L196" s="35">
        <v>2.1075E-4</v>
      </c>
      <c r="M196" s="35">
        <v>8.9341029492104859E-2</v>
      </c>
      <c r="N196" s="72"/>
      <c r="O196" s="58">
        <v>400</v>
      </c>
      <c r="P196" s="58">
        <v>450</v>
      </c>
      <c r="Q196" s="35">
        <v>2.1075E-4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1.0856140702295985E-2</v>
      </c>
      <c r="I197" s="35">
        <v>1.8846200000000005E-4</v>
      </c>
      <c r="J197" s="35">
        <v>1.8846200000000011E-4</v>
      </c>
      <c r="K197" s="70">
        <v>188462</v>
      </c>
      <c r="L197" s="35">
        <v>1.88462E-4</v>
      </c>
      <c r="M197" s="35">
        <v>8.9341175820718183E-2</v>
      </c>
      <c r="N197" s="72"/>
      <c r="O197" s="58">
        <v>450</v>
      </c>
      <c r="P197" s="58">
        <v>500</v>
      </c>
      <c r="Q197" s="35">
        <v>1.88462E-4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1.2447636856311109E-2</v>
      </c>
      <c r="I198" s="35">
        <v>1.7050199999999922E-4</v>
      </c>
      <c r="J198" s="35">
        <v>1.7050199999999924E-4</v>
      </c>
      <c r="K198" s="70">
        <v>170502</v>
      </c>
      <c r="L198" s="35">
        <v>1.70502E-4</v>
      </c>
      <c r="M198" s="35">
        <v>8.9340602434984248E-2</v>
      </c>
      <c r="N198" s="72"/>
      <c r="O198" s="58">
        <v>500</v>
      </c>
      <c r="P198" s="58">
        <v>550</v>
      </c>
      <c r="Q198" s="35">
        <v>1.70502E-4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1.4290811187738704E-2</v>
      </c>
      <c r="I199" s="35">
        <v>1.5560699999999994E-4</v>
      </c>
      <c r="J199" s="35">
        <v>1.5560699999999996E-4</v>
      </c>
      <c r="K199" s="70">
        <v>155607</v>
      </c>
      <c r="L199" s="35">
        <v>1.5560699999999999E-4</v>
      </c>
      <c r="M199" s="35">
        <v>8.9340484126849626E-2</v>
      </c>
      <c r="N199" s="72"/>
      <c r="O199" s="58">
        <v>550</v>
      </c>
      <c r="P199" s="58">
        <v>600</v>
      </c>
      <c r="Q199" s="35">
        <v>1.5560699999999999E-4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1.6402688969969336E-2</v>
      </c>
      <c r="I200" s="35">
        <v>1.4315899999999961E-4</v>
      </c>
      <c r="J200" s="35">
        <v>1.4315899999999964E-4</v>
      </c>
      <c r="K200" s="70">
        <v>143159</v>
      </c>
      <c r="L200" s="35">
        <v>1.4315899999999999E-4</v>
      </c>
      <c r="M200" s="35">
        <v>8.9340905387246802E-2</v>
      </c>
      <c r="N200" s="72"/>
      <c r="O200" s="58">
        <v>600</v>
      </c>
      <c r="P200" s="58">
        <v>650</v>
      </c>
      <c r="Q200" s="35">
        <v>1.4315899999999999E-4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1.8729425634178388E-2</v>
      </c>
      <c r="I201" s="35">
        <v>1.3250800000000015E-4</v>
      </c>
      <c r="J201" s="35">
        <v>1.3250800000000018E-4</v>
      </c>
      <c r="K201" s="70">
        <v>132508</v>
      </c>
      <c r="L201" s="35">
        <v>1.3250800000000001E-4</v>
      </c>
      <c r="M201" s="35">
        <v>8.9340492367922436E-2</v>
      </c>
      <c r="N201" s="72"/>
      <c r="O201" s="58">
        <v>650</v>
      </c>
      <c r="P201" s="58">
        <v>700</v>
      </c>
      <c r="Q201" s="35">
        <v>1.3250800000000001E-4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2.1109690749645395E-2</v>
      </c>
      <c r="I202" s="35">
        <v>1.2334600000000025E-4</v>
      </c>
      <c r="J202" s="35">
        <v>1.2334600000000028E-4</v>
      </c>
      <c r="K202" s="70">
        <v>123346</v>
      </c>
      <c r="L202" s="35">
        <v>1.2334600000000001E-4</v>
      </c>
      <c r="M202" s="35">
        <v>8.9341152875913515E-2</v>
      </c>
      <c r="N202" s="72"/>
      <c r="O202" s="58">
        <v>700</v>
      </c>
      <c r="P202" s="58">
        <v>750</v>
      </c>
      <c r="Q202" s="35">
        <v>1.2334600000000001E-4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2.3847953978497764E-2</v>
      </c>
      <c r="I203" s="35">
        <v>1.1538999999999982E-4</v>
      </c>
      <c r="J203" s="35">
        <v>1.1538999999999984E-4</v>
      </c>
      <c r="K203" s="70">
        <v>115390</v>
      </c>
      <c r="L203" s="35">
        <v>1.1539E-4</v>
      </c>
      <c r="M203" s="35">
        <v>8.9341166408453201E-2</v>
      </c>
      <c r="N203" s="72"/>
      <c r="O203" s="58">
        <v>750</v>
      </c>
      <c r="P203" s="58">
        <v>800</v>
      </c>
      <c r="Q203" s="35">
        <v>1.1539E-4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2.6807252704923845E-2</v>
      </c>
      <c r="I204" s="35">
        <v>1.0838500000000007E-4</v>
      </c>
      <c r="J204" s="35">
        <v>1.0838500000000009E-4</v>
      </c>
      <c r="K204" s="70">
        <v>108385</v>
      </c>
      <c r="L204" s="35">
        <v>1.08385E-4</v>
      </c>
      <c r="M204" s="35">
        <v>8.9341163215492569E-2</v>
      </c>
      <c r="N204" s="72"/>
      <c r="O204" s="58">
        <v>800</v>
      </c>
      <c r="P204" s="58">
        <v>850</v>
      </c>
      <c r="Q204" s="35">
        <v>1.08385E-4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3.0266015995978831E-2</v>
      </c>
      <c r="I205" s="35">
        <v>1.0218699999999998E-4</v>
      </c>
      <c r="J205" s="35">
        <v>1.02187E-4</v>
      </c>
      <c r="K205" s="71">
        <v>102187</v>
      </c>
      <c r="L205" s="35">
        <v>1.02187E-4</v>
      </c>
      <c r="M205" s="35">
        <v>8.9340150492446563E-2</v>
      </c>
      <c r="N205" s="72"/>
      <c r="O205" s="58">
        <v>850</v>
      </c>
      <c r="P205" s="58">
        <v>900</v>
      </c>
      <c r="Q205" s="35">
        <v>1.02187E-4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3.3633883728054904E-2</v>
      </c>
      <c r="I206" s="35">
        <v>9.6647999999999987E-5</v>
      </c>
      <c r="J206" s="35">
        <v>9.6648000000000014E-5</v>
      </c>
      <c r="K206" s="71">
        <v>96648</v>
      </c>
      <c r="L206" s="35">
        <v>9.6648E-5</v>
      </c>
      <c r="M206" s="35">
        <v>8.9339810093479882E-2</v>
      </c>
      <c r="N206" s="72"/>
      <c r="O206" s="58">
        <v>900</v>
      </c>
      <c r="P206" s="58">
        <v>950</v>
      </c>
      <c r="Q206" s="35">
        <v>9.6648E-5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3.774088545114989E-2</v>
      </c>
      <c r="I207" s="35">
        <v>9.1696999999999891E-5</v>
      </c>
      <c r="J207" s="35">
        <v>9.1696999999999918E-5</v>
      </c>
      <c r="K207" s="71">
        <v>91697</v>
      </c>
      <c r="L207" s="35">
        <v>9.1697E-5</v>
      </c>
      <c r="M207" s="35">
        <v>8.9341566685547907E-2</v>
      </c>
      <c r="N207" s="72"/>
      <c r="O207" s="58">
        <v>950</v>
      </c>
      <c r="P207" s="58">
        <v>1000</v>
      </c>
      <c r="Q207" s="35">
        <v>9.1697E-5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4.352669577540106E-3</v>
      </c>
      <c r="I208" s="35">
        <v>6.8048999999999971E-5</v>
      </c>
      <c r="J208" s="35">
        <v>6.8048999999999985E-5</v>
      </c>
      <c r="K208" s="71">
        <v>68049</v>
      </c>
      <c r="L208" s="35">
        <v>6.8048999999999998E-5</v>
      </c>
      <c r="M208" s="35">
        <v>8.9341048395055536E-2</v>
      </c>
      <c r="N208" s="72"/>
      <c r="O208" s="58">
        <v>1000</v>
      </c>
      <c r="P208" s="58">
        <v>2000</v>
      </c>
      <c r="Q208" s="35">
        <v>6.8048999999999998E-5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0</v>
      </c>
      <c r="I209" s="35">
        <v>0</v>
      </c>
      <c r="J209" s="35">
        <v>0</v>
      </c>
      <c r="K209" s="71">
        <v>0</v>
      </c>
      <c r="L209" s="35">
        <v>0</v>
      </c>
      <c r="M209" s="35">
        <v>0</v>
      </c>
      <c r="N209" s="72"/>
      <c r="O209" s="58">
        <v>2000</v>
      </c>
      <c r="P209" s="58">
        <v>3000</v>
      </c>
      <c r="Q209" s="35">
        <v>0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0</v>
      </c>
      <c r="I216" s="35">
        <v>0</v>
      </c>
      <c r="J216" s="35">
        <v>0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K15" sqref="K15:K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2026-09-18T08:59:14Z</dcterms:modified>
</cp:coreProperties>
</file>