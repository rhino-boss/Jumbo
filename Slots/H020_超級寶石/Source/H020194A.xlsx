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80951BBB-0574-4F66-B6AA-AFCE8C772B52}" xr6:coauthVersionLast="47" xr6:coauthVersionMax="47" xr10:uidLastSave="{00000000-0000-0000-0000-000000000000}"/>
  <bookViews>
    <workbookView xWindow="-25815" yWindow="1755" windowWidth="23235" windowHeight="1110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29" i="28" l="1" a="1"/>
  <c r="P229" i="28" s="1"/>
  <c r="AR15" i="40" l="1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I117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M4" i="39" s="1" a="1"/>
  <c r="M4" i="39" s="1"/>
  <c r="N4" i="39" s="1" a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I93" i="39" l="1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65" i="39"/>
  <c r="N64" i="39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S5" i="39" l="1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M69" i="36" s="1" a="1"/>
  <c r="M69" i="36" s="1"/>
  <c r="N69" i="36" s="1" a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Q4" i="36" l="1" a="1"/>
  <c r="Q4" i="36" s="1"/>
  <c r="P3" i="36" s="1"/>
  <c r="R4" i="36" s="1" a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I122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I107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75" i="34" l="1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O129" i="34" a="1"/>
  <c r="O129" i="34" s="1"/>
  <c r="R4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S70" i="34" l="1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O194" i="34" s="1" a="1"/>
  <c r="O194" i="34" s="1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64" i="34" l="1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G4" i="28" s="1" a="1"/>
  <c r="G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I121" i="28" l="1"/>
  <c r="A134" i="28" a="1"/>
  <c r="A134" i="28" s="1"/>
  <c r="A199" i="28" s="1" a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I186" i="28"/>
  <c r="E81" i="32"/>
  <c r="E111" i="32"/>
  <c r="E122" i="32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I187" i="28" l="1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O129" i="32" l="1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Q4" i="30" a="1"/>
  <c r="Q4" i="30" s="1"/>
  <c r="P3" i="30" s="1"/>
  <c r="R4" i="30" s="1" a="1"/>
  <c r="I63" i="30"/>
  <c r="A122" i="30" a="1"/>
  <c r="AC14" i="20"/>
  <c r="AC30" i="20"/>
  <c r="AC41" i="20"/>
  <c r="AC47" i="20"/>
  <c r="AC62" i="20"/>
  <c r="AC70" i="20"/>
  <c r="AC76" i="20"/>
  <c r="O4" i="30" l="1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1" i="1" l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J77" i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S3" i="1"/>
  <c r="S45" i="1" s="1"/>
  <c r="Q3" i="1"/>
  <c r="D103" i="1" l="1"/>
  <c r="D97" i="1"/>
  <c r="D100" i="1"/>
  <c r="D102" i="1"/>
  <c r="D99" i="1"/>
  <c r="D101" i="1"/>
  <c r="D98" i="1"/>
  <c r="C97" i="1"/>
  <c r="C103" i="1"/>
  <c r="C100" i="1"/>
  <c r="C102" i="1"/>
  <c r="C99" i="1"/>
  <c r="C101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C63" i="26"/>
  <c r="C40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S97" i="1" s="1"/>
  <c r="Q86" i="1"/>
  <c r="Q101" i="1" s="1"/>
  <c r="S87" i="1"/>
  <c r="L82" i="1"/>
  <c r="J86" i="1"/>
  <c r="C96" i="1"/>
  <c r="R81" i="1"/>
  <c r="E92" i="1"/>
  <c r="E96" i="1"/>
  <c r="K81" i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J103" i="1" l="1"/>
  <c r="Q103" i="1"/>
  <c r="S103" i="1"/>
  <c r="S102" i="1"/>
  <c r="S99" i="1"/>
  <c r="S101" i="1"/>
  <c r="S98" i="1"/>
  <c r="S100" i="1"/>
  <c r="L100" i="1"/>
  <c r="L103" i="1"/>
  <c r="L102" i="1"/>
  <c r="L99" i="1"/>
  <c r="L101" i="1"/>
  <c r="L98" i="1"/>
  <c r="L97" i="1"/>
  <c r="E26" i="27" s="1"/>
  <c r="Q102" i="1"/>
  <c r="Q99" i="1"/>
  <c r="Q98" i="1"/>
  <c r="Q100" i="1"/>
  <c r="Q97" i="1"/>
  <c r="J97" i="1"/>
  <c r="J100" i="1"/>
  <c r="J102" i="1"/>
  <c r="J99" i="1"/>
  <c r="J101" i="1"/>
  <c r="J98" i="1"/>
  <c r="C38" i="26"/>
  <c r="C65" i="24"/>
  <c r="C41" i="26"/>
  <c r="K103" i="1"/>
  <c r="D32" i="27" s="1"/>
  <c r="R102" i="1"/>
  <c r="R103" i="1"/>
  <c r="D44" i="37" s="1"/>
  <c r="K101" i="1"/>
  <c r="K102" i="1"/>
  <c r="D67" i="40" s="1"/>
  <c r="R100" i="1"/>
  <c r="D41" i="37" s="1"/>
  <c r="R101" i="1"/>
  <c r="K99" i="1"/>
  <c r="D64" i="27" s="1"/>
  <c r="K100" i="1"/>
  <c r="D65" i="37" s="1"/>
  <c r="R98" i="1"/>
  <c r="D39" i="35" s="1"/>
  <c r="R99" i="1"/>
  <c r="D40" i="33" s="1"/>
  <c r="F13" i="40"/>
  <c r="K97" i="1"/>
  <c r="D50" i="27" s="1"/>
  <c r="K98" i="1"/>
  <c r="D27" i="27" s="1"/>
  <c r="R97" i="1"/>
  <c r="D38" i="35" s="1"/>
  <c r="C44" i="26"/>
  <c r="C32" i="35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6" i="40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E55" i="27"/>
  <c r="E40" i="35"/>
  <c r="E54" i="35"/>
  <c r="E39" i="35"/>
  <c r="E53" i="27"/>
  <c r="C68" i="40"/>
  <c r="C44" i="37"/>
  <c r="C68" i="35"/>
  <c r="C68" i="33"/>
  <c r="C44" i="40"/>
  <c r="C68" i="37"/>
  <c r="C68" i="27"/>
  <c r="C44" i="27"/>
  <c r="C44" i="35"/>
  <c r="C44" i="33"/>
  <c r="D42" i="40"/>
  <c r="D43" i="35"/>
  <c r="D66" i="40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E26" i="40"/>
  <c r="E38" i="40"/>
  <c r="E50" i="40"/>
  <c r="D37" i="37"/>
  <c r="D37" i="40"/>
  <c r="D49" i="40"/>
  <c r="D25" i="40"/>
  <c r="D61" i="40"/>
  <c r="E50" i="37"/>
  <c r="E38" i="37"/>
  <c r="D61" i="27"/>
  <c r="D49" i="37"/>
  <c r="D61" i="37"/>
  <c r="D25" i="37"/>
  <c r="E55" i="33"/>
  <c r="E44" i="27"/>
  <c r="E56" i="27"/>
  <c r="E44" i="35"/>
  <c r="E56" i="35"/>
  <c r="E56" i="33"/>
  <c r="E44" i="33"/>
  <c r="E42" i="27"/>
  <c r="E54" i="27"/>
  <c r="E42" i="35"/>
  <c r="E41" i="35"/>
  <c r="E41" i="33"/>
  <c r="E53" i="33"/>
  <c r="E38" i="27"/>
  <c r="E50" i="27"/>
  <c r="D25" i="27"/>
  <c r="D49" i="27"/>
  <c r="D37" i="35"/>
  <c r="D37" i="27"/>
  <c r="E50" i="26"/>
  <c r="E38" i="35"/>
  <c r="E50" i="35"/>
  <c r="E38" i="33"/>
  <c r="E50" i="33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26" i="37" l="1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E5" i="20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W2" i="20" a="1"/>
  <c r="AW2" i="20" s="1"/>
  <c r="AZ2" i="20" s="1" a="1"/>
  <c r="AZ2" i="20" s="1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AX49" i="20"/>
  <c r="E20" i="20"/>
  <c r="AD7" i="20" s="1"/>
  <c r="AN7" i="20" l="1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<sst xmlns="http://schemas.openxmlformats.org/spreadsheetml/2006/main" count="12308" uniqueCount="296">
  <si>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</si>
  <si>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</si>
  <si>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</si>
  <si>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</si>
  <si>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</si>
  <si>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</si>
  <si>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</si>
  <si>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</si>
  <si>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</si>
  <si>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</si>
  <si>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</si>
  <si>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</si>
  <si>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</si>
  <si>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</si>
  <si>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</si>
  <si>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</si>
  <si>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</si>
  <si>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</si>
  <si>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</si>
  <si>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</si>
  <si>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</si>
  <si>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</si>
  <si>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</si>
  <si>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</si>
  <si>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</si>
  <si>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</si>
  <si>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</si>
  <si>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</si>
  <si>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</si>
  <si>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</si>
  <si>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</si>
  <si>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</si>
  <si>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</si>
  <si>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</si>
  <si>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</si>
  <si>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</si>
  <si>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</si>
  <si>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</si>
  <si>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</si>
  <si>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</si>
  <si>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</si>
  <si>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</si>
  <si>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</si>
  <si>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</si>
  <si>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</si>
  <si>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</si>
  <si>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</si>
  <si>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</si>
  <si>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</si>
  <si>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</si>
  <si>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</si>
  <si>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</si>
  <si>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</si>
  <si>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</si>
  <si>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</si>
  <si>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</si>
  <si>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</si>
  <si>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</si>
  <si>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</si>
  <si>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</si>
  <si>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</si>
  <si>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</si>
  <si>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</si>
  <si>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</si>
  <si>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</si>
  <si>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</si>
  <si>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</si>
  <si>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</si>
  <si>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</si>
  <si>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</si>
  <si>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</si>
  <si>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</si>
  <si>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</si>
  <si>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</si>
  <si>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</si>
  <si>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</si>
  <si>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</si>
  <si>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</si>
  <si>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</si>
  <si>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</si>
  <si>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</si>
  <si>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</si>
  <si>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</si>
  <si>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</si>
  <si>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</si>
  <si>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</si>
  <si>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</si>
  <si>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</si>
  <si>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</si>
  <si>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</si>
  <si>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</si>
  <si>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</si>
  <si>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</si>
  <si>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</si>
  <si>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</si>
  <si>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</si>
  <si>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</si>
  <si>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</si>
  <si>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</si>
  <si>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</si>
  <si>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</si>
  <si>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</si>
  <si>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</si>
  <si>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</si>
  <si>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</si>
  <si>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</si>
  <si>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</si>
  <si>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</si>
  <si>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</si>
  <si>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</si>
  <si>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</si>
  <si>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</si>
  <si>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</si>
  <si>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</si>
  <si>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</si>
  <si>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</si>
  <si>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</si>
  <si>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</si>
  <si>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</si>
  <si>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</si>
  <si>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</si>
  <si>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</si>
  <si>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</si>
  <si>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</si>
  <si>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</si>
  <si>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</si>
  <si>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</si>
  <si>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</si>
  <si>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</si>
  <si>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</si>
  <si>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</si>
  <si>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</si>
  <si>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</si>
  <si>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</si>
  <si>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</si>
  <si>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</si>
  <si>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</si>
  <si>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</si>
  <si>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</si>
  <si>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</si>
  <si>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</si>
  <si>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</si>
  <si>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</si>
  <si>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</si>
  <si>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</si>
  <si>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</si>
  <si>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</si>
  <si>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</si>
  <si>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</si>
  <si>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</si>
  <si>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</si>
  <si>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</si>
  <si>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</si>
  <si>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</si>
  <si>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</si>
  <si>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</si>
  <si>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</si>
  <si>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</si>
  <si>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</si>
  <si>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</si>
  <si>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</si>
  <si>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</si>
  <si>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</si>
  <si>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</si>
  <si>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</si>
  <si>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</si>
  <si>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</si>
  <si>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</si>
  <si>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</si>
  <si>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</si>
  <si>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</si>
  <si>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</si>
  <si>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</si>
  <si>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</si>
  <si>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</si>
  <si>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</si>
  <si>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</si>
  <si>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</si>
  <si>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</si>
  <si>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</si>
  <si>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</si>
  <si>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</si>
  <si>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</si>
  <si>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</si>
  <si>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</si>
  <si>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</si>
  <si>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</si>
  <si>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</si>
  <si>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</si>
  <si>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</si>
  <si>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</si>
  <si>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</si>
  <si>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</si>
  <si>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</si>
  <si>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</si>
  <si>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</si>
  <si>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</si>
  <si>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</si>
  <si>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</si>
  <si>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</si>
  <si>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</si>
  <si>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</si>
  <si>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</si>
  <si>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</si>
  <si>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</si>
  <si>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</si>
  <si>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</si>
  <si>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</si>
  <si>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</si>
  <si>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</si>
  <si>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</si>
  <si>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</si>
  <si>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</si>
  <si>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</si>
  <si>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</si>
  <si>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</si>
  <si>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</si>
  <si>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</si>
  <si>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</si>
  <si>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</si>
  <si>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</si>
  <si>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</si>
  <si>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</si>
  <si>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</si>
  <si>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</si>
  <si>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</si>
  <si>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</si>
  <si>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</si>
  <si>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</si>
  <si>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</si>
  <si>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</si>
  <si>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</si>
  <si>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</si>
  <si>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</si>
  <si>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</si>
  <si>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</si>
  <si>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</si>
  <si>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</si>
  <si>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</si>
  <si>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</si>
  <si>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</si>
  <si>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</si>
  <si>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</si>
  <si>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</si>
  <si>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</si>
  <si>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</si>
  <si>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</si>
  <si>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</si>
  <si>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</si>
  <si>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</si>
  <si>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</si>
  <si>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</si>
  <si>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</si>
  <si>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</si>
  <si>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</si>
  <si>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</si>
  <si>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</si>
  <si>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</si>
  <si>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</si>
  <si>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</si>
  <si>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</si>
  <si>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</si>
  <si>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</si>
  <si>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</si>
  <si>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</si>
  <si>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</si>
  <si>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</si>
  <si>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</si>
  <si>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</si>
  <si>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</si>
  <si>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</si>
  <si>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</si>
  <si>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</si>
  <si>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</si>
  <si>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</si>
  <si>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</si>
  <si>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</si>
  <si>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</si>
  <si>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</si>
  <si>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</si>
  <si>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</si>
  <si>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</si>
  <si>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</si>
  <si>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</si>
  <si>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</si>
  <si>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</si>
  <si>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</si>
  <si>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</si>
  <si>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</si>
  <si>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</si>
  <si>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</si>
  <si>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</si>
  <si>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</si>
  <si>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</si>
  <si>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H020194</t>
    <phoneticPr fontId="2" type="noConversion"/>
  </si>
  <si>
    <t>2.0.0.0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</si>
</sst>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3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1.202111115324443E-2</c:v>
                </c:pt>
                <c:pt idx="1">
                  <c:v>1.6722554648782511E-2</c:v>
                </c:pt>
                <c:pt idx="2">
                  <c:v>1.1877345199249536E-2</c:v>
                </c:pt>
                <c:pt idx="3">
                  <c:v>1.2636658956269134E-2</c:v>
                </c:pt>
                <c:pt idx="4">
                  <c:v>1.0315617699002336E-2</c:v>
                </c:pt>
                <c:pt idx="5">
                  <c:v>8.2397113632923635E-3</c:v>
                </c:pt>
                <c:pt idx="6">
                  <c:v>2.0027753591118852E-3</c:v>
                </c:pt>
                <c:pt idx="7">
                  <c:v>8.6036252468399202E-3</c:v>
                </c:pt>
                <c:pt idx="8">
                  <c:v>3.1492279922470424E-3</c:v>
                </c:pt>
                <c:pt idx="9">
                  <c:v>6.3369639721715292E-3</c:v>
                </c:pt>
                <c:pt idx="10">
                  <c:v>1.0101264767595274E-2</c:v>
                </c:pt>
                <c:pt idx="11">
                  <c:v>6.0025480791846145E-3</c:v>
                </c:pt>
                <c:pt idx="12">
                  <c:v>2.5179401942591381E-3</c:v>
                </c:pt>
                <c:pt idx="13">
                  <c:v>2.1837583011973436E-3</c:v>
                </c:pt>
                <c:pt idx="14">
                  <c:v>4.1743586642052275E-4</c:v>
                </c:pt>
                <c:pt idx="15">
                  <c:v>9.7441668818665976E-4</c:v>
                </c:pt>
                <c:pt idx="16">
                  <c:v>2.2638992755522318E-4</c:v>
                </c:pt>
                <c:pt idx="17">
                  <c:v>1.1321676377063559E-3</c:v>
                </c:pt>
                <c:pt idx="18">
                  <c:v>4.4162585867972521E-4</c:v>
                </c:pt>
                <c:pt idx="19">
                  <c:v>4.5420985465284654E-5</c:v>
                </c:pt>
                <c:pt idx="20">
                  <c:v>1.9478393766913995E-4</c:v>
                </c:pt>
                <c:pt idx="21">
                  <c:v>7.4973976008327681E-5</c:v>
                </c:pt>
                <c:pt idx="22">
                  <c:v>1.4145795473345448E-4</c:v>
                </c:pt>
                <c:pt idx="23">
                  <c:v>8.9235971444489136E-5</c:v>
                </c:pt>
                <c:pt idx="24">
                  <c:v>2.1632993077442215E-5</c:v>
                </c:pt>
                <c:pt idx="25">
                  <c:v>1.4566995338561492E-5</c:v>
                </c:pt>
                <c:pt idx="26">
                  <c:v>1.298599584448133E-5</c:v>
                </c:pt>
                <c:pt idx="27">
                  <c:v>5.7679981542405908E-6</c:v>
                </c:pt>
                <c:pt idx="28">
                  <c:v>6.1369980361606287E-6</c:v>
                </c:pt>
                <c:pt idx="29">
                  <c:v>7.2199976896007398E-7</c:v>
                </c:pt>
                <c:pt idx="30">
                  <c:v>3.6199988416003707E-7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6.8999977920007064E-8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2.2599992768002316E-7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4.1239256679720089E-3</c:v>
                </c:pt>
                <c:pt idx="1">
                  <c:v>1.1967956134350168E-2</c:v>
                </c:pt>
                <c:pt idx="2">
                  <c:v>6.1348240184518421E-3</c:v>
                </c:pt>
                <c:pt idx="3">
                  <c:v>1.131996034365281E-2</c:v>
                </c:pt>
                <c:pt idx="4">
                  <c:v>1.0571008585564227E-2</c:v>
                </c:pt>
                <c:pt idx="5">
                  <c:v>9.3442789817978888E-3</c:v>
                </c:pt>
                <c:pt idx="6">
                  <c:v>2.1329833110463907E-3</c:v>
                </c:pt>
                <c:pt idx="7">
                  <c:v>9.7269718581880892E-3</c:v>
                </c:pt>
                <c:pt idx="8">
                  <c:v>3.6743198131947005E-3</c:v>
                </c:pt>
                <c:pt idx="9">
                  <c:v>8.5495452384968876E-3</c:v>
                </c:pt>
                <c:pt idx="10">
                  <c:v>1.4923847179597362E-2</c:v>
                </c:pt>
                <c:pt idx="11">
                  <c:v>9.4033179627282977E-3</c:v>
                </c:pt>
                <c:pt idx="12">
                  <c:v>5.2532223032091957E-3</c:v>
                </c:pt>
                <c:pt idx="13">
                  <c:v>3.5029308685533295E-3</c:v>
                </c:pt>
                <c:pt idx="14">
                  <c:v>6.292117967645896E-4</c:v>
                </c:pt>
                <c:pt idx="15">
                  <c:v>2.1130273174921766E-3</c:v>
                </c:pt>
                <c:pt idx="16">
                  <c:v>7.2195076680990232E-4</c:v>
                </c:pt>
                <c:pt idx="17">
                  <c:v>1.0541646595048149E-3</c:v>
                </c:pt>
                <c:pt idx="18">
                  <c:v>1.0177746712587811E-3</c:v>
                </c:pt>
                <c:pt idx="19">
                  <c:v>1.1738996208304224E-4</c:v>
                </c:pt>
                <c:pt idx="20">
                  <c:v>3.8863887446964352E-4</c:v>
                </c:pt>
                <c:pt idx="21">
                  <c:v>2.2656292682017465E-4</c:v>
                </c:pt>
                <c:pt idx="22">
                  <c:v>3.8034387714892766E-4</c:v>
                </c:pt>
                <c:pt idx="23">
                  <c:v>1.9486693705797933E-4</c:v>
                </c:pt>
                <c:pt idx="24">
                  <c:v>4.4606985591943656E-5</c:v>
                </c:pt>
                <c:pt idx="25">
                  <c:v>1.4438995336204507E-4</c:v>
                </c:pt>
                <c:pt idx="26">
                  <c:v>3.5215988625235673E-5</c:v>
                </c:pt>
                <c:pt idx="27">
                  <c:v>4.3432985971145529E-5</c:v>
                </c:pt>
                <c:pt idx="28">
                  <c:v>5.9867980662642245E-5</c:v>
                </c:pt>
                <c:pt idx="29">
                  <c:v>2.347699241693145E-5</c:v>
                </c:pt>
                <c:pt idx="30">
                  <c:v>2.3459992422422447E-6</c:v>
                </c:pt>
                <c:pt idx="31">
                  <c:v>1.1719996214441222E-6</c:v>
                </c:pt>
                <c:pt idx="32">
                  <c:v>5.8679981046366125E-6</c:v>
                </c:pt>
                <c:pt idx="33">
                  <c:v>1.6432994692142714E-5</c:v>
                </c:pt>
                <c:pt idx="34">
                  <c:v>4.6939984838384897E-6</c:v>
                </c:pt>
                <c:pt idx="35">
                  <c:v>0</c:v>
                </c:pt>
                <c:pt idx="36">
                  <c:v>2.5919991627842704E-6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1.0109996734471054E-6</c:v>
                </c:pt>
                <c:pt idx="45">
                  <c:v>4.5199985400404715E-7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3.4352207474590758E-2</c:v>
                      </c:pt>
                      <c:pt idx="8">
                        <c:v>0</c:v>
                      </c:pt>
                      <c:pt idx="9">
                        <c:v>2.5901974695182281E-2</c:v>
                      </c:pt>
                      <c:pt idx="10">
                        <c:v>4.1381713081338704E-3</c:v>
                      </c:pt>
                      <c:pt idx="11">
                        <c:v>1.4226782933424102E-2</c:v>
                      </c:pt>
                      <c:pt idx="12">
                        <c:v>8.9684356372870654E-3</c:v>
                      </c:pt>
                      <c:pt idx="13">
                        <c:v>7.1182307391773701E-3</c:v>
                      </c:pt>
                      <c:pt idx="14">
                        <c:v>4.7652963257215049E-3</c:v>
                      </c:pt>
                      <c:pt idx="15">
                        <c:v>4.1776946018832646E-3</c:v>
                      </c:pt>
                      <c:pt idx="16">
                        <c:v>8.877760925345337E-3</c:v>
                      </c:pt>
                      <c:pt idx="17">
                        <c:v>3.0275891007347194E-3</c:v>
                      </c:pt>
                      <c:pt idx="18">
                        <c:v>3.1450570457368194E-3</c:v>
                      </c:pt>
                      <c:pt idx="19">
                        <c:v>8.6116702923836794E-4</c:v>
                      </c:pt>
                      <c:pt idx="20">
                        <c:v>1.609481916351588E-3</c:v>
                      </c:pt>
                      <c:pt idx="21">
                        <c:v>1.5127635079217234E-2</c:v>
                      </c:pt>
                      <c:pt idx="22">
                        <c:v>2.2790661557288822E-3</c:v>
                      </c:pt>
                      <c:pt idx="23">
                        <c:v>6.2596143455855317E-4</c:v>
                      </c:pt>
                      <c:pt idx="24">
                        <c:v>8.88638376911714E-5</c:v>
                      </c:pt>
                      <c:pt idx="25">
                        <c:v>1.5629000659489578E-4</c:v>
                      </c:pt>
                      <c:pt idx="26">
                        <c:v>5.2019944306292715E-3</c:v>
                      </c:pt>
                      <c:pt idx="27">
                        <c:v>8.2938040675518358E-5</c:v>
                      </c:pt>
                      <c:pt idx="28">
                        <c:v>3.209485639817281E-5</c:v>
                      </c:pt>
                      <c:pt idx="29">
                        <c:v>2.2279532667759216E-3</c:v>
                      </c:pt>
                      <c:pt idx="30">
                        <c:v>6.6808930488960008E-4</c:v>
                      </c:pt>
                      <c:pt idx="31">
                        <c:v>0</c:v>
                      </c:pt>
                      <c:pt idx="32">
                        <c:v>8.6774011747549676E-4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2.9796201977146412E-4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1.0054590306923382E-4</c:v>
                      </c:pt>
                      <c:pt idx="46">
                        <c:v>0</c:v>
                      </c:pt>
                      <c:pt idx="47">
                        <c:v>6.3149423333259589E-5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8.8967067999999996E-2</c:v>
                      </c:pt>
                      <c:pt idx="19">
                        <c:v>6.9923402999999995E-2</c:v>
                      </c:pt>
                      <c:pt idx="20">
                        <c:v>6.0363622999999998E-2</c:v>
                      </c:pt>
                      <c:pt idx="21">
                        <c:v>7.3220678999999997E-2</c:v>
                      </c:pt>
                      <c:pt idx="22">
                        <c:v>0.135278327</c:v>
                      </c:pt>
                      <c:pt idx="23">
                        <c:v>0.14951972199999999</c:v>
                      </c:pt>
                      <c:pt idx="24">
                        <c:v>7.8771814999999995E-2</c:v>
                      </c:pt>
                      <c:pt idx="25">
                        <c:v>3.5928905999999997E-2</c:v>
                      </c:pt>
                      <c:pt idx="26">
                        <c:v>2.0488039999999999E-2</c:v>
                      </c:pt>
                      <c:pt idx="27">
                        <c:v>3.0055406E-2</c:v>
                      </c:pt>
                      <c:pt idx="28">
                        <c:v>1.2737762E-2</c:v>
                      </c:pt>
                      <c:pt idx="29">
                        <c:v>7.3895106000000002E-2</c:v>
                      </c:pt>
                      <c:pt idx="30">
                        <c:v>1.1104785000000001E-2</c:v>
                      </c:pt>
                      <c:pt idx="31">
                        <c:v>1.2719037000000001E-2</c:v>
                      </c:pt>
                      <c:pt idx="32">
                        <c:v>9.9070410000000001E-3</c:v>
                      </c:pt>
                      <c:pt idx="33">
                        <c:v>1.2324439E-2</c:v>
                      </c:pt>
                      <c:pt idx="34">
                        <c:v>3.5527359000000001E-2</c:v>
                      </c:pt>
                      <c:pt idx="35">
                        <c:v>1.8710401000000002E-2</c:v>
                      </c:pt>
                      <c:pt idx="36">
                        <c:v>1.2360230999999999E-2</c:v>
                      </c:pt>
                      <c:pt idx="37">
                        <c:v>5.820118E-3</c:v>
                      </c:pt>
                      <c:pt idx="38">
                        <c:v>4.9228229999999998E-3</c:v>
                      </c:pt>
                      <c:pt idx="39">
                        <c:v>8.0969600000000003E-3</c:v>
                      </c:pt>
                      <c:pt idx="40">
                        <c:v>4.5427410000000003E-3</c:v>
                      </c:pt>
                      <c:pt idx="41">
                        <c:v>4.4154950000000002E-3</c:v>
                      </c:pt>
                      <c:pt idx="42">
                        <c:v>3.393152E-3</c:v>
                      </c:pt>
                      <c:pt idx="43">
                        <c:v>6.194537E-3</c:v>
                      </c:pt>
                      <c:pt idx="44">
                        <c:v>1.5406263E-2</c:v>
                      </c:pt>
                      <c:pt idx="45">
                        <c:v>1.5989140000000001E-3</c:v>
                      </c:pt>
                      <c:pt idx="46">
                        <c:v>1.293345E-3</c:v>
                      </c:pt>
                      <c:pt idx="47">
                        <c:v>1.0284479999999999E-3</c:v>
                      </c:pt>
                      <c:pt idx="48">
                        <c:v>3.4129000000000001E-4</c:v>
                      </c:pt>
                      <c:pt idx="49">
                        <c:v>3.2258500000000002E-4</c:v>
                      </c:pt>
                      <c:pt idx="50">
                        <c:v>3.00718E-4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8.9235971444489136E-5</c:v>
                </c:pt>
                <c:pt idx="1">
                  <c:v>2.1632993077442215E-5</c:v>
                </c:pt>
                <c:pt idx="2">
                  <c:v>1.4566995338561492E-5</c:v>
                </c:pt>
                <c:pt idx="3">
                  <c:v>1.298599584448133E-5</c:v>
                </c:pt>
                <c:pt idx="4">
                  <c:v>5.7679981542405908E-6</c:v>
                </c:pt>
                <c:pt idx="5">
                  <c:v>6.1369980361606287E-6</c:v>
                </c:pt>
                <c:pt idx="6">
                  <c:v>7.2199976896007398E-7</c:v>
                </c:pt>
                <c:pt idx="7">
                  <c:v>3.6199988416003707E-7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6.8999977920007064E-8</c:v>
                </c:pt>
                <c:pt idx="12">
                  <c:v>2.2599992768002316E-7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1.9486693705797933E-4</c:v>
                      </c:pt>
                      <c:pt idx="1">
                        <c:v>4.4606985591943656E-5</c:v>
                      </c:pt>
                      <c:pt idx="2">
                        <c:v>1.4438995336204507E-4</c:v>
                      </c:pt>
                      <c:pt idx="3">
                        <c:v>3.5215988625235673E-5</c:v>
                      </c:pt>
                      <c:pt idx="4">
                        <c:v>4.3432985971145529E-5</c:v>
                      </c:pt>
                      <c:pt idx="5">
                        <c:v>5.9867980662642245E-5</c:v>
                      </c:pt>
                      <c:pt idx="6">
                        <c:v>2.347699241693145E-5</c:v>
                      </c:pt>
                      <c:pt idx="7">
                        <c:v>2.3459992422422447E-6</c:v>
                      </c:pt>
                      <c:pt idx="8">
                        <c:v>1.1719996214441222E-6</c:v>
                      </c:pt>
                      <c:pt idx="9">
                        <c:v>5.8679981046366125E-6</c:v>
                      </c:pt>
                      <c:pt idx="10">
                        <c:v>1.6432994692142714E-5</c:v>
                      </c:pt>
                      <c:pt idx="11">
                        <c:v>4.6939984838384897E-6</c:v>
                      </c:pt>
                      <c:pt idx="12">
                        <c:v>1.0109996734471054E-6</c:v>
                      </c:pt>
                      <c:pt idx="13">
                        <c:v>4.5199985400404715E-7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6.2596143455855317E-4</c:v>
                      </c:pt>
                      <c:pt idx="1">
                        <c:v>8.88638376911714E-5</c:v>
                      </c:pt>
                      <c:pt idx="2">
                        <c:v>1.5629000659489578E-4</c:v>
                      </c:pt>
                      <c:pt idx="3">
                        <c:v>5.2019944306292715E-3</c:v>
                      </c:pt>
                      <c:pt idx="4">
                        <c:v>8.2938040675518358E-5</c:v>
                      </c:pt>
                      <c:pt idx="5">
                        <c:v>3.209485639817281E-5</c:v>
                      </c:pt>
                      <c:pt idx="6">
                        <c:v>2.2279532667759216E-3</c:v>
                      </c:pt>
                      <c:pt idx="7">
                        <c:v>6.6808930488960008E-4</c:v>
                      </c:pt>
                      <c:pt idx="8">
                        <c:v>0</c:v>
                      </c:pt>
                      <c:pt idx="9">
                        <c:v>8.6774011747549676E-4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1.0054590306923382E-4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0.14951972199999999</c:v>
                      </c:pt>
                      <c:pt idx="1">
                        <c:v>7.8771814999999995E-2</c:v>
                      </c:pt>
                      <c:pt idx="2">
                        <c:v>3.5928905999999997E-2</c:v>
                      </c:pt>
                      <c:pt idx="3">
                        <c:v>2.0488039999999999E-2</c:v>
                      </c:pt>
                      <c:pt idx="4">
                        <c:v>3.0055406E-2</c:v>
                      </c:pt>
                      <c:pt idx="5">
                        <c:v>1.2737762E-2</c:v>
                      </c:pt>
                      <c:pt idx="6">
                        <c:v>7.3895106000000002E-2</c:v>
                      </c:pt>
                      <c:pt idx="7">
                        <c:v>1.1104785000000001E-2</c:v>
                      </c:pt>
                      <c:pt idx="8">
                        <c:v>1.2719037000000001E-2</c:v>
                      </c:pt>
                      <c:pt idx="9">
                        <c:v>9.9070410000000001E-3</c:v>
                      </c:pt>
                      <c:pt idx="10">
                        <c:v>1.2324439E-2</c:v>
                      </c:pt>
                      <c:pt idx="11">
                        <c:v>3.5527359000000001E-2</c:v>
                      </c:pt>
                      <c:pt idx="12">
                        <c:v>1.5406263E-2</c:v>
                      </c:pt>
                      <c:pt idx="13">
                        <c:v>1.5989140000000001E-3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5.6868241979797819E-3</c:v>
                </c:pt>
                <c:pt idx="1">
                  <c:v>9.2383286483157124E-3</c:v>
                </c:pt>
                <c:pt idx="2">
                  <c:v>6.5222312150391747E-3</c:v>
                </c:pt>
                <c:pt idx="3">
                  <c:v>8.5853752466104535E-3</c:v>
                </c:pt>
                <c:pt idx="4">
                  <c:v>5.873162084302783E-3</c:v>
                </c:pt>
                <c:pt idx="5">
                  <c:v>5.8426747488564993E-3</c:v>
                </c:pt>
                <c:pt idx="6">
                  <c:v>1.471910484637508E-3</c:v>
                </c:pt>
                <c:pt idx="7">
                  <c:v>1.532755679831113E-2</c:v>
                </c:pt>
                <c:pt idx="8">
                  <c:v>3.342666668268812E-3</c:v>
                </c:pt>
                <c:pt idx="9">
                  <c:v>4.1557973447477617E-3</c:v>
                </c:pt>
                <c:pt idx="10">
                  <c:v>2.0853863731372463E-2</c:v>
                </c:pt>
                <c:pt idx="11">
                  <c:v>5.2383259656537482E-3</c:v>
                </c:pt>
                <c:pt idx="12">
                  <c:v>7.2421021290713806E-3</c:v>
                </c:pt>
                <c:pt idx="13">
                  <c:v>2.5208452848019666E-3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1.0223660069836115E-2</c:v>
                </c:pt>
                <c:pt idx="1">
                  <c:v>1.660848452944284E-2</c:v>
                </c:pt>
                <c:pt idx="2">
                  <c:v>1.1725538282530843E-2</c:v>
                </c:pt>
                <c:pt idx="3">
                  <c:v>1.2800505026016198E-2</c:v>
                </c:pt>
                <c:pt idx="4">
                  <c:v>8.7566862998931013E-3</c:v>
                </c:pt>
                <c:pt idx="5">
                  <c:v>8.7112310647333366E-3</c:v>
                </c:pt>
                <c:pt idx="6">
                  <c:v>2.1945681700663616E-3</c:v>
                </c:pt>
                <c:pt idx="7">
                  <c:v>9.1411492711490662E-3</c:v>
                </c:pt>
                <c:pt idx="8">
                  <c:v>3.9870440589686957E-3</c:v>
                </c:pt>
                <c:pt idx="9">
                  <c:v>4.9569223646838854E-3</c:v>
                </c:pt>
                <c:pt idx="10">
                  <c:v>7.4981335915328233E-3</c:v>
                </c:pt>
                <c:pt idx="11">
                  <c:v>1.8834717636203719E-2</c:v>
                </c:pt>
                <c:pt idx="12">
                  <c:v>2.6039424321503794E-3</c:v>
                </c:pt>
                <c:pt idx="13">
                  <c:v>1.8127711557207385E-3</c:v>
                </c:pt>
                <c:pt idx="14">
                  <c:v>8.9677548978296384E-3</c:v>
                </c:pt>
                <c:pt idx="15">
                  <c:v>1.5758409336982227E-3</c:v>
                </c:pt>
                <c:pt idx="16">
                  <c:v>2.7664494192558677E-3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3.3078382757739958E-2</c:v>
                      </c:pt>
                      <c:pt idx="8">
                        <c:v>0</c:v>
                      </c:pt>
                      <c:pt idx="9">
                        <c:v>4.9882997468668035E-3</c:v>
                      </c:pt>
                      <c:pt idx="10">
                        <c:v>3.9847286494331582E-3</c:v>
                      </c:pt>
                      <c:pt idx="11">
                        <c:v>1.3699237821987151E-2</c:v>
                      </c:pt>
                      <c:pt idx="12">
                        <c:v>8.6358768438296075E-3</c:v>
                      </c:pt>
                      <c:pt idx="13">
                        <c:v>6.8542836043006747E-3</c:v>
                      </c:pt>
                      <c:pt idx="14">
                        <c:v>4.5885971683208328E-3</c:v>
                      </c:pt>
                      <c:pt idx="15">
                        <c:v>3.218227462748878E-3</c:v>
                      </c:pt>
                      <c:pt idx="16">
                        <c:v>3.4194256536782359E-3</c:v>
                      </c:pt>
                      <c:pt idx="17">
                        <c:v>2.3322614258740465E-3</c:v>
                      </c:pt>
                      <c:pt idx="18">
                        <c:v>2.4227488664178886E-3</c:v>
                      </c:pt>
                      <c:pt idx="19">
                        <c:v>6.6338787479437191E-4</c:v>
                      </c:pt>
                      <c:pt idx="20">
                        <c:v>3.0996027139304373E-3</c:v>
                      </c:pt>
                      <c:pt idx="21">
                        <c:v>1.456668814637449E-2</c:v>
                      </c:pt>
                      <c:pt idx="22">
                        <c:v>2.5162801525128553E-3</c:v>
                      </c:pt>
                      <c:pt idx="23">
                        <c:v>2.0175917166443025E-3</c:v>
                      </c:pt>
                      <c:pt idx="24">
                        <c:v>7.2963412936905491E-4</c:v>
                      </c:pt>
                      <c:pt idx="25">
                        <c:v>2.3793192780944381E-3</c:v>
                      </c:pt>
                      <c:pt idx="26">
                        <c:v>6.6788059082783227E-3</c:v>
                      </c:pt>
                      <c:pt idx="27">
                        <c:v>2.3942402089860526E-3</c:v>
                      </c:pt>
                      <c:pt idx="28">
                        <c:v>6.6575081209571015E-3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2.0175917166443025E-3</c:v>
                      </c:pt>
                      <c:pt idx="1">
                        <c:v>7.2963412936905491E-4</c:v>
                      </c:pt>
                      <c:pt idx="2">
                        <c:v>2.3793192780944381E-3</c:v>
                      </c:pt>
                      <c:pt idx="3">
                        <c:v>6.6788059082783227E-3</c:v>
                      </c:pt>
                      <c:pt idx="4">
                        <c:v>2.3942402089860526E-3</c:v>
                      </c:pt>
                      <c:pt idx="5">
                        <c:v>6.6575081209571015E-3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H020194-2.0.0.0</v>
      </c>
      <c r="C1" s="11" t="s">
        <v>294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0.11651148171632586</v>
      </c>
      <c r="H5" s="188">
        <f>SUM('Multiplier Weight'!$N$12:$N$61)-I5-J5</f>
        <v>1.8089817211258494E-2</v>
      </c>
      <c r="I5" s="188">
        <f>SUM('Multiplier Weight'!$N$15:$N$61)-J5</f>
        <v>2.0805511342236366E-2</v>
      </c>
      <c r="J5" s="189">
        <f>SUM('Multiplier Weight'!$N$19:$N$61)</f>
        <v>3.8003787838787884E-3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0.11785858293167772</v>
      </c>
      <c r="H6" s="188">
        <f>SUM('Multiplier Weight'!N79:N126)-I6-J6</f>
        <v>2.3473392418094249E-2</v>
      </c>
      <c r="I6" s="188">
        <f>SUM('Multiplier Weight'!N81:N126)-J6</f>
        <v>2.1623661015557485E-2</v>
      </c>
      <c r="J6" s="189">
        <f>SUM('Multiplier Weight'!N87:N126)</f>
        <v>3.7653007838078473E-3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0.14903218442146804</v>
      </c>
      <c r="H7" s="188">
        <f>SUM('Multiplier Weight'!N153:N191)-I7-J7</f>
        <v>5.6157059913267728E-3</v>
      </c>
      <c r="I7" s="188">
        <f>SUM('Multiplier Weight'!N156:N191)-J7</f>
        <v>2.3594843841493698E-2</v>
      </c>
      <c r="J7" s="189">
        <f>SUM('Multiplier Weight'!N164:N191)</f>
        <v>4.2674908471672761E-3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7.4769728593547186E-3</v>
      </c>
      <c r="D8" s="141">
        <f ca="1">'Pay Combo Super Feature Buy'!$I$2</f>
        <v>5.2065085598898655</v>
      </c>
      <c r="E8" s="142">
        <f ca="1">SUM('Pay Combo Super Feature Buy'!$J$23:$J$32)</f>
        <v>0.17627232283058294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4" t="s">
        <v>292</v>
      </c>
      <c r="B18" s="315"/>
      <c r="C18" s="315"/>
      <c r="D18" s="315"/>
      <c r="E18" s="315"/>
      <c r="F18" s="316"/>
    </row>
    <row r="19" spans="1:6" ht="31.8" customHeight="1">
      <c r="A19" s="317"/>
      <c r="B19" s="318"/>
      <c r="C19" s="318"/>
      <c r="D19" s="318"/>
      <c r="E19" s="318"/>
      <c r="F19" s="319"/>
    </row>
    <row r="20" spans="1:6" ht="31.8" customHeight="1">
      <c r="A20" s="317"/>
      <c r="B20" s="318"/>
      <c r="C20" s="318"/>
      <c r="D20" s="318"/>
      <c r="E20" s="318"/>
      <c r="F20" s="319"/>
    </row>
    <row r="21" spans="1:6" ht="31.8" customHeight="1">
      <c r="A21" s="317"/>
      <c r="B21" s="318"/>
      <c r="C21" s="318"/>
      <c r="D21" s="318"/>
      <c r="E21" s="318"/>
      <c r="F21" s="319"/>
    </row>
    <row r="22" spans="1:6" ht="31.8" customHeight="1" thickBot="1">
      <c r="A22" s="320"/>
      <c r="B22" s="321"/>
      <c r="C22" s="321"/>
      <c r="D22" s="321"/>
      <c r="E22" s="321"/>
      <c r="F22" s="322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313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277</v>
      </c>
      <c r="S4" s="101">
        <v>391</v>
      </c>
      <c r="T4" s="101">
        <v>453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231</v>
      </c>
      <c r="S5" s="101">
        <v>469</v>
      </c>
      <c r="T5" s="101">
        <v>378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185</v>
      </c>
      <c r="S6" s="101">
        <v>100</v>
      </c>
      <c r="T6" s="101">
        <v>302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231</v>
      </c>
      <c r="S7" s="101">
        <v>100</v>
      </c>
      <c r="T7" s="101">
        <v>378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277</v>
      </c>
      <c r="S8" s="101">
        <v>100</v>
      </c>
      <c r="T8" s="101">
        <v>453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469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391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313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391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469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453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378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302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378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453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277</v>
      </c>
      <c r="S51" s="101">
        <v>469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231</v>
      </c>
      <c r="S52" s="101">
        <v>391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185</v>
      </c>
      <c r="S53" s="101">
        <v>313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231</v>
      </c>
      <c r="S54" s="101">
        <v>391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277</v>
      </c>
      <c r="S55" s="101">
        <v>469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469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391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313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391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469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277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231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185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231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277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453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378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302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378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453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469</v>
      </c>
      <c r="T142" s="101">
        <v>453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391</v>
      </c>
      <c r="T143" s="101">
        <v>378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313</v>
      </c>
      <c r="T144" s="101">
        <v>302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391</v>
      </c>
      <c r="T145" s="101">
        <v>378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4.9411764705882349E-2</v>
      </c>
      <c r="AJ145" s="103">
        <v>8400000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469</v>
      </c>
      <c r="T146" s="101">
        <v>453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6.7647058823529407E-2</v>
      </c>
      <c r="AJ146" s="103">
        <v>11500000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9.6470588235294114E-2</v>
      </c>
      <c r="AJ147" s="103">
        <v>16400000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0.09</v>
      </c>
      <c r="AJ148" s="103">
        <v>15300000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8.6470588235294119E-2</v>
      </c>
      <c r="AJ149" s="103">
        <v>14700000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8.4117647058823533E-2</v>
      </c>
      <c r="AJ150" s="103">
        <v>14300000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2.7647058823529413E-2</v>
      </c>
      <c r="AJ151" s="103">
        <v>4700000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2.5294117647058825E-2</v>
      </c>
      <c r="AJ152" s="103">
        <v>4300000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2.3529411764705882E-2</v>
      </c>
      <c r="AJ153" s="103">
        <v>4000000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0.02</v>
      </c>
      <c r="AJ154" s="103">
        <v>3400000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453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378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302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378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453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50000000</v>
      </c>
      <c r="AK177" s="103">
        <v>50000000</v>
      </c>
      <c r="AL177" s="103">
        <v>50000000</v>
      </c>
      <c r="AM177" s="103">
        <v>50000000</v>
      </c>
      <c r="AN177" s="103">
        <v>50000000</v>
      </c>
      <c r="AO177" s="103">
        <v>50000000</v>
      </c>
      <c r="AP177" s="103">
        <v>50000000</v>
      </c>
      <c r="AQ177" s="103">
        <v>50000000</v>
      </c>
      <c r="AR177" s="103">
        <v>50000000</v>
      </c>
      <c r="AS177" s="103">
        <v>50000000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120000000</v>
      </c>
      <c r="AK178" s="103">
        <v>120000000</v>
      </c>
      <c r="AL178" s="103">
        <v>120000000</v>
      </c>
      <c r="AM178" s="103">
        <v>120000000</v>
      </c>
      <c r="AN178" s="103">
        <v>120000000</v>
      </c>
      <c r="AO178" s="103">
        <v>120000000</v>
      </c>
      <c r="AP178" s="103">
        <v>120000000</v>
      </c>
      <c r="AQ178" s="103">
        <v>120000000</v>
      </c>
      <c r="AR178" s="103">
        <v>120000000</v>
      </c>
      <c r="AS178" s="103">
        <v>120000000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120000000</v>
      </c>
      <c r="AJ179" s="103">
        <v>120000000</v>
      </c>
      <c r="AK179" s="103">
        <v>120000000</v>
      </c>
      <c r="AL179" s="103">
        <v>90000000</v>
      </c>
      <c r="AM179" s="103">
        <v>90000000</v>
      </c>
      <c r="AN179" s="103">
        <v>90000000</v>
      </c>
      <c r="AO179" s="103">
        <v>90000000</v>
      </c>
      <c r="AP179" s="103">
        <v>90000000</v>
      </c>
      <c r="AQ179" s="103">
        <v>90000000</v>
      </c>
      <c r="AR179" s="103">
        <v>90000000</v>
      </c>
      <c r="AS179" s="103">
        <v>90000000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90000000</v>
      </c>
      <c r="AJ180" s="103">
        <v>90000000</v>
      </c>
      <c r="AK180" s="103">
        <v>90000000</v>
      </c>
      <c r="AL180" s="103">
        <v>50000000</v>
      </c>
      <c r="AM180" s="103">
        <v>50000000</v>
      </c>
      <c r="AN180" s="103">
        <v>50000000</v>
      </c>
      <c r="AO180" s="103">
        <v>50000000</v>
      </c>
      <c r="AP180" s="103">
        <v>50000000</v>
      </c>
      <c r="AQ180" s="103">
        <v>50000000</v>
      </c>
      <c r="AR180" s="103">
        <v>50000000</v>
      </c>
      <c r="AS180" s="103">
        <v>50000000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469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21000000</v>
      </c>
      <c r="AJ181" s="103">
        <v>21000000</v>
      </c>
      <c r="AK181" s="103">
        <v>21000000</v>
      </c>
      <c r="AL181" s="103">
        <v>30000000</v>
      </c>
      <c r="AM181" s="103">
        <v>30000000</v>
      </c>
      <c r="AN181" s="103">
        <v>30000000</v>
      </c>
      <c r="AO181" s="103">
        <v>30000000</v>
      </c>
      <c r="AP181" s="103">
        <v>30000000</v>
      </c>
      <c r="AQ181" s="103">
        <v>30000000</v>
      </c>
      <c r="AR181" s="103">
        <v>30000000</v>
      </c>
      <c r="AS181" s="103">
        <v>30000000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391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13500000</v>
      </c>
      <c r="AJ182" s="103">
        <v>13500000</v>
      </c>
      <c r="AK182" s="103">
        <v>13500000</v>
      </c>
      <c r="AL182" s="103">
        <v>13500000</v>
      </c>
      <c r="AM182" s="103">
        <v>13500000</v>
      </c>
      <c r="AN182" s="103">
        <v>13500000</v>
      </c>
      <c r="AO182" s="103">
        <v>13500000</v>
      </c>
      <c r="AP182" s="103">
        <v>13500000</v>
      </c>
      <c r="AQ182" s="103">
        <v>13500000</v>
      </c>
      <c r="AR182" s="103">
        <v>13500000</v>
      </c>
      <c r="AS182" s="103">
        <v>13500000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313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13500000</v>
      </c>
      <c r="AJ183" s="103">
        <v>13500000</v>
      </c>
      <c r="AK183" s="103">
        <v>13500000</v>
      </c>
      <c r="AL183" s="103">
        <v>13500000</v>
      </c>
      <c r="AM183" s="103">
        <v>13500000</v>
      </c>
      <c r="AN183" s="103">
        <v>13500000</v>
      </c>
      <c r="AO183" s="103">
        <v>13500000</v>
      </c>
      <c r="AP183" s="103">
        <v>13500000</v>
      </c>
      <c r="AQ183" s="103">
        <v>13500000</v>
      </c>
      <c r="AR183" s="103">
        <v>13500000</v>
      </c>
      <c r="AS183" s="103">
        <v>13500000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391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8500000</v>
      </c>
      <c r="AJ184" s="103">
        <v>8500000</v>
      </c>
      <c r="AK184" s="103">
        <v>8500000</v>
      </c>
      <c r="AL184" s="103">
        <v>8500000</v>
      </c>
      <c r="AM184" s="103">
        <v>8500000</v>
      </c>
      <c r="AN184" s="103">
        <v>8500000</v>
      </c>
      <c r="AO184" s="103">
        <v>8500000</v>
      </c>
      <c r="AP184" s="103">
        <v>8500000</v>
      </c>
      <c r="AQ184" s="103">
        <v>8500000</v>
      </c>
      <c r="AR184" s="103">
        <v>8500000</v>
      </c>
      <c r="AS184" s="103">
        <v>8500000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469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3500000</v>
      </c>
      <c r="AJ185" s="103">
        <v>3500000</v>
      </c>
      <c r="AK185" s="103">
        <v>3500000</v>
      </c>
      <c r="AL185" s="103">
        <v>3500000</v>
      </c>
      <c r="AM185" s="103">
        <v>3500000</v>
      </c>
      <c r="AN185" s="103">
        <v>3500000</v>
      </c>
      <c r="AO185" s="103">
        <v>3500000</v>
      </c>
      <c r="AP185" s="103">
        <v>3500000</v>
      </c>
      <c r="AQ185" s="103">
        <v>3500000</v>
      </c>
      <c r="AR185" s="103">
        <v>3500000</v>
      </c>
      <c r="AS185" s="103">
        <v>3500000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453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378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302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378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453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453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378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302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469</v>
      </c>
      <c r="T201" s="101">
        <v>378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391</v>
      </c>
      <c r="T202" s="101">
        <v>453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313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391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469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469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391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883488801</v>
      </c>
      <c r="D3" s="100">
        <v>882141702</v>
      </c>
      <c r="E3" s="311">
        <v>110431432</v>
      </c>
      <c r="F3" s="100">
        <v>0</v>
      </c>
      <c r="G3" s="261">
        <v>192832585</v>
      </c>
      <c r="H3" s="261">
        <v>1035276061</v>
      </c>
      <c r="I3" s="261">
        <v>286175779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12021115</v>
      </c>
      <c r="D4" s="101">
        <v>4123927</v>
      </c>
      <c r="E4" s="312">
        <v>0</v>
      </c>
      <c r="F4" s="101">
        <v>0</v>
      </c>
      <c r="G4" s="262">
        <v>1221030</v>
      </c>
      <c r="H4" s="262">
        <v>12210300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16722560</v>
      </c>
      <c r="D5" s="101">
        <v>11967960</v>
      </c>
      <c r="E5" s="312">
        <v>0</v>
      </c>
      <c r="F5" s="101">
        <v>0</v>
      </c>
      <c r="G5" s="262">
        <v>1983581</v>
      </c>
      <c r="H5" s="262">
        <v>19835810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11877349</v>
      </c>
      <c r="D6" s="101">
        <v>6134826</v>
      </c>
      <c r="E6" s="312">
        <v>0</v>
      </c>
      <c r="F6" s="101">
        <v>0</v>
      </c>
      <c r="G6" s="262">
        <v>1400402</v>
      </c>
      <c r="H6" s="262">
        <v>14004020</v>
      </c>
      <c r="I6" s="262">
        <v>0</v>
      </c>
      <c r="J6" s="262"/>
    </row>
    <row r="7" spans="1:16">
      <c r="A7" s="8">
        <v>3</v>
      </c>
      <c r="B7" s="8">
        <v>4</v>
      </c>
      <c r="C7" s="101">
        <v>12636663</v>
      </c>
      <c r="D7" s="101">
        <v>11319964</v>
      </c>
      <c r="E7" s="312">
        <v>0</v>
      </c>
      <c r="F7" s="101">
        <v>0</v>
      </c>
      <c r="G7" s="262">
        <v>1843384</v>
      </c>
      <c r="H7" s="262">
        <v>15287872</v>
      </c>
      <c r="I7" s="262">
        <v>0</v>
      </c>
      <c r="J7" s="262"/>
    </row>
    <row r="8" spans="1:16">
      <c r="A8" s="8">
        <v>4</v>
      </c>
      <c r="B8" s="8">
        <v>5</v>
      </c>
      <c r="C8" s="101">
        <v>10315621</v>
      </c>
      <c r="D8" s="101">
        <v>10571012</v>
      </c>
      <c r="E8" s="312">
        <v>0</v>
      </c>
      <c r="F8" s="101">
        <v>0</v>
      </c>
      <c r="G8" s="262">
        <v>1261039</v>
      </c>
      <c r="H8" s="262">
        <v>10458267</v>
      </c>
      <c r="I8" s="262">
        <v>0</v>
      </c>
      <c r="J8" s="262"/>
    </row>
    <row r="9" spans="1:16">
      <c r="A9" s="8">
        <v>5</v>
      </c>
      <c r="B9" s="8">
        <v>6</v>
      </c>
      <c r="C9" s="101">
        <v>8239714</v>
      </c>
      <c r="D9" s="101">
        <v>9344282</v>
      </c>
      <c r="E9" s="312">
        <v>0</v>
      </c>
      <c r="F9" s="101">
        <v>0</v>
      </c>
      <c r="G9" s="262">
        <v>1254493</v>
      </c>
      <c r="H9" s="262">
        <v>10403979</v>
      </c>
      <c r="I9" s="262">
        <v>0</v>
      </c>
      <c r="J9" s="262"/>
    </row>
    <row r="10" spans="1:16">
      <c r="A10" s="8">
        <v>6</v>
      </c>
      <c r="B10" s="8">
        <v>7</v>
      </c>
      <c r="C10" s="101">
        <v>2002776</v>
      </c>
      <c r="D10" s="101">
        <v>2132984</v>
      </c>
      <c r="E10" s="312">
        <v>0</v>
      </c>
      <c r="F10" s="101">
        <v>0</v>
      </c>
      <c r="G10" s="262">
        <v>316037</v>
      </c>
      <c r="H10" s="262">
        <v>2621012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8603628</v>
      </c>
      <c r="D11" s="101">
        <v>9726975</v>
      </c>
      <c r="E11" s="312">
        <v>4457940</v>
      </c>
      <c r="F11" s="101">
        <v>0</v>
      </c>
      <c r="G11" s="262">
        <v>3291012</v>
      </c>
      <c r="H11" s="262">
        <v>10917438</v>
      </c>
      <c r="I11" s="262">
        <v>10867300</v>
      </c>
      <c r="J11" s="262"/>
    </row>
    <row r="12" spans="1:16">
      <c r="A12" s="8">
        <v>8</v>
      </c>
      <c r="B12" s="8">
        <v>9</v>
      </c>
      <c r="C12" s="101">
        <v>3149229</v>
      </c>
      <c r="D12" s="101">
        <v>3674321</v>
      </c>
      <c r="E12" s="312">
        <v>0</v>
      </c>
      <c r="F12" s="101">
        <v>0</v>
      </c>
      <c r="G12" s="262">
        <v>717711</v>
      </c>
      <c r="H12" s="262">
        <v>4761798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6336966</v>
      </c>
      <c r="D13" s="101">
        <v>8549548</v>
      </c>
      <c r="E13" s="312">
        <v>3361340</v>
      </c>
      <c r="F13" s="101">
        <v>0</v>
      </c>
      <c r="G13" s="262">
        <v>892300</v>
      </c>
      <c r="H13" s="262">
        <v>5920141</v>
      </c>
      <c r="I13" s="262">
        <v>1638815</v>
      </c>
      <c r="J13" s="262"/>
    </row>
    <row r="14" spans="1:16">
      <c r="A14" s="8">
        <v>10</v>
      </c>
      <c r="B14" s="8">
        <v>15</v>
      </c>
      <c r="C14" s="101">
        <v>10101268</v>
      </c>
      <c r="D14" s="101">
        <v>14923852</v>
      </c>
      <c r="E14" s="312">
        <v>537017</v>
      </c>
      <c r="F14" s="101">
        <v>0</v>
      </c>
      <c r="G14" s="262">
        <v>4477577</v>
      </c>
      <c r="H14" s="262">
        <v>8955155</v>
      </c>
      <c r="I14" s="262">
        <v>1309110</v>
      </c>
      <c r="J14" s="262"/>
    </row>
    <row r="15" spans="1:16">
      <c r="A15" s="8">
        <v>15</v>
      </c>
      <c r="B15" s="8">
        <v>20</v>
      </c>
      <c r="C15" s="101">
        <v>6002550</v>
      </c>
      <c r="D15" s="101">
        <v>9403321</v>
      </c>
      <c r="E15" s="312">
        <v>1846232</v>
      </c>
      <c r="F15" s="101">
        <v>0</v>
      </c>
      <c r="G15" s="262">
        <v>1124732</v>
      </c>
      <c r="H15" s="262">
        <v>22494640</v>
      </c>
      <c r="I15" s="262">
        <v>4500635</v>
      </c>
      <c r="J15" s="262"/>
    </row>
    <row r="16" spans="1:16">
      <c r="A16" s="8">
        <v>20</v>
      </c>
      <c r="B16" s="8">
        <v>25</v>
      </c>
      <c r="C16" s="101">
        <v>2517941</v>
      </c>
      <c r="D16" s="101">
        <v>5253224</v>
      </c>
      <c r="E16" s="312">
        <v>1163848</v>
      </c>
      <c r="F16" s="101">
        <v>0</v>
      </c>
      <c r="G16" s="262">
        <v>1554967</v>
      </c>
      <c r="H16" s="262">
        <v>3109935</v>
      </c>
      <c r="I16" s="262">
        <v>2837160</v>
      </c>
      <c r="J16" s="262"/>
    </row>
    <row r="17" spans="1:10">
      <c r="A17" s="8">
        <v>25</v>
      </c>
      <c r="B17" s="8">
        <v>30</v>
      </c>
      <c r="C17" s="101">
        <v>2183759</v>
      </c>
      <c r="D17" s="101">
        <v>3502932</v>
      </c>
      <c r="E17" s="312">
        <v>923744</v>
      </c>
      <c r="F17" s="101">
        <v>0</v>
      </c>
      <c r="G17" s="262">
        <v>541256</v>
      </c>
      <c r="H17" s="262">
        <v>2165025</v>
      </c>
      <c r="I17" s="262">
        <v>2251850</v>
      </c>
      <c r="J17" s="262"/>
    </row>
    <row r="18" spans="1:10">
      <c r="A18" s="8">
        <v>30</v>
      </c>
      <c r="B18" s="8">
        <v>35</v>
      </c>
      <c r="C18" s="101">
        <v>417436</v>
      </c>
      <c r="D18" s="101">
        <v>629212</v>
      </c>
      <c r="E18" s="312">
        <v>618400</v>
      </c>
      <c r="F18" s="101">
        <v>0</v>
      </c>
      <c r="G18" s="262">
        <v>0</v>
      </c>
      <c r="H18" s="262">
        <v>10710350</v>
      </c>
      <c r="I18" s="262">
        <v>1507500</v>
      </c>
      <c r="J18" s="262"/>
    </row>
    <row r="19" spans="1:10">
      <c r="A19" s="8">
        <v>35</v>
      </c>
      <c r="B19" s="8">
        <v>40</v>
      </c>
      <c r="C19" s="101">
        <v>974417</v>
      </c>
      <c r="D19" s="101">
        <v>2113028</v>
      </c>
      <c r="E19" s="312">
        <v>542146</v>
      </c>
      <c r="F19" s="101">
        <v>0</v>
      </c>
      <c r="G19" s="262">
        <v>0</v>
      </c>
      <c r="H19" s="262">
        <v>1882055</v>
      </c>
      <c r="I19" s="262">
        <v>1057290</v>
      </c>
      <c r="J19" s="262"/>
    </row>
    <row r="20" spans="1:10">
      <c r="A20" s="8">
        <v>40</v>
      </c>
      <c r="B20" s="8">
        <v>45</v>
      </c>
      <c r="C20" s="101">
        <v>226390</v>
      </c>
      <c r="D20" s="101">
        <v>721951</v>
      </c>
      <c r="E20" s="312">
        <v>1152081</v>
      </c>
      <c r="F20" s="101">
        <v>0</v>
      </c>
      <c r="G20" s="262">
        <v>0</v>
      </c>
      <c r="H20" s="262">
        <v>3304020</v>
      </c>
      <c r="I20" s="262">
        <v>1123390</v>
      </c>
      <c r="J20" s="262"/>
    </row>
    <row r="21" spans="1:10">
      <c r="A21" s="8">
        <v>45</v>
      </c>
      <c r="B21" s="8">
        <v>50</v>
      </c>
      <c r="C21" s="101">
        <v>1132168</v>
      </c>
      <c r="D21" s="101">
        <v>1054165</v>
      </c>
      <c r="E21" s="312">
        <v>392895</v>
      </c>
      <c r="F21" s="101">
        <v>0</v>
      </c>
      <c r="G21" s="262">
        <v>0</v>
      </c>
      <c r="H21" s="262">
        <v>0</v>
      </c>
      <c r="I21" s="262">
        <v>766222</v>
      </c>
      <c r="J21" s="262"/>
    </row>
    <row r="22" spans="1:10">
      <c r="A22" s="8">
        <v>50</v>
      </c>
      <c r="B22" s="8">
        <v>60</v>
      </c>
      <c r="C22" s="101">
        <v>441626</v>
      </c>
      <c r="D22" s="101">
        <v>1017775</v>
      </c>
      <c r="E22" s="312">
        <v>408139</v>
      </c>
      <c r="F22" s="101">
        <v>88967068</v>
      </c>
      <c r="G22" s="262">
        <v>0</v>
      </c>
      <c r="H22" s="262">
        <v>0</v>
      </c>
      <c r="I22" s="262">
        <v>795950</v>
      </c>
      <c r="J22" s="262"/>
    </row>
    <row r="23" spans="1:10">
      <c r="A23" s="8">
        <v>60</v>
      </c>
      <c r="B23" s="8">
        <v>70</v>
      </c>
      <c r="C23" s="101">
        <v>45421</v>
      </c>
      <c r="D23" s="101">
        <v>117390</v>
      </c>
      <c r="E23" s="312">
        <v>111755</v>
      </c>
      <c r="F23" s="101">
        <v>69923403</v>
      </c>
      <c r="G23" s="262">
        <v>0</v>
      </c>
      <c r="H23" s="262">
        <v>0</v>
      </c>
      <c r="I23" s="262">
        <v>217944</v>
      </c>
      <c r="J23" s="262"/>
    </row>
    <row r="24" spans="1:10">
      <c r="A24" s="8">
        <v>70</v>
      </c>
      <c r="B24" s="8">
        <v>80</v>
      </c>
      <c r="C24" s="101">
        <v>194784</v>
      </c>
      <c r="D24" s="101">
        <v>388639</v>
      </c>
      <c r="E24" s="312">
        <v>208865</v>
      </c>
      <c r="F24" s="101">
        <v>60363623</v>
      </c>
      <c r="G24" s="262">
        <v>0</v>
      </c>
      <c r="H24" s="262">
        <v>0</v>
      </c>
      <c r="I24" s="262">
        <v>1018318</v>
      </c>
      <c r="J24" s="262"/>
    </row>
    <row r="25" spans="1:10">
      <c r="A25" s="8">
        <v>80</v>
      </c>
      <c r="B25" s="8">
        <v>90</v>
      </c>
      <c r="C25" s="101">
        <v>74974</v>
      </c>
      <c r="D25" s="101">
        <v>226563</v>
      </c>
      <c r="E25" s="312">
        <v>1963137</v>
      </c>
      <c r="F25" s="101">
        <v>73220679</v>
      </c>
      <c r="G25" s="262">
        <v>0</v>
      </c>
      <c r="H25" s="262">
        <v>0</v>
      </c>
      <c r="I25" s="262">
        <v>4785620</v>
      </c>
      <c r="J25" s="262"/>
    </row>
    <row r="26" spans="1:10">
      <c r="A26" s="8">
        <v>90</v>
      </c>
      <c r="B26" s="8">
        <v>100</v>
      </c>
      <c r="C26" s="101">
        <v>141458</v>
      </c>
      <c r="D26" s="101">
        <v>380344</v>
      </c>
      <c r="E26" s="312">
        <v>295758</v>
      </c>
      <c r="F26" s="101">
        <v>135278327</v>
      </c>
      <c r="G26" s="262">
        <v>0</v>
      </c>
      <c r="H26" s="262">
        <v>0</v>
      </c>
      <c r="I26" s="262">
        <v>826678</v>
      </c>
      <c r="J26" s="262"/>
    </row>
    <row r="27" spans="1:10">
      <c r="A27" s="8">
        <v>100</v>
      </c>
      <c r="B27" s="8">
        <v>120</v>
      </c>
      <c r="C27" s="101">
        <v>89236</v>
      </c>
      <c r="D27" s="101">
        <v>194867</v>
      </c>
      <c r="E27" s="312">
        <v>81232</v>
      </c>
      <c r="F27" s="101">
        <v>149519722</v>
      </c>
      <c r="G27" s="262">
        <v>0</v>
      </c>
      <c r="H27" s="262">
        <v>0</v>
      </c>
      <c r="I27" s="262">
        <v>662843</v>
      </c>
      <c r="J27" s="262"/>
    </row>
    <row r="28" spans="1:10">
      <c r="A28" s="8">
        <v>120</v>
      </c>
      <c r="B28" s="8">
        <v>140</v>
      </c>
      <c r="C28" s="101">
        <v>21633</v>
      </c>
      <c r="D28" s="101">
        <v>44607</v>
      </c>
      <c r="E28" s="312">
        <v>11532</v>
      </c>
      <c r="F28" s="101">
        <v>78771815</v>
      </c>
      <c r="G28" s="262">
        <v>0</v>
      </c>
      <c r="H28" s="262">
        <v>0</v>
      </c>
      <c r="I28" s="262">
        <v>239708</v>
      </c>
      <c r="J28" s="262"/>
    </row>
    <row r="29" spans="1:10">
      <c r="A29" s="8">
        <v>140</v>
      </c>
      <c r="B29" s="8">
        <v>160</v>
      </c>
      <c r="C29" s="101">
        <v>14567</v>
      </c>
      <c r="D29" s="101">
        <v>144390</v>
      </c>
      <c r="E29" s="312">
        <v>20282</v>
      </c>
      <c r="F29" s="101">
        <v>35928906</v>
      </c>
      <c r="G29" s="262">
        <v>0</v>
      </c>
      <c r="H29" s="262">
        <v>0</v>
      </c>
      <c r="I29" s="262">
        <v>781682</v>
      </c>
      <c r="J29" s="262"/>
    </row>
    <row r="30" spans="1:10">
      <c r="A30" s="8">
        <v>160</v>
      </c>
      <c r="B30" s="8">
        <v>180</v>
      </c>
      <c r="C30" s="101">
        <v>12986</v>
      </c>
      <c r="D30" s="101">
        <v>35216</v>
      </c>
      <c r="E30" s="312">
        <v>675071</v>
      </c>
      <c r="F30" s="101">
        <v>20488040</v>
      </c>
      <c r="G30" s="262">
        <v>0</v>
      </c>
      <c r="H30" s="262">
        <v>0</v>
      </c>
      <c r="I30" s="262">
        <v>2194200</v>
      </c>
      <c r="J30" s="262"/>
    </row>
    <row r="31" spans="1:10">
      <c r="A31" s="8">
        <v>180</v>
      </c>
      <c r="B31" s="8">
        <v>200</v>
      </c>
      <c r="C31" s="101">
        <v>5768</v>
      </c>
      <c r="D31" s="101">
        <v>43433</v>
      </c>
      <c r="E31" s="312">
        <v>10763</v>
      </c>
      <c r="F31" s="101">
        <v>30055406</v>
      </c>
      <c r="G31" s="262">
        <v>0</v>
      </c>
      <c r="H31" s="262">
        <v>0</v>
      </c>
      <c r="I31" s="262">
        <v>786584</v>
      </c>
      <c r="J31" s="262"/>
    </row>
    <row r="32" spans="1:10">
      <c r="A32" s="8">
        <v>200</v>
      </c>
      <c r="B32" s="8">
        <v>250</v>
      </c>
      <c r="C32" s="101">
        <v>6137</v>
      </c>
      <c r="D32" s="101">
        <v>59868</v>
      </c>
      <c r="E32" s="312">
        <v>4165</v>
      </c>
      <c r="F32" s="101">
        <v>12737762</v>
      </c>
      <c r="G32" s="262">
        <v>0</v>
      </c>
      <c r="H32" s="262">
        <v>0</v>
      </c>
      <c r="I32" s="262">
        <v>2187203</v>
      </c>
      <c r="J32" s="262"/>
    </row>
    <row r="33" spans="1:10">
      <c r="A33" s="8">
        <v>250</v>
      </c>
      <c r="B33" s="8">
        <v>300</v>
      </c>
      <c r="C33" s="101">
        <v>722</v>
      </c>
      <c r="D33" s="101">
        <v>23477</v>
      </c>
      <c r="E33" s="312">
        <v>289125</v>
      </c>
      <c r="F33" s="101">
        <v>73895106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362</v>
      </c>
      <c r="D34" s="101">
        <v>2346</v>
      </c>
      <c r="E34" s="312">
        <v>86699</v>
      </c>
      <c r="F34" s="101">
        <v>11104785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1172</v>
      </c>
      <c r="E35" s="312">
        <v>0</v>
      </c>
      <c r="F35" s="101">
        <v>12719037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5868</v>
      </c>
      <c r="E36" s="312">
        <v>112608</v>
      </c>
      <c r="F36" s="101">
        <v>9907041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16433</v>
      </c>
      <c r="E37" s="312">
        <v>0</v>
      </c>
      <c r="F37" s="101">
        <v>12324439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69</v>
      </c>
      <c r="D38" s="101">
        <v>4694</v>
      </c>
      <c r="E38" s="312">
        <v>0</v>
      </c>
      <c r="F38" s="101">
        <v>35527359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18710401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2592</v>
      </c>
      <c r="E40" s="312">
        <v>0</v>
      </c>
      <c r="F40" s="101">
        <v>12360231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5820118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4922823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8096960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38667</v>
      </c>
      <c r="F44" s="101">
        <v>4542741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4415495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3393152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6194537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226</v>
      </c>
      <c r="D48" s="101">
        <v>1011</v>
      </c>
      <c r="E48" s="312">
        <v>0</v>
      </c>
      <c r="F48" s="101">
        <v>15406263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452</v>
      </c>
      <c r="E49" s="312">
        <v>13048</v>
      </c>
      <c r="F49" s="101">
        <v>1598914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1293345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8195</v>
      </c>
      <c r="F51" s="101">
        <v>1028448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341290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322585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300718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4663</v>
      </c>
      <c r="F55" s="101">
        <v>242252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76635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794</v>
      </c>
      <c r="F57" s="101">
        <v>200574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0.93999973356067401</v>
      </c>
      <c r="P2" s="215">
        <v>0.94</v>
      </c>
      <c r="Q2" s="181">
        <f>P2-O2</f>
        <v>2.6643932593550801E-7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0.92000001491154915</v>
      </c>
      <c r="R3" s="216">
        <f>1-SUM(_xlfn.ANCHORARRAY(R4))</f>
        <v>-2.1739113874225113E-2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1.1109217582493249</v>
      </c>
      <c r="L4" s="185" cm="1">
        <f t="array" ref="L4:L61">K4:K61*_xlfn.ANCHORARRAY(J4)*_xlfn.ANCHORARRAY(F4)</f>
        <v>0.88348880120652307</v>
      </c>
      <c r="M4" s="240" cm="1">
        <f t="array" ref="M4:M61">INT(_xlfn.ANCHORARRAY(L4)*$M$2)</f>
        <v>883488801</v>
      </c>
      <c r="N4" s="194" cm="1">
        <f t="array" ref="N4:N61">_xlfn.ANCHORARRAY(M4)/SUM(_xlfn.ANCHORARRAY(M4))</f>
        <v>0.88348851828367414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0.90522791508074818</v>
      </c>
      <c r="S4" s="182">
        <f>R4+R3</f>
        <v>0.88348880120652307</v>
      </c>
      <c r="T4" s="213" cm="1">
        <f t="array" ref="T4:T61">S4:S55/_xlfn.ANCHORARRAY(F4)</f>
        <v>1.1109217582493249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0.98450613584297686</v>
      </c>
      <c r="L5" s="188">
        <v>1.2021115270483501E-2</v>
      </c>
      <c r="M5" s="233">
        <v>12021115</v>
      </c>
      <c r="N5" s="195">
        <v>1.202111115324443E-2</v>
      </c>
      <c r="O5" s="211">
        <v>9.0241022291361762E-3</v>
      </c>
      <c r="P5" s="198">
        <v>1.1765347051168376E-2</v>
      </c>
      <c r="Q5" s="198">
        <v>8.8321032222012305E-3</v>
      </c>
      <c r="R5" s="1">
        <v>1.2021115270483501E-2</v>
      </c>
      <c r="S5" s="182" cm="1">
        <f t="array" ref="S5:S55">R5:R55</f>
        <v>1.2021115270483501E-2</v>
      </c>
      <c r="T5" s="1">
        <v>0.98450613584297686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0.84304904790952884</v>
      </c>
      <c r="L6" s="188">
        <v>1.6722560735014311E-2</v>
      </c>
      <c r="M6" s="233">
        <v>16722560</v>
      </c>
      <c r="N6" s="195">
        <v>1.6722554648782511E-2</v>
      </c>
      <c r="O6" s="211">
        <v>2.871360109020547E-2</v>
      </c>
      <c r="P6" s="198">
        <v>1.6366761835715376E-2</v>
      </c>
      <c r="Q6" s="198">
        <v>2.8102684090994735E-2</v>
      </c>
      <c r="R6" s="1">
        <v>1.6722560735014311E-2</v>
      </c>
      <c r="S6" s="182">
        <v>1.6722560735014311E-2</v>
      </c>
      <c r="T6" s="1">
        <v>0.84304904790952884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0.84813859058955743</v>
      </c>
      <c r="L7" s="188">
        <v>1.1877349785387974E-2</v>
      </c>
      <c r="M7" s="233">
        <v>11877349</v>
      </c>
      <c r="N7" s="195">
        <v>1.1877345199249536E-2</v>
      </c>
      <c r="O7" s="211">
        <v>3.2661592477502874E-2</v>
      </c>
      <c r="P7" s="198">
        <v>1.1624640403900662E-2</v>
      </c>
      <c r="Q7" s="198">
        <v>3.1966677839228554E-2</v>
      </c>
      <c r="R7" s="1">
        <v>1.1877349785387974E-2</v>
      </c>
      <c r="S7" s="182">
        <v>1.1877349785387974E-2</v>
      </c>
      <c r="T7" s="1">
        <v>0.84813859058955743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0.68551441512636713</v>
      </c>
      <c r="L8" s="188">
        <v>1.2636663046133031E-2</v>
      </c>
      <c r="M8" s="233">
        <v>12636663</v>
      </c>
      <c r="N8" s="195">
        <v>1.2636658956269134E-2</v>
      </c>
      <c r="O8" s="211">
        <v>4.6734017020540398E-2</v>
      </c>
      <c r="P8" s="198">
        <v>1.2367798075398522E-2</v>
      </c>
      <c r="Q8" s="198">
        <v>4.5739691777907251E-2</v>
      </c>
      <c r="R8" s="1">
        <v>1.2636663046133031E-2</v>
      </c>
      <c r="S8" s="182">
        <v>1.2636663046133031E-2</v>
      </c>
      <c r="T8" s="1">
        <v>0.68551441512636713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0.81802558174184392</v>
      </c>
      <c r="L9" s="188">
        <v>1.0315621615741531E-2</v>
      </c>
      <c r="M9" s="233">
        <v>10315621</v>
      </c>
      <c r="N9" s="195">
        <v>1.0315617699002336E-2</v>
      </c>
      <c r="O9" s="211">
        <v>4.95704777861617E-2</v>
      </c>
      <c r="P9" s="198">
        <v>1.0096140468408626E-2</v>
      </c>
      <c r="Q9" s="198">
        <v>4.8515805976758954E-2</v>
      </c>
      <c r="R9" s="1">
        <v>1.0315621615741531E-2</v>
      </c>
      <c r="S9" s="182">
        <v>1.0315621615741531E-2</v>
      </c>
      <c r="T9" s="1">
        <v>0.81802558174184392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0.65681630353477249</v>
      </c>
      <c r="L10" s="188">
        <v>8.2397145507024736E-3</v>
      </c>
      <c r="M10" s="233">
        <v>8239714</v>
      </c>
      <c r="N10" s="195">
        <v>8.2397113632923635E-3</v>
      </c>
      <c r="O10" s="211">
        <v>4.9042925345058684E-2</v>
      </c>
      <c r="P10" s="198">
        <v>8.0644016058650896E-3</v>
      </c>
      <c r="Q10" s="198">
        <v>4.7999478194219319E-2</v>
      </c>
      <c r="R10" s="1">
        <v>8.2397145507024736E-3</v>
      </c>
      <c r="S10" s="182">
        <v>8.2397145507024736E-3</v>
      </c>
      <c r="T10" s="1">
        <v>0.65681630353477249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0.63371589477166002</v>
      </c>
      <c r="L11" s="188">
        <v>2.0027767023595112E-3</v>
      </c>
      <c r="M11" s="233">
        <v>2002776</v>
      </c>
      <c r="N11" s="195">
        <v>2.0027753591118852E-3</v>
      </c>
      <c r="O11" s="211">
        <v>1.3074281448451479E-2</v>
      </c>
      <c r="P11" s="198">
        <v>1.9601644638672913E-3</v>
      </c>
      <c r="Q11" s="198">
        <v>1.2796114037082215E-2</v>
      </c>
      <c r="R11" s="1">
        <v>2.0027767023595112E-3</v>
      </c>
      <c r="S11" s="182">
        <v>2.0027767023595112E-3</v>
      </c>
      <c r="T11" s="1">
        <v>0.63371589477166002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0.65356999999999998</v>
      </c>
      <c r="L12" s="188">
        <v>8.6036281584999999E-3</v>
      </c>
      <c r="M12" s="233">
        <v>8603628</v>
      </c>
      <c r="N12" s="195">
        <v>8.6036252468399202E-3</v>
      </c>
      <c r="O12" s="211">
        <v>6.6366258241227175E-2</v>
      </c>
      <c r="P12" s="198">
        <v>8.4202434744829677E-3</v>
      </c>
      <c r="Q12" s="198">
        <v>6.4951696157012087E-2</v>
      </c>
      <c r="R12" s="1">
        <v>8.6032921062234521E-3</v>
      </c>
      <c r="S12" s="182">
        <v>8.6032921062234521E-3</v>
      </c>
      <c r="T12" s="1">
        <v>0.65354447196899523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0.54848472294081796</v>
      </c>
      <c r="L13" s="188">
        <v>3.149229248862065E-3</v>
      </c>
      <c r="M13" s="233">
        <v>3149229</v>
      </c>
      <c r="N13" s="195">
        <v>3.1492279922470424E-3</v>
      </c>
      <c r="O13" s="211">
        <v>2.8093830444289238E-2</v>
      </c>
      <c r="P13" s="198">
        <v>3.0822244211840284E-3</v>
      </c>
      <c r="Q13" s="198">
        <v>2.7496100788246432E-2</v>
      </c>
      <c r="R13" s="1">
        <v>3.149229248862065E-3</v>
      </c>
      <c r="S13" s="182">
        <v>3.149229248862065E-3</v>
      </c>
      <c r="T13" s="1">
        <v>0.54848472294081796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0.8877292004502837</v>
      </c>
      <c r="L14" s="188">
        <v>6.3369661244943049E-3</v>
      </c>
      <c r="M14" s="233">
        <v>6336966</v>
      </c>
      <c r="N14" s="195">
        <v>6.3369639721715292E-3</v>
      </c>
      <c r="O14" s="211">
        <v>6.178711737182075E-2</v>
      </c>
      <c r="P14" s="198">
        <v>6.2021371585412157E-3</v>
      </c>
      <c r="Q14" s="198">
        <v>6.0472519372648269E-2</v>
      </c>
      <c r="R14" s="1">
        <v>6.3369661244943049E-3</v>
      </c>
      <c r="S14" s="182">
        <v>6.3369661244943049E-3</v>
      </c>
      <c r="T14" s="1">
        <v>0.8877292004502837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0.56399180199102494</v>
      </c>
      <c r="L15" s="188">
        <v>1.0101268011117874E-2</v>
      </c>
      <c r="M15" s="233">
        <v>10101268</v>
      </c>
      <c r="N15" s="195">
        <v>1.0101264767595274E-2</v>
      </c>
      <c r="O15" s="211">
        <v>0.12859811629234194</v>
      </c>
      <c r="P15" s="198">
        <v>9.886347575376592E-3</v>
      </c>
      <c r="Q15" s="198">
        <v>0.12586202861282444</v>
      </c>
      <c r="R15" s="1">
        <v>1.0101268011117872E-2</v>
      </c>
      <c r="S15" s="182">
        <v>1.0101268011117872E-2</v>
      </c>
      <c r="T15" s="1">
        <v>0.56399180199102494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0.53368720686146465</v>
      </c>
      <c r="L16" s="188">
        <v>6.0025507954770884E-3</v>
      </c>
      <c r="M16" s="233">
        <v>6002550</v>
      </c>
      <c r="N16" s="195">
        <v>6.0025480791846145E-3</v>
      </c>
      <c r="O16" s="211">
        <v>0.10713221895760841</v>
      </c>
      <c r="P16" s="198">
        <v>5.8748370439853752E-3</v>
      </c>
      <c r="Q16" s="198">
        <v>0.1048528591914262</v>
      </c>
      <c r="R16" s="1">
        <v>6.0025507954770884E-3</v>
      </c>
      <c r="S16" s="182">
        <v>6.0025507954770884E-3</v>
      </c>
      <c r="T16" s="1">
        <v>0.53368720686146465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0.4048222288560725</v>
      </c>
      <c r="L17" s="188">
        <v>2.5179416365950194E-3</v>
      </c>
      <c r="M17" s="233">
        <v>2517941</v>
      </c>
      <c r="N17" s="195">
        <v>2.5179401942591381E-3</v>
      </c>
      <c r="O17" s="211">
        <v>5.8527694007624059E-2</v>
      </c>
      <c r="P17" s="198">
        <v>2.464368450227477E-3</v>
      </c>
      <c r="Q17" s="198">
        <v>5.7282457663532745E-2</v>
      </c>
      <c r="R17" s="1">
        <v>2.5179416365950194E-3</v>
      </c>
      <c r="S17" s="182">
        <v>2.5179416365950194E-3</v>
      </c>
      <c r="T17" s="1">
        <v>0.4048222288560725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0.50432657322969054</v>
      </c>
      <c r="L18" s="188">
        <v>2.1837592784132217E-3</v>
      </c>
      <c r="M18" s="233">
        <v>2183759</v>
      </c>
      <c r="N18" s="195">
        <v>2.1837583011973436E-3</v>
      </c>
      <c r="O18" s="211">
        <v>6.2097709225419684E-2</v>
      </c>
      <c r="P18" s="198">
        <v>2.1372963496844662E-3</v>
      </c>
      <c r="Q18" s="198">
        <v>6.0776509551669029E-2</v>
      </c>
      <c r="R18" s="1">
        <v>2.1837592784132217E-3</v>
      </c>
      <c r="S18" s="182">
        <v>2.1837592784132217E-3</v>
      </c>
      <c r="T18" s="1">
        <v>0.50432657322969054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0.19487539351327132</v>
      </c>
      <c r="L19" s="188">
        <v>4.1743673418297308E-4</v>
      </c>
      <c r="M19" s="233">
        <v>417436</v>
      </c>
      <c r="N19" s="195">
        <v>4.1743586642052275E-4</v>
      </c>
      <c r="O19" s="211">
        <v>1.3599055635615405E-2</v>
      </c>
      <c r="P19" s="198">
        <v>4.0855510816272726E-4</v>
      </c>
      <c r="Q19" s="198">
        <v>1.3309741910204592E-2</v>
      </c>
      <c r="R19" s="1">
        <v>4.1743673418297308E-4</v>
      </c>
      <c r="S19" s="182">
        <v>4.1743673418297308E-4</v>
      </c>
      <c r="T19" s="1">
        <v>0.19487539351327132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0.25887072635294117</v>
      </c>
      <c r="L20" s="188">
        <v>9.7441788977236949E-4</v>
      </c>
      <c r="M20" s="233">
        <v>974417</v>
      </c>
      <c r="N20" s="195">
        <v>9.7441668818665976E-4</v>
      </c>
      <c r="O20" s="211">
        <v>3.7295902741530468E-2</v>
      </c>
      <c r="P20" s="198">
        <v>9.536856097028299E-4</v>
      </c>
      <c r="Q20" s="198">
        <v>3.6502418499897854E-2</v>
      </c>
      <c r="R20" s="1">
        <v>9.7441788977236938E-4</v>
      </c>
      <c r="S20" s="182">
        <v>9.7441788977236938E-4</v>
      </c>
      <c r="T20" s="1">
        <v>0.25887072635294117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0.13703938300634272</v>
      </c>
      <c r="L21" s="188">
        <v>2.2639043112030824E-4</v>
      </c>
      <c r="M21" s="233">
        <v>226390</v>
      </c>
      <c r="N21" s="195">
        <v>2.2638992755522318E-4</v>
      </c>
      <c r="O21" s="211">
        <v>9.8529537711533159E-3</v>
      </c>
      <c r="P21" s="198">
        <v>2.215736170282081E-4</v>
      </c>
      <c r="Q21" s="198">
        <v>9.6433380630577201E-3</v>
      </c>
      <c r="R21" s="1">
        <v>2.2639043112030821E-4</v>
      </c>
      <c r="S21" s="182">
        <v>2.2639043112030821E-4</v>
      </c>
      <c r="T21" s="1">
        <v>0.13703938300634272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0.5571203228092021</v>
      </c>
      <c r="L22" s="188">
        <v>1.1321687776064044E-3</v>
      </c>
      <c r="M22" s="233">
        <v>1132168</v>
      </c>
      <c r="N22" s="195">
        <v>1.1321676377063559E-3</v>
      </c>
      <c r="O22" s="211">
        <v>5.4485270898345171E-2</v>
      </c>
      <c r="P22" s="198">
        <v>1.1080800981705132E-3</v>
      </c>
      <c r="Q22" s="198">
        <v>5.3326064369934062E-2</v>
      </c>
      <c r="R22" s="1">
        <v>1.1321687776064044E-3</v>
      </c>
      <c r="S22" s="182">
        <v>1.1321687776064044E-3</v>
      </c>
      <c r="T22" s="1">
        <v>0.5571203228092021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0.13619151771954077</v>
      </c>
      <c r="L23" s="188">
        <v>4.4162687259397763E-4</v>
      </c>
      <c r="M23" s="233">
        <v>441626</v>
      </c>
      <c r="N23" s="195">
        <v>4.4162585867972521E-4</v>
      </c>
      <c r="O23" s="211">
        <v>2.5070033443063952E-2</v>
      </c>
      <c r="P23" s="198">
        <v>4.3223056316148964E-4</v>
      </c>
      <c r="Q23" s="198">
        <v>2.4536685206722444E-2</v>
      </c>
      <c r="R23" s="1">
        <v>4.4162687259397768E-4</v>
      </c>
      <c r="S23" s="182">
        <v>4.4162687259397768E-4</v>
      </c>
      <c r="T23" s="1">
        <v>0.13619151771954077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2.304191193940067E-2</v>
      </c>
      <c r="L24" s="188">
        <v>4.5421138491424178E-5</v>
      </c>
      <c r="M24" s="233">
        <v>45421</v>
      </c>
      <c r="N24" s="195">
        <v>4.5420985465284654E-5</v>
      </c>
      <c r="O24" s="211">
        <v>2.9757216548509072E-3</v>
      </c>
      <c r="P24" s="198">
        <v>4.4454732010010405E-5</v>
      </c>
      <c r="Q24" s="198">
        <v>2.9124182874430888E-3</v>
      </c>
      <c r="R24" s="1">
        <v>4.5421138491424178E-5</v>
      </c>
      <c r="S24" s="182">
        <v>4.5421138491424178E-5</v>
      </c>
      <c r="T24" s="1">
        <v>2.304191193940067E-2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7.6097330690466328E-2</v>
      </c>
      <c r="L25" s="188">
        <v>1.9478405444846596E-4</v>
      </c>
      <c r="M25" s="233">
        <v>194784</v>
      </c>
      <c r="N25" s="195">
        <v>1.9478393766913995E-4</v>
      </c>
      <c r="O25" s="211">
        <v>1.4834668047696179E-2</v>
      </c>
      <c r="P25" s="198">
        <v>1.9063971595438369E-4</v>
      </c>
      <c r="Q25" s="198">
        <v>1.4519045752602782E-2</v>
      </c>
      <c r="R25" s="1">
        <v>1.9478405444846593E-4</v>
      </c>
      <c r="S25" s="182">
        <v>1.9478405444846593E-4</v>
      </c>
      <c r="T25" s="1">
        <v>7.6097330690466328E-2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4.4431567201179363E-2</v>
      </c>
      <c r="L26" s="188">
        <v>7.4974715126614085E-5</v>
      </c>
      <c r="M26" s="233">
        <v>74974</v>
      </c>
      <c r="N26" s="195">
        <v>7.4973976008327681E-5</v>
      </c>
      <c r="O26" s="211">
        <v>6.469702206031951E-3</v>
      </c>
      <c r="P26" s="198">
        <v>7.3379509611142663E-5</v>
      </c>
      <c r="Q26" s="198">
        <v>6.3321114936737595E-3</v>
      </c>
      <c r="R26" s="1">
        <v>7.4974715126614085E-5</v>
      </c>
      <c r="S26" s="182">
        <v>7.4974715126614085E-5</v>
      </c>
      <c r="T26" s="1">
        <v>4.4431567201179363E-2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8.4510712658453252E-2</v>
      </c>
      <c r="L27" s="188">
        <v>1.4145825638335198E-4</v>
      </c>
      <c r="M27" s="233">
        <v>141458</v>
      </c>
      <c r="N27" s="195">
        <v>1.4145795473345448E-4</v>
      </c>
      <c r="O27" s="211">
        <v>1.3602847078345019E-2</v>
      </c>
      <c r="P27" s="198">
        <v>1.3844850849153786E-4</v>
      </c>
      <c r="Q27" s="198">
        <v>1.3313453405882919E-2</v>
      </c>
      <c r="R27" s="1">
        <v>1.4145825638335198E-4</v>
      </c>
      <c r="S27" s="182">
        <v>1.4145825638335198E-4</v>
      </c>
      <c r="T27" s="1">
        <v>8.4510712658453252E-2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3.1288702176264206E-2</v>
      </c>
      <c r="L28" s="188">
        <v>8.923600438074903E-5</v>
      </c>
      <c r="M28" s="233">
        <v>89236</v>
      </c>
      <c r="N28" s="195">
        <v>8.9235971444489136E-5</v>
      </c>
      <c r="O28" s="211">
        <v>9.9721364857937658E-3</v>
      </c>
      <c r="P28" s="198">
        <v>8.7337367405251263E-5</v>
      </c>
      <c r="Q28" s="198">
        <v>9.7599671295881558E-3</v>
      </c>
      <c r="R28" s="1">
        <v>8.9236004380749043E-5</v>
      </c>
      <c r="S28" s="182">
        <v>8.9236004380749043E-5</v>
      </c>
      <c r="T28" s="1">
        <v>3.1288702176264206E-2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1.0995639086163526E-2</v>
      </c>
      <c r="L29" s="188">
        <v>2.163359003285415E-5</v>
      </c>
      <c r="M29" s="233">
        <v>21633</v>
      </c>
      <c r="N29" s="195">
        <v>2.1632993077442215E-5</v>
      </c>
      <c r="O29" s="211">
        <v>2.833520257607408E-3</v>
      </c>
      <c r="P29" s="198">
        <v>2.1173301226400169E-5</v>
      </c>
      <c r="Q29" s="198">
        <v>2.7733091639542181E-3</v>
      </c>
      <c r="R29" s="1">
        <v>2.163359003285415E-5</v>
      </c>
      <c r="S29" s="182">
        <v>2.163359003285415E-5</v>
      </c>
      <c r="T29" s="1">
        <v>1.0995639086163526E-2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7.8514152045092676E-3</v>
      </c>
      <c r="L30" s="188">
        <v>1.4567829827054676E-5</v>
      </c>
      <c r="M30" s="233">
        <v>14567</v>
      </c>
      <c r="N30" s="195">
        <v>1.4566995338561492E-5</v>
      </c>
      <c r="O30" s="211">
        <v>2.2017136030336765E-3</v>
      </c>
      <c r="P30" s="198">
        <v>1.4257876232041717E-5</v>
      </c>
      <c r="Q30" s="198">
        <v>2.1549921120216928E-3</v>
      </c>
      <c r="R30" s="1">
        <v>1.4567829827054676E-5</v>
      </c>
      <c r="S30" s="182">
        <v>1.4567829827054676E-5</v>
      </c>
      <c r="T30" s="1">
        <v>7.8514152045092676E-3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9.1355412073169245E-3</v>
      </c>
      <c r="L31" s="188">
        <v>1.2986080470788936E-5</v>
      </c>
      <c r="M31" s="233">
        <v>12986</v>
      </c>
      <c r="N31" s="195">
        <v>1.298599584448133E-5</v>
      </c>
      <c r="O31" s="211">
        <v>2.2271694801372323E-3</v>
      </c>
      <c r="P31" s="198">
        <v>1.2709781092306809E-5</v>
      </c>
      <c r="Q31" s="198">
        <v>2.1797971358538944E-3</v>
      </c>
      <c r="R31" s="1">
        <v>1.2986080470788936E-5</v>
      </c>
      <c r="S31" s="182">
        <v>1.2986080470788936E-5</v>
      </c>
      <c r="T31" s="1">
        <v>9.1355412073169245E-3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4.4559331467236302E-3</v>
      </c>
      <c r="L32" s="188">
        <v>5.7680717804393378E-6</v>
      </c>
      <c r="M32" s="233">
        <v>5768</v>
      </c>
      <c r="N32" s="195">
        <v>5.7679981542405908E-6</v>
      </c>
      <c r="O32" s="211">
        <v>1.10792272838824E-3</v>
      </c>
      <c r="P32" s="198">
        <v>5.6453469404415714E-6</v>
      </c>
      <c r="Q32" s="198">
        <v>1.084363763250147E-3</v>
      </c>
      <c r="R32" s="1">
        <v>5.7680717804393378E-6</v>
      </c>
      <c r="S32" s="182">
        <v>5.7680717804393378E-6</v>
      </c>
      <c r="T32" s="1">
        <v>4.4559331467236302E-3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2.4491900115566944E-3</v>
      </c>
      <c r="L33" s="188">
        <v>6.1379640717624636E-6</v>
      </c>
      <c r="M33" s="233">
        <v>6137</v>
      </c>
      <c r="N33" s="195">
        <v>6.1369980361606287E-6</v>
      </c>
      <c r="O33" s="211">
        <v>1.3761718637916038E-3</v>
      </c>
      <c r="P33" s="198">
        <v>6.0073691888808718E-6</v>
      </c>
      <c r="Q33" s="198">
        <v>1.3471036497705116E-3</v>
      </c>
      <c r="R33" s="1">
        <v>6.1379640717624636E-6</v>
      </c>
      <c r="S33" s="182">
        <v>6.1379640717624636E-6</v>
      </c>
      <c r="T33" s="1">
        <v>2.4491900115566944E-3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4.1549563472335297E-4</v>
      </c>
      <c r="L34" s="188">
        <v>7.2241395018079934E-7</v>
      </c>
      <c r="M34" s="233">
        <v>722</v>
      </c>
      <c r="N34" s="195">
        <v>7.2199976896007398E-7</v>
      </c>
      <c r="O34" s="211">
        <v>1.9873120712402971E-4</v>
      </c>
      <c r="P34" s="198">
        <v>7.0704345206238994E-7</v>
      </c>
      <c r="Q34" s="198">
        <v>1.9461446493242572E-4</v>
      </c>
      <c r="R34" s="1">
        <v>7.2241395018079934E-7</v>
      </c>
      <c r="S34" s="182">
        <v>7.2241395018079934E-7</v>
      </c>
      <c r="T34" s="1">
        <v>4.1549563472335297E-4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3.0170228805798691E-4</v>
      </c>
      <c r="L35" s="188">
        <v>3.6273967795499828E-7</v>
      </c>
      <c r="M35" s="233">
        <v>362</v>
      </c>
      <c r="N35" s="195">
        <v>3.6199988416003707E-7</v>
      </c>
      <c r="O35" s="211">
        <v>1.1750944867256261E-4</v>
      </c>
      <c r="P35" s="198">
        <v>3.550218182208606E-7</v>
      </c>
      <c r="Q35" s="198">
        <v>1.15244285844635E-4</v>
      </c>
      <c r="R35" s="1">
        <v>3.6273967795499828E-7</v>
      </c>
      <c r="S35" s="182">
        <v>3.6273967795499828E-7</v>
      </c>
      <c r="T35" s="1">
        <v>3.0170228805798691E-4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1.0883684444448314E-4</v>
      </c>
      <c r="L39" s="188">
        <v>6.9482529861802475E-8</v>
      </c>
      <c r="M39" s="233">
        <v>69</v>
      </c>
      <c r="N39" s="195">
        <v>6.8999977920007064E-8</v>
      </c>
      <c r="O39" s="211">
        <v>3.6206074236646742E-5</v>
      </c>
      <c r="P39" s="198">
        <v>6.8004179264840897E-8</v>
      </c>
      <c r="Q39" s="198">
        <v>3.5683552909531287E-5</v>
      </c>
      <c r="R39" s="1">
        <v>6.9482529861802475E-8</v>
      </c>
      <c r="S39" s="182">
        <v>6.9482529861802475E-8</v>
      </c>
      <c r="T39" s="1">
        <v>1.0883684444448314E-4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9.1627360547643643E-5</v>
      </c>
      <c r="L49" s="188">
        <v>2.2684002396059041E-7</v>
      </c>
      <c r="M49" s="233">
        <v>226</v>
      </c>
      <c r="N49" s="195">
        <v>2.2599992768002316E-7</v>
      </c>
      <c r="O49" s="211">
        <v>3.1855499786851457E-4</v>
      </c>
      <c r="P49" s="198">
        <v>2.2201364407050998E-7</v>
      </c>
      <c r="Q49" s="198">
        <v>3.1293618825309891E-4</v>
      </c>
      <c r="R49" s="1">
        <v>2.2684002396059043E-7</v>
      </c>
      <c r="S49" s="182">
        <v>2.2684002396059043E-7</v>
      </c>
      <c r="T49" s="1">
        <v>9.1627360547643643E-5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2.0389636146653678E-2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1522070.5022831049</v>
      </c>
      <c r="O64" s="220" cm="1">
        <f t="array" ref="O64:O65">N66/N64:N65</f>
        <v>2.2994992641602354</v>
      </c>
    </row>
    <row r="65" spans="1:47" ht="16.8" thickBot="1">
      <c r="L65" s="180"/>
      <c r="M65" s="124" t="s">
        <v>179</v>
      </c>
      <c r="N65" s="253">
        <f>1/N49</f>
        <v>4424780.1769911498</v>
      </c>
      <c r="O65" s="220">
        <v>0.79099974688008112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0.94000013229029122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0.91999674230626383</v>
      </c>
      <c r="R68" s="216">
        <f>1-SUM(_xlfn.ANCHORARRAY(R69))</f>
        <v>-2.1742748396685663E-2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1.1092278812004339</v>
      </c>
      <c r="L69" s="185" cm="1">
        <f t="array" ref="L69:L126">K69:K126*_xlfn.ANCHORARRAY(J69)*_xlfn.ANCHORARRAY(F69)</f>
        <v>0.88214170237422163</v>
      </c>
      <c r="M69" s="240" cm="1">
        <f t="array" ref="M69:M126">INT(_xlfn.ANCHORARRAY(L69)*$M$2)</f>
        <v>882141702</v>
      </c>
      <c r="N69" s="194" cm="1">
        <f t="array" ref="N69:N126">_xlfn.ANCHORARRAY(M69)/SUM(_xlfn.ANCHORARRAY(M69))</f>
        <v>0.88214141706832228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0.90388445077090729</v>
      </c>
      <c r="S69" s="182">
        <f>R69+R68</f>
        <v>0.88214170237422163</v>
      </c>
      <c r="T69" s="213" cm="1">
        <f t="array" ref="T69:T120">S69:S120/F69:F120</f>
        <v>1.1092278812004339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0.33774172873432179</v>
      </c>
      <c r="L70" s="188">
        <v>4.1239278303646897E-3</v>
      </c>
      <c r="M70" s="233">
        <v>4123927</v>
      </c>
      <c r="N70" s="195">
        <v>4.1239256679720089E-3</v>
      </c>
      <c r="O70" s="211">
        <v>2.0638539615141457E-3</v>
      </c>
      <c r="P70" s="183">
        <v>4.0361703930230355E-3</v>
      </c>
      <c r="Q70" s="183">
        <v>2.0199360817003066E-3</v>
      </c>
      <c r="R70" s="1">
        <v>4.1239278303646897E-3</v>
      </c>
      <c r="S70" s="182" cm="1">
        <f t="array" ref="S70:S120">R70:R120</f>
        <v>4.1239278303646897E-3</v>
      </c>
      <c r="T70" s="1">
        <v>0.33774172873432179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0.6033512243917144</v>
      </c>
      <c r="L71" s="188">
        <v>1.1967960250301411E-2</v>
      </c>
      <c r="M71" s="233">
        <v>11967960</v>
      </c>
      <c r="N71" s="195">
        <v>1.1967956134350168E-2</v>
      </c>
      <c r="O71" s="211">
        <v>1.3699785530150332E-2</v>
      </c>
      <c r="P71" s="183">
        <v>1.1713281321625699E-2</v>
      </c>
      <c r="Q71" s="183">
        <v>1.3408257864516399E-2</v>
      </c>
      <c r="R71" s="1">
        <v>1.1967960250301411E-2</v>
      </c>
      <c r="S71" s="1">
        <v>1.1967960250301411E-2</v>
      </c>
      <c r="T71" s="1">
        <v>0.6033512243917144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0.43807607224178258</v>
      </c>
      <c r="L72" s="188">
        <v>6.1348260771953685E-3</v>
      </c>
      <c r="M72" s="233">
        <v>6134826</v>
      </c>
      <c r="N72" s="195">
        <v>6.1348240184518421E-3</v>
      </c>
      <c r="O72" s="211">
        <v>1.1246796241106759E-2</v>
      </c>
      <c r="P72" s="183">
        <v>6.0042766017396332E-3</v>
      </c>
      <c r="Q72" s="183">
        <v>1.1007467420728372E-2</v>
      </c>
      <c r="R72" s="1">
        <v>6.1348260771953685E-3</v>
      </c>
      <c r="S72" s="1">
        <v>6.1348260771953685E-3</v>
      </c>
      <c r="T72" s="1">
        <v>0.43807607224178258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0.61408608704596634</v>
      </c>
      <c r="L73" s="188">
        <v>1.1319964674831417E-2</v>
      </c>
      <c r="M73" s="233">
        <v>11319964</v>
      </c>
      <c r="N73" s="195">
        <v>1.131996034365281E-2</v>
      </c>
      <c r="O73" s="211">
        <v>2.7909656669160364E-2</v>
      </c>
      <c r="P73" s="183">
        <v>1.1079075131773286E-2</v>
      </c>
      <c r="Q73" s="183">
        <v>2.7315747913640286E-2</v>
      </c>
      <c r="R73" s="1">
        <v>1.1319964674831417E-2</v>
      </c>
      <c r="S73" s="1">
        <v>1.1319964674831417E-2</v>
      </c>
      <c r="T73" s="1">
        <v>0.61408608704596634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0.8382780214003609</v>
      </c>
      <c r="L74" s="188">
        <v>1.0571012778286898E-2</v>
      </c>
      <c r="M74" s="233">
        <v>10571012</v>
      </c>
      <c r="N74" s="195">
        <v>1.0571008585564227E-2</v>
      </c>
      <c r="O74" s="211">
        <v>3.3865152274155798E-2</v>
      </c>
      <c r="P74" s="183">
        <v>1.0346060977555142E-2</v>
      </c>
      <c r="Q74" s="183">
        <v>3.3144512901169404E-2</v>
      </c>
      <c r="R74" s="1">
        <v>1.0571012778286898E-2</v>
      </c>
      <c r="S74" s="1">
        <v>1.0571012778286898E-2</v>
      </c>
      <c r="T74" s="1">
        <v>0.8382780214003609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0.74486522900267249</v>
      </c>
      <c r="L75" s="188">
        <v>9.344282157272496E-3</v>
      </c>
      <c r="M75" s="233">
        <v>9344282</v>
      </c>
      <c r="N75" s="195">
        <v>9.3442789817978888E-3</v>
      </c>
      <c r="O75" s="211">
        <v>3.7078222468592423E-2</v>
      </c>
      <c r="P75" s="183">
        <v>9.1454352594481318E-3</v>
      </c>
      <c r="Q75" s="183">
        <v>3.628920795092562E-2</v>
      </c>
      <c r="R75" s="1">
        <v>9.344282157272496E-3</v>
      </c>
      <c r="S75" s="1">
        <v>9.344282157272496E-3</v>
      </c>
      <c r="T75" s="1">
        <v>0.74486522900267249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0.67491604279541528</v>
      </c>
      <c r="L76" s="188">
        <v>2.1329844141693465E-3</v>
      </c>
      <c r="M76" s="233">
        <v>2132984</v>
      </c>
      <c r="N76" s="195">
        <v>2.1329833110463907E-3</v>
      </c>
      <c r="O76" s="211">
        <v>9.2828597431372454E-3</v>
      </c>
      <c r="P76" s="183">
        <v>2.0875943749210993E-3</v>
      </c>
      <c r="Q76" s="183">
        <v>9.085324616744439E-3</v>
      </c>
      <c r="R76" s="1">
        <v>2.1329844141693465E-3</v>
      </c>
      <c r="S76" s="1">
        <v>2.1329844141693465E-3</v>
      </c>
      <c r="T76" s="1">
        <v>0.67491604279541528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0.73890448242000084</v>
      </c>
      <c r="L77" s="188">
        <v>9.7269755518010117E-3</v>
      </c>
      <c r="M77" s="233">
        <v>9726975</v>
      </c>
      <c r="N77" s="195">
        <v>9.7269718581880892E-3</v>
      </c>
      <c r="O77" s="211">
        <v>5.0020985939058307E-2</v>
      </c>
      <c r="P77" s="183">
        <v>9.5199849150527701E-3</v>
      </c>
      <c r="Q77" s="183">
        <v>4.8956554878386044E-2</v>
      </c>
      <c r="R77" s="1">
        <v>9.7269755518010117E-3</v>
      </c>
      <c r="S77" s="1">
        <v>9.7269755518010117E-3</v>
      </c>
      <c r="T77" s="1">
        <v>0.73890448242000084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0.63993735183591605</v>
      </c>
      <c r="L78" s="188">
        <v>3.6743218936627605E-3</v>
      </c>
      <c r="M78" s="233">
        <v>3674321</v>
      </c>
      <c r="N78" s="195">
        <v>3.6743198131947005E-3</v>
      </c>
      <c r="O78" s="211">
        <v>2.1852068313062054E-2</v>
      </c>
      <c r="P78" s="183">
        <v>3.5961320982492791E-3</v>
      </c>
      <c r="Q78" s="183">
        <v>2.1387067067908046E-2</v>
      </c>
      <c r="R78" s="1">
        <v>3.6743218936627605E-3</v>
      </c>
      <c r="S78" s="1">
        <v>3.6743218936627605E-3</v>
      </c>
      <c r="T78" s="1">
        <v>0.63993735183591605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1.1976841570339889</v>
      </c>
      <c r="L79" s="188">
        <v>8.5495485865714257E-3</v>
      </c>
      <c r="M79" s="233">
        <v>8549548</v>
      </c>
      <c r="N79" s="195">
        <v>8.5495452384968876E-3</v>
      </c>
      <c r="O79" s="211">
        <v>5.5573589860643098E-2</v>
      </c>
      <c r="P79" s="183">
        <v>8.3676136679093991E-3</v>
      </c>
      <c r="Q79" s="183">
        <v>5.4391001757476416E-2</v>
      </c>
      <c r="R79" s="1">
        <v>8.5495485865714257E-3</v>
      </c>
      <c r="S79" s="1">
        <v>8.5495485865714257E-3</v>
      </c>
      <c r="T79" s="1">
        <v>1.1976841570339889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0.83325481494694953</v>
      </c>
      <c r="L80" s="188">
        <v>1.4923852044692499E-2</v>
      </c>
      <c r="M80" s="233">
        <v>14923852</v>
      </c>
      <c r="N80" s="195">
        <v>1.4923847179597362E-2</v>
      </c>
      <c r="O80" s="211">
        <v>0.12666259650228495</v>
      </c>
      <c r="P80" s="183">
        <v>1.4606271557210398E-2</v>
      </c>
      <c r="Q80" s="183">
        <v>0.12396724908728636</v>
      </c>
      <c r="R80" s="1">
        <v>1.4923852044692498E-2</v>
      </c>
      <c r="S80" s="1">
        <v>1.4923852044692498E-2</v>
      </c>
      <c r="T80" s="1">
        <v>0.83325481494694953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0.83604999999999996</v>
      </c>
      <c r="L81" s="188">
        <v>9.403321886E-3</v>
      </c>
      <c r="M81" s="233">
        <v>9403321</v>
      </c>
      <c r="N81" s="195">
        <v>9.4033179627282977E-3</v>
      </c>
      <c r="O81" s="211">
        <v>0.11188563097111311</v>
      </c>
      <c r="P81" s="183">
        <v>9.2028818201265652E-3</v>
      </c>
      <c r="Q81" s="183">
        <v>0.10950073615278409</v>
      </c>
      <c r="R81" s="1">
        <v>9.4029777640660152E-3</v>
      </c>
      <c r="S81" s="1">
        <v>9.4029777640660152E-3</v>
      </c>
      <c r="T81" s="1">
        <v>0.83601940409502129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0.8445874450644193</v>
      </c>
      <c r="L82" s="188">
        <v>5.2532241119328292E-3</v>
      </c>
      <c r="M82" s="233">
        <v>5253224</v>
      </c>
      <c r="N82" s="195">
        <v>5.2532223032091957E-3</v>
      </c>
      <c r="O82" s="211">
        <v>8.1404895482229289E-2</v>
      </c>
      <c r="P82" s="183">
        <v>5.1414351804073607E-3</v>
      </c>
      <c r="Q82" s="183">
        <v>7.9672621741903607E-2</v>
      </c>
      <c r="R82" s="1">
        <v>5.2532241119328292E-3</v>
      </c>
      <c r="S82" s="1">
        <v>5.2532241119328292E-3</v>
      </c>
      <c r="T82" s="1">
        <v>0.8445874450644193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0.80898189871693826</v>
      </c>
      <c r="L83" s="188">
        <v>3.5029320705392787E-3</v>
      </c>
      <c r="M83" s="233">
        <v>3502932</v>
      </c>
      <c r="N83" s="195">
        <v>3.5029308685533295E-3</v>
      </c>
      <c r="O83" s="211">
        <v>6.6406611144619876E-2</v>
      </c>
      <c r="P83" s="183">
        <v>3.4283894610811403E-3</v>
      </c>
      <c r="Q83" s="183">
        <v>6.4993496685349178E-2</v>
      </c>
      <c r="R83" s="1">
        <v>3.5029320705392787E-3</v>
      </c>
      <c r="S83" s="1">
        <v>3.5029320705392787E-3</v>
      </c>
      <c r="T83" s="1">
        <v>0.80898189871693826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0.29374049176978689</v>
      </c>
      <c r="L84" s="188">
        <v>6.2921269520530736E-4</v>
      </c>
      <c r="M84" s="233">
        <v>629212</v>
      </c>
      <c r="N84" s="195">
        <v>6.292117967645896E-4</v>
      </c>
      <c r="O84" s="211">
        <v>1.3665470425688855E-2</v>
      </c>
      <c r="P84" s="183">
        <v>6.1582301043258182E-4</v>
      </c>
      <c r="Q84" s="183">
        <v>1.3374687473753239E-2</v>
      </c>
      <c r="R84" s="1">
        <v>6.2921269520530736E-4</v>
      </c>
      <c r="S84" s="1">
        <v>6.2921269520530736E-4</v>
      </c>
      <c r="T84" s="1">
        <v>0.29374049176978689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0.56136206481247664</v>
      </c>
      <c r="L85" s="188">
        <v>2.1130285617812915E-3</v>
      </c>
      <c r="M85" s="233">
        <v>2113028</v>
      </c>
      <c r="N85" s="195">
        <v>2.1130273174921766E-3</v>
      </c>
      <c r="O85" s="211">
        <v>5.3917564069393201E-2</v>
      </c>
      <c r="P85" s="183">
        <v>2.0680631842966788E-3</v>
      </c>
      <c r="Q85" s="183">
        <v>5.2770226071288048E-2</v>
      </c>
      <c r="R85" s="1">
        <v>2.1130285617812915E-3</v>
      </c>
      <c r="S85" s="1">
        <v>2.1130285617812915E-3</v>
      </c>
      <c r="T85" s="1">
        <v>0.56136206481247664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0.43701373426747797</v>
      </c>
      <c r="L86" s="188">
        <v>7.2195105914721629E-4</v>
      </c>
      <c r="M86" s="233">
        <v>721951</v>
      </c>
      <c r="N86" s="195">
        <v>7.2195076680990232E-4</v>
      </c>
      <c r="O86" s="211">
        <v>2.094718496605523E-2</v>
      </c>
      <c r="P86" s="183">
        <v>7.065878962978679E-4</v>
      </c>
      <c r="Q86" s="183">
        <v>2.0501435885896865E-2</v>
      </c>
      <c r="R86" s="1">
        <v>7.2195105914721629E-4</v>
      </c>
      <c r="S86" s="1">
        <v>7.2195105914721629E-4</v>
      </c>
      <c r="T86" s="1">
        <v>0.43701373426747797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0.51873642209947401</v>
      </c>
      <c r="L87" s="188">
        <v>1.0541657822621092E-3</v>
      </c>
      <c r="M87" s="233">
        <v>1054165</v>
      </c>
      <c r="N87" s="195">
        <v>1.0541646595048149E-3</v>
      </c>
      <c r="O87" s="211">
        <v>3.3820932007879098E-2</v>
      </c>
      <c r="P87" s="183">
        <v>1.0317330697147604E-3</v>
      </c>
      <c r="Q87" s="183">
        <v>3.3101255754005778E-2</v>
      </c>
      <c r="R87" s="1">
        <v>1.0541657822621092E-3</v>
      </c>
      <c r="S87" s="1">
        <v>1.0541657822621092E-3</v>
      </c>
      <c r="T87" s="1">
        <v>0.51873642209947401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0.31386751041929467</v>
      </c>
      <c r="L88" s="188">
        <v>1.0177750373615425E-3</v>
      </c>
      <c r="M88" s="233">
        <v>1017775</v>
      </c>
      <c r="N88" s="195">
        <v>1.0177746712587811E-3</v>
      </c>
      <c r="O88" s="211">
        <v>3.8517740065073879E-2</v>
      </c>
      <c r="P88" s="183">
        <v>9.961167220992077E-4</v>
      </c>
      <c r="Q88" s="183">
        <v>3.769809375275282E-2</v>
      </c>
      <c r="R88" s="1">
        <v>1.0177750373615425E-3</v>
      </c>
      <c r="S88" s="1">
        <v>1.0177750373615425E-3</v>
      </c>
      <c r="T88" s="1">
        <v>0.31386751041929467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5.955144570641626E-2</v>
      </c>
      <c r="L89" s="188">
        <v>1.1739019183431598E-4</v>
      </c>
      <c r="M89" s="233">
        <v>117390</v>
      </c>
      <c r="N89" s="195">
        <v>1.1738996208304224E-4</v>
      </c>
      <c r="O89" s="211">
        <v>5.1271433039781671E-3</v>
      </c>
      <c r="P89" s="183">
        <v>1.1489212134710435E-4</v>
      </c>
      <c r="Q89" s="183">
        <v>5.0180472009007304E-3</v>
      </c>
      <c r="R89" s="1">
        <v>1.1739019183431598E-4</v>
      </c>
      <c r="S89" s="1">
        <v>1.1739019183431598E-4</v>
      </c>
      <c r="T89" s="1">
        <v>5.955144570641626E-2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0.15183207029148629</v>
      </c>
      <c r="L90" s="188">
        <v>3.8863999536300873E-4</v>
      </c>
      <c r="M90" s="233">
        <v>388639</v>
      </c>
      <c r="N90" s="195">
        <v>3.8863887446964352E-4</v>
      </c>
      <c r="O90" s="211">
        <v>1.9732389169858606E-2</v>
      </c>
      <c r="P90" s="183">
        <v>3.803697124083931E-4</v>
      </c>
      <c r="Q90" s="183">
        <v>1.931253841734731E-2</v>
      </c>
      <c r="R90" s="1">
        <v>3.8863999536300873E-4</v>
      </c>
      <c r="S90" s="1">
        <v>3.8863999536300873E-4</v>
      </c>
      <c r="T90" s="1">
        <v>0.15183207029148629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0.13426618641994081</v>
      </c>
      <c r="L91" s="188">
        <v>2.2656344828873653E-4</v>
      </c>
      <c r="M91" s="233">
        <v>226563</v>
      </c>
      <c r="N91" s="195">
        <v>2.2656292682017465E-4</v>
      </c>
      <c r="O91" s="211">
        <v>1.303380848923478E-2</v>
      </c>
      <c r="P91" s="183">
        <v>2.2174216420352264E-4</v>
      </c>
      <c r="Q91" s="183">
        <v>1.2756477605495907E-2</v>
      </c>
      <c r="R91" s="1">
        <v>2.2656344828873653E-4</v>
      </c>
      <c r="S91" s="1">
        <v>2.2656344828873653E-4</v>
      </c>
      <c r="T91" s="1">
        <v>0.13426618641994081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0.22722728143120299</v>
      </c>
      <c r="L92" s="188">
        <v>3.8034438502361912E-4</v>
      </c>
      <c r="M92" s="233">
        <v>380344</v>
      </c>
      <c r="N92" s="195">
        <v>3.8034387714892766E-4</v>
      </c>
      <c r="O92" s="211">
        <v>2.4383026545663867E-2</v>
      </c>
      <c r="P92" s="183">
        <v>3.7225063316617972E-4</v>
      </c>
      <c r="Q92" s="183">
        <v>2.3864186110131875E-2</v>
      </c>
      <c r="R92" s="1">
        <v>3.8034438502361912E-4</v>
      </c>
      <c r="S92" s="1">
        <v>3.8034438502361912E-4</v>
      </c>
      <c r="T92" s="1">
        <v>0.22722728143120299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6.8326188855548475E-2</v>
      </c>
      <c r="L93" s="188">
        <v>1.9486765713980136E-4</v>
      </c>
      <c r="M93" s="233">
        <v>194867</v>
      </c>
      <c r="N93" s="195">
        <v>1.9486693705797933E-4</v>
      </c>
      <c r="O93" s="211">
        <v>1.4517611089302187E-2</v>
      </c>
      <c r="P93" s="183">
        <v>1.9072086143560762E-4</v>
      </c>
      <c r="Q93" s="183">
        <v>1.4208727938875697E-2</v>
      </c>
      <c r="R93" s="1">
        <v>1.9486765713980133E-4</v>
      </c>
      <c r="S93" s="1">
        <v>1.9486765713980133E-4</v>
      </c>
      <c r="T93" s="1">
        <v>6.8326188855548475E-2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2.2672610144226883E-2</v>
      </c>
      <c r="L94" s="188">
        <v>4.4607680280462064E-5</v>
      </c>
      <c r="M94" s="233">
        <v>44607</v>
      </c>
      <c r="N94" s="195">
        <v>4.4606985591943656E-5</v>
      </c>
      <c r="O94" s="211">
        <v>3.8951243548254761E-3</v>
      </c>
      <c r="P94" s="183">
        <v>4.3658426106238795E-5</v>
      </c>
      <c r="Q94" s="183">
        <v>3.8122952394808824E-3</v>
      </c>
      <c r="R94" s="1">
        <v>4.4607680280462064E-5</v>
      </c>
      <c r="S94" s="1">
        <v>4.4607680280462064E-5</v>
      </c>
      <c r="T94" s="1">
        <v>2.2672610144226883E-2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7.7819820354686278E-2</v>
      </c>
      <c r="L95" s="188">
        <v>1.4439000747889911E-4</v>
      </c>
      <c r="M95" s="233">
        <v>144390</v>
      </c>
      <c r="N95" s="195">
        <v>1.4438995336204507E-4</v>
      </c>
      <c r="O95" s="211">
        <v>1.4549114491124528E-2</v>
      </c>
      <c r="P95" s="183">
        <v>1.4131737925762155E-4</v>
      </c>
      <c r="Q95" s="183">
        <v>1.4239513778700771E-2</v>
      </c>
      <c r="R95" s="1">
        <v>1.4439000747889911E-4</v>
      </c>
      <c r="S95" s="1">
        <v>1.4439000747889911E-4</v>
      </c>
      <c r="T95" s="1">
        <v>7.7819820354686278E-2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2.4774533077600674E-2</v>
      </c>
      <c r="L96" s="188">
        <v>3.5216751024478585E-5</v>
      </c>
      <c r="M96" s="233">
        <v>35216</v>
      </c>
      <c r="N96" s="195">
        <v>3.5215988625235673E-5</v>
      </c>
      <c r="O96" s="211">
        <v>4.0264900753230054E-3</v>
      </c>
      <c r="P96" s="183">
        <v>3.4467336401203274E-5</v>
      </c>
      <c r="Q96" s="183">
        <v>3.9408914348300671E-3</v>
      </c>
      <c r="R96" s="1">
        <v>3.5216751024478585E-5</v>
      </c>
      <c r="S96" s="1">
        <v>3.5216751024478585E-5</v>
      </c>
      <c r="T96" s="1">
        <v>2.4774533077600674E-2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3.3553258402569432E-2</v>
      </c>
      <c r="L97" s="188">
        <v>4.3433686404374056E-5</v>
      </c>
      <c r="M97" s="233">
        <v>43433</v>
      </c>
      <c r="N97" s="195">
        <v>4.3432985971145529E-5</v>
      </c>
      <c r="O97" s="211">
        <v>5.5617669576658868E-3</v>
      </c>
      <c r="P97" s="183">
        <v>4.2509414891889347E-5</v>
      </c>
      <c r="Q97" s="183">
        <v>5.4435000000342976E-3</v>
      </c>
      <c r="R97" s="1">
        <v>4.343368640437405E-5</v>
      </c>
      <c r="S97" s="1">
        <v>4.343368640437405E-5</v>
      </c>
      <c r="T97" s="1">
        <v>3.3553258402569432E-2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2.3888951413693543E-2</v>
      </c>
      <c r="L98" s="188">
        <v>5.9868578916885665E-5</v>
      </c>
      <c r="M98" s="233">
        <v>59868</v>
      </c>
      <c r="N98" s="195">
        <v>5.9867980662642245E-5</v>
      </c>
      <c r="O98" s="211">
        <v>8.9499382862755789E-3</v>
      </c>
      <c r="P98" s="183">
        <v>5.8594571883021578E-5</v>
      </c>
      <c r="Q98" s="183">
        <v>8.7595705827943383E-3</v>
      </c>
      <c r="R98" s="1">
        <v>5.9868578916885665E-5</v>
      </c>
      <c r="S98" s="1">
        <v>5.9868578916885665E-5</v>
      </c>
      <c r="T98" s="1">
        <v>2.3888951413693543E-2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1.3503251901625978E-2</v>
      </c>
      <c r="L99" s="188">
        <v>2.3477834016319056E-5</v>
      </c>
      <c r="M99" s="233">
        <v>23477</v>
      </c>
      <c r="N99" s="195">
        <v>2.347699241693145E-5</v>
      </c>
      <c r="O99" s="211">
        <v>4.3080448159316821E-3</v>
      </c>
      <c r="P99" s="183">
        <v>2.2978224267468849E-5</v>
      </c>
      <c r="Q99" s="183">
        <v>4.2165205055564505E-3</v>
      </c>
      <c r="R99" s="1">
        <v>2.3477834016319056E-5</v>
      </c>
      <c r="S99" s="1">
        <v>2.3477834016319056E-5</v>
      </c>
      <c r="T99" s="1">
        <v>1.3503251901625978E-2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1.9520473084773003E-3</v>
      </c>
      <c r="L100" s="188">
        <v>2.346965999455343E-6</v>
      </c>
      <c r="M100" s="233">
        <v>2346</v>
      </c>
      <c r="N100" s="195">
        <v>2.3459992422422447E-6</v>
      </c>
      <c r="O100" s="211">
        <v>5.0769275462025888E-4</v>
      </c>
      <c r="P100" s="183">
        <v>2.297022418938809E-6</v>
      </c>
      <c r="Q100" s="183">
        <v>4.9709378344936223E-4</v>
      </c>
      <c r="R100" s="1">
        <v>2.346965999455343E-6</v>
      </c>
      <c r="S100" s="1">
        <v>2.346965999455343E-6</v>
      </c>
      <c r="T100" s="1">
        <v>1.9520473084773003E-3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1.1579306048108274E-3</v>
      </c>
      <c r="L101" s="188">
        <v>1.1729721233673201E-6</v>
      </c>
      <c r="M101" s="233">
        <v>1172</v>
      </c>
      <c r="N101" s="195">
        <v>1.1719996214441222E-6</v>
      </c>
      <c r="O101" s="211">
        <v>2.9392847605982876E-4</v>
      </c>
      <c r="P101" s="183">
        <v>1.1480112045893569E-6</v>
      </c>
      <c r="Q101" s="183">
        <v>2.8791236591764198E-4</v>
      </c>
      <c r="R101" s="1">
        <v>1.1729721233673201E-6</v>
      </c>
      <c r="S101" s="1">
        <v>1.1729721233673201E-6</v>
      </c>
      <c r="T101" s="1">
        <v>1.1579306048108274E-3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7.6250797434284107E-3</v>
      </c>
      <c r="L102" s="188">
        <v>5.8689476277194129E-6</v>
      </c>
      <c r="M102" s="233">
        <v>5868</v>
      </c>
      <c r="N102" s="195">
        <v>5.8679981046366125E-6</v>
      </c>
      <c r="O102" s="211">
        <v>1.6636817238424597E-3</v>
      </c>
      <c r="P102" s="183">
        <v>5.7440560619871648E-6</v>
      </c>
      <c r="Q102" s="183">
        <v>1.6285419525789585E-3</v>
      </c>
      <c r="R102" s="1">
        <v>5.8689476277194129E-6</v>
      </c>
      <c r="S102" s="1">
        <v>5.8689476277194129E-6</v>
      </c>
      <c r="T102" s="1">
        <v>7.6250797434284107E-3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2.4543550822591652E-2</v>
      </c>
      <c r="L103" s="188">
        <v>1.6433870759790919E-5</v>
      </c>
      <c r="M103" s="233">
        <v>16433</v>
      </c>
      <c r="N103" s="195">
        <v>1.6432994692142714E-5</v>
      </c>
      <c r="O103" s="211">
        <v>5.2289428503049223E-3</v>
      </c>
      <c r="P103" s="183">
        <v>1.6084156981372139E-5</v>
      </c>
      <c r="Q103" s="183">
        <v>5.117943456230835E-3</v>
      </c>
      <c r="R103" s="1">
        <v>1.6433870759790919E-5</v>
      </c>
      <c r="S103" s="1">
        <v>1.6433870759790919E-5</v>
      </c>
      <c r="T103" s="1">
        <v>2.4543550822591652E-2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7.3541356677235478E-3</v>
      </c>
      <c r="L104" s="188">
        <v>4.6949537516313898E-6</v>
      </c>
      <c r="M104" s="233">
        <v>4694</v>
      </c>
      <c r="N104" s="195">
        <v>4.6939984838384897E-6</v>
      </c>
      <c r="O104" s="211">
        <v>1.6420416614199615E-3</v>
      </c>
      <c r="P104" s="183">
        <v>4.5950448476377131E-6</v>
      </c>
      <c r="Q104" s="183">
        <v>1.6074259720987758E-3</v>
      </c>
      <c r="R104" s="1">
        <v>4.6949537516313898E-6</v>
      </c>
      <c r="S104" s="1">
        <v>4.6949537516313898E-6</v>
      </c>
      <c r="T104" s="1">
        <v>7.3541356677235478E-3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7.1520435173383747E-3</v>
      </c>
      <c r="L106" s="188">
        <v>2.5921866524241206E-6</v>
      </c>
      <c r="M106" s="233">
        <v>2592</v>
      </c>
      <c r="N106" s="195">
        <v>2.5919991627842704E-6</v>
      </c>
      <c r="O106" s="211">
        <v>1.0814559307471233E-3</v>
      </c>
      <c r="P106" s="183">
        <v>2.5370247613616707E-6</v>
      </c>
      <c r="Q106" s="183">
        <v>1.0585190435322828E-3</v>
      </c>
      <c r="R106" s="1">
        <v>2.5921866524241206E-6</v>
      </c>
      <c r="S106" s="1">
        <v>2.5921866524241206E-6</v>
      </c>
      <c r="T106" s="1">
        <v>7.1520435173383747E-3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4.0858882953217216E-4</v>
      </c>
      <c r="L114" s="188">
        <v>1.011535193496208E-6</v>
      </c>
      <c r="M114" s="233">
        <v>1011</v>
      </c>
      <c r="N114" s="195">
        <v>1.0109996734471054E-6</v>
      </c>
      <c r="O114" s="211">
        <v>9.5002684920026911E-4</v>
      </c>
      <c r="P114" s="183">
        <v>9.9000966249430593E-7</v>
      </c>
      <c r="Q114" s="183">
        <v>9.3030273405572488E-4</v>
      </c>
      <c r="R114" s="1">
        <v>1.011535193496208E-6</v>
      </c>
      <c r="S114" s="1">
        <v>1.011535193496208E-6</v>
      </c>
      <c r="T114" s="1">
        <v>4.0858882953217216E-4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4.0851665638225225E-4</v>
      </c>
      <c r="L115" s="188">
        <v>4.5263645527153554E-7</v>
      </c>
      <c r="M115" s="233">
        <v>452</v>
      </c>
      <c r="N115" s="195">
        <v>4.5199985400404715E-7</v>
      </c>
      <c r="O115" s="211">
        <v>7.2630782999462873E-4</v>
      </c>
      <c r="P115" s="183">
        <v>4.430043237221995E-7</v>
      </c>
      <c r="Q115" s="183">
        <v>7.1185312603669055E-4</v>
      </c>
      <c r="R115" s="1">
        <v>4.5263645527153548E-7</v>
      </c>
      <c r="S115" s="1">
        <v>4.5263645527153548E-7</v>
      </c>
      <c r="T115" s="1">
        <v>4.0851665638225225E-4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3.4940318211385608E-2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39710.917441029305</v>
      </c>
      <c r="O129" s="220" cm="1">
        <f t="array" ref="O129:O130">N131/N129:N130</f>
        <v>88.136971531758192</v>
      </c>
    </row>
    <row r="130" spans="1:55" ht="16.8" thickBot="1">
      <c r="M130" s="124" t="s">
        <v>179</v>
      </c>
      <c r="N130" s="218">
        <f>1/SUM(N115:N120)</f>
        <v>2212390.0951327435</v>
      </c>
      <c r="O130" s="220">
        <v>1.5819994890141649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0.94000027089649973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0.85096781557853196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1.1093605159066695</v>
      </c>
      <c r="Q134" s="1" cm="1">
        <f t="array" ref="Q134:Q191">IFERROR(_xlfn.ANCHORARRAY(N4)/(_xlfn.ANCHORARRAY(J69)*_xlfn.ANCHORARRAY(F69)),0)</f>
        <v>1.1109214024947887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0.98450579864904464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0.84304874107901373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0.84813826310227602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7.3557344022488413</v>
      </c>
      <c r="Q138" s="1">
        <v>0.68551419325919793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0.81802527114564538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6.0691323827634305</v>
      </c>
      <c r="Q140" s="1">
        <v>0.6568160494552272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0.63371546974306336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/>
      <c r="I142" s="214" t="str">
        <f t="shared" si="5"/>
        <v>(7, 8]</v>
      </c>
      <c r="J142" s="160">
        <v>1</v>
      </c>
      <c r="K142" s="234">
        <v>2.0510799999999998</v>
      </c>
      <c r="L142" s="188">
        <v>4.457940336799999E-3</v>
      </c>
      <c r="M142" s="233">
        <v>4457940</v>
      </c>
      <c r="N142" s="195">
        <v>3.4352207474590758E-2</v>
      </c>
      <c r="O142" s="211">
        <v>3.4352207474590758E-2</v>
      </c>
      <c r="P142" s="1">
        <v>4.4753397155632451</v>
      </c>
      <c r="Q142" s="1">
        <v>0.65356977881730316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0.54848450408277749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/>
      <c r="I144" s="124" t="str">
        <f t="shared" si="5"/>
        <v>(9, 10]</v>
      </c>
      <c r="J144" s="160">
        <v>1</v>
      </c>
      <c r="K144" s="234">
        <v>1.0255399999999999</v>
      </c>
      <c r="L144" s="188">
        <v>3.3613406701999997E-3</v>
      </c>
      <c r="M144" s="233">
        <v>3361340</v>
      </c>
      <c r="N144" s="195">
        <v>2.5901974695182281E-2</v>
      </c>
      <c r="O144" s="211">
        <v>3.2377468368977855E-2</v>
      </c>
      <c r="P144" s="1">
        <v>2.6084534369336647</v>
      </c>
      <c r="Q144" s="1">
        <v>0.88772889893695084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/>
      <c r="I145" s="214" t="str">
        <f t="shared" si="5"/>
        <v>(10, 15]</v>
      </c>
      <c r="J145" s="160">
        <v>1</v>
      </c>
      <c r="K145" s="234">
        <v>0.20510799999999998</v>
      </c>
      <c r="L145" s="188">
        <v>5.3701786776000002E-4</v>
      </c>
      <c r="M145" s="233">
        <v>537017</v>
      </c>
      <c r="N145" s="195">
        <v>4.1381713081338704E-3</v>
      </c>
      <c r="O145" s="211">
        <v>7.2307973352698438E-3</v>
      </c>
      <c r="P145" s="1">
        <v>5.6999973950230922</v>
      </c>
      <c r="Q145" s="1">
        <v>0.56399162089295352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/>
      <c r="I146" s="124" t="str">
        <f t="shared" si="5"/>
        <v>(15, 20]</v>
      </c>
      <c r="J146" s="160">
        <v>1</v>
      </c>
      <c r="K146" s="234">
        <v>0.20510799999999998</v>
      </c>
      <c r="L146" s="188">
        <v>1.84623248716E-3</v>
      </c>
      <c r="M146" s="233">
        <v>1846232</v>
      </c>
      <c r="N146" s="195">
        <v>1.4226782933424102E-2</v>
      </c>
      <c r="O146" s="211">
        <v>3.3377385032208363E-2</v>
      </c>
      <c r="P146" s="1">
        <v>1.0446656930331273</v>
      </c>
      <c r="Q146" s="1">
        <v>0.53368696535571269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/>
      <c r="I147" s="124" t="str">
        <f t="shared" si="5"/>
        <v>(20, 25]</v>
      </c>
      <c r="J147" s="160">
        <v>1</v>
      </c>
      <c r="K147" s="234">
        <v>0.20510799999999998</v>
      </c>
      <c r="L147" s="188">
        <v>1.1638484265599999E-3</v>
      </c>
      <c r="M147" s="233">
        <v>1163848</v>
      </c>
      <c r="N147" s="195">
        <v>8.9684356372870654E-3</v>
      </c>
      <c r="O147" s="211">
        <v>2.7241001704653468E-2</v>
      </c>
      <c r="P147" s="1">
        <v>0.92578887042133606</v>
      </c>
      <c r="Q147" s="1">
        <v>0.40482199696442822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/>
      <c r="I148" s="124" t="str">
        <f t="shared" si="5"/>
        <v>(25, 30]</v>
      </c>
      <c r="J148" s="160">
        <v>1</v>
      </c>
      <c r="K148" s="234">
        <v>0.20510799999999998</v>
      </c>
      <c r="L148" s="188">
        <v>9.2374489959999996E-4</v>
      </c>
      <c r="M148" s="233">
        <v>923744</v>
      </c>
      <c r="N148" s="195">
        <v>7.1182307391773701E-3</v>
      </c>
      <c r="O148" s="211">
        <v>2.6592642077779002E-2</v>
      </c>
      <c r="P148" s="1">
        <v>0.777789566035333</v>
      </c>
      <c r="Q148" s="1">
        <v>0.5043263475473363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/>
      <c r="I149" s="124" t="str">
        <f t="shared" si="5"/>
        <v>(30, 35]</v>
      </c>
      <c r="J149" s="160">
        <v>1</v>
      </c>
      <c r="K149" s="234">
        <v>0.20510799999999998</v>
      </c>
      <c r="L149" s="188">
        <v>6.1840061999999998E-4</v>
      </c>
      <c r="M149" s="233">
        <v>618400</v>
      </c>
      <c r="N149" s="195">
        <v>4.7652963257215049E-3</v>
      </c>
      <c r="O149" s="211">
        <v>1.9150864544518337E-2</v>
      </c>
      <c r="P149" s="1">
        <v>0.20869379660517068</v>
      </c>
      <c r="Q149" s="1">
        <v>0.19487498840865275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/>
      <c r="I150" s="214" t="str">
        <f t="shared" si="5"/>
        <v>(35, 40]</v>
      </c>
      <c r="J150" s="160">
        <v>1</v>
      </c>
      <c r="K150" s="234">
        <v>5.1276999999999996E-2</v>
      </c>
      <c r="L150" s="188">
        <v>5.4214659329999992E-4</v>
      </c>
      <c r="M150" s="233">
        <v>542146</v>
      </c>
      <c r="N150" s="195">
        <v>4.1776946018832646E-3</v>
      </c>
      <c r="O150" s="211">
        <v>2.0525843771832444E-2</v>
      </c>
      <c r="P150" s="1">
        <v>0.19985314506825722</v>
      </c>
      <c r="Q150" s="1">
        <v>0.25887040713121023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/>
      <c r="I151" s="124" t="str">
        <f t="shared" si="5"/>
        <v>(40, 45]</v>
      </c>
      <c r="J151" s="160">
        <v>1</v>
      </c>
      <c r="K151" s="234">
        <v>0.51276999999999995</v>
      </c>
      <c r="L151" s="188">
        <v>1.1520813805999998E-3</v>
      </c>
      <c r="M151" s="233">
        <v>1152081</v>
      </c>
      <c r="N151" s="195">
        <v>8.877760925345337E-3</v>
      </c>
      <c r="O151" s="211">
        <v>4.9532004064885005E-2</v>
      </c>
      <c r="P151" s="1">
        <v>0.3213268619134505</v>
      </c>
      <c r="Q151" s="1">
        <v>0.13703907818670782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/>
      <c r="I152" s="124" t="str">
        <f t="shared" si="5"/>
        <v>(45, 50]</v>
      </c>
      <c r="J152" s="160">
        <v>1</v>
      </c>
      <c r="K152" s="234">
        <v>5.1276999999999996E-2</v>
      </c>
      <c r="L152" s="188">
        <v>3.9289565493999995E-4</v>
      </c>
      <c r="M152" s="233">
        <v>392895</v>
      </c>
      <c r="N152" s="195">
        <v>3.0275891007347194E-3</v>
      </c>
      <c r="O152" s="211">
        <v>1.8573552952913377E-2</v>
      </c>
      <c r="P152" s="1">
        <v>0.13757953432618938</v>
      </c>
      <c r="Q152" s="1">
        <v>0.557119761884457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/>
      <c r="I153" s="214" t="str">
        <f t="shared" si="5"/>
        <v>(50, 60]</v>
      </c>
      <c r="J153" s="160">
        <v>1</v>
      </c>
      <c r="K153" s="234">
        <v>5.1276999999999996E-2</v>
      </c>
      <c r="L153" s="188">
        <v>4.0813928149999992E-4</v>
      </c>
      <c r="M153" s="233">
        <v>408139</v>
      </c>
      <c r="N153" s="195">
        <v>3.1450570457368194E-3</v>
      </c>
      <c r="O153" s="211">
        <v>2.3290922556387723E-2</v>
      </c>
      <c r="P153" s="1">
        <v>0.12786917158851449</v>
      </c>
      <c r="Q153" s="1">
        <v>0.13619120504264212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/>
      <c r="I154" s="124" t="str">
        <f t="shared" si="5"/>
        <v>(60, 70]</v>
      </c>
      <c r="J154" s="160">
        <v>1</v>
      </c>
      <c r="K154" s="234">
        <v>5.1276999999999996E-2</v>
      </c>
      <c r="L154" s="188">
        <v>1.1175514488E-4</v>
      </c>
      <c r="M154" s="233">
        <v>111755</v>
      </c>
      <c r="N154" s="195">
        <v>8.6116702923836794E-4</v>
      </c>
      <c r="O154" s="211">
        <v>7.0832128111394752E-3</v>
      </c>
      <c r="P154" s="1">
        <v>5.3862442683919834E-2</v>
      </c>
      <c r="Q154" s="1">
        <v>2.304183431002042E-2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/>
      <c r="I155" s="214" t="str">
        <f t="shared" si="5"/>
        <v>(70, 80]</v>
      </c>
      <c r="J155" s="160">
        <v>1</v>
      </c>
      <c r="K155" s="234">
        <v>2.0510799999999999E-2</v>
      </c>
      <c r="L155" s="188">
        <v>2.0886516834399998E-4</v>
      </c>
      <c r="M155" s="233">
        <v>208865</v>
      </c>
      <c r="N155" s="195">
        <v>1.609481916351588E-3</v>
      </c>
      <c r="O155" s="211">
        <v>1.5656765656464466E-2</v>
      </c>
      <c r="P155" s="1">
        <v>3.8164784916857361E-2</v>
      </c>
      <c r="Q155" s="1">
        <v>7.6097285067661044E-2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/>
      <c r="I156" s="124" t="str">
        <f t="shared" si="5"/>
        <v>(80, 90]</v>
      </c>
      <c r="J156" s="160">
        <v>1</v>
      </c>
      <c r="K156" s="234">
        <v>0.82043199999999994</v>
      </c>
      <c r="L156" s="188">
        <v>1.9631378939199999E-3</v>
      </c>
      <c r="M156" s="233">
        <v>1963137</v>
      </c>
      <c r="N156" s="195">
        <v>1.5127635079217234E-2</v>
      </c>
      <c r="O156" s="211">
        <v>0.16613672609588293</v>
      </c>
      <c r="P156" s="1">
        <v>9.4684879626955196E-2</v>
      </c>
      <c r="Q156" s="1">
        <v>4.443112918439255E-2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/>
      <c r="I157" s="124" t="str">
        <f t="shared" si="5"/>
        <v>(90, 100]</v>
      </c>
      <c r="J157" s="160">
        <v>1</v>
      </c>
      <c r="K157" s="234">
        <v>3.5776733258959283E-2</v>
      </c>
      <c r="L157" s="188">
        <v>2.9575838297049941E-4</v>
      </c>
      <c r="M157" s="233">
        <v>295758</v>
      </c>
      <c r="N157" s="195">
        <v>2.2790661557288822E-3</v>
      </c>
      <c r="O157" s="211">
        <v>2.8234942949226124E-2</v>
      </c>
      <c r="P157" s="1">
        <v>4.600870921313107E-2</v>
      </c>
      <c r="Q157" s="1">
        <v>8.4510532445233738E-2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/>
      <c r="I158" s="124" t="str">
        <f t="shared" si="5"/>
        <v>(100, 120]</v>
      </c>
      <c r="J158" s="160">
        <v>1</v>
      </c>
      <c r="K158" s="234">
        <v>1.2255236196591255E-2</v>
      </c>
      <c r="L158" s="188">
        <v>8.1232975262571369E-5</v>
      </c>
      <c r="M158" s="233">
        <v>81232</v>
      </c>
      <c r="N158" s="195">
        <v>6.2596143455855317E-4</v>
      </c>
      <c r="O158" s="211">
        <v>9.1396293642635167E-3</v>
      </c>
      <c r="P158" s="1">
        <v>2.9398656553358687E-2</v>
      </c>
      <c r="Q158" s="1">
        <v>3.1288690627866968E-2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/>
      <c r="I159" s="124" t="str">
        <f t="shared" si="5"/>
        <v>(120, 140]</v>
      </c>
      <c r="J159" s="160">
        <v>1</v>
      </c>
      <c r="K159" s="234">
        <v>4.8110869776254823E-3</v>
      </c>
      <c r="L159" s="188">
        <v>1.1532560372326491E-5</v>
      </c>
      <c r="M159" s="233">
        <v>11532</v>
      </c>
      <c r="N159" s="195">
        <v>8.88638376911714E-5</v>
      </c>
      <c r="O159" s="211">
        <v>1.4710472491704326E-3</v>
      </c>
      <c r="P159" s="1">
        <v>1.8608884806491088E-2</v>
      </c>
      <c r="Q159" s="1">
        <v>1.0995335673449768E-2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/>
      <c r="I160" s="124" t="str">
        <f t="shared" si="5"/>
        <v>(140, 160]</v>
      </c>
      <c r="J160" s="160">
        <v>1</v>
      </c>
      <c r="K160" s="234">
        <v>2.594691628232925E-3</v>
      </c>
      <c r="L160" s="188">
        <v>2.0282237413403695E-5</v>
      </c>
      <c r="M160" s="233">
        <v>20282</v>
      </c>
      <c r="N160" s="195">
        <v>1.5629000659489578E-4</v>
      </c>
      <c r="O160" s="211">
        <v>3.0223895284863969E-3</v>
      </c>
      <c r="P160" s="1">
        <v>1.8471699919154472E-2</v>
      </c>
      <c r="Q160" s="1">
        <v>7.8509654521630948E-3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/>
      <c r="I161" s="124" t="str">
        <f t="shared" si="5"/>
        <v>(160, 180]</v>
      </c>
      <c r="J161" s="160">
        <v>1</v>
      </c>
      <c r="K161" s="234">
        <v>0.30766199999999994</v>
      </c>
      <c r="L161" s="188">
        <v>6.7507196039999983E-4</v>
      </c>
      <c r="M161" s="233">
        <v>675071</v>
      </c>
      <c r="N161" s="195">
        <v>5.2019944306292715E-3</v>
      </c>
      <c r="O161" s="211">
        <v>0.11360566279496317</v>
      </c>
      <c r="P161" s="1">
        <v>1.6049580086243586E-2</v>
      </c>
      <c r="Q161" s="1">
        <v>9.1354816737939278E-3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/>
      <c r="I162" s="124" t="str">
        <f t="shared" si="5"/>
        <v>(180, 200]</v>
      </c>
      <c r="J162" s="160">
        <v>1</v>
      </c>
      <c r="K162" s="234">
        <v>1.3683585087472313E-3</v>
      </c>
      <c r="L162" s="188">
        <v>1.0763289092444323E-5</v>
      </c>
      <c r="M162" s="233">
        <v>10763</v>
      </c>
      <c r="N162" s="195">
        <v>8.2938040675518358E-5</v>
      </c>
      <c r="O162" s="211">
        <v>2.0613226896798011E-3</v>
      </c>
      <c r="P162" s="1">
        <v>5.5217225332762328E-3</v>
      </c>
      <c r="Q162" s="1">
        <v>4.455876269238059E-3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/>
      <c r="I163" s="124" t="str">
        <f t="shared" si="5"/>
        <v>(200, 250]</v>
      </c>
      <c r="J163" s="160">
        <v>1</v>
      </c>
      <c r="K163" s="234">
        <v>6.5252740839542628E-4</v>
      </c>
      <c r="L163" s="188">
        <v>4.1650302455953348E-6</v>
      </c>
      <c r="M163" s="233">
        <v>4165</v>
      </c>
      <c r="N163" s="195">
        <v>3.209485639817281E-5</v>
      </c>
      <c r="O163" s="211">
        <v>9.3762733773680891E-4</v>
      </c>
      <c r="P163" s="1">
        <v>9.3794032609906194E-3</v>
      </c>
      <c r="Q163" s="1">
        <v>2.4488045409480105E-3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/>
      <c r="I164" s="124" t="str">
        <f t="shared" si="5"/>
        <v>(250, 300]</v>
      </c>
      <c r="J164" s="160">
        <v>1</v>
      </c>
      <c r="K164" s="234">
        <v>4.614929999999999E-2</v>
      </c>
      <c r="L164" s="188">
        <v>2.891258259929999E-4</v>
      </c>
      <c r="M164" s="233">
        <v>289125</v>
      </c>
      <c r="N164" s="195">
        <v>2.2279532667759216E-3</v>
      </c>
      <c r="O164" s="211">
        <v>7.9977352207907429E-2</v>
      </c>
      <c r="P164" s="1">
        <v>3.7473192248586116E-3</v>
      </c>
      <c r="Q164" s="1">
        <v>4.1525741882351784E-4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/>
      <c r="I165" s="124" t="str">
        <f t="shared" si="5"/>
        <v>(300, 350]</v>
      </c>
      <c r="J165" s="160">
        <v>1</v>
      </c>
      <c r="K165" s="234">
        <v>2.3800988120490255E-2</v>
      </c>
      <c r="L165" s="188">
        <v>8.6699145396866237E-5</v>
      </c>
      <c r="M165" s="233">
        <v>86699</v>
      </c>
      <c r="N165" s="195">
        <v>6.6808930488960008E-4</v>
      </c>
      <c r="O165" s="211">
        <v>2.7241950912478531E-2</v>
      </c>
      <c r="P165" s="1">
        <v>6.4403287759864187E-4</v>
      </c>
      <c r="Q165" s="1">
        <v>3.0108697770128923E-4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1.9362773262911225E-4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/>
      <c r="I167" s="124" t="str">
        <f t="shared" si="5"/>
        <v>(400, 450]</v>
      </c>
      <c r="J167" s="160">
        <v>1</v>
      </c>
      <c r="K167" s="234">
        <v>4.614929999999999E-2</v>
      </c>
      <c r="L167" s="188">
        <v>1.1260890692999999E-4</v>
      </c>
      <c r="M167" s="233">
        <v>112608</v>
      </c>
      <c r="N167" s="195">
        <v>8.6774011747549676E-4</v>
      </c>
      <c r="O167" s="211">
        <v>4.6783903848055322E-2</v>
      </c>
      <c r="P167" s="1">
        <v>2.4048186978552566E-3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3.3190258206967503E-3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2.5970281246167196E-3</v>
      </c>
      <c r="Q169" s="1">
        <v>1.0808097918266798E-4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1.4377071906373007E-3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/>
      <c r="I175" s="124" t="str">
        <f t="shared" si="5"/>
        <v>(800, 850]</v>
      </c>
      <c r="J175" s="160">
        <v>1</v>
      </c>
      <c r="K175" s="234">
        <v>3.5893899999999999E-2</v>
      </c>
      <c r="L175" s="188">
        <v>3.8667421652999999E-5</v>
      </c>
      <c r="M175" s="233">
        <v>38667</v>
      </c>
      <c r="N175" s="195">
        <v>2.9796201977146412E-4</v>
      </c>
      <c r="O175" s="211">
        <v>3.0834349730889547E-2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5.1271683894859307E-5</v>
      </c>
      <c r="Q179" s="1">
        <v>9.1288020939710765E-5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/>
      <c r="I180" s="124" t="str">
        <f t="shared" si="5"/>
        <v>(2000, 3000]</v>
      </c>
      <c r="J180" s="160">
        <v>1</v>
      </c>
      <c r="K180" s="234">
        <v>1.53831E-3</v>
      </c>
      <c r="L180" s="188">
        <v>1.3048914555299999E-5</v>
      </c>
      <c r="M180" s="233">
        <v>13048</v>
      </c>
      <c r="N180" s="195">
        <v>1.0054590306923382E-4</v>
      </c>
      <c r="O180" s="211">
        <v>3.1555295203105405E-2</v>
      </c>
      <c r="P180" s="1">
        <v>5.3285343579060638E-5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/>
      <c r="I182" s="124" t="str">
        <f t="shared" si="5"/>
        <v>(4000, 5000]</v>
      </c>
      <c r="J182" s="160">
        <v>1</v>
      </c>
      <c r="K182" s="234">
        <v>3.07662E-3</v>
      </c>
      <c r="L182" s="188">
        <v>8.1950696291999992E-6</v>
      </c>
      <c r="M182" s="233">
        <v>8195</v>
      </c>
      <c r="N182" s="195">
        <v>6.3149423333259589E-5</v>
      </c>
      <c r="O182" s="211">
        <v>3.5587334573594524E-2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/>
      <c r="I186" s="124" t="str">
        <f t="shared" si="5"/>
        <v>(8000, 9000]</v>
      </c>
      <c r="J186" s="160">
        <v>1</v>
      </c>
      <c r="K186" s="234">
        <v>8.0515145399999988E-3</v>
      </c>
      <c r="L186" s="188">
        <v>4.6632761912771996E-6</v>
      </c>
      <c r="M186" s="233">
        <v>4663</v>
      </c>
      <c r="N186" s="195">
        <v>3.593236863977907E-5</v>
      </c>
      <c r="O186" s="211">
        <v>3.8143123936880297E-2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/>
      <c r="I188" s="124" t="str">
        <f t="shared" si="5"/>
        <v>(10000, 20000]</v>
      </c>
      <c r="J188" s="160">
        <v>1</v>
      </c>
      <c r="K188" s="234">
        <v>5.1276999999999996E-4</v>
      </c>
      <c r="L188" s="188">
        <v>7.944191778999999E-7</v>
      </c>
      <c r="M188" s="233">
        <v>794</v>
      </c>
      <c r="N188" s="195">
        <v>6.1184432125208196E-6</v>
      </c>
      <c r="O188" s="211">
        <v>1.0282944122559279E-2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/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27830.060690542567</v>
      </c>
      <c r="O192" s="10">
        <f>SUM(O175:O185)</f>
        <v>9.7976979507589476E-2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15835.45735204393</v>
      </c>
      <c r="O194" s="220" cm="1">
        <f t="array" ref="O194:O195">N196/N194:N195</f>
        <v>221.02298166640855</v>
      </c>
    </row>
    <row r="195" spans="1:20" ht="16.8" thickBot="1">
      <c r="M195" s="124" t="s">
        <v>179</v>
      </c>
      <c r="N195" s="218">
        <f>1/SUM(N192)</f>
        <v>3.593236863977907E-5</v>
      </c>
      <c r="O195" s="220">
        <v>97405212416.898987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0.92499996874836776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501759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5.0175900000000002E-2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6073</v>
      </c>
      <c r="D200" s="30">
        <v>4858.400000000016</v>
      </c>
      <c r="E200" s="187">
        <f t="shared" ref="E200:E256" si="6">IFERROR((D200/$E$196)/(C200),0)</f>
        <v>3.2000000000000101E-3</v>
      </c>
      <c r="F200" s="188">
        <v>6.0729999999999996E-4</v>
      </c>
      <c r="G200" s="189">
        <v>1.943360000000006E-6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29034</v>
      </c>
      <c r="D201" s="30">
        <v>50484.800000000127</v>
      </c>
      <c r="E201" s="187">
        <f t="shared" si="6"/>
        <v>6.9552662395811985E-3</v>
      </c>
      <c r="F201" s="188">
        <v>2.9034E-3</v>
      </c>
      <c r="G201" s="189">
        <v>2.0193920000000052E-5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13311</v>
      </c>
      <c r="D202" s="30">
        <v>37461.400000000074</v>
      </c>
      <c r="E202" s="187">
        <f t="shared" si="6"/>
        <v>1.1257275937194824E-2</v>
      </c>
      <c r="F202" s="188">
        <v>1.3311E-3</v>
      </c>
      <c r="G202" s="189">
        <v>1.498456000000003E-5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33987</v>
      </c>
      <c r="D203" s="30">
        <v>128912.39999999927</v>
      </c>
      <c r="E203" s="187">
        <f t="shared" si="6"/>
        <v>1.5171965751610825E-2</v>
      </c>
      <c r="F203" s="188">
        <v>3.3987000000000002E-3</v>
      </c>
      <c r="G203" s="189">
        <v>5.1564959999999711E-5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31061</v>
      </c>
      <c r="D204" s="30">
        <v>151514.20000000196</v>
      </c>
      <c r="E204" s="187">
        <f t="shared" si="6"/>
        <v>1.9511825118315822E-2</v>
      </c>
      <c r="F204" s="188">
        <v>3.1061000000000001E-3</v>
      </c>
      <c r="G204" s="189">
        <v>6.0605680000000779E-5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34876</v>
      </c>
      <c r="D205" s="30">
        <v>208078.40000000017</v>
      </c>
      <c r="E205" s="187">
        <f t="shared" si="6"/>
        <v>2.3864938639752285E-2</v>
      </c>
      <c r="F205" s="188">
        <v>3.4876E-3</v>
      </c>
      <c r="G205" s="189">
        <v>8.3231360000000069E-5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5576</v>
      </c>
      <c r="D206" s="30">
        <v>36672.600000000006</v>
      </c>
      <c r="E206" s="187">
        <f t="shared" si="6"/>
        <v>2.630746054519369E-2</v>
      </c>
      <c r="F206" s="188">
        <v>5.576E-4</v>
      </c>
      <c r="G206" s="189">
        <v>1.4669040000000002E-5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53703</v>
      </c>
      <c r="D207" s="30">
        <v>420343.60000000335</v>
      </c>
      <c r="E207" s="187">
        <f t="shared" si="6"/>
        <v>3.1308761149284277E-2</v>
      </c>
      <c r="F207" s="188">
        <v>5.3702999999999997E-3</v>
      </c>
      <c r="G207" s="189">
        <v>1.6813744000000134E-4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15547</v>
      </c>
      <c r="D208" s="30">
        <v>137947.20000000013</v>
      </c>
      <c r="E208" s="187">
        <f t="shared" si="6"/>
        <v>3.5491657554512154E-2</v>
      </c>
      <c r="F208" s="188">
        <v>1.5547E-3</v>
      </c>
      <c r="G208" s="189">
        <v>5.5178880000000047E-5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46692</v>
      </c>
      <c r="D209" s="30">
        <v>462479.60000000056</v>
      </c>
      <c r="E209" s="187">
        <f t="shared" si="6"/>
        <v>3.9619600788143632E-2</v>
      </c>
      <c r="F209" s="188">
        <v>4.6692000000000001E-3</v>
      </c>
      <c r="G209" s="189">
        <v>1.8499184000000024E-4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110777</v>
      </c>
      <c r="D210" s="30">
        <v>1455932.6000000041</v>
      </c>
      <c r="E210" s="187">
        <f t="shared" si="6"/>
        <v>5.257165657131007E-2</v>
      </c>
      <c r="F210" s="188">
        <v>1.1077699999999999E-2</v>
      </c>
      <c r="G210" s="189">
        <v>5.8237304000000154E-4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135009</v>
      </c>
      <c r="D211" s="30">
        <v>2469620.3999999966</v>
      </c>
      <c r="E211" s="187">
        <f t="shared" si="6"/>
        <v>7.3169059840454978E-2</v>
      </c>
      <c r="F211" s="188">
        <v>1.35009E-2</v>
      </c>
      <c r="G211" s="189">
        <v>9.8784815999999865E-4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94585</v>
      </c>
      <c r="D212" s="30">
        <v>2211427.1999999997</v>
      </c>
      <c r="E212" s="187">
        <f t="shared" si="6"/>
        <v>9.3521264471110629E-2</v>
      </c>
      <c r="F212" s="188">
        <v>9.4584999999999999E-3</v>
      </c>
      <c r="G212" s="189">
        <v>8.8457087999999984E-4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6.3253889366107421</v>
      </c>
      <c r="S212" s="182"/>
    </row>
    <row r="213" spans="1:24" ht="15.6">
      <c r="A213" s="257">
        <v>25</v>
      </c>
      <c r="B213" s="258">
        <v>30</v>
      </c>
      <c r="C213" s="160">
        <v>94792</v>
      </c>
      <c r="D213" s="30">
        <v>2714247.1999999932</v>
      </c>
      <c r="E213" s="187">
        <f t="shared" si="6"/>
        <v>0.11453486370157792</v>
      </c>
      <c r="F213" s="188">
        <v>9.4792000000000001E-3</v>
      </c>
      <c r="G213" s="189">
        <v>1.0856988799999975E-3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6.0909696992873261</v>
      </c>
      <c r="S213" s="182"/>
    </row>
    <row r="214" spans="1:24" ht="15.6">
      <c r="A214" s="257">
        <v>30</v>
      </c>
      <c r="B214" s="258">
        <v>35</v>
      </c>
      <c r="C214" s="160">
        <v>72045</v>
      </c>
      <c r="D214" s="30">
        <v>2356572.1999999946</v>
      </c>
      <c r="E214" s="187">
        <f t="shared" si="6"/>
        <v>0.13083890346311303</v>
      </c>
      <c r="F214" s="188">
        <v>7.2045E-3</v>
      </c>
      <c r="G214" s="189">
        <v>9.4262887999999783E-4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5.5091739405958267</v>
      </c>
    </row>
    <row r="215" spans="1:24" ht="15.6">
      <c r="A215" s="257">
        <v>35</v>
      </c>
      <c r="B215" s="258">
        <v>40</v>
      </c>
      <c r="C215" s="160">
        <v>116536</v>
      </c>
      <c r="D215" s="30">
        <v>4485047.200000002</v>
      </c>
      <c r="E215" s="187">
        <f t="shared" si="6"/>
        <v>0.15394546577881518</v>
      </c>
      <c r="F215" s="188">
        <v>1.16536E-2</v>
      </c>
      <c r="G215" s="189">
        <v>1.7940188800000007E-3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12.509929780168811</v>
      </c>
    </row>
    <row r="216" spans="1:24" ht="15.6">
      <c r="A216" s="257">
        <v>40</v>
      </c>
      <c r="B216" s="258">
        <v>45</v>
      </c>
      <c r="C216" s="160">
        <v>67303</v>
      </c>
      <c r="D216" s="30">
        <v>2924173.3999999976</v>
      </c>
      <c r="E216" s="187">
        <f t="shared" si="6"/>
        <v>0.17379156352614281</v>
      </c>
      <c r="F216" s="188">
        <v>6.7302999999999998E-3</v>
      </c>
      <c r="G216" s="189">
        <v>1.1696693599999989E-3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7.2883109943843571</v>
      </c>
    </row>
    <row r="217" spans="1:24" ht="15.6">
      <c r="A217" s="257">
        <v>45</v>
      </c>
      <c r="B217" s="258">
        <v>50</v>
      </c>
      <c r="C217" s="160">
        <v>88534</v>
      </c>
      <c r="D217" s="30">
        <v>4272093.2000000076</v>
      </c>
      <c r="E217" s="187">
        <f t="shared" si="6"/>
        <v>0.19301480561140386</v>
      </c>
      <c r="F217" s="188">
        <v>8.8534000000000009E-3</v>
      </c>
      <c r="G217" s="189">
        <v>1.7088372800000032E-3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11.015732173297767</v>
      </c>
    </row>
    <row r="218" spans="1:24" ht="15.6">
      <c r="A218" s="257">
        <v>50</v>
      </c>
      <c r="B218" s="258">
        <v>60</v>
      </c>
      <c r="C218" s="160">
        <v>154517</v>
      </c>
      <c r="D218" s="30">
        <v>8764579.0000000224</v>
      </c>
      <c r="E218" s="187">
        <f t="shared" si="6"/>
        <v>0.22688970145679818</v>
      </c>
      <c r="F218" s="188">
        <v>1.5451700000000001E-2</v>
      </c>
      <c r="G218" s="189">
        <v>3.5058316000000085E-3</v>
      </c>
      <c r="H218" s="232"/>
      <c r="I218" s="274" t="str">
        <f t="shared" si="7"/>
        <v>(50, 60]</v>
      </c>
      <c r="J218" s="160">
        <v>1</v>
      </c>
      <c r="K218" s="234">
        <v>5.7577527715397014</v>
      </c>
      <c r="L218" s="188">
        <v>8.896706850000001E-2</v>
      </c>
      <c r="M218" s="233">
        <v>88967068</v>
      </c>
      <c r="N218" s="195">
        <v>8.8967067999999996E-2</v>
      </c>
      <c r="O218" s="211">
        <v>2.0185711498006662E-2</v>
      </c>
      <c r="Q218" s="1">
        <v>0.11195442178961326</v>
      </c>
      <c r="R218" s="1">
        <v>7.2454436592487079</v>
      </c>
    </row>
    <row r="219" spans="1:24" ht="15.6">
      <c r="A219" s="257">
        <v>60</v>
      </c>
      <c r="B219" s="258">
        <v>70</v>
      </c>
      <c r="C219" s="160">
        <v>116670</v>
      </c>
      <c r="D219" s="30">
        <v>7668981.0000000112</v>
      </c>
      <c r="E219" s="187">
        <f t="shared" si="6"/>
        <v>0.26292897917202407</v>
      </c>
      <c r="F219" s="188">
        <v>1.1667E-2</v>
      </c>
      <c r="G219" s="189">
        <v>3.067592400000005E-3</v>
      </c>
      <c r="H219" s="232"/>
      <c r="I219" s="274" t="str">
        <f t="shared" si="7"/>
        <v>(60, 70]</v>
      </c>
      <c r="J219" s="160">
        <v>1</v>
      </c>
      <c r="K219" s="234">
        <v>5.9932633496185828</v>
      </c>
      <c r="L219" s="188">
        <v>6.9923403500000009E-2</v>
      </c>
      <c r="M219" s="233">
        <v>69923403</v>
      </c>
      <c r="N219" s="195">
        <v>6.9923402999999995E-2</v>
      </c>
      <c r="O219" s="211">
        <v>1.8384888971024044E-2</v>
      </c>
      <c r="Q219" s="1">
        <v>4.2150854631160924E-2</v>
      </c>
      <c r="R219" s="1">
        <v>3.6128271733231272</v>
      </c>
    </row>
    <row r="220" spans="1:24" ht="15.6">
      <c r="A220" s="257">
        <v>70</v>
      </c>
      <c r="B220" s="258">
        <v>80</v>
      </c>
      <c r="C220" s="160">
        <v>150056</v>
      </c>
      <c r="D220" s="30">
        <v>11445502.200000033</v>
      </c>
      <c r="E220" s="187">
        <f t="shared" si="6"/>
        <v>0.30509948819107624</v>
      </c>
      <c r="F220" s="188">
        <v>1.5005599999999999E-2</v>
      </c>
      <c r="G220" s="189">
        <v>4.5782008800000131E-3</v>
      </c>
      <c r="H220" s="232"/>
      <c r="I220" s="274" t="str">
        <f t="shared" si="7"/>
        <v>(70, 80]</v>
      </c>
      <c r="J220" s="160">
        <v>1</v>
      </c>
      <c r="K220" s="234">
        <v>4.0227397438289705</v>
      </c>
      <c r="L220" s="188">
        <v>6.0363623499999998E-2</v>
      </c>
      <c r="M220" s="233">
        <v>60363623</v>
      </c>
      <c r="N220" s="195">
        <v>6.0363622999999998E-2</v>
      </c>
      <c r="O220" s="211">
        <v>1.8416910482659078E-2</v>
      </c>
      <c r="Q220" s="1">
        <v>3.6385840192037056E-2</v>
      </c>
      <c r="R220" s="1">
        <v>2.4248174143011316</v>
      </c>
    </row>
    <row r="221" spans="1:24" thickBot="1">
      <c r="A221" s="257">
        <v>80</v>
      </c>
      <c r="B221" s="258">
        <v>90</v>
      </c>
      <c r="C221" s="160">
        <v>113549</v>
      </c>
      <c r="D221" s="30">
        <v>9781511.3999999985</v>
      </c>
      <c r="E221" s="187">
        <f t="shared" si="6"/>
        <v>0.34457410985565701</v>
      </c>
      <c r="F221" s="188">
        <v>1.1354899999999999E-2</v>
      </c>
      <c r="G221" s="189">
        <v>3.9126045599999996E-3</v>
      </c>
      <c r="H221" s="232"/>
      <c r="I221" s="274" t="str">
        <f t="shared" si="7"/>
        <v>(80, 90]</v>
      </c>
      <c r="J221" s="160">
        <v>1</v>
      </c>
      <c r="K221" s="276">
        <v>6.4483773084747558</v>
      </c>
      <c r="L221" s="188">
        <v>7.3220679499999997E-2</v>
      </c>
      <c r="M221" s="233">
        <v>73220679</v>
      </c>
      <c r="N221" s="195">
        <v>7.3220678999999997E-2</v>
      </c>
      <c r="O221" s="211">
        <v>2.5229950289451797E-2</v>
      </c>
      <c r="Q221" s="1">
        <v>4.4133565457011449E-2</v>
      </c>
      <c r="R221" s="1">
        <v>3.8867418873800257</v>
      </c>
    </row>
    <row r="222" spans="1:24" ht="16.8" thickBot="1">
      <c r="A222" s="257">
        <v>90</v>
      </c>
      <c r="B222" s="258">
        <v>100</v>
      </c>
      <c r="C222" s="160">
        <v>126038</v>
      </c>
      <c r="D222" s="30">
        <v>12143660.200000027</v>
      </c>
      <c r="E222" s="187">
        <f t="shared" si="6"/>
        <v>0.38539679144385114</v>
      </c>
      <c r="F222" s="188">
        <v>1.26038E-2</v>
      </c>
      <c r="G222" s="189">
        <v>4.8574640800000107E-3</v>
      </c>
      <c r="H222" s="232"/>
      <c r="I222" s="274" t="str">
        <f t="shared" si="7"/>
        <v>(90, 100]</v>
      </c>
      <c r="J222" s="160">
        <v>1</v>
      </c>
      <c r="K222" s="276">
        <v>10.733138220219299</v>
      </c>
      <c r="L222" s="188">
        <v>0.13527832749999999</v>
      </c>
      <c r="M222" s="233">
        <v>135278327</v>
      </c>
      <c r="N222" s="195">
        <v>0.135278327</v>
      </c>
      <c r="O222" s="211">
        <v>5.2135833177692097E-2</v>
      </c>
      <c r="Q222" s="1">
        <v>8.1534868779438843E-2</v>
      </c>
      <c r="R222" s="1">
        <v>6.469070342233203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221147</v>
      </c>
      <c r="D223" s="30">
        <v>24665311.399999999</v>
      </c>
      <c r="E223" s="187">
        <f t="shared" si="6"/>
        <v>0.4461342256508114</v>
      </c>
      <c r="F223" s="188">
        <v>2.2114700000000001E-2</v>
      </c>
      <c r="G223" s="189">
        <v>9.8661245599999999E-3</v>
      </c>
      <c r="H223" s="232"/>
      <c r="I223" s="274" t="str">
        <f t="shared" si="7"/>
        <v>(100, 120]</v>
      </c>
      <c r="J223" s="160">
        <v>1</v>
      </c>
      <c r="K223" s="276">
        <v>6.761101100173188</v>
      </c>
      <c r="L223" s="188">
        <v>0.14951972250000001</v>
      </c>
      <c r="M223" s="233">
        <v>149519722</v>
      </c>
      <c r="N223" s="195">
        <v>0.14951972199999999</v>
      </c>
      <c r="O223" s="211">
        <v>6.670586539399459E-2</v>
      </c>
      <c r="Q223" s="1">
        <v>9.0112979805137619E-2</v>
      </c>
      <c r="R223" s="1">
        <v>4.074800011084827</v>
      </c>
      <c r="U223" s="128" t="s">
        <v>270</v>
      </c>
      <c r="V223" s="185">
        <f>SUM(N199:N228)</f>
        <v>0.75525475099999995</v>
      </c>
      <c r="W223" s="296" cm="1">
        <f t="array" ref="W223:W228">1/V223:V228</f>
        <v>1.3240565500262573</v>
      </c>
      <c r="X223" s="302"/>
    </row>
    <row r="224" spans="1:24" ht="15.6">
      <c r="A224" s="257">
        <v>120</v>
      </c>
      <c r="B224" s="258">
        <v>140</v>
      </c>
      <c r="C224" s="160">
        <v>192713</v>
      </c>
      <c r="D224" s="30">
        <v>25253840.199999981</v>
      </c>
      <c r="E224" s="187">
        <f t="shared" si="6"/>
        <v>0.52417512466725091</v>
      </c>
      <c r="F224" s="188">
        <v>1.9271300000000002E-2</v>
      </c>
      <c r="G224" s="189">
        <v>1.0101536079999994E-2</v>
      </c>
      <c r="H224" s="232"/>
      <c r="I224" s="274" t="str">
        <f t="shared" si="7"/>
        <v>(120, 140]</v>
      </c>
      <c r="J224" s="160">
        <v>1</v>
      </c>
      <c r="K224" s="276">
        <v>4.0875195497968484</v>
      </c>
      <c r="L224" s="188">
        <v>7.8771815500000009E-2</v>
      </c>
      <c r="M224" s="233">
        <v>78771815</v>
      </c>
      <c r="N224" s="195">
        <v>7.8771814999999995E-2</v>
      </c>
      <c r="O224" s="211">
        <v>4.129022594789062E-2</v>
      </c>
      <c r="Q224" s="1">
        <v>4.747126106777233E-2</v>
      </c>
      <c r="R224" s="272">
        <v>2.4633138951587243</v>
      </c>
      <c r="U224" s="124" t="s">
        <v>274</v>
      </c>
      <c r="V224" s="188">
        <f>SUM(N229:N256)</f>
        <v>0.244745249</v>
      </c>
      <c r="W224" s="297">
        <v>4.0858811522833687</v>
      </c>
      <c r="X224" s="303">
        <v>2500</v>
      </c>
    </row>
    <row r="225" spans="1:24" ht="15.6">
      <c r="A225" s="257">
        <v>140</v>
      </c>
      <c r="B225" s="258">
        <v>160</v>
      </c>
      <c r="C225" s="160">
        <v>195805</v>
      </c>
      <c r="D225" s="30">
        <v>29611176.40000001</v>
      </c>
      <c r="E225" s="187">
        <f t="shared" si="6"/>
        <v>0.60491154771328637</v>
      </c>
      <c r="F225" s="188">
        <v>1.9580500000000001E-2</v>
      </c>
      <c r="G225" s="189">
        <v>1.1844470560000004E-2</v>
      </c>
      <c r="H225" s="232"/>
      <c r="I225" s="124" t="str">
        <f t="shared" si="7"/>
        <v>(140, 160]</v>
      </c>
      <c r="J225" s="160">
        <v>1</v>
      </c>
      <c r="K225" s="276">
        <v>1.834933045632134</v>
      </c>
      <c r="L225" s="188">
        <v>3.5928906500000003E-2</v>
      </c>
      <c r="M225" s="233">
        <v>35928906</v>
      </c>
      <c r="N225" s="195">
        <v>3.5928905999999997E-2</v>
      </c>
      <c r="O225" s="211">
        <v>2.1733810136105178E-2</v>
      </c>
      <c r="Q225" s="1">
        <v>2.1651011757170088E-2</v>
      </c>
      <c r="R225" s="272">
        <v>1.1057435590087121</v>
      </c>
      <c r="U225" s="124" t="s">
        <v>271</v>
      </c>
      <c r="V225" s="188">
        <f>SUM(N234:N256)</f>
        <v>0.12479484100000002</v>
      </c>
      <c r="W225" s="297">
        <v>8.0131517616180936</v>
      </c>
      <c r="X225" s="303">
        <v>5000</v>
      </c>
    </row>
    <row r="226" spans="1:24" ht="15.6">
      <c r="A226" s="257">
        <v>160</v>
      </c>
      <c r="B226" s="258">
        <v>180</v>
      </c>
      <c r="C226" s="160">
        <v>176251</v>
      </c>
      <c r="D226" s="30">
        <v>30164247.199999951</v>
      </c>
      <c r="E226" s="187">
        <f t="shared" si="6"/>
        <v>0.68457477574595205</v>
      </c>
      <c r="F226" s="188">
        <v>1.7625100000000001E-2</v>
      </c>
      <c r="G226" s="189">
        <v>1.2065698879999981E-2</v>
      </c>
      <c r="H226" s="232"/>
      <c r="I226" s="124" t="str">
        <f t="shared" si="7"/>
        <v>(160, 180]</v>
      </c>
      <c r="J226" s="160">
        <v>1</v>
      </c>
      <c r="K226" s="276">
        <v>1.1624354188061343</v>
      </c>
      <c r="L226" s="188">
        <v>2.0488040499999999E-2</v>
      </c>
      <c r="M226" s="233">
        <v>20488040</v>
      </c>
      <c r="N226" s="195">
        <v>2.0488039999999999E-2</v>
      </c>
      <c r="O226" s="211">
        <v>1.4025595388474095E-2</v>
      </c>
      <c r="Q226" s="1">
        <v>1.2345605360363113E-2</v>
      </c>
      <c r="R226" s="272">
        <v>0.70045590438426519</v>
      </c>
      <c r="U226" s="124" t="s">
        <v>286</v>
      </c>
      <c r="V226" s="188">
        <f>SUM(N245:N256)</f>
        <v>5.4047610000000018E-3</v>
      </c>
      <c r="W226" s="297">
        <v>185.02205740457342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174835</v>
      </c>
      <c r="D227" s="30">
        <v>33504929.399999924</v>
      </c>
      <c r="E227" s="187">
        <f t="shared" si="6"/>
        <v>0.76654970457860083</v>
      </c>
      <c r="F227" s="188">
        <v>1.7483499999999999E-2</v>
      </c>
      <c r="G227" s="189">
        <v>1.3401971759999966E-2</v>
      </c>
      <c r="H227" s="232"/>
      <c r="I227" s="124" t="str">
        <f t="shared" si="7"/>
        <v>(180, 200]</v>
      </c>
      <c r="J227" s="160">
        <v>1</v>
      </c>
      <c r="K227" s="276">
        <v>1.7190726399176366</v>
      </c>
      <c r="L227" s="188">
        <v>3.0055406499999996E-2</v>
      </c>
      <c r="M227" s="233">
        <v>30055406</v>
      </c>
      <c r="N227" s="195">
        <v>3.0055406E-2</v>
      </c>
      <c r="O227" s="211">
        <v>2.3038962590289907E-2</v>
      </c>
      <c r="Q227" s="1">
        <v>1.8109825476012021E-2</v>
      </c>
      <c r="R227" s="272">
        <v>1.0358238039301069</v>
      </c>
      <c r="U227" s="124" t="s">
        <v>287</v>
      </c>
      <c r="V227" s="188">
        <f>SUM(N246:N256)</f>
        <v>3.8058470000000002E-3</v>
      </c>
      <c r="W227" s="297">
        <v>262.75359992138408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381655</v>
      </c>
      <c r="D228" s="30">
        <v>86108336.600000203</v>
      </c>
      <c r="E228" s="187">
        <f t="shared" si="6"/>
        <v>0.9024730355949766</v>
      </c>
      <c r="F228" s="188">
        <v>3.8165499999999998E-2</v>
      </c>
      <c r="G228" s="189">
        <v>3.444333464000008E-2</v>
      </c>
      <c r="H228" s="232"/>
      <c r="I228" s="124" t="str">
        <f t="shared" si="7"/>
        <v>(200, 250]</v>
      </c>
      <c r="J228" s="160">
        <v>1</v>
      </c>
      <c r="K228" s="276">
        <v>0.33375070416999647</v>
      </c>
      <c r="L228" s="188">
        <v>1.2737762499999999E-2</v>
      </c>
      <c r="M228" s="233">
        <v>12737762</v>
      </c>
      <c r="N228" s="195">
        <v>1.2737762E-2</v>
      </c>
      <c r="O228" s="211">
        <v>1.149548673882634E-2</v>
      </c>
      <c r="Q228" s="1">
        <v>7.674595432961279E-3</v>
      </c>
      <c r="R228" s="272">
        <v>0.20108724981884896</v>
      </c>
      <c r="U228" s="125" t="s">
        <v>272</v>
      </c>
      <c r="V228" s="191">
        <f>SUM(N253)</f>
        <v>2.0057399999999999E-4</v>
      </c>
      <c r="W228" s="298">
        <v>4985.6910666387466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344454</v>
      </c>
      <c r="D229" s="30">
        <v>94943165.800000101</v>
      </c>
      <c r="E229" s="187">
        <f t="shared" si="6"/>
        <v>1.1025352099264356</v>
      </c>
      <c r="F229" s="188">
        <v>3.4445400000000001E-2</v>
      </c>
      <c r="G229" s="189">
        <v>3.7977266320000043E-2</v>
      </c>
      <c r="H229" s="232"/>
      <c r="I229" s="275" t="str">
        <f t="shared" si="7"/>
        <v>(250, 300]</v>
      </c>
      <c r="J229" s="160">
        <v>1</v>
      </c>
      <c r="K229" s="276">
        <v>2.1452822873300934</v>
      </c>
      <c r="L229" s="188">
        <v>7.3895106500000002E-2</v>
      </c>
      <c r="M229" s="233">
        <v>73895106</v>
      </c>
      <c r="N229" s="195">
        <v>7.3895106000000002E-2</v>
      </c>
      <c r="O229" s="211">
        <v>8.1471956206246213E-2</v>
      </c>
      <c r="P229" s="1" cm="1">
        <f t="array" ref="P229:P256">2*K229:K256</f>
        <v>4.2905645746601868</v>
      </c>
      <c r="Q229" s="1">
        <v>1.1129664251999793E-2</v>
      </c>
      <c r="R229" s="272">
        <v>0.3231103210297977</v>
      </c>
    </row>
    <row r="230" spans="1:24" ht="15.6">
      <c r="A230" s="257">
        <v>300</v>
      </c>
      <c r="B230" s="258">
        <v>350</v>
      </c>
      <c r="C230" s="160">
        <v>302546</v>
      </c>
      <c r="D230" s="30">
        <v>98421177.40000014</v>
      </c>
      <c r="E230" s="187">
        <f t="shared" si="6"/>
        <v>1.3012391821408995</v>
      </c>
      <c r="F230" s="188">
        <v>3.02546E-2</v>
      </c>
      <c r="G230" s="189">
        <v>3.9368470960000054E-2</v>
      </c>
      <c r="H230" s="232"/>
      <c r="I230" s="124" t="str">
        <f t="shared" si="7"/>
        <v>(300, 350]</v>
      </c>
      <c r="J230" s="160">
        <v>1</v>
      </c>
      <c r="K230" s="276">
        <v>0.36704453207115612</v>
      </c>
      <c r="L230" s="188">
        <v>1.11047855E-2</v>
      </c>
      <c r="M230" s="233">
        <v>11104785</v>
      </c>
      <c r="N230" s="195">
        <v>1.1104785000000001E-2</v>
      </c>
      <c r="O230" s="211">
        <v>1.4449981351250529E-2</v>
      </c>
      <c r="P230" s="1">
        <v>0.73408906414231223</v>
      </c>
      <c r="Q230" s="1">
        <v>1.6724255706989108E-3</v>
      </c>
      <c r="R230" s="272">
        <v>5.5278389755571415E-2</v>
      </c>
    </row>
    <row r="231" spans="1:24" ht="15.6">
      <c r="A231" s="257">
        <v>350</v>
      </c>
      <c r="B231" s="258">
        <v>400</v>
      </c>
      <c r="C231" s="160">
        <v>284228</v>
      </c>
      <c r="D231" s="30">
        <v>106829473.2000002</v>
      </c>
      <c r="E231" s="187">
        <f t="shared" si="6"/>
        <v>1.5034334857930984</v>
      </c>
      <c r="F231" s="188">
        <v>2.8422800000000002E-2</v>
      </c>
      <c r="G231" s="189">
        <v>4.2731789280000078E-2</v>
      </c>
      <c r="H231" s="232"/>
      <c r="I231" s="124" t="str">
        <f t="shared" si="7"/>
        <v>(350, 400]</v>
      </c>
      <c r="J231" s="160">
        <v>1</v>
      </c>
      <c r="K231" s="276">
        <v>0.44749417720984563</v>
      </c>
      <c r="L231" s="188">
        <v>1.27190375E-2</v>
      </c>
      <c r="M231" s="233">
        <v>12719037</v>
      </c>
      <c r="N231" s="195">
        <v>1.2719037000000001E-2</v>
      </c>
      <c r="O231" s="211">
        <v>1.9122226132841393E-2</v>
      </c>
      <c r="P231" s="1">
        <v>0.89498835441969127</v>
      </c>
      <c r="Q231" s="1">
        <v>1.915424125577387E-3</v>
      </c>
      <c r="R231" s="272">
        <v>6.7390409304410079E-2</v>
      </c>
    </row>
    <row r="232" spans="1:24" ht="15.6">
      <c r="A232" s="257">
        <v>400</v>
      </c>
      <c r="B232" s="258">
        <v>450</v>
      </c>
      <c r="C232" s="160">
        <v>253923</v>
      </c>
      <c r="D232" s="30">
        <v>108056415.20000024</v>
      </c>
      <c r="E232" s="187">
        <f t="shared" si="6"/>
        <v>1.7021918487100458</v>
      </c>
      <c r="F232" s="188">
        <v>2.53923E-2</v>
      </c>
      <c r="G232" s="189">
        <v>4.3222566080000094E-2</v>
      </c>
      <c r="H232" s="232"/>
      <c r="I232" s="124" t="str">
        <f t="shared" si="7"/>
        <v>(400, 450]</v>
      </c>
      <c r="J232" s="160">
        <v>1</v>
      </c>
      <c r="K232" s="276">
        <v>0.39015928056930643</v>
      </c>
      <c r="L232" s="188">
        <v>9.9070414999999998E-3</v>
      </c>
      <c r="M232" s="233">
        <v>9907041</v>
      </c>
      <c r="N232" s="195">
        <v>9.9070410000000001E-3</v>
      </c>
      <c r="O232" s="211">
        <v>1.6863684435036223E-2</v>
      </c>
      <c r="P232" s="1">
        <v>0.78031856113861287</v>
      </c>
      <c r="Q232" s="1">
        <v>1.4918749622586027E-3</v>
      </c>
      <c r="R232" s="272">
        <v>5.8753045697262661E-2</v>
      </c>
    </row>
    <row r="233" spans="1:24" ht="15.6">
      <c r="A233" s="257">
        <v>450</v>
      </c>
      <c r="B233" s="258">
        <v>500</v>
      </c>
      <c r="C233" s="160">
        <v>238674</v>
      </c>
      <c r="D233" s="30">
        <v>113550948.80000031</v>
      </c>
      <c r="E233" s="187">
        <f t="shared" si="6"/>
        <v>1.903030054383809</v>
      </c>
      <c r="F233" s="188">
        <v>2.38674E-2</v>
      </c>
      <c r="G233" s="189">
        <v>4.5420379520000123E-2</v>
      </c>
      <c r="H233" s="232"/>
      <c r="I233" s="124" t="str">
        <f t="shared" si="7"/>
        <v>(450, 500]</v>
      </c>
      <c r="J233" s="160">
        <v>1</v>
      </c>
      <c r="K233" s="276">
        <v>0.51637126373211995</v>
      </c>
      <c r="L233" s="188">
        <v>1.2324439499999999E-2</v>
      </c>
      <c r="M233" s="233">
        <v>12324439</v>
      </c>
      <c r="N233" s="195">
        <v>1.2324439E-2</v>
      </c>
      <c r="O233" s="211">
        <v>2.3453777820419935E-2</v>
      </c>
      <c r="P233" s="1">
        <v>1.0327425274642399</v>
      </c>
      <c r="Q233" s="1">
        <v>1.8558185333071217E-3</v>
      </c>
      <c r="R233" s="272">
        <v>7.7755370643937824E-2</v>
      </c>
    </row>
    <row r="234" spans="1:24" ht="15.6">
      <c r="A234" s="257">
        <v>500</v>
      </c>
      <c r="B234" s="258">
        <v>550</v>
      </c>
      <c r="C234" s="160">
        <v>216949</v>
      </c>
      <c r="D234" s="30">
        <v>113959531.20000014</v>
      </c>
      <c r="E234" s="187">
        <f t="shared" si="6"/>
        <v>2.1011303338572684</v>
      </c>
      <c r="F234" s="188">
        <v>2.16949E-2</v>
      </c>
      <c r="G234" s="189">
        <v>4.5583812480000055E-2</v>
      </c>
      <c r="H234" s="232"/>
      <c r="I234" s="275" t="str">
        <f t="shared" si="7"/>
        <v>(500, 550]</v>
      </c>
      <c r="J234" s="160">
        <v>1</v>
      </c>
      <c r="K234" s="276">
        <v>1.6375903783838599</v>
      </c>
      <c r="L234" s="188">
        <v>3.5527359500000001E-2</v>
      </c>
      <c r="M234" s="233">
        <v>35527359</v>
      </c>
      <c r="N234" s="195">
        <v>3.5527359000000001E-2</v>
      </c>
      <c r="O234" s="211">
        <v>7.464761167673703E-2</v>
      </c>
      <c r="P234" s="1">
        <v>3.2751807567677198</v>
      </c>
      <c r="Q234" s="1">
        <v>5.3495038293716922E-3</v>
      </c>
      <c r="R234" s="272">
        <v>0.24657886551086625</v>
      </c>
    </row>
    <row r="235" spans="1:24" ht="15.6">
      <c r="A235" s="257">
        <v>550</v>
      </c>
      <c r="B235" s="258">
        <v>600</v>
      </c>
      <c r="C235" s="160">
        <v>207473</v>
      </c>
      <c r="D235" s="30">
        <v>119435615.60000031</v>
      </c>
      <c r="E235" s="187">
        <f t="shared" si="6"/>
        <v>2.3026729376834636</v>
      </c>
      <c r="F235" s="188">
        <v>2.07473E-2</v>
      </c>
      <c r="G235" s="189">
        <v>4.7774246240000123E-2</v>
      </c>
      <c r="H235" s="232"/>
      <c r="I235" s="124" t="str">
        <f t="shared" si="7"/>
        <v>(550, 600]</v>
      </c>
      <c r="J235" s="160">
        <v>1</v>
      </c>
      <c r="K235" s="276">
        <v>0.90182344208644016</v>
      </c>
      <c r="L235" s="188">
        <v>1.8710401500000001E-2</v>
      </c>
      <c r="M235" s="233">
        <v>18710401</v>
      </c>
      <c r="N235" s="195">
        <v>1.8710401000000002E-2</v>
      </c>
      <c r="O235" s="211">
        <v>4.3083934035905616E-2</v>
      </c>
      <c r="P235" s="1">
        <v>1.8036468841728803</v>
      </c>
      <c r="Q235" s="1">
        <v>2.8171970608689904E-3</v>
      </c>
      <c r="R235" s="272">
        <v>0.13578620161992117</v>
      </c>
    </row>
    <row r="236" spans="1:24" ht="15.6">
      <c r="A236" s="257">
        <v>600</v>
      </c>
      <c r="B236" s="258">
        <v>650</v>
      </c>
      <c r="C236" s="160">
        <v>188194</v>
      </c>
      <c r="D236" s="30">
        <v>117725640.80000024</v>
      </c>
      <c r="E236" s="187">
        <f t="shared" si="6"/>
        <v>2.5022187912473348</v>
      </c>
      <c r="F236" s="188">
        <v>1.88194E-2</v>
      </c>
      <c r="G236" s="189">
        <v>4.7090256320000093E-2</v>
      </c>
      <c r="H236" s="232"/>
      <c r="I236" s="124" t="str">
        <f t="shared" si="7"/>
        <v>(600, 650]</v>
      </c>
      <c r="J236" s="160">
        <v>1</v>
      </c>
      <c r="K236" s="276">
        <v>0.65678137985270524</v>
      </c>
      <c r="L236" s="188">
        <v>1.2360231500000001E-2</v>
      </c>
      <c r="M236" s="233">
        <v>12360231</v>
      </c>
      <c r="N236" s="195">
        <v>1.2360230999999999E-2</v>
      </c>
      <c r="O236" s="211">
        <v>3.0928002272357834E-2</v>
      </c>
      <c r="P236" s="1">
        <v>1.3135627597054105</v>
      </c>
      <c r="Q236" s="1">
        <v>1.8609975223638686E-3</v>
      </c>
      <c r="R236" s="272">
        <v>9.8887186752174283E-2</v>
      </c>
    </row>
    <row r="237" spans="1:24" ht="15.6">
      <c r="A237" s="257">
        <v>650</v>
      </c>
      <c r="B237" s="258">
        <v>700</v>
      </c>
      <c r="C237" s="160">
        <v>176907</v>
      </c>
      <c r="D237" s="30">
        <v>119480372.60000026</v>
      </c>
      <c r="E237" s="187">
        <f t="shared" si="6"/>
        <v>2.7015408683658704</v>
      </c>
      <c r="F237" s="188">
        <v>1.76907E-2</v>
      </c>
      <c r="G237" s="189">
        <v>4.7792149040000106E-2</v>
      </c>
      <c r="H237" s="232"/>
      <c r="I237" s="124" t="str">
        <f t="shared" si="7"/>
        <v>(650, 700]</v>
      </c>
      <c r="J237" s="160">
        <v>1</v>
      </c>
      <c r="K237" s="276">
        <v>0.32899311502653938</v>
      </c>
      <c r="L237" s="188">
        <v>5.8201185000000006E-3</v>
      </c>
      <c r="M237" s="233">
        <v>5820118</v>
      </c>
      <c r="N237" s="195">
        <v>5.820118E-3</v>
      </c>
      <c r="O237" s="211">
        <v>1.5723286635711833E-2</v>
      </c>
      <c r="P237" s="1">
        <v>0.65798623005307877</v>
      </c>
      <c r="Q237" s="1">
        <v>8.762685323830589E-4</v>
      </c>
      <c r="R237" s="272">
        <v>4.9532722412513858E-2</v>
      </c>
    </row>
    <row r="238" spans="1:24" ht="15.6">
      <c r="A238" s="257">
        <v>700</v>
      </c>
      <c r="B238" s="258">
        <v>750</v>
      </c>
      <c r="C238" s="160">
        <v>163988</v>
      </c>
      <c r="D238" s="30">
        <v>118933575.00000018</v>
      </c>
      <c r="E238" s="187">
        <f t="shared" si="6"/>
        <v>2.9010311730126634</v>
      </c>
      <c r="F238" s="188">
        <v>1.6398800000000002E-2</v>
      </c>
      <c r="G238" s="189">
        <v>4.7573430000000069E-2</v>
      </c>
      <c r="H238" s="232"/>
      <c r="I238" s="124" t="str">
        <f t="shared" si="7"/>
        <v>(700, 750]</v>
      </c>
      <c r="J238" s="160">
        <v>1</v>
      </c>
      <c r="K238" s="276">
        <v>0.30019413005829693</v>
      </c>
      <c r="L238" s="188">
        <v>4.9228235000000004E-3</v>
      </c>
      <c r="M238" s="233">
        <v>4922823</v>
      </c>
      <c r="N238" s="195">
        <v>4.9228229999999998E-3</v>
      </c>
      <c r="O238" s="211">
        <v>1.4281262982223718E-2</v>
      </c>
      <c r="P238" s="1">
        <v>0.60038826011659385</v>
      </c>
      <c r="Q238" s="1">
        <v>7.4115146154725073E-4</v>
      </c>
      <c r="R238" s="272">
        <v>4.5195469275023215E-2</v>
      </c>
    </row>
    <row r="239" spans="1:24" ht="15.6">
      <c r="A239" s="257">
        <v>750</v>
      </c>
      <c r="B239" s="258">
        <v>800</v>
      </c>
      <c r="C239" s="160">
        <v>158693</v>
      </c>
      <c r="D239" s="30">
        <v>123148332.60000023</v>
      </c>
      <c r="E239" s="187">
        <f t="shared" si="6"/>
        <v>3.1040646430529444</v>
      </c>
      <c r="F239" s="188">
        <v>1.5869299999999999E-2</v>
      </c>
      <c r="G239" s="189">
        <v>4.9259333040000089E-2</v>
      </c>
      <c r="H239" s="232"/>
      <c r="I239" s="124" t="str">
        <f t="shared" si="7"/>
        <v>(750, 800]</v>
      </c>
      <c r="J239" s="160">
        <v>1</v>
      </c>
      <c r="K239" s="276">
        <v>0.5102279558644679</v>
      </c>
      <c r="L239" s="188">
        <v>8.0969605E-3</v>
      </c>
      <c r="M239" s="233">
        <v>8096960</v>
      </c>
      <c r="N239" s="195">
        <v>8.0969600000000003E-3</v>
      </c>
      <c r="O239" s="211">
        <v>2.5133487252213968E-2</v>
      </c>
      <c r="P239" s="1">
        <v>1.0204559117289358</v>
      </c>
      <c r="Q239" s="1">
        <v>1.2189966059970045E-3</v>
      </c>
      <c r="R239" s="272">
        <v>7.6814768515120674E-2</v>
      </c>
    </row>
    <row r="240" spans="1:24" ht="15.6">
      <c r="A240" s="257">
        <v>800</v>
      </c>
      <c r="B240" s="258">
        <v>850</v>
      </c>
      <c r="C240" s="160">
        <v>144803</v>
      </c>
      <c r="D240" s="30">
        <v>119520724.4000002</v>
      </c>
      <c r="E240" s="187">
        <f t="shared" si="6"/>
        <v>3.301609066110514</v>
      </c>
      <c r="F240" s="188">
        <v>1.44803E-2</v>
      </c>
      <c r="G240" s="189">
        <v>4.7808289760000074E-2</v>
      </c>
      <c r="H240" s="232"/>
      <c r="I240" s="124" t="str">
        <f t="shared" si="7"/>
        <v>(800, 850]</v>
      </c>
      <c r="J240" s="160">
        <v>1</v>
      </c>
      <c r="K240" s="276">
        <v>0.31371874201501349</v>
      </c>
      <c r="L240" s="188">
        <v>4.5427415000000001E-3</v>
      </c>
      <c r="M240" s="233">
        <v>4542741</v>
      </c>
      <c r="N240" s="195">
        <v>4.5427410000000003E-3</v>
      </c>
      <c r="O240" s="211">
        <v>1.4998354870591944E-2</v>
      </c>
      <c r="P240" s="1">
        <v>0.62743748403002697</v>
      </c>
      <c r="Q240" s="1">
        <v>6.8389177127303735E-4</v>
      </c>
      <c r="R240" s="272">
        <v>4.7229116197387996E-2</v>
      </c>
    </row>
    <row r="241" spans="1:19" ht="15.6">
      <c r="A241" s="257">
        <v>850</v>
      </c>
      <c r="B241" s="258">
        <v>900</v>
      </c>
      <c r="C241" s="160">
        <v>139419</v>
      </c>
      <c r="D241" s="30">
        <v>122048896.20000017</v>
      </c>
      <c r="E241" s="187">
        <f t="shared" si="6"/>
        <v>3.5016431390269664</v>
      </c>
      <c r="F241" s="188">
        <v>1.39419E-2</v>
      </c>
      <c r="G241" s="189">
        <v>4.8819558480000066E-2</v>
      </c>
      <c r="H241" s="232"/>
      <c r="I241" s="124" t="str">
        <f t="shared" si="7"/>
        <v>(850, 900]</v>
      </c>
      <c r="J241" s="160">
        <v>1</v>
      </c>
      <c r="K241" s="276">
        <v>0.31670686922155517</v>
      </c>
      <c r="L241" s="188">
        <v>4.4154954999999999E-3</v>
      </c>
      <c r="M241" s="233">
        <v>4415495</v>
      </c>
      <c r="N241" s="195">
        <v>4.4154950000000002E-3</v>
      </c>
      <c r="O241" s="211">
        <v>1.5461487772157875E-2</v>
      </c>
      <c r="P241" s="1">
        <v>0.63341373844311033</v>
      </c>
      <c r="Q241" s="1">
        <v>6.6471945033239174E-4</v>
      </c>
      <c r="R241" s="272">
        <v>4.7677823706409578E-2</v>
      </c>
    </row>
    <row r="242" spans="1:19" ht="15.6">
      <c r="A242" s="257">
        <v>900</v>
      </c>
      <c r="B242" s="258">
        <v>950</v>
      </c>
      <c r="C242" s="160">
        <v>129593</v>
      </c>
      <c r="D242" s="30">
        <v>119918033.80000013</v>
      </c>
      <c r="E242" s="187">
        <f t="shared" si="6"/>
        <v>3.7013738025973666</v>
      </c>
      <c r="F242" s="188">
        <v>1.29593E-2</v>
      </c>
      <c r="G242" s="189">
        <v>4.7967213520000052E-2</v>
      </c>
      <c r="H242" s="232"/>
      <c r="I242" s="124" t="str">
        <f t="shared" si="7"/>
        <v>(900, 950]</v>
      </c>
      <c r="J242" s="160">
        <v>1</v>
      </c>
      <c r="K242" s="276">
        <v>0.26183146466244317</v>
      </c>
      <c r="L242" s="188">
        <v>3.3931524999999997E-3</v>
      </c>
      <c r="M242" s="233">
        <v>3393152</v>
      </c>
      <c r="N242" s="195">
        <v>3.393152E-3</v>
      </c>
      <c r="O242" s="211">
        <v>1.255932392103086E-2</v>
      </c>
      <c r="P242" s="1">
        <v>0.52366292932488634</v>
      </c>
      <c r="Q242" s="1">
        <v>5.1080162542589203E-4</v>
      </c>
      <c r="R242" s="272">
        <v>3.9415834607262126E-2</v>
      </c>
    </row>
    <row r="243" spans="1:19" ht="15.6">
      <c r="A243" s="257">
        <v>950</v>
      </c>
      <c r="B243" s="258">
        <v>1000</v>
      </c>
      <c r="C243" s="160">
        <v>126634</v>
      </c>
      <c r="D243" s="30">
        <v>123594201.40000017</v>
      </c>
      <c r="E243" s="187">
        <f t="shared" si="6"/>
        <v>3.9039815973593242</v>
      </c>
      <c r="F243" s="188">
        <v>1.26634E-2</v>
      </c>
      <c r="G243" s="189">
        <v>4.9437680560000065E-2</v>
      </c>
      <c r="H243" s="232"/>
      <c r="I243" s="124" t="str">
        <f t="shared" si="7"/>
        <v>(950, 1000]</v>
      </c>
      <c r="J243" s="160">
        <v>1</v>
      </c>
      <c r="K243" s="276">
        <v>0.48916858821485543</v>
      </c>
      <c r="L243" s="188">
        <v>6.1945375000000006E-3</v>
      </c>
      <c r="M243" s="233">
        <v>6194537</v>
      </c>
      <c r="N243" s="195">
        <v>6.194537E-3</v>
      </c>
      <c r="O243" s="211">
        <v>2.4183358452161435E-2</v>
      </c>
      <c r="P243" s="1">
        <v>0.97833717642971085</v>
      </c>
      <c r="Q243" s="1">
        <v>9.3249869117555866E-4</v>
      </c>
      <c r="R243" s="272">
        <v>7.3637308398657439E-2</v>
      </c>
    </row>
    <row r="244" spans="1:19" ht="15.6">
      <c r="A244" s="257">
        <v>1000</v>
      </c>
      <c r="B244" s="258">
        <v>2000</v>
      </c>
      <c r="C244" s="160">
        <v>1543733</v>
      </c>
      <c r="D244" s="30">
        <v>2198847094.400034</v>
      </c>
      <c r="E244" s="187">
        <f t="shared" si="6"/>
        <v>5.6974803140181205</v>
      </c>
      <c r="F244" s="188">
        <v>0.15437329999999999</v>
      </c>
      <c r="G244" s="189">
        <v>0.87953883776001351</v>
      </c>
      <c r="H244" s="232"/>
      <c r="I244" s="275" t="str">
        <f t="shared" si="7"/>
        <v>(1000, 2000]</v>
      </c>
      <c r="J244" s="160">
        <v>1</v>
      </c>
      <c r="K244" s="276">
        <v>9.9798757298056082E-2</v>
      </c>
      <c r="L244" s="188">
        <v>1.54062635E-2</v>
      </c>
      <c r="M244" s="233">
        <v>15406263</v>
      </c>
      <c r="N244" s="195">
        <v>1.5406263E-2</v>
      </c>
      <c r="O244" s="211">
        <v>8.7776880155085751E-2</v>
      </c>
      <c r="P244" s="1">
        <v>0.19959751459611216</v>
      </c>
      <c r="Q244" s="1">
        <v>2.3188292455711568E-3</v>
      </c>
      <c r="R244" s="272">
        <v>1.5020921659193377E-2</v>
      </c>
    </row>
    <row r="245" spans="1:19" ht="15.6">
      <c r="A245" s="257">
        <v>2000</v>
      </c>
      <c r="B245" s="258">
        <v>3000</v>
      </c>
      <c r="C245" s="160">
        <v>681008</v>
      </c>
      <c r="D245" s="30">
        <v>1662691554.6000047</v>
      </c>
      <c r="E245" s="187">
        <f t="shared" si="6"/>
        <v>9.7660618060287376</v>
      </c>
      <c r="F245" s="188">
        <v>6.8100800000000003E-2</v>
      </c>
      <c r="G245" s="189">
        <v>0.66507662184000194</v>
      </c>
      <c r="H245" s="232"/>
      <c r="I245" s="124" t="str">
        <f t="shared" si="7"/>
        <v>(2000, 3000]</v>
      </c>
      <c r="J245" s="160">
        <v>1</v>
      </c>
      <c r="K245" s="276">
        <v>2.3478644891102601E-2</v>
      </c>
      <c r="L245" s="188">
        <v>1.5989145000000001E-3</v>
      </c>
      <c r="M245" s="233">
        <v>1598914</v>
      </c>
      <c r="N245" s="195">
        <v>1.5989140000000001E-3</v>
      </c>
      <c r="O245" s="211">
        <v>1.5615092946524634E-2</v>
      </c>
      <c r="P245" s="1">
        <v>4.6957289782205203E-2</v>
      </c>
      <c r="Q245" s="1">
        <v>2.4060234572901006E-4</v>
      </c>
      <c r="R245" s="272">
        <v>3.5330325888830974E-3</v>
      </c>
    </row>
    <row r="246" spans="1:19" ht="15.6">
      <c r="A246" s="257">
        <v>3000</v>
      </c>
      <c r="B246" s="258">
        <v>4000</v>
      </c>
      <c r="C246" s="160">
        <v>360309</v>
      </c>
      <c r="D246" s="30">
        <v>1244471330.1999989</v>
      </c>
      <c r="E246" s="187">
        <f t="shared" si="6"/>
        <v>13.815600833728814</v>
      </c>
      <c r="F246" s="188">
        <v>3.6030899999999998E-2</v>
      </c>
      <c r="G246" s="189">
        <v>0.49778853207999951</v>
      </c>
      <c r="H246" s="232"/>
      <c r="I246" s="124" t="str">
        <f t="shared" si="7"/>
        <v>(3000, 4000]</v>
      </c>
      <c r="J246" s="160">
        <v>1</v>
      </c>
      <c r="K246" s="276">
        <v>3.5895453624527833E-2</v>
      </c>
      <c r="L246" s="188">
        <v>1.2933454999999997E-3</v>
      </c>
      <c r="M246" s="233">
        <v>1293345</v>
      </c>
      <c r="N246" s="195">
        <v>1.293345E-3</v>
      </c>
      <c r="O246" s="211">
        <v>1.7868338260298992E-2</v>
      </c>
      <c r="P246" s="1">
        <v>7.1790907249055666E-2</v>
      </c>
      <c r="Q246" s="1">
        <v>1.9459292360516313E-4</v>
      </c>
      <c r="R246" s="272">
        <v>5.4007233681413217E-3</v>
      </c>
    </row>
    <row r="247" spans="1:19" ht="15.6">
      <c r="A247" s="257">
        <v>4000</v>
      </c>
      <c r="B247" s="258">
        <v>5000</v>
      </c>
      <c r="C247" s="160">
        <v>219667</v>
      </c>
      <c r="D247" s="30">
        <v>980567220.9999994</v>
      </c>
      <c r="E247" s="187">
        <f t="shared" si="6"/>
        <v>17.855521694200757</v>
      </c>
      <c r="F247" s="188">
        <v>2.1966699999999999E-2</v>
      </c>
      <c r="G247" s="189">
        <v>0.39222688839999975</v>
      </c>
      <c r="H247" s="232"/>
      <c r="I247" s="124" t="str">
        <f t="shared" si="7"/>
        <v>(4000, 5000]</v>
      </c>
      <c r="J247" s="160">
        <v>1</v>
      </c>
      <c r="K247" s="276">
        <v>4.6818525313315151E-2</v>
      </c>
      <c r="L247" s="188">
        <v>1.0284484999999999E-3</v>
      </c>
      <c r="M247" s="233">
        <v>1028448</v>
      </c>
      <c r="N247" s="195">
        <v>1.0284479999999999E-3</v>
      </c>
      <c r="O247" s="211">
        <v>1.836347557535738E-2</v>
      </c>
      <c r="P247" s="1">
        <v>9.3637050626630303E-2</v>
      </c>
      <c r="Q247" s="1">
        <v>1.5472097419784935E-4</v>
      </c>
      <c r="R247" s="272">
        <v>7.0434327503835058E-3</v>
      </c>
    </row>
    <row r="248" spans="1:19" ht="15.6">
      <c r="A248" s="257">
        <v>5000</v>
      </c>
      <c r="B248" s="258">
        <v>6000</v>
      </c>
      <c r="C248" s="160">
        <v>145448</v>
      </c>
      <c r="D248" s="30">
        <v>795571598.99999881</v>
      </c>
      <c r="E248" s="187">
        <f t="shared" si="6"/>
        <v>21.879203536659116</v>
      </c>
      <c r="F248" s="188">
        <v>1.45448E-2</v>
      </c>
      <c r="G248" s="189">
        <v>0.31822863959999953</v>
      </c>
      <c r="H248" s="232"/>
      <c r="I248" s="124" t="str">
        <f t="shared" si="7"/>
        <v>(5000, 6000]</v>
      </c>
      <c r="J248" s="160">
        <v>1</v>
      </c>
      <c r="K248" s="276">
        <v>2.346477779000055E-2</v>
      </c>
      <c r="L248" s="188">
        <v>3.4129050000000001E-4</v>
      </c>
      <c r="M248" s="233">
        <v>341290</v>
      </c>
      <c r="N248" s="195">
        <v>3.4129000000000001E-4</v>
      </c>
      <c r="O248" s="211">
        <v>7.46715337502639E-3</v>
      </c>
      <c r="P248" s="1">
        <v>4.6929555580001101E-2</v>
      </c>
      <c r="Q248" s="1">
        <v>5.1339773931655664E-5</v>
      </c>
      <c r="R248" s="272">
        <v>3.5297682973747086E-3</v>
      </c>
    </row>
    <row r="249" spans="1:19" ht="15.6">
      <c r="A249" s="257">
        <v>6000</v>
      </c>
      <c r="B249" s="258">
        <v>7000</v>
      </c>
      <c r="C249" s="160">
        <v>102701</v>
      </c>
      <c r="D249" s="30">
        <v>664802313.99999928</v>
      </c>
      <c r="E249" s="187">
        <f t="shared" si="6"/>
        <v>25.892729924732937</v>
      </c>
      <c r="F249" s="188">
        <v>1.0270100000000001E-2</v>
      </c>
      <c r="G249" s="189">
        <v>0.26592092559999975</v>
      </c>
      <c r="H249" s="232"/>
      <c r="I249" s="124" t="str">
        <f t="shared" si="7"/>
        <v>(6000, 7000]</v>
      </c>
      <c r="J249" s="160">
        <v>1</v>
      </c>
      <c r="K249" s="276">
        <v>3.1410161536888637E-2</v>
      </c>
      <c r="L249" s="188">
        <v>3.2258550000000002E-4</v>
      </c>
      <c r="M249" s="233">
        <v>322585</v>
      </c>
      <c r="N249" s="195">
        <v>3.2258500000000002E-4</v>
      </c>
      <c r="O249" s="211">
        <v>8.3526062827699744E-3</v>
      </c>
      <c r="P249" s="1">
        <v>6.2820323073777273E-2</v>
      </c>
      <c r="Q249" s="1">
        <v>4.8522573340460124E-5</v>
      </c>
      <c r="R249" s="272">
        <v>4.7246446812066216E-3</v>
      </c>
    </row>
    <row r="250" spans="1:19" ht="15.6">
      <c r="A250" s="257">
        <v>7000</v>
      </c>
      <c r="B250" s="258">
        <v>8000</v>
      </c>
      <c r="C250" s="160">
        <v>75202</v>
      </c>
      <c r="D250" s="30">
        <v>562162853.59999967</v>
      </c>
      <c r="E250" s="187">
        <f t="shared" si="6"/>
        <v>29.901484194569278</v>
      </c>
      <c r="F250" s="188">
        <v>7.5202000000000003E-3</v>
      </c>
      <c r="G250" s="189">
        <v>0.22486514143999989</v>
      </c>
      <c r="H250" s="232"/>
      <c r="I250" s="124" t="str">
        <f t="shared" si="7"/>
        <v>(7000, 8000]</v>
      </c>
      <c r="J250" s="160">
        <v>1</v>
      </c>
      <c r="K250" s="276">
        <v>3.99880987207787E-2</v>
      </c>
      <c r="L250" s="188">
        <v>3.0071850000000001E-4</v>
      </c>
      <c r="M250" s="233">
        <v>300718</v>
      </c>
      <c r="N250" s="195">
        <v>3.00718E-4</v>
      </c>
      <c r="O250" s="211">
        <v>8.9919145240224835E-3</v>
      </c>
      <c r="P250" s="1">
        <v>7.9976197441557401E-2</v>
      </c>
      <c r="Q250" s="1">
        <v>4.5230985118384998E-5</v>
      </c>
      <c r="R250" s="272">
        <v>6.0145986966284133E-3</v>
      </c>
    </row>
    <row r="251" spans="1:19" ht="15.6">
      <c r="A251" s="257">
        <v>8000</v>
      </c>
      <c r="B251" s="258">
        <v>9000</v>
      </c>
      <c r="C251" s="160">
        <v>56195</v>
      </c>
      <c r="D251" s="30">
        <v>476226512.79999995</v>
      </c>
      <c r="E251" s="187">
        <f t="shared" si="6"/>
        <v>33.898141315063619</v>
      </c>
      <c r="F251" s="188">
        <v>5.6195000000000004E-3</v>
      </c>
      <c r="G251" s="189">
        <v>0.19049060512000002</v>
      </c>
      <c r="H251" s="232"/>
      <c r="I251" s="124" t="str">
        <f t="shared" si="7"/>
        <v>(8000, 9000]</v>
      </c>
      <c r="J251" s="160">
        <v>1</v>
      </c>
      <c r="K251" s="276">
        <v>4.3109262389892336E-2</v>
      </c>
      <c r="L251" s="188">
        <v>2.4225249999999999E-4</v>
      </c>
      <c r="M251" s="233">
        <v>242252</v>
      </c>
      <c r="N251" s="195">
        <v>2.4225200000000001E-4</v>
      </c>
      <c r="O251" s="211">
        <v>8.2118925298567923E-3</v>
      </c>
      <c r="P251" s="198">
        <v>8.6218524779784672E-2</v>
      </c>
      <c r="Q251" s="198">
        <v>3.6435176505648529E-5</v>
      </c>
      <c r="R251" s="272">
        <v>6.4837043341308886E-3</v>
      </c>
      <c r="S251" s="182"/>
    </row>
    <row r="252" spans="1:19" ht="15.6">
      <c r="A252" s="257">
        <v>9000</v>
      </c>
      <c r="B252" s="258">
        <v>10000</v>
      </c>
      <c r="C252" s="160">
        <v>42472</v>
      </c>
      <c r="D252" s="30">
        <v>402571636.80000001</v>
      </c>
      <c r="E252" s="187">
        <f t="shared" si="6"/>
        <v>37.914073912224531</v>
      </c>
      <c r="F252" s="188">
        <v>4.2471999999999996E-3</v>
      </c>
      <c r="G252" s="189">
        <v>0.16102865472</v>
      </c>
      <c r="H252" s="232"/>
      <c r="I252" s="124" t="str">
        <f t="shared" si="7"/>
        <v>(9000, 10000]</v>
      </c>
      <c r="J252" s="160">
        <v>1</v>
      </c>
      <c r="K252" s="276">
        <v>1.8043770013185158E-2</v>
      </c>
      <c r="L252" s="188">
        <v>7.6635499999999995E-5</v>
      </c>
      <c r="M252" s="233">
        <v>76635</v>
      </c>
      <c r="N252" s="195">
        <v>7.6635000000000001E-5</v>
      </c>
      <c r="O252" s="211">
        <v>2.9055450542633267E-3</v>
      </c>
      <c r="P252" s="198">
        <v>3.6087540026370317E-2</v>
      </c>
      <c r="Q252" s="198">
        <v>1.1525633621686288E-5</v>
      </c>
      <c r="R252" s="272">
        <v>2.7137016438327109E-3</v>
      </c>
      <c r="S252" s="182"/>
    </row>
    <row r="253" spans="1:19" ht="15.6">
      <c r="A253" s="257">
        <v>10000</v>
      </c>
      <c r="B253" s="258">
        <v>20000</v>
      </c>
      <c r="C253" s="160">
        <v>129792</v>
      </c>
      <c r="D253" s="30">
        <v>1689277042.8000004</v>
      </c>
      <c r="E253" s="187">
        <f t="shared" si="6"/>
        <v>52.06105284763315</v>
      </c>
      <c r="F253" s="188">
        <v>1.29792E-2</v>
      </c>
      <c r="G253" s="189">
        <v>0.67571081712000014</v>
      </c>
      <c r="H253" s="232"/>
      <c r="I253" s="275" t="str">
        <f t="shared" si="7"/>
        <v>(10000, 20000]</v>
      </c>
      <c r="J253" s="160">
        <v>1</v>
      </c>
      <c r="K253" s="276">
        <v>1.545353334566075E-2</v>
      </c>
      <c r="L253" s="188">
        <v>2.005745E-4</v>
      </c>
      <c r="M253" s="233">
        <v>200574</v>
      </c>
      <c r="N253" s="195">
        <v>2.0057399999999999E-4</v>
      </c>
      <c r="O253" s="211">
        <v>1.0442093613861171E-2</v>
      </c>
      <c r="P253" s="198">
        <v>3.09070666913215E-2</v>
      </c>
      <c r="Q253" s="198">
        <v>3.0161344925913713E-5</v>
      </c>
      <c r="R253" s="272">
        <v>2.3238215703520796E-3</v>
      </c>
      <c r="S253" s="182"/>
    </row>
    <row r="254" spans="1:19" ht="15.6">
      <c r="A254" s="257">
        <v>20000</v>
      </c>
      <c r="B254" s="258">
        <v>30000</v>
      </c>
      <c r="C254" s="160">
        <v>10837</v>
      </c>
      <c r="D254" s="30">
        <v>252381361</v>
      </c>
      <c r="E254" s="187">
        <f t="shared" si="6"/>
        <v>93.155434529851433</v>
      </c>
      <c r="F254" s="188">
        <v>1.0836999999999999E-3</v>
      </c>
      <c r="G254" s="189">
        <v>0.1009525444</v>
      </c>
      <c r="H254" s="232"/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1722</v>
      </c>
      <c r="D255" s="30">
        <v>61948187.799999997</v>
      </c>
      <c r="E255" s="187">
        <f t="shared" si="6"/>
        <v>143.89822950058073</v>
      </c>
      <c r="F255" s="188">
        <v>1.7220000000000001E-4</v>
      </c>
      <c r="G255" s="189">
        <v>2.4779275120000003E-2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4127.9328963228372</v>
      </c>
      <c r="O257" s="10">
        <f>SUM(O240:O250)</f>
        <v>0.23163798613502776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48.051455805346251</v>
      </c>
      <c r="O259" s="220" cm="1">
        <f t="array" ref="O259:O260">N261/N259:N260</f>
        <v>291.35433599999993</v>
      </c>
    </row>
    <row r="260" spans="13:15" ht="16.8" thickBot="1">
      <c r="M260" s="124" t="s">
        <v>179</v>
      </c>
      <c r="N260" s="218">
        <f>1/SUM(N257)</f>
        <v>2.4225200000000001E-4</v>
      </c>
      <c r="O260" s="220">
        <v>57791060.548519723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2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1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0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89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8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196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0.92999982272206894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0.24247270000000001</v>
      </c>
      <c r="L4" s="185" cm="1">
        <f t="array" ref="L4:L61">K4:K61*_xlfn.ANCHORARRAY(J4)*_xlfn.ANCHORARRAY(F4)</f>
        <v>0.19283258560521502</v>
      </c>
      <c r="M4" s="240" cm="1">
        <f t="array" ref="M4:M61">INT(_xlfn.ANCHORARRAY(L4)*$M$2)</f>
        <v>192832585</v>
      </c>
      <c r="N4" s="194" cm="1">
        <f t="array" ref="N4:N61">_xlfn.ANCHORARRAY(M4)/SUM(_xlfn.ANCHORARRAY(M4))</f>
        <v>0.89809833545203077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0.1</v>
      </c>
      <c r="L5" s="188">
        <v>1.2210300000000001E-3</v>
      </c>
      <c r="M5" s="233">
        <v>1221030</v>
      </c>
      <c r="N5" s="195">
        <v>5.6868241979797819E-3</v>
      </c>
      <c r="O5" s="211">
        <v>4.2690298981092386E-3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0.1</v>
      </c>
      <c r="L6" s="188">
        <v>1.9835809999999999E-3</v>
      </c>
      <c r="M6" s="233">
        <v>1983581</v>
      </c>
      <c r="N6" s="195">
        <v>9.2383286483157124E-3</v>
      </c>
      <c r="O6" s="211">
        <v>1.5862748791630781E-2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0.1</v>
      </c>
      <c r="L7" s="188">
        <v>1.4004020000000002E-3</v>
      </c>
      <c r="M7" s="233">
        <v>1400402</v>
      </c>
      <c r="N7" s="195">
        <v>6.5222312150391747E-3</v>
      </c>
      <c r="O7" s="211">
        <v>1.7935528050756485E-2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0.1</v>
      </c>
      <c r="L8" s="188">
        <v>1.843384E-3</v>
      </c>
      <c r="M8" s="233">
        <v>1843384</v>
      </c>
      <c r="N8" s="195">
        <v>8.5853752466104535E-3</v>
      </c>
      <c r="O8" s="211">
        <v>3.1751198975245483E-2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0.1</v>
      </c>
      <c r="L9" s="188">
        <v>1.2610390000000003E-3</v>
      </c>
      <c r="M9" s="233">
        <v>1261039</v>
      </c>
      <c r="N9" s="195">
        <v>5.873162084302783E-3</v>
      </c>
      <c r="O9" s="211">
        <v>2.8222784047397871E-2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0.1</v>
      </c>
      <c r="L10" s="188">
        <v>1.254493E-3</v>
      </c>
      <c r="M10" s="233">
        <v>1254493</v>
      </c>
      <c r="N10" s="195">
        <v>5.8426747488564993E-3</v>
      </c>
      <c r="O10" s="211">
        <v>3.4775715906768666E-2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0.1</v>
      </c>
      <c r="L11" s="188">
        <v>3.1603700000000002E-4</v>
      </c>
      <c r="M11" s="233">
        <v>316037</v>
      </c>
      <c r="N11" s="195">
        <v>1.471910484637508E-3</v>
      </c>
      <c r="O11" s="211">
        <v>9.6087521026876777E-3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0.25</v>
      </c>
      <c r="L12" s="188">
        <v>3.2910125E-3</v>
      </c>
      <c r="M12" s="233">
        <v>3291012</v>
      </c>
      <c r="N12" s="195">
        <v>1.532755679831113E-2</v>
      </c>
      <c r="O12" s="211">
        <v>0.11823301962825722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0.125</v>
      </c>
      <c r="L13" s="188">
        <v>7.1771124999999998E-4</v>
      </c>
      <c r="M13" s="233">
        <v>717711</v>
      </c>
      <c r="N13" s="195">
        <v>3.342666668268812E-3</v>
      </c>
      <c r="O13" s="211">
        <v>2.9819470308694803E-2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0.125</v>
      </c>
      <c r="L14" s="188">
        <v>8.9229999999999995E-4</v>
      </c>
      <c r="M14" s="233">
        <v>892300</v>
      </c>
      <c r="N14" s="195">
        <v>4.1557973447477617E-3</v>
      </c>
      <c r="O14" s="211">
        <v>4.0520151201907537E-2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0.25</v>
      </c>
      <c r="L15" s="188">
        <v>4.4775774999999997E-3</v>
      </c>
      <c r="M15" s="233">
        <v>4477577</v>
      </c>
      <c r="N15" s="195">
        <v>2.0853863731372463E-2</v>
      </c>
      <c r="O15" s="211">
        <v>0.2654882982450637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0.1</v>
      </c>
      <c r="L16" s="188">
        <v>1.124732E-3</v>
      </c>
      <c r="M16" s="233">
        <v>1124732</v>
      </c>
      <c r="N16" s="195">
        <v>5.2383259656537482E-3</v>
      </c>
      <c r="O16" s="211">
        <v>9.3492542986840232E-2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0.25</v>
      </c>
      <c r="L17" s="188">
        <v>1.5549674999999999E-3</v>
      </c>
      <c r="M17" s="233">
        <v>1554967</v>
      </c>
      <c r="N17" s="195">
        <v>7.2421021290713806E-3</v>
      </c>
      <c r="O17" s="211">
        <v>0.1683374125996536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0.125</v>
      </c>
      <c r="L18" s="188">
        <v>5.4125625000000003E-4</v>
      </c>
      <c r="M18" s="233">
        <v>541256</v>
      </c>
      <c r="N18" s="195">
        <v>2.5208452848019666E-3</v>
      </c>
      <c r="O18" s="211">
        <v>7.1683169979055564E-2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0.92999953614086428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79527545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1.3017829999999999</v>
      </c>
      <c r="L69" s="185" cm="1">
        <f t="array" ref="L69:L126">K69:K126*_xlfn.ANCHORARRAY(J69)*_xlfn.ANCHORARRAY(F69)</f>
        <v>1.0352760611273499</v>
      </c>
      <c r="M69" s="207" cm="1">
        <f t="array" ref="M69:M126">INT(_xlfn.ANCHORARRAY(L69)*$M$2)</f>
        <v>1035276061</v>
      </c>
      <c r="N69" s="194" cm="1">
        <f t="array" ref="N69:N126">_xlfn.ANCHORARRAY(M69)/SUM(_xlfn.ANCHORARRAY(M69))</f>
        <v>0.86683460079628816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1</v>
      </c>
      <c r="L70" s="188">
        <v>1.22103E-2</v>
      </c>
      <c r="M70" s="208">
        <v>12210300</v>
      </c>
      <c r="N70" s="195">
        <v>1.0223660069836115E-2</v>
      </c>
      <c r="O70" s="211">
        <v>5.1165183456571631E-3</v>
      </c>
      <c r="Q70" s="183"/>
      <c r="S70" s="182"/>
    </row>
    <row r="71" spans="1:20" ht="15.6">
      <c r="A71" s="201">
        <v>1</v>
      </c>
      <c r="B71" s="202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232"/>
      <c r="I71" s="214" t="str">
        <f t="shared" si="3"/>
        <v>(1, 2]</v>
      </c>
      <c r="J71" s="160">
        <v>1</v>
      </c>
      <c r="K71" s="205">
        <v>1</v>
      </c>
      <c r="L71" s="188">
        <v>1.9835809999999999E-2</v>
      </c>
      <c r="M71" s="208">
        <v>19835810</v>
      </c>
      <c r="N71" s="195">
        <v>1.660848452944284E-2</v>
      </c>
      <c r="O71" s="211">
        <v>1.9011824030765564E-2</v>
      </c>
      <c r="Q71" s="183"/>
    </row>
    <row r="72" spans="1:20" ht="15.6">
      <c r="A72" s="201">
        <v>2</v>
      </c>
      <c r="B72" s="202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232"/>
      <c r="I72" s="124" t="str">
        <f t="shared" si="3"/>
        <v>(2, 3]</v>
      </c>
      <c r="J72" s="160">
        <v>1</v>
      </c>
      <c r="K72" s="205">
        <v>1</v>
      </c>
      <c r="L72" s="188">
        <v>1.4004020000000001E-2</v>
      </c>
      <c r="M72" s="208">
        <v>14004020</v>
      </c>
      <c r="N72" s="195">
        <v>1.1725538282530843E-2</v>
      </c>
      <c r="O72" s="211">
        <v>2.149609173535847E-2</v>
      </c>
      <c r="Q72" s="183"/>
    </row>
    <row r="73" spans="1:20" ht="15.6">
      <c r="A73" s="201">
        <v>3</v>
      </c>
      <c r="B73" s="202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232"/>
      <c r="I73" s="124" t="str">
        <f t="shared" si="3"/>
        <v>(3, 4]</v>
      </c>
      <c r="J73" s="160">
        <v>1</v>
      </c>
      <c r="K73" s="205">
        <v>0.8293373861515585</v>
      </c>
      <c r="L73" s="188">
        <v>1.5287872682336045E-2</v>
      </c>
      <c r="M73" s="208">
        <v>15287872</v>
      </c>
      <c r="N73" s="195">
        <v>1.2800505026016198E-2</v>
      </c>
      <c r="O73" s="211">
        <v>3.1559978093765227E-2</v>
      </c>
      <c r="Q73" s="183"/>
    </row>
    <row r="74" spans="1:20" ht="15.6">
      <c r="A74" s="201">
        <v>4</v>
      </c>
      <c r="B74" s="202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232"/>
      <c r="I74" s="124" t="str">
        <f t="shared" si="3"/>
        <v>(4, 5]</v>
      </c>
      <c r="J74" s="160">
        <v>1</v>
      </c>
      <c r="K74" s="205">
        <v>0.8293373861515585</v>
      </c>
      <c r="L74" s="188">
        <v>1.0458267880951753E-2</v>
      </c>
      <c r="M74" s="208">
        <v>10458267</v>
      </c>
      <c r="N74" s="195">
        <v>8.7566862998931013E-3</v>
      </c>
      <c r="O74" s="211">
        <v>2.8052811854476948E-2</v>
      </c>
      <c r="Q74" s="183"/>
    </row>
    <row r="75" spans="1:20" ht="15.6">
      <c r="A75" s="201">
        <v>5</v>
      </c>
      <c r="B75" s="202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232"/>
      <c r="I75" s="124" t="str">
        <f t="shared" si="3"/>
        <v>(5, 6]</v>
      </c>
      <c r="J75" s="160">
        <v>1</v>
      </c>
      <c r="K75" s="205">
        <v>0.8293373861515585</v>
      </c>
      <c r="L75" s="188">
        <v>1.040397945565427E-2</v>
      </c>
      <c r="M75" s="208">
        <v>10403979</v>
      </c>
      <c r="N75" s="195">
        <v>8.7112310647333366E-3</v>
      </c>
      <c r="O75" s="211">
        <v>3.456627996902438E-2</v>
      </c>
      <c r="Q75" s="183"/>
    </row>
    <row r="76" spans="1:20" ht="15.6">
      <c r="A76" s="201">
        <v>6</v>
      </c>
      <c r="B76" s="202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232"/>
      <c r="I76" s="124" t="str">
        <f t="shared" si="3"/>
        <v>(6, 7]</v>
      </c>
      <c r="J76" s="160">
        <v>1</v>
      </c>
      <c r="K76" s="205">
        <v>0.8293373861515585</v>
      </c>
      <c r="L76" s="188">
        <v>2.6210129950718008E-3</v>
      </c>
      <c r="M76" s="208">
        <v>2621012</v>
      </c>
      <c r="N76" s="195">
        <v>2.1945681700663616E-3</v>
      </c>
      <c r="O76" s="211">
        <v>9.5508804096012586E-3</v>
      </c>
      <c r="Q76" s="183"/>
    </row>
    <row r="77" spans="1:20" ht="15.6">
      <c r="A77" s="201">
        <v>7</v>
      </c>
      <c r="B77" s="202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232"/>
      <c r="I77" s="214" t="str">
        <f t="shared" si="3"/>
        <v>(7, 8]</v>
      </c>
      <c r="J77" s="160">
        <v>1</v>
      </c>
      <c r="K77" s="205">
        <v>0.8293373861515585</v>
      </c>
      <c r="L77" s="188">
        <v>1.0917438818168423E-2</v>
      </c>
      <c r="M77" s="208">
        <v>10917438</v>
      </c>
      <c r="N77" s="195">
        <v>9.1411492711490662E-3</v>
      </c>
      <c r="O77" s="211">
        <v>4.7008391288196408E-2</v>
      </c>
      <c r="Q77" s="183"/>
    </row>
    <row r="78" spans="1:20" ht="15.6">
      <c r="A78" s="201">
        <v>8</v>
      </c>
      <c r="B78" s="202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232"/>
      <c r="I78" s="124" t="str">
        <f t="shared" si="3"/>
        <v>(8, 9]</v>
      </c>
      <c r="J78" s="160">
        <v>1</v>
      </c>
      <c r="K78" s="205">
        <v>0.8293373861515585</v>
      </c>
      <c r="L78" s="188">
        <v>4.7617981766925419E-3</v>
      </c>
      <c r="M78" s="208">
        <v>4761798</v>
      </c>
      <c r="N78" s="195">
        <v>3.9870440589686957E-3</v>
      </c>
      <c r="O78" s="211">
        <v>2.3711915013739558E-2</v>
      </c>
      <c r="Q78" s="183"/>
    </row>
    <row r="79" spans="1:20" ht="15.6">
      <c r="A79" s="201">
        <v>9</v>
      </c>
      <c r="B79" s="202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232"/>
      <c r="I79" s="124" t="str">
        <f t="shared" si="3"/>
        <v>(9, 10]</v>
      </c>
      <c r="J79" s="160">
        <v>1</v>
      </c>
      <c r="K79" s="205">
        <v>0.8293373861515585</v>
      </c>
      <c r="L79" s="188">
        <v>5.9201419973042846E-3</v>
      </c>
      <c r="M79" s="208">
        <v>5920141</v>
      </c>
      <c r="N79" s="195">
        <v>4.9569223646838854E-3</v>
      </c>
      <c r="O79" s="211">
        <v>3.2220891612525462E-2</v>
      </c>
      <c r="Q79" s="183"/>
    </row>
    <row r="80" spans="1:20" ht="15.6">
      <c r="A80" s="201">
        <v>10</v>
      </c>
      <c r="B80" s="202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232"/>
      <c r="I80" s="214" t="str">
        <f t="shared" si="3"/>
        <v>(10, 15]</v>
      </c>
      <c r="J80" s="160">
        <v>1</v>
      </c>
      <c r="K80" s="205">
        <v>0.5</v>
      </c>
      <c r="L80" s="188">
        <v>8.9551549999999994E-3</v>
      </c>
      <c r="M80" s="208">
        <v>8955155</v>
      </c>
      <c r="N80" s="195">
        <v>7.4981335915328233E-3</v>
      </c>
      <c r="O80" s="211">
        <v>6.3638622011819218E-2</v>
      </c>
      <c r="Q80" s="183"/>
    </row>
    <row r="81" spans="1:17" ht="15.6">
      <c r="A81" s="201">
        <v>15</v>
      </c>
      <c r="B81" s="202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232"/>
      <c r="I81" s="124" t="str">
        <f t="shared" si="3"/>
        <v>(15, 20]</v>
      </c>
      <c r="J81" s="160">
        <v>1</v>
      </c>
      <c r="K81" s="205">
        <v>2</v>
      </c>
      <c r="L81" s="188">
        <v>2.249464E-2</v>
      </c>
      <c r="M81" s="208">
        <v>22494640</v>
      </c>
      <c r="N81" s="195">
        <v>1.8834717636203719E-2</v>
      </c>
      <c r="O81" s="211">
        <v>0.22410539293068621</v>
      </c>
      <c r="Q81" s="183"/>
    </row>
    <row r="82" spans="1:17" ht="15.6">
      <c r="A82" s="201">
        <v>20</v>
      </c>
      <c r="B82" s="202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232"/>
      <c r="I82" s="124" t="str">
        <f t="shared" si="3"/>
        <v>(20, 25]</v>
      </c>
      <c r="J82" s="160">
        <v>1</v>
      </c>
      <c r="K82" s="205">
        <v>0.5</v>
      </c>
      <c r="L82" s="188">
        <v>3.1099349999999999E-3</v>
      </c>
      <c r="M82" s="208">
        <v>3109935</v>
      </c>
      <c r="N82" s="195">
        <v>2.6039424321503794E-3</v>
      </c>
      <c r="O82" s="211">
        <v>4.0351169110328489E-2</v>
      </c>
      <c r="Q82" s="183"/>
    </row>
    <row r="83" spans="1:17" ht="15.6">
      <c r="A83" s="201">
        <v>25</v>
      </c>
      <c r="B83" s="202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232"/>
      <c r="I83" s="124" t="str">
        <f t="shared" si="3"/>
        <v>(25, 30]</v>
      </c>
      <c r="J83" s="160">
        <v>1</v>
      </c>
      <c r="K83" s="205">
        <v>0.5</v>
      </c>
      <c r="L83" s="188">
        <v>2.1650250000000001E-3</v>
      </c>
      <c r="M83" s="208">
        <v>2165025</v>
      </c>
      <c r="N83" s="195">
        <v>1.8127711557207385E-3</v>
      </c>
      <c r="O83" s="211">
        <v>3.4365505272402307E-2</v>
      </c>
      <c r="Q83" s="183"/>
    </row>
    <row r="84" spans="1:17" ht="15.6">
      <c r="A84" s="201">
        <v>30</v>
      </c>
      <c r="B84" s="202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232"/>
      <c r="I84" s="124" t="str">
        <f t="shared" si="3"/>
        <v>(30, 35]</v>
      </c>
      <c r="J84" s="160">
        <v>1</v>
      </c>
      <c r="K84" s="205">
        <v>5</v>
      </c>
      <c r="L84" s="188">
        <v>1.0710349999999999E-2</v>
      </c>
      <c r="M84" s="208">
        <v>10710350</v>
      </c>
      <c r="N84" s="195">
        <v>8.9677548978296384E-3</v>
      </c>
      <c r="O84" s="211">
        <v>0.19476524434421413</v>
      </c>
      <c r="Q84" s="183"/>
    </row>
    <row r="85" spans="1:17" ht="15.6">
      <c r="A85" s="201">
        <v>35</v>
      </c>
      <c r="B85" s="202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232"/>
      <c r="I85" s="214" t="str">
        <f t="shared" si="3"/>
        <v>(35, 40]</v>
      </c>
      <c r="J85" s="160">
        <v>1</v>
      </c>
      <c r="K85" s="205">
        <v>0.5</v>
      </c>
      <c r="L85" s="188">
        <v>1.8820550000000001E-3</v>
      </c>
      <c r="M85" s="208">
        <v>1882055</v>
      </c>
      <c r="N85" s="195">
        <v>1.5758409336982227E-3</v>
      </c>
      <c r="O85" s="211">
        <v>4.0210319953026784E-2</v>
      </c>
      <c r="Q85" s="183"/>
    </row>
    <row r="86" spans="1:17" ht="15.6">
      <c r="A86" s="201">
        <v>40</v>
      </c>
      <c r="B86" s="202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232"/>
      <c r="I86" s="124" t="str">
        <f t="shared" si="3"/>
        <v>(40, 45]</v>
      </c>
      <c r="J86" s="160">
        <v>1</v>
      </c>
      <c r="K86" s="205">
        <v>2</v>
      </c>
      <c r="L86" s="188">
        <v>3.30402E-3</v>
      </c>
      <c r="M86" s="208">
        <v>3304020</v>
      </c>
      <c r="N86" s="195">
        <v>2.7664494192558677E-3</v>
      </c>
      <c r="O86" s="211">
        <v>8.0267700165276554E-2</v>
      </c>
      <c r="Q86" s="183"/>
    </row>
    <row r="87" spans="1:17" ht="15.6">
      <c r="A87" s="201">
        <v>45</v>
      </c>
      <c r="B87" s="202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232"/>
      <c r="I107" s="124" t="str">
        <f t="shared" si="3"/>
        <v>(650, 700]</v>
      </c>
      <c r="J107" s="160">
        <v>0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232"/>
      <c r="I108" s="124" t="str">
        <f t="shared" si="3"/>
        <v>(700, 750]</v>
      </c>
      <c r="J108" s="160">
        <v>0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232"/>
      <c r="I109" s="124" t="str">
        <f t="shared" si="3"/>
        <v>(750, 800]</v>
      </c>
      <c r="J109" s="160">
        <v>0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232"/>
      <c r="I110" s="124" t="str">
        <f t="shared" si="3"/>
        <v>(800, 850]</v>
      </c>
      <c r="J110" s="160">
        <v>0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232"/>
      <c r="I111" s="124" t="str">
        <f t="shared" si="3"/>
        <v>(850, 900]</v>
      </c>
      <c r="J111" s="160">
        <v>0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232"/>
      <c r="I117" s="124" t="str">
        <f t="shared" si="3"/>
        <v>(4000, 5000]</v>
      </c>
      <c r="J117" s="160">
        <v>0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16379</v>
      </c>
      <c r="D120" s="167">
        <v>15875619560</v>
      </c>
      <c r="E120" s="190">
        <f t="shared" si="2"/>
        <v>6461.7781142519898</v>
      </c>
      <c r="F120" s="191">
        <v>1.6379E-4</v>
      </c>
      <c r="G120" s="192">
        <v>1.0583746373333334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0.92999953200974794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79518011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0.35988799999999999</v>
      </c>
      <c r="L134" s="185" cm="1">
        <f t="array" ref="L134:L191">K134:K191*_xlfn.ANCHORARRAY(J134)*_xlfn.ANCHORARRAY(F134)</f>
        <v>0.28617577942767997</v>
      </c>
      <c r="M134" s="207" cm="1">
        <f t="array" ref="M134:M191">INT(_xlfn.ANCHORARRAY(L134)*$M$2)</f>
        <v>286175779</v>
      </c>
      <c r="N134" s="194" cm="1">
        <f t="array" ref="N134:N191">_xlfn.ANCHORARRAY(M134)/SUM(_xlfn.ANCHORARRAY(M134))</f>
        <v>0.87107487174886133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93"/>
      <c r="I142" s="214" t="str">
        <f t="shared" si="5"/>
        <v>(7, 8]</v>
      </c>
      <c r="J142" s="160">
        <v>1</v>
      </c>
      <c r="K142" s="205">
        <v>5</v>
      </c>
      <c r="L142" s="188">
        <v>1.08673E-2</v>
      </c>
      <c r="M142" s="208">
        <v>10867300</v>
      </c>
      <c r="N142" s="195">
        <v>3.3078382757739958E-2</v>
      </c>
      <c r="O142" s="211">
        <v>3.3078382757739958E-2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93"/>
      <c r="I144" s="124" t="str">
        <f t="shared" si="5"/>
        <v>(9, 10]</v>
      </c>
      <c r="J144" s="160">
        <v>1</v>
      </c>
      <c r="K144" s="205">
        <v>0.5</v>
      </c>
      <c r="L144" s="188">
        <v>1.6388150000000001E-3</v>
      </c>
      <c r="M144" s="208">
        <v>1638815</v>
      </c>
      <c r="N144" s="195">
        <v>4.9882997468668035E-3</v>
      </c>
      <c r="O144" s="211">
        <v>6.2353746835835042E-3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93"/>
      <c r="I145" s="214" t="str">
        <f t="shared" si="5"/>
        <v>(10, 15]</v>
      </c>
      <c r="J145" s="160">
        <v>1</v>
      </c>
      <c r="K145" s="205">
        <v>0.5</v>
      </c>
      <c r="L145" s="188">
        <v>1.30911E-3</v>
      </c>
      <c r="M145" s="208">
        <v>1309110</v>
      </c>
      <c r="N145" s="195">
        <v>3.9847286494331582E-3</v>
      </c>
      <c r="O145" s="211">
        <v>6.962680651586642E-3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93"/>
      <c r="I146" s="124" t="str">
        <f t="shared" si="5"/>
        <v>(15, 20]</v>
      </c>
      <c r="J146" s="160">
        <v>1</v>
      </c>
      <c r="K146" s="205">
        <v>0.5</v>
      </c>
      <c r="L146" s="188">
        <v>4.5006350000000002E-3</v>
      </c>
      <c r="M146" s="208">
        <v>4500635</v>
      </c>
      <c r="N146" s="195">
        <v>1.3699237821987151E-2</v>
      </c>
      <c r="O146" s="211">
        <v>3.2139714057070175E-2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93"/>
      <c r="I147" s="124" t="str">
        <f t="shared" si="5"/>
        <v>(20, 25]</v>
      </c>
      <c r="J147" s="160">
        <v>1</v>
      </c>
      <c r="K147" s="205">
        <v>0.5</v>
      </c>
      <c r="L147" s="188">
        <v>2.83716E-3</v>
      </c>
      <c r="M147" s="208">
        <v>2837160</v>
      </c>
      <c r="N147" s="195">
        <v>8.6358768438296075E-3</v>
      </c>
      <c r="O147" s="211">
        <v>2.6230877417000944E-2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93"/>
      <c r="I148" s="124" t="str">
        <f t="shared" si="5"/>
        <v>(25, 30]</v>
      </c>
      <c r="J148" s="160">
        <v>1</v>
      </c>
      <c r="K148" s="205">
        <v>0.5</v>
      </c>
      <c r="L148" s="188">
        <v>2.2518500000000001E-3</v>
      </c>
      <c r="M148" s="208">
        <v>2251850</v>
      </c>
      <c r="N148" s="195">
        <v>6.8542836043006747E-3</v>
      </c>
      <c r="O148" s="211">
        <v>2.5606575182447876E-2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93"/>
      <c r="I149" s="124" t="str">
        <f t="shared" si="5"/>
        <v>(30, 35]</v>
      </c>
      <c r="J149" s="160">
        <v>1</v>
      </c>
      <c r="K149" s="205">
        <v>0.5</v>
      </c>
      <c r="L149" s="188">
        <v>1.5074999999999999E-3</v>
      </c>
      <c r="M149" s="208">
        <v>1507500</v>
      </c>
      <c r="N149" s="195">
        <v>4.5885971683208328E-3</v>
      </c>
      <c r="O149" s="211">
        <v>1.8440742571568747E-2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93"/>
      <c r="I150" s="214" t="str">
        <f t="shared" si="5"/>
        <v>(35, 40]</v>
      </c>
      <c r="J150" s="160">
        <v>1</v>
      </c>
      <c r="K150" s="205">
        <v>0.1</v>
      </c>
      <c r="L150" s="188">
        <v>1.05729E-3</v>
      </c>
      <c r="M150" s="208">
        <v>1057290</v>
      </c>
      <c r="N150" s="195">
        <v>3.218227462748878E-3</v>
      </c>
      <c r="O150" s="211">
        <v>1.5811791051654759E-2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93"/>
      <c r="I151" s="124" t="str">
        <f t="shared" si="5"/>
        <v>(40, 45]</v>
      </c>
      <c r="J151" s="160">
        <v>1</v>
      </c>
      <c r="K151" s="205">
        <v>0.5</v>
      </c>
      <c r="L151" s="188">
        <v>1.1233899999999999E-3</v>
      </c>
      <c r="M151" s="208">
        <v>1123390</v>
      </c>
      <c r="N151" s="195">
        <v>3.4194256536782359E-3</v>
      </c>
      <c r="O151" s="211">
        <v>1.9078121927570836E-2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93"/>
      <c r="I152" s="124" t="str">
        <f t="shared" si="5"/>
        <v>(45, 50]</v>
      </c>
      <c r="J152" s="160">
        <v>1</v>
      </c>
      <c r="K152" s="205">
        <v>0.1</v>
      </c>
      <c r="L152" s="188">
        <v>7.66222E-4</v>
      </c>
      <c r="M152" s="208">
        <v>766222</v>
      </c>
      <c r="N152" s="195">
        <v>2.3322614258740465E-3</v>
      </c>
      <c r="O152" s="211">
        <v>1.4307879851660378E-2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93"/>
      <c r="I153" s="214" t="str">
        <f t="shared" si="5"/>
        <v>(50, 60]</v>
      </c>
      <c r="J153" s="160">
        <v>1</v>
      </c>
      <c r="K153" s="205">
        <v>0.1</v>
      </c>
      <c r="L153" s="188">
        <v>7.9595000000000002E-4</v>
      </c>
      <c r="M153" s="208">
        <v>795950</v>
      </c>
      <c r="N153" s="195">
        <v>2.4227488664178886E-3</v>
      </c>
      <c r="O153" s="211">
        <v>1.7941822803438309E-2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93"/>
      <c r="I154" s="124" t="str">
        <f t="shared" si="5"/>
        <v>(60, 70]</v>
      </c>
      <c r="J154" s="160">
        <v>1</v>
      </c>
      <c r="K154" s="205">
        <v>0.1</v>
      </c>
      <c r="L154" s="188">
        <v>2.17944E-4</v>
      </c>
      <c r="M154" s="208">
        <v>217944</v>
      </c>
      <c r="N154" s="195">
        <v>6.6338787479437191E-4</v>
      </c>
      <c r="O154" s="211">
        <v>5.4564530851278588E-3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93"/>
      <c r="I155" s="214" t="str">
        <f t="shared" si="5"/>
        <v>(70, 80]</v>
      </c>
      <c r="J155" s="160">
        <v>1</v>
      </c>
      <c r="K155" s="205">
        <v>0.1</v>
      </c>
      <c r="L155" s="188">
        <v>1.018318E-3</v>
      </c>
      <c r="M155" s="208">
        <v>1018318</v>
      </c>
      <c r="N155" s="195">
        <v>3.0996027139304373E-3</v>
      </c>
      <c r="O155" s="211">
        <v>3.0152406701256098E-2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93"/>
      <c r="I156" s="124" t="str">
        <f t="shared" si="5"/>
        <v>(80, 90]</v>
      </c>
      <c r="J156" s="160">
        <v>1</v>
      </c>
      <c r="K156" s="205">
        <v>2</v>
      </c>
      <c r="L156" s="188">
        <v>4.78562E-3</v>
      </c>
      <c r="M156" s="208">
        <v>4785620</v>
      </c>
      <c r="N156" s="195">
        <v>1.456668814637449E-2</v>
      </c>
      <c r="O156" s="211">
        <v>0.15997622007838566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93"/>
      <c r="I157" s="124" t="str">
        <f t="shared" si="5"/>
        <v>(90, 100]</v>
      </c>
      <c r="J157" s="160">
        <v>1</v>
      </c>
      <c r="K157" s="205">
        <v>0.1</v>
      </c>
      <c r="L157" s="188">
        <v>8.2667799999999996E-4</v>
      </c>
      <c r="M157" s="208">
        <v>826678</v>
      </c>
      <c r="N157" s="195">
        <v>2.5162801525128553E-3</v>
      </c>
      <c r="O157" s="211">
        <v>3.1173744725171655E-2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93"/>
      <c r="I158" s="124" t="str">
        <f t="shared" si="5"/>
        <v>(100, 120]</v>
      </c>
      <c r="J158" s="160">
        <v>1</v>
      </c>
      <c r="K158" s="205">
        <v>0.1</v>
      </c>
      <c r="L158" s="188">
        <v>6.6284300000000009E-4</v>
      </c>
      <c r="M158" s="208">
        <v>662843</v>
      </c>
      <c r="N158" s="195">
        <v>2.0175917166443025E-3</v>
      </c>
      <c r="O158" s="211">
        <v>2.9458748543417176E-2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93"/>
      <c r="I159" s="124" t="str">
        <f t="shared" si="5"/>
        <v>(120, 140]</v>
      </c>
      <c r="J159" s="160">
        <v>1</v>
      </c>
      <c r="K159" s="205">
        <v>0.1</v>
      </c>
      <c r="L159" s="188">
        <v>2.3970799999999999E-4</v>
      </c>
      <c r="M159" s="208">
        <v>239708</v>
      </c>
      <c r="N159" s="195">
        <v>7.2963412936905491E-4</v>
      </c>
      <c r="O159" s="211">
        <v>1.2078324623333777E-2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93"/>
      <c r="I160" s="124" t="str">
        <f t="shared" si="5"/>
        <v>(140, 160]</v>
      </c>
      <c r="J160" s="160">
        <v>1</v>
      </c>
      <c r="K160" s="205">
        <v>0.1</v>
      </c>
      <c r="L160" s="188">
        <v>7.8168200000000012E-4</v>
      </c>
      <c r="M160" s="208">
        <v>781682</v>
      </c>
      <c r="N160" s="195">
        <v>2.3793192780944381E-3</v>
      </c>
      <c r="O160" s="211">
        <v>4.6012088857850866E-2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93"/>
      <c r="I161" s="124" t="str">
        <f t="shared" si="5"/>
        <v>(160, 180]</v>
      </c>
      <c r="J161" s="160">
        <v>1</v>
      </c>
      <c r="K161" s="205">
        <v>1</v>
      </c>
      <c r="L161" s="188">
        <v>2.1941999999999999E-3</v>
      </c>
      <c r="M161" s="208">
        <v>2194200</v>
      </c>
      <c r="N161" s="195">
        <v>6.6788059082783227E-3</v>
      </c>
      <c r="O161" s="211">
        <v>0.1458575517538743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93"/>
      <c r="I162" s="124" t="str">
        <f t="shared" si="5"/>
        <v>(180, 200]</v>
      </c>
      <c r="J162" s="160">
        <v>1</v>
      </c>
      <c r="K162" s="205">
        <v>0.1</v>
      </c>
      <c r="L162" s="188">
        <v>7.8658400000000011E-4</v>
      </c>
      <c r="M162" s="208">
        <v>786584</v>
      </c>
      <c r="N162" s="195">
        <v>2.3942402089860526E-3</v>
      </c>
      <c r="O162" s="211">
        <v>5.9505886890133169E-2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93"/>
      <c r="I163" s="124" t="str">
        <f t="shared" si="5"/>
        <v>(200, 250]</v>
      </c>
      <c r="J163" s="160">
        <v>1</v>
      </c>
      <c r="K163" s="205">
        <v>0.342665</v>
      </c>
      <c r="L163" s="188">
        <v>2.1872032818E-3</v>
      </c>
      <c r="M163" s="208">
        <v>2187203</v>
      </c>
      <c r="N163" s="195">
        <v>6.6575081209571015E-3</v>
      </c>
      <c r="O163" s="211">
        <v>0.19449414379587535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80422</v>
      </c>
      <c r="D185" s="167">
        <v>60431077900</v>
      </c>
      <c r="E185" s="190">
        <f t="shared" si="4"/>
        <v>939.28088551640099</v>
      </c>
      <c r="F185" s="191">
        <v>8.0422000000000002E-4</v>
      </c>
      <c r="G185" s="192">
        <v>0.75538847375000007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/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3:15" ht="16.8" thickBot="1">
      <c r="M193" s="114"/>
      <c r="N193" s="164" t="s">
        <v>181</v>
      </c>
      <c r="O193" s="219" t="s">
        <v>180</v>
      </c>
    </row>
    <row r="194" spans="13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3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3:15" ht="16.8" thickBot="1">
      <c r="M196" s="114" t="s">
        <v>177</v>
      </c>
      <c r="N196" s="184">
        <f>N131</f>
        <v>3500000</v>
      </c>
      <c r="O196" s="165"/>
    </row>
  </sheetData>
  <phoneticPr fontId="2" type="noConversion"/>
  <conditionalFormatting sqref="J4:O61 C4:G61">
    <cfRule type="cellIs" dxfId="87" priority="21" operator="equal">
      <formula>0</formula>
    </cfRule>
  </conditionalFormatting>
  <conditionalFormatting sqref="J135:O185 J134:L134 N134:O134 C135:G185 D134:G134">
    <cfRule type="cellIs" dxfId="86" priority="19" operator="equal">
      <formula>0</formula>
    </cfRule>
  </conditionalFormatting>
  <conditionalFormatting sqref="C70:D120 J70:O120 K69:L69 N69:O69 F69:G120 D69">
    <cfRule type="cellIs" dxfId="85" priority="20" operator="equal">
      <formula>0</formula>
    </cfRule>
  </conditionalFormatting>
  <conditionalFormatting sqref="M134">
    <cfRule type="cellIs" dxfId="84" priority="17" operator="equal">
      <formula>0</formula>
    </cfRule>
  </conditionalFormatting>
  <conditionalFormatting sqref="E69:E120">
    <cfRule type="cellIs" dxfId="83" priority="15" operator="equal">
      <formula>0</formula>
    </cfRule>
  </conditionalFormatting>
  <conditionalFormatting sqref="M69">
    <cfRule type="cellIs" dxfId="82" priority="14" operator="equal">
      <formula>0</formula>
    </cfRule>
  </conditionalFormatting>
  <conditionalFormatting sqref="J69">
    <cfRule type="cellIs" dxfId="81" priority="13" operator="equal">
      <formula>0</formula>
    </cfRule>
  </conditionalFormatting>
  <conditionalFormatting sqref="O4:O6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0" priority="10" operator="equal">
      <formula>0</formula>
    </cfRule>
  </conditionalFormatting>
  <conditionalFormatting sqref="O121:O1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79" priority="7" operator="equal">
      <formula>0</formula>
    </cfRule>
  </conditionalFormatting>
  <conditionalFormatting sqref="O186:O19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8" priority="3" operator="equal">
      <formula>0</formula>
    </cfRule>
  </conditionalFormatting>
  <conditionalFormatting sqref="C134">
    <cfRule type="cellIs" dxfId="77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5" t="s">
        <v>138</v>
      </c>
      <c r="B1" s="325"/>
      <c r="C1" s="325"/>
      <c r="D1" s="325"/>
      <c r="E1" s="325"/>
      <c r="F1" s="325"/>
      <c r="G1" s="1"/>
      <c r="H1" s="325" t="s">
        <v>139</v>
      </c>
      <c r="I1" s="325"/>
      <c r="J1" s="325"/>
      <c r="K1" s="325"/>
      <c r="L1" s="325"/>
      <c r="M1" s="325"/>
      <c r="N1" s="1"/>
      <c r="O1" s="325" t="s">
        <v>140</v>
      </c>
      <c r="P1" s="325"/>
      <c r="Q1" s="325"/>
      <c r="R1" s="325"/>
      <c r="S1" s="325"/>
      <c r="T1" s="325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313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391</v>
      </c>
      <c r="BQ3" s="29">
        <f t="shared" ref="BQ3" ca="1" si="12">OFFSET(BM$2,COUNTA(BM$3:BM$211),0)</f>
        <v>100</v>
      </c>
      <c r="BR3" s="65"/>
      <c r="BS3" s="29">
        <f ca="1">OFFSET(BK$2,COUNTA(BK$3:BK$211)-1,0)</f>
        <v>277</v>
      </c>
      <c r="BT3" s="29">
        <f t="shared" ref="BT3" ca="1" si="13">OFFSET(BL$2,COUNTA(BL$3:BL$211)-1,0)</f>
        <v>469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277</v>
      </c>
      <c r="BL4" s="29">
        <v>391</v>
      </c>
      <c r="BM4" s="29">
        <v>453</v>
      </c>
      <c r="BN4" s="65"/>
      <c r="BO4" s="29">
        <f>IF(BK3="","",BK3)</f>
        <v>100</v>
      </c>
      <c r="BP4" s="29">
        <f t="shared" ref="BP4:BP67" si="37">IF(BL3="","",BL3)</f>
        <v>313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391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231</v>
      </c>
      <c r="BL5" s="29">
        <v>469</v>
      </c>
      <c r="BM5" s="29">
        <v>378</v>
      </c>
      <c r="BN5" s="65"/>
      <c r="BO5" s="29">
        <f t="shared" ref="BO5:BO68" si="51">IF(BK4="","",BK4)</f>
        <v>277</v>
      </c>
      <c r="BP5" s="29">
        <f t="shared" si="37"/>
        <v>391</v>
      </c>
      <c r="BQ5" s="29">
        <f t="shared" si="38"/>
        <v>453</v>
      </c>
      <c r="BR5" s="65"/>
      <c r="BS5" s="29">
        <f>IF(BK3="","",BK3)</f>
        <v>100</v>
      </c>
      <c r="BT5" s="29">
        <f t="shared" ref="BT5:BT68" si="52">IF(BL3="","",BL3)</f>
        <v>313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185</v>
      </c>
      <c r="BL6" s="29">
        <v>100</v>
      </c>
      <c r="BM6" s="29">
        <v>302</v>
      </c>
      <c r="BN6" s="65"/>
      <c r="BO6" s="29">
        <f t="shared" si="51"/>
        <v>231</v>
      </c>
      <c r="BP6" s="29">
        <f t="shared" si="37"/>
        <v>469</v>
      </c>
      <c r="BQ6" s="29">
        <f t="shared" si="38"/>
        <v>378</v>
      </c>
      <c r="BR6" s="65"/>
      <c r="BS6" s="29">
        <f t="shared" ref="BS6:BS69" si="59">IF(BK4="","",BK4)</f>
        <v>277</v>
      </c>
      <c r="BT6" s="29">
        <f t="shared" si="52"/>
        <v>391</v>
      </c>
      <c r="BU6" s="29">
        <f t="shared" si="53"/>
        <v>453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231</v>
      </c>
      <c r="BL7" s="29">
        <v>100</v>
      </c>
      <c r="BM7" s="29">
        <v>378</v>
      </c>
      <c r="BN7" s="65"/>
      <c r="BO7" s="29">
        <f t="shared" si="51"/>
        <v>185</v>
      </c>
      <c r="BP7" s="29">
        <f t="shared" si="37"/>
        <v>100</v>
      </c>
      <c r="BQ7" s="29">
        <f t="shared" si="38"/>
        <v>302</v>
      </c>
      <c r="BR7" s="65"/>
      <c r="BS7" s="29">
        <f t="shared" si="59"/>
        <v>231</v>
      </c>
      <c r="BT7" s="29">
        <f t="shared" si="52"/>
        <v>469</v>
      </c>
      <c r="BU7" s="29">
        <f t="shared" si="53"/>
        <v>378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277</v>
      </c>
      <c r="BL8" s="29">
        <v>100</v>
      </c>
      <c r="BM8" s="29">
        <v>453</v>
      </c>
      <c r="BN8" s="65"/>
      <c r="BO8" s="29">
        <f t="shared" si="51"/>
        <v>231</v>
      </c>
      <c r="BP8" s="29">
        <f t="shared" si="37"/>
        <v>100</v>
      </c>
      <c r="BQ8" s="29">
        <f t="shared" si="38"/>
        <v>378</v>
      </c>
      <c r="BR8" s="65"/>
      <c r="BS8" s="29">
        <f t="shared" si="59"/>
        <v>185</v>
      </c>
      <c r="BT8" s="29">
        <f t="shared" si="52"/>
        <v>100</v>
      </c>
      <c r="BU8" s="29">
        <f t="shared" si="53"/>
        <v>302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277</v>
      </c>
      <c r="BP9" s="29">
        <f t="shared" si="37"/>
        <v>100</v>
      </c>
      <c r="BQ9" s="29">
        <f t="shared" si="38"/>
        <v>453</v>
      </c>
      <c r="BR9" s="65"/>
      <c r="BS9" s="29">
        <f t="shared" si="59"/>
        <v>231</v>
      </c>
      <c r="BT9" s="29">
        <f t="shared" si="52"/>
        <v>100</v>
      </c>
      <c r="BU9" s="29">
        <f t="shared" si="53"/>
        <v>378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277</v>
      </c>
      <c r="BT10" s="29">
        <f t="shared" si="52"/>
        <v>100</v>
      </c>
      <c r="BU10" s="29">
        <f t="shared" si="53"/>
        <v>453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469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391</v>
      </c>
      <c r="BM24" s="29">
        <v>100</v>
      </c>
      <c r="BN24" s="65"/>
      <c r="BO24" s="29">
        <f t="shared" si="51"/>
        <v>100</v>
      </c>
      <c r="BP24" s="29">
        <f t="shared" si="37"/>
        <v>469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313</v>
      </c>
      <c r="BM25" s="29">
        <v>100</v>
      </c>
      <c r="BN25" s="65"/>
      <c r="BO25" s="29">
        <f t="shared" si="51"/>
        <v>100</v>
      </c>
      <c r="BP25" s="29">
        <f t="shared" si="37"/>
        <v>391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469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391</v>
      </c>
      <c r="BM26" s="29">
        <v>100</v>
      </c>
      <c r="BN26" s="65"/>
      <c r="BO26" s="29">
        <f t="shared" si="51"/>
        <v>100</v>
      </c>
      <c r="BP26" s="29">
        <f t="shared" si="37"/>
        <v>313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391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6" t="s">
        <v>145</v>
      </c>
      <c r="B27" s="326"/>
      <c r="C27" s="326"/>
      <c r="D27" s="326"/>
      <c r="E27" s="326"/>
      <c r="F27" s="326"/>
      <c r="H27" s="326" t="s">
        <v>146</v>
      </c>
      <c r="I27" s="326"/>
      <c r="J27" s="326"/>
      <c r="K27" s="326"/>
      <c r="L27" s="326"/>
      <c r="M27" s="326"/>
      <c r="O27" s="326" t="s">
        <v>147</v>
      </c>
      <c r="P27" s="326"/>
      <c r="Q27" s="326"/>
      <c r="R27" s="326"/>
      <c r="S27" s="326"/>
      <c r="T27" s="326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469</v>
      </c>
      <c r="BM27" s="29">
        <v>100</v>
      </c>
      <c r="BN27" s="65"/>
      <c r="BO27" s="29">
        <f t="shared" si="51"/>
        <v>100</v>
      </c>
      <c r="BP27" s="29">
        <f t="shared" si="37"/>
        <v>391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313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469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391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469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453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378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453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302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378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453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378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302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378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453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378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302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453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378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453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277</v>
      </c>
      <c r="BL51" s="29">
        <v>469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231</v>
      </c>
      <c r="BL52" s="29">
        <v>391</v>
      </c>
      <c r="BM52" s="29">
        <v>100</v>
      </c>
      <c r="BN52" s="65"/>
      <c r="BO52" s="29">
        <f t="shared" si="51"/>
        <v>277</v>
      </c>
      <c r="BP52" s="29">
        <f t="shared" si="37"/>
        <v>469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3" t="s">
        <v>148</v>
      </c>
      <c r="B53" s="323"/>
      <c r="C53" s="323"/>
      <c r="D53" s="323"/>
      <c r="E53" s="323"/>
      <c r="F53" s="323"/>
      <c r="H53" s="323" t="s">
        <v>149</v>
      </c>
      <c r="I53" s="323"/>
      <c r="J53" s="323"/>
      <c r="K53" s="323"/>
      <c r="L53" s="323"/>
      <c r="M53" s="323"/>
      <c r="O53" s="323" t="s">
        <v>150</v>
      </c>
      <c r="P53" s="323"/>
      <c r="Q53" s="323"/>
      <c r="R53" s="323"/>
      <c r="S53" s="323"/>
      <c r="T53" s="323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185</v>
      </c>
      <c r="BL53" s="29">
        <v>313</v>
      </c>
      <c r="BM53" s="29">
        <v>100</v>
      </c>
      <c r="BN53" s="65"/>
      <c r="BO53" s="29">
        <f t="shared" si="51"/>
        <v>231</v>
      </c>
      <c r="BP53" s="29">
        <f t="shared" si="37"/>
        <v>391</v>
      </c>
      <c r="BQ53" s="29">
        <f t="shared" si="38"/>
        <v>100</v>
      </c>
      <c r="BR53" s="65"/>
      <c r="BS53" s="29">
        <f t="shared" si="59"/>
        <v>277</v>
      </c>
      <c r="BT53" s="29">
        <f t="shared" si="52"/>
        <v>469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231</v>
      </c>
      <c r="BL54" s="29">
        <v>391</v>
      </c>
      <c r="BM54" s="29">
        <v>100</v>
      </c>
      <c r="BN54" s="65"/>
      <c r="BO54" s="29">
        <f t="shared" si="51"/>
        <v>185</v>
      </c>
      <c r="BP54" s="29">
        <f t="shared" si="37"/>
        <v>313</v>
      </c>
      <c r="BQ54" s="29">
        <f t="shared" si="38"/>
        <v>100</v>
      </c>
      <c r="BR54" s="65"/>
      <c r="BS54" s="29">
        <f t="shared" si="59"/>
        <v>231</v>
      </c>
      <c r="BT54" s="29">
        <f t="shared" si="52"/>
        <v>391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277</v>
      </c>
      <c r="BL55" s="29">
        <v>469</v>
      </c>
      <c r="BM55" s="29">
        <v>100</v>
      </c>
      <c r="BN55" s="65"/>
      <c r="BO55" s="29">
        <f t="shared" si="51"/>
        <v>231</v>
      </c>
      <c r="BP55" s="29">
        <f t="shared" si="37"/>
        <v>391</v>
      </c>
      <c r="BQ55" s="29">
        <f t="shared" si="38"/>
        <v>100</v>
      </c>
      <c r="BR55" s="65"/>
      <c r="BS55" s="29">
        <f t="shared" si="59"/>
        <v>185</v>
      </c>
      <c r="BT55" s="29">
        <f t="shared" si="52"/>
        <v>313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277</v>
      </c>
      <c r="BP56" s="29">
        <f t="shared" si="37"/>
        <v>469</v>
      </c>
      <c r="BQ56" s="29">
        <f t="shared" si="38"/>
        <v>100</v>
      </c>
      <c r="BR56" s="65"/>
      <c r="BS56" s="29">
        <f t="shared" si="59"/>
        <v>231</v>
      </c>
      <c r="BT56" s="29">
        <f t="shared" si="52"/>
        <v>391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277</v>
      </c>
      <c r="BT57" s="29">
        <f t="shared" si="52"/>
        <v>469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469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391</v>
      </c>
      <c r="BM72" s="29">
        <v>100</v>
      </c>
      <c r="BO72" s="29">
        <f t="shared" si="97"/>
        <v>100</v>
      </c>
      <c r="BP72" s="29">
        <f t="shared" si="86"/>
        <v>469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313</v>
      </c>
      <c r="BM73" s="29">
        <v>100</v>
      </c>
      <c r="BO73" s="29">
        <f t="shared" si="97"/>
        <v>100</v>
      </c>
      <c r="BP73" s="29">
        <f t="shared" si="86"/>
        <v>391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469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391</v>
      </c>
      <c r="BM74" s="29">
        <v>100</v>
      </c>
      <c r="BO74" s="29">
        <f t="shared" si="97"/>
        <v>100</v>
      </c>
      <c r="BP74" s="29">
        <f t="shared" si="86"/>
        <v>313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391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469</v>
      </c>
      <c r="BM75" s="29">
        <v>100</v>
      </c>
      <c r="BO75" s="29">
        <f t="shared" si="97"/>
        <v>100</v>
      </c>
      <c r="BP75" s="29">
        <f t="shared" si="86"/>
        <v>391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313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469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391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469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4" t="s">
        <v>151</v>
      </c>
      <c r="B79" s="324"/>
      <c r="C79" s="324"/>
      <c r="D79" s="324"/>
      <c r="E79" s="324"/>
      <c r="F79" s="324"/>
      <c r="H79" s="324" t="s">
        <v>152</v>
      </c>
      <c r="I79" s="324"/>
      <c r="J79" s="324"/>
      <c r="K79" s="324"/>
      <c r="L79" s="324"/>
      <c r="M79" s="324"/>
      <c r="O79" s="324" t="s">
        <v>153</v>
      </c>
      <c r="P79" s="324"/>
      <c r="Q79" s="324"/>
      <c r="R79" s="324"/>
      <c r="S79" s="324"/>
      <c r="T79" s="324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2079</v>
      </c>
      <c r="D81" s="77">
        <f t="shared" ref="D81:E81" si="106">SUMIF(X$3:X$211, $A81, BL$3:BL$211)</f>
        <v>8211</v>
      </c>
      <c r="E81" s="77">
        <f t="shared" si="106"/>
        <v>7931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1941</v>
      </c>
      <c r="K81" s="77">
        <f t="shared" ref="K81:L81" ca="1" si="107">SUMIF(X$3:X$211, $H81, BP$3:BP$211)</f>
        <v>7665</v>
      </c>
      <c r="L81" s="77">
        <f t="shared" si="107"/>
        <v>7406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2079</v>
      </c>
      <c r="R81" s="77">
        <f t="shared" ref="R81:S81" ca="1" si="108">SUMIF(X$3:X$211, $H81, BT$3:BT$211)</f>
        <v>8211</v>
      </c>
      <c r="S81" s="77">
        <f t="shared" si="108"/>
        <v>7931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2931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2653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3331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3338</v>
      </c>
      <c r="L83" s="70">
        <f t="shared" si="114"/>
        <v>3053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3920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3160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2869</v>
      </c>
      <c r="L84" s="70">
        <f t="shared" si="114"/>
        <v>3153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3431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5640</v>
      </c>
      <c r="E85" s="70">
        <f t="shared" si="111"/>
        <v>2931</v>
      </c>
      <c r="F85" s="58">
        <v>4</v>
      </c>
      <c r="H85" s="78" t="str">
        <v>A</v>
      </c>
      <c r="I85" s="58" t="str">
        <v>A</v>
      </c>
      <c r="J85" s="79">
        <f t="shared" si="112"/>
        <v>2154</v>
      </c>
      <c r="K85" s="70">
        <f t="shared" si="113"/>
        <v>4845</v>
      </c>
      <c r="L85" s="70">
        <f t="shared" si="114"/>
        <v>3006</v>
      </c>
      <c r="M85" s="58">
        <v>4</v>
      </c>
      <c r="O85" s="78" t="str">
        <v>A</v>
      </c>
      <c r="P85" s="58" t="str">
        <v>A</v>
      </c>
      <c r="Q85" s="79">
        <f t="shared" si="115"/>
        <v>2416</v>
      </c>
      <c r="R85" s="70">
        <f t="shared" si="116"/>
        <v>3660</v>
      </c>
      <c r="S85" s="70">
        <f t="shared" si="117"/>
        <v>2931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2208</v>
      </c>
      <c r="D86" s="70">
        <f t="shared" si="110"/>
        <v>4120</v>
      </c>
      <c r="E86" s="70">
        <f t="shared" si="111"/>
        <v>3962</v>
      </c>
      <c r="F86" s="58">
        <v>5</v>
      </c>
      <c r="H86" s="78" t="str">
        <v>K</v>
      </c>
      <c r="I86" s="58" t="str">
        <v>K</v>
      </c>
      <c r="J86" s="79">
        <f t="shared" si="112"/>
        <v>2077</v>
      </c>
      <c r="K86" s="70">
        <f t="shared" si="113"/>
        <v>3538</v>
      </c>
      <c r="L86" s="70">
        <f t="shared" si="114"/>
        <v>3406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2008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1877</v>
      </c>
      <c r="K87" s="70">
        <f t="shared" si="113"/>
        <v>4007</v>
      </c>
      <c r="L87" s="70">
        <f t="shared" si="114"/>
        <v>3406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4880</v>
      </c>
      <c r="S87" s="70">
        <f t="shared" si="117"/>
        <v>3962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2208</v>
      </c>
      <c r="D88" s="70">
        <f t="shared" si="110"/>
        <v>2600</v>
      </c>
      <c r="E88" s="70">
        <f t="shared" si="111"/>
        <v>3962</v>
      </c>
      <c r="F88" s="58">
        <v>7</v>
      </c>
      <c r="H88" s="78" t="str">
        <v>J</v>
      </c>
      <c r="I88" s="58" t="str">
        <v>J</v>
      </c>
      <c r="J88" s="79">
        <f t="shared" ca="1" si="112"/>
        <v>2254</v>
      </c>
      <c r="K88" s="70">
        <f t="shared" si="113"/>
        <v>2969</v>
      </c>
      <c r="L88" s="70">
        <f t="shared" si="114"/>
        <v>4465</v>
      </c>
      <c r="M88" s="58">
        <v>7</v>
      </c>
      <c r="O88" s="78" t="str">
        <v>J</v>
      </c>
      <c r="P88" s="58" t="str">
        <v>J</v>
      </c>
      <c r="Q88" s="79">
        <f t="shared" ca="1" si="115"/>
        <v>2208</v>
      </c>
      <c r="R88" s="70">
        <f t="shared" si="116"/>
        <v>3260</v>
      </c>
      <c r="S88" s="70">
        <f t="shared" si="117"/>
        <v>4593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14403</v>
      </c>
      <c r="D92" s="155">
        <f>SUM(D81:D91)</f>
        <v>31631</v>
      </c>
      <c r="E92" s="155">
        <f>SUM(E81:E91)</f>
        <v>30548</v>
      </c>
      <c r="F92" s="155"/>
      <c r="H92" s="60" t="s">
        <v>10</v>
      </c>
      <c r="I92" s="155"/>
      <c r="J92" s="155">
        <f ca="1">SUM(J81:J91)</f>
        <v>14403</v>
      </c>
      <c r="K92" s="155">
        <f ca="1">SUM(K81:K91)</f>
        <v>31631</v>
      </c>
      <c r="L92" s="155">
        <f ca="1">SUM(L81:L91)</f>
        <v>30548</v>
      </c>
      <c r="M92" s="155"/>
      <c r="O92" s="60" t="s">
        <v>10</v>
      </c>
      <c r="P92" s="155"/>
      <c r="Q92" s="155">
        <f ca="1">SUM(Q81:Q91)</f>
        <v>14403</v>
      </c>
      <c r="R92" s="155">
        <f ca="1">SUM(R81:R91)</f>
        <v>31631</v>
      </c>
      <c r="S92" s="155">
        <f ca="1">SUM(S81:S91)</f>
        <v>30548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14403</v>
      </c>
      <c r="D96" s="155">
        <f>SUM(D81:D91)</f>
        <v>31631</v>
      </c>
      <c r="E96" s="84">
        <f>SUM(E81:E91)</f>
        <v>30548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14403</v>
      </c>
      <c r="K96" s="155">
        <f ca="1">SUM(K81:K91)</f>
        <v>31631</v>
      </c>
      <c r="L96" s="84">
        <f ca="1">SUM(L81:L91)</f>
        <v>30548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14403</v>
      </c>
      <c r="R96" s="155">
        <f ca="1">SUM(R81:R91)</f>
        <v>31631</v>
      </c>
      <c r="S96" s="84">
        <f ca="1">SUM(S81:S91)</f>
        <v>30548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3479</v>
      </c>
      <c r="D97" s="155">
        <f>D$81+D$82</f>
        <v>10611</v>
      </c>
      <c r="E97" s="84">
        <f>E$81+E$82</f>
        <v>10862</v>
      </c>
      <c r="F97" s="69"/>
      <c r="H97" s="78" t="str">
        <v>W1</v>
      </c>
      <c r="I97" s="48" t="str">
        <v>WW,M1</v>
      </c>
      <c r="J97" s="155">
        <f>J$81+J$82</f>
        <v>3341</v>
      </c>
      <c r="K97" s="155">
        <f ca="1">K$81+K$82</f>
        <v>10065</v>
      </c>
      <c r="L97" s="84">
        <f ca="1">L$81+L$82</f>
        <v>10059</v>
      </c>
      <c r="M97" s="69"/>
      <c r="O97" s="78" t="str">
        <v>W1</v>
      </c>
      <c r="P97" s="48" t="str">
        <v>WW,M1</v>
      </c>
      <c r="Q97" s="155">
        <f>Q$81+Q$82</f>
        <v>3479</v>
      </c>
      <c r="R97" s="155">
        <f ca="1">R$81+R$82</f>
        <v>10611</v>
      </c>
      <c r="S97" s="84">
        <f ca="1">S$81+S$82</f>
        <v>10231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3379</v>
      </c>
      <c r="D98" s="155">
        <f>D$81+D$83</f>
        <v>10811</v>
      </c>
      <c r="E98" s="84">
        <f>E$81+E$83</f>
        <v>11262</v>
      </c>
      <c r="F98" s="69"/>
      <c r="H98" s="78" t="str">
        <v>W2</v>
      </c>
      <c r="I98" s="48" t="str">
        <v>WW,M2</v>
      </c>
      <c r="J98" s="155">
        <f>J$81+J$83</f>
        <v>3241</v>
      </c>
      <c r="K98" s="155">
        <f ca="1">K$81+K$83</f>
        <v>11003</v>
      </c>
      <c r="L98" s="84">
        <f>L$81+L$83</f>
        <v>10459</v>
      </c>
      <c r="M98" s="69"/>
      <c r="O98" s="78" t="str">
        <v>W2</v>
      </c>
      <c r="P98" s="48" t="str">
        <v>WW,M2</v>
      </c>
      <c r="Q98" s="155">
        <f>Q$81+Q$83</f>
        <v>3379</v>
      </c>
      <c r="R98" s="155">
        <f ca="1">R$81+R$83</f>
        <v>12131</v>
      </c>
      <c r="S98" s="84">
        <f>S$81+S$83</f>
        <v>10631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3479</v>
      </c>
      <c r="D99" s="155">
        <f>D$81+D$84</f>
        <v>11371</v>
      </c>
      <c r="E99" s="84">
        <f>E$81+E$84</f>
        <v>10731</v>
      </c>
      <c r="F99" s="69"/>
      <c r="H99" s="78" t="str">
        <v>W3</v>
      </c>
      <c r="I99" s="48" t="str">
        <v>WW,M3</v>
      </c>
      <c r="J99" s="155">
        <f>J$81+J$84</f>
        <v>3341</v>
      </c>
      <c r="K99" s="155">
        <f ca="1">K$81+K$84</f>
        <v>10534</v>
      </c>
      <c r="L99" s="84">
        <f>L$81+L$84</f>
        <v>10559</v>
      </c>
      <c r="M99" s="69"/>
      <c r="O99" s="78" t="str">
        <v>W3</v>
      </c>
      <c r="P99" s="48" t="str">
        <v>WW,M3</v>
      </c>
      <c r="Q99" s="155">
        <f>Q$81+Q$84</f>
        <v>3479</v>
      </c>
      <c r="R99" s="155">
        <f ca="1">R$81+R$84</f>
        <v>10711</v>
      </c>
      <c r="S99" s="84">
        <f>S$81+S$84</f>
        <v>11362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3879</v>
      </c>
      <c r="D100" s="155">
        <f>D$81+D$85</f>
        <v>13851</v>
      </c>
      <c r="E100" s="84">
        <f>E$81+E$85</f>
        <v>10862</v>
      </c>
      <c r="F100" s="69"/>
      <c r="H100" s="78" t="str">
        <v>WA</v>
      </c>
      <c r="I100" s="48" t="str">
        <v>WW,A</v>
      </c>
      <c r="J100" s="155">
        <f>J$81+J$85</f>
        <v>4095</v>
      </c>
      <c r="K100" s="155">
        <f ca="1">K$81+K$85</f>
        <v>12510</v>
      </c>
      <c r="L100" s="84">
        <f>L$81+L$85</f>
        <v>10412</v>
      </c>
      <c r="M100" s="69"/>
      <c r="O100" s="78" t="str">
        <v>WA</v>
      </c>
      <c r="P100" s="48" t="str">
        <v>WW,A</v>
      </c>
      <c r="Q100" s="155">
        <f>Q$81+Q$85</f>
        <v>4495</v>
      </c>
      <c r="R100" s="155">
        <f ca="1">R$81+R$85</f>
        <v>11871</v>
      </c>
      <c r="S100" s="84">
        <f>S$81+S$85</f>
        <v>10862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4287</v>
      </c>
      <c r="D101" s="155">
        <f>D$81+D$86</f>
        <v>12331</v>
      </c>
      <c r="E101" s="84">
        <f>E$81+E$86</f>
        <v>11893</v>
      </c>
      <c r="F101" s="69"/>
      <c r="H101" s="78" t="str">
        <v>WK</v>
      </c>
      <c r="I101" s="48" t="str">
        <v>WW,K</v>
      </c>
      <c r="J101" s="155">
        <f>J$81+J$86</f>
        <v>4018</v>
      </c>
      <c r="K101" s="155">
        <f ca="1">K$81+K$86</f>
        <v>11203</v>
      </c>
      <c r="L101" s="84">
        <f>L$81+L$86</f>
        <v>10812</v>
      </c>
      <c r="M101" s="69"/>
      <c r="O101" s="78" t="str">
        <v>WK</v>
      </c>
      <c r="P101" s="48" t="str">
        <v>WW,K</v>
      </c>
      <c r="Q101" s="155">
        <f ca="1">Q$81+Q$86</f>
        <v>3979</v>
      </c>
      <c r="R101" s="155">
        <f ca="1">R$81+R$86</f>
        <v>11011</v>
      </c>
      <c r="S101" s="84">
        <f>S$81+S$86</f>
        <v>10631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4087</v>
      </c>
      <c r="D102" s="155">
        <f>D$81+D$87</f>
        <v>11111</v>
      </c>
      <c r="E102" s="84">
        <f>E$81+E$87</f>
        <v>10631</v>
      </c>
      <c r="F102" s="69"/>
      <c r="H102" s="78" t="str">
        <v>WQ</v>
      </c>
      <c r="I102" s="48" t="str">
        <v>WW,Q</v>
      </c>
      <c r="J102" s="155">
        <f>J$81+J$87</f>
        <v>3818</v>
      </c>
      <c r="K102" s="155">
        <f ca="1">K$81+K$87</f>
        <v>11672</v>
      </c>
      <c r="L102" s="84">
        <f>L$81+L$87</f>
        <v>10812</v>
      </c>
      <c r="M102" s="69"/>
      <c r="O102" s="78" t="str">
        <v>WQ</v>
      </c>
      <c r="P102" s="48" t="str">
        <v>WW,Q</v>
      </c>
      <c r="Q102" s="155">
        <f>Q$81+Q$87</f>
        <v>3779</v>
      </c>
      <c r="R102" s="155">
        <f ca="1">R$81+R$87</f>
        <v>13091</v>
      </c>
      <c r="S102" s="84">
        <f>S$81+S$87</f>
        <v>11893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4287</v>
      </c>
      <c r="D103" s="154">
        <f>D$81+D$88</f>
        <v>10811</v>
      </c>
      <c r="E103" s="17">
        <f>E$81+E$88</f>
        <v>11893</v>
      </c>
      <c r="F103" s="69"/>
      <c r="H103" s="73" t="str">
        <v>WJ</v>
      </c>
      <c r="I103" s="53" t="str">
        <v>WW,J</v>
      </c>
      <c r="J103" s="154">
        <f ca="1">J$81+J$88</f>
        <v>4195</v>
      </c>
      <c r="K103" s="154">
        <f ca="1">K$81+K$88</f>
        <v>10634</v>
      </c>
      <c r="L103" s="17">
        <f>L$81+L$88</f>
        <v>11871</v>
      </c>
      <c r="M103" s="69"/>
      <c r="O103" s="73" t="str">
        <v>WJ</v>
      </c>
      <c r="P103" s="53" t="str">
        <v>WW,J</v>
      </c>
      <c r="Q103" s="154">
        <f ca="1">Q$81+Q$88</f>
        <v>4287</v>
      </c>
      <c r="R103" s="154">
        <f ca="1">R$81+R$88</f>
        <v>11471</v>
      </c>
      <c r="S103" s="17">
        <f>S$81+S$88</f>
        <v>12524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277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231</v>
      </c>
      <c r="BL121" s="29">
        <v>100</v>
      </c>
      <c r="BM121" s="29">
        <v>100</v>
      </c>
      <c r="BO121" s="29">
        <f t="shared" si="97"/>
        <v>277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185</v>
      </c>
      <c r="BL122" s="29">
        <v>100</v>
      </c>
      <c r="BM122" s="29">
        <v>100</v>
      </c>
      <c r="BO122" s="29">
        <f t="shared" si="97"/>
        <v>231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277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231</v>
      </c>
      <c r="BL123" s="29">
        <v>100</v>
      </c>
      <c r="BM123" s="29">
        <v>100</v>
      </c>
      <c r="BO123" s="29">
        <f t="shared" si="97"/>
        <v>185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231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277</v>
      </c>
      <c r="BL124" s="29">
        <v>100</v>
      </c>
      <c r="BM124" s="29">
        <v>100</v>
      </c>
      <c r="BO124" s="29">
        <f t="shared" si="97"/>
        <v>231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185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277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231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277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453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378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453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302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378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453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378</v>
      </c>
      <c r="BO134" s="29" t="str">
        <f t="shared" si="136"/>
        <v/>
      </c>
      <c r="BP134" s="29">
        <f t="shared" si="125"/>
        <v>100</v>
      </c>
      <c r="BQ134" s="29">
        <f t="shared" si="126"/>
        <v>302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378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453</v>
      </c>
      <c r="BO135" s="29" t="str">
        <f t="shared" si="136"/>
        <v/>
      </c>
      <c r="BP135" s="29">
        <f t="shared" si="125"/>
        <v>100</v>
      </c>
      <c r="BQ135" s="29">
        <f t="shared" si="126"/>
        <v>378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302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453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378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453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469</v>
      </c>
      <c r="BM142" s="29">
        <v>453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391</v>
      </c>
      <c r="BM143" s="29">
        <v>378</v>
      </c>
      <c r="BO143" s="29" t="str">
        <f t="shared" si="136"/>
        <v/>
      </c>
      <c r="BP143" s="29">
        <f t="shared" si="125"/>
        <v>469</v>
      </c>
      <c r="BQ143" s="29">
        <f t="shared" si="126"/>
        <v>453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313</v>
      </c>
      <c r="BM144" s="29">
        <v>302</v>
      </c>
      <c r="BO144" s="29" t="str">
        <f t="shared" si="136"/>
        <v/>
      </c>
      <c r="BP144" s="29">
        <f t="shared" si="125"/>
        <v>391</v>
      </c>
      <c r="BQ144" s="29">
        <f t="shared" si="126"/>
        <v>378</v>
      </c>
      <c r="BR144" s="65"/>
      <c r="BS144" s="29" t="str">
        <f t="shared" si="144"/>
        <v/>
      </c>
      <c r="BT144" s="29">
        <f t="shared" si="137"/>
        <v>469</v>
      </c>
      <c r="BU144" s="29">
        <f t="shared" si="138"/>
        <v>453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391</v>
      </c>
      <c r="BM145" s="29">
        <v>378</v>
      </c>
      <c r="BO145" s="29" t="str">
        <f t="shared" si="136"/>
        <v/>
      </c>
      <c r="BP145" s="29">
        <f t="shared" si="125"/>
        <v>313</v>
      </c>
      <c r="BQ145" s="29">
        <f t="shared" si="126"/>
        <v>302</v>
      </c>
      <c r="BR145" s="65"/>
      <c r="BS145" s="29" t="str">
        <f t="shared" si="144"/>
        <v/>
      </c>
      <c r="BT145" s="29">
        <f t="shared" si="137"/>
        <v>391</v>
      </c>
      <c r="BU145" s="29">
        <f t="shared" si="138"/>
        <v>378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469</v>
      </c>
      <c r="BM146" s="29">
        <v>453</v>
      </c>
      <c r="BO146" s="29" t="str">
        <f t="shared" si="136"/>
        <v/>
      </c>
      <c r="BP146" s="29">
        <f t="shared" si="125"/>
        <v>391</v>
      </c>
      <c r="BQ146" s="29">
        <f t="shared" si="126"/>
        <v>378</v>
      </c>
      <c r="BR146" s="65"/>
      <c r="BS146" s="29" t="str">
        <f t="shared" si="144"/>
        <v/>
      </c>
      <c r="BT146" s="29">
        <f t="shared" si="137"/>
        <v>313</v>
      </c>
      <c r="BU146" s="29">
        <f t="shared" si="138"/>
        <v>302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469</v>
      </c>
      <c r="BQ147" s="29">
        <f t="shared" si="126"/>
        <v>453</v>
      </c>
      <c r="BR147" s="65"/>
      <c r="BS147" s="29" t="str">
        <f t="shared" si="144"/>
        <v/>
      </c>
      <c r="BT147" s="29">
        <f t="shared" si="137"/>
        <v>391</v>
      </c>
      <c r="BU147" s="29">
        <f t="shared" si="138"/>
        <v>378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469</v>
      </c>
      <c r="BU148" s="29">
        <f t="shared" si="138"/>
        <v>453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453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378</v>
      </c>
      <c r="BO158" s="29" t="str">
        <f t="shared" si="136"/>
        <v/>
      </c>
      <c r="BP158" s="29">
        <f t="shared" si="125"/>
        <v>100</v>
      </c>
      <c r="BQ158" s="29">
        <f t="shared" si="126"/>
        <v>453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302</v>
      </c>
      <c r="BO159" s="29" t="str">
        <f t="shared" si="136"/>
        <v/>
      </c>
      <c r="BP159" s="29">
        <f t="shared" si="125"/>
        <v>100</v>
      </c>
      <c r="BQ159" s="29">
        <f t="shared" si="126"/>
        <v>378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453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378</v>
      </c>
      <c r="BO160" s="29" t="str">
        <f t="shared" si="136"/>
        <v/>
      </c>
      <c r="BP160" s="29">
        <f t="shared" si="125"/>
        <v>100</v>
      </c>
      <c r="BQ160" s="29">
        <f t="shared" si="126"/>
        <v>302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378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453</v>
      </c>
      <c r="BO161" s="29" t="str">
        <f t="shared" si="136"/>
        <v/>
      </c>
      <c r="BP161" s="29">
        <f t="shared" si="125"/>
        <v>100</v>
      </c>
      <c r="BQ161" s="29">
        <f t="shared" si="126"/>
        <v>378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302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453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378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453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469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391</v>
      </c>
      <c r="BM182" s="29">
        <v>100</v>
      </c>
      <c r="BO182" s="29" t="str">
        <f t="shared" si="136"/>
        <v/>
      </c>
      <c r="BP182" s="29">
        <f t="shared" si="125"/>
        <v>469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313</v>
      </c>
      <c r="BM183" s="29">
        <v>100</v>
      </c>
      <c r="BO183" s="29" t="str">
        <f t="shared" si="136"/>
        <v/>
      </c>
      <c r="BP183" s="29">
        <f t="shared" si="125"/>
        <v>391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469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391</v>
      </c>
      <c r="BM184" s="29">
        <v>100</v>
      </c>
      <c r="BO184" s="29" t="str">
        <f t="shared" si="136"/>
        <v/>
      </c>
      <c r="BP184" s="29">
        <f t="shared" si="125"/>
        <v>313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391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469</v>
      </c>
      <c r="BM185" s="29">
        <v>100</v>
      </c>
      <c r="BO185" s="29" t="str">
        <f t="shared" si="136"/>
        <v/>
      </c>
      <c r="BP185" s="29">
        <f t="shared" si="125"/>
        <v>391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313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469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391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469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453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378</v>
      </c>
      <c r="BO193" s="29" t="str">
        <f t="shared" si="136"/>
        <v/>
      </c>
      <c r="BP193" s="29">
        <f t="shared" si="125"/>
        <v>100</v>
      </c>
      <c r="BQ193" s="29">
        <f t="shared" si="126"/>
        <v>453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302</v>
      </c>
      <c r="BO194" s="29" t="str">
        <f t="shared" si="136"/>
        <v/>
      </c>
      <c r="BP194" s="29">
        <f t="shared" si="125"/>
        <v>100</v>
      </c>
      <c r="BQ194" s="29">
        <f t="shared" si="126"/>
        <v>378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453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378</v>
      </c>
      <c r="BO195" s="29" t="str">
        <f t="shared" si="136"/>
        <v/>
      </c>
      <c r="BP195" s="29">
        <f t="shared" si="125"/>
        <v>100</v>
      </c>
      <c r="BQ195" s="29">
        <f t="shared" si="126"/>
        <v>302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378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453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378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302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453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378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453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453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378</v>
      </c>
      <c r="BO199" s="29" t="str">
        <f t="shared" si="163"/>
        <v/>
      </c>
      <c r="BP199" s="29">
        <f t="shared" si="152"/>
        <v>100</v>
      </c>
      <c r="BQ199" s="29">
        <f t="shared" si="153"/>
        <v>453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302</v>
      </c>
      <c r="BO200" s="29" t="str">
        <f t="shared" si="163"/>
        <v/>
      </c>
      <c r="BP200" s="29">
        <f t="shared" si="152"/>
        <v>100</v>
      </c>
      <c r="BQ200" s="29">
        <f t="shared" si="153"/>
        <v>378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453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469</v>
      </c>
      <c r="BM201" s="29">
        <v>378</v>
      </c>
      <c r="BO201" s="29" t="str">
        <f t="shared" si="163"/>
        <v/>
      </c>
      <c r="BP201" s="29">
        <f t="shared" si="152"/>
        <v>100</v>
      </c>
      <c r="BQ201" s="29">
        <f t="shared" si="153"/>
        <v>302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378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391</v>
      </c>
      <c r="BM202" s="29">
        <v>453</v>
      </c>
      <c r="BO202" s="29" t="str">
        <f t="shared" si="163"/>
        <v/>
      </c>
      <c r="BP202" s="29">
        <f t="shared" si="152"/>
        <v>469</v>
      </c>
      <c r="BQ202" s="29">
        <f t="shared" si="153"/>
        <v>378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302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313</v>
      </c>
      <c r="BM203" s="29">
        <v>100</v>
      </c>
      <c r="BO203" s="29" t="str">
        <f t="shared" si="163"/>
        <v/>
      </c>
      <c r="BP203" s="29">
        <f t="shared" si="152"/>
        <v>391</v>
      </c>
      <c r="BQ203" s="29">
        <f t="shared" si="153"/>
        <v>453</v>
      </c>
      <c r="BR203" s="65"/>
      <c r="BS203" s="29" t="str">
        <f t="shared" si="171"/>
        <v/>
      </c>
      <c r="BT203" s="29">
        <f t="shared" si="164"/>
        <v>469</v>
      </c>
      <c r="BU203" s="29">
        <f t="shared" si="165"/>
        <v>378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391</v>
      </c>
      <c r="BM204" s="29">
        <v>100</v>
      </c>
      <c r="BO204" s="29" t="str">
        <f t="shared" si="163"/>
        <v/>
      </c>
      <c r="BP204" s="29">
        <f t="shared" si="152"/>
        <v>313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391</v>
      </c>
      <c r="BU204" s="29">
        <f t="shared" si="165"/>
        <v>453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469</v>
      </c>
      <c r="BM205" s="29">
        <v>100</v>
      </c>
      <c r="BO205" s="29" t="str">
        <f t="shared" si="163"/>
        <v/>
      </c>
      <c r="BP205" s="29">
        <f t="shared" si="152"/>
        <v>391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313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469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391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469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469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391</v>
      </c>
      <c r="BM211" s="29"/>
      <c r="BO211" s="29" t="str">
        <f t="shared" si="163"/>
        <v/>
      </c>
      <c r="BP211" s="29">
        <f t="shared" si="152"/>
        <v>469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5" t="s">
        <v>113</v>
      </c>
      <c r="B1" s="325"/>
      <c r="C1" s="325"/>
      <c r="D1" s="325"/>
      <c r="E1" s="325"/>
      <c r="F1" s="1"/>
      <c r="G1" s="326" t="s">
        <v>114</v>
      </c>
      <c r="H1" s="326"/>
      <c r="I1" s="326"/>
      <c r="J1" s="326"/>
      <c r="K1" s="326"/>
      <c r="L1" s="1"/>
      <c r="M1" s="323" t="s">
        <v>115</v>
      </c>
      <c r="N1" s="323"/>
      <c r="O1" s="323"/>
      <c r="P1" s="323"/>
      <c r="Q1" s="323"/>
      <c r="R1" s="60"/>
      <c r="S1" s="324" t="s">
        <v>129</v>
      </c>
      <c r="T1" s="324"/>
      <c r="U1" s="324"/>
      <c r="V1" s="324"/>
      <c r="W1" s="324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7">
        <f>PRODUCT('Regular Symbol'!C18:E18)</f>
        <v>5218521</v>
      </c>
      <c r="D11" s="327"/>
      <c r="E11" s="327"/>
      <c r="F11" s="327"/>
      <c r="G11" s="327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7">
        <f>PRODUCT('Regular Symbol'!C18:E18)</f>
        <v>5218521</v>
      </c>
      <c r="D23" s="327"/>
      <c r="E23" s="327"/>
      <c r="F23" s="327"/>
      <c r="G23" s="327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7">
        <f>PRODUCT('Regular Symbol'!C18:E18)</f>
        <v>5218521</v>
      </c>
      <c r="D35" s="327"/>
      <c r="E35" s="327"/>
      <c r="F35" s="327"/>
      <c r="G35" s="327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7">
        <f>PRODUCT('Regular Symbol'!C18:E18)</f>
        <v>5218521</v>
      </c>
      <c r="D47" s="327"/>
      <c r="E47" s="327"/>
      <c r="F47" s="327"/>
      <c r="G47" s="327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7">
        <f>PRODUCT('Regular Symbol'!C18:E18)</f>
        <v>5218521</v>
      </c>
      <c r="D59" s="327"/>
      <c r="E59" s="327"/>
      <c r="F59" s="327"/>
      <c r="G59" s="327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7">
        <f>PRODUCT('Regular Symbol'!C44:E44)</f>
        <v>5218521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Symbol'!C44:E44)</f>
        <v>5218521</v>
      </c>
      <c r="D23" s="327"/>
      <c r="E23" s="327"/>
      <c r="F23" s="327"/>
      <c r="G23" s="327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Symbol'!C44:E44)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Symbol'!C44:E44)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Symbol'!C44:E44)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7">
        <f>PRODUCT('Regular Symbol'!C70:E70)</f>
        <v>5218521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Symbol'!C70:E70)</f>
        <v>5218521</v>
      </c>
      <c r="D23" s="327"/>
      <c r="E23" s="327"/>
      <c r="F23" s="327"/>
      <c r="G23" s="327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Symbol'!C70:E70)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Symbol'!C70:E70)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Symbol'!C70:E70)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7.4769728593547186E-3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5.2065085598898655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0.45019999999999999</v>
      </c>
      <c r="K4" s="33"/>
      <c r="L4" s="124">
        <v>2</v>
      </c>
      <c r="M4" s="108">
        <v>4.9411764705882349E-2</v>
      </c>
      <c r="N4" s="170">
        <v>8400000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6.7647058823529407E-2</v>
      </c>
      <c r="N5" s="170">
        <v>11500000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9.6470588235294114E-2</v>
      </c>
      <c r="N6" s="170">
        <v>16400000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0.09</v>
      </c>
      <c r="N7" s="170">
        <v>15300000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8.6470588235294119E-2</v>
      </c>
      <c r="N8" s="170">
        <v>14700000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8.4117647058823533E-2</v>
      </c>
      <c r="N9" s="170">
        <v>14300000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2.7647058823529413E-2</v>
      </c>
      <c r="N10" s="170">
        <v>4700000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13917097338564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2.5294117647058825E-2</v>
      </c>
      <c r="N11" s="170">
        <v>4300000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2.3529411764705882E-2</v>
      </c>
      <c r="N12" s="170">
        <v>4000000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2079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8211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7931</v>
      </c>
      <c r="F13" s="43">
        <f>C13*D13*E13</f>
        <v>135387475839</v>
      </c>
      <c r="G13" s="44">
        <f t="shared" ref="G13:G20" si="0">C$11/F13</f>
        <v>102.79456982501044</v>
      </c>
      <c r="H13" s="43" cm="1">
        <f t="array" ref="H13:H20">Overview!B40:B47</f>
        <v>5</v>
      </c>
      <c r="I13" s="95">
        <f t="shared" ref="I13:I20" si="1">J13*H13/$C$1</f>
        <v>1.9456280651834491E-4</v>
      </c>
      <c r="J13" s="45">
        <f t="shared" ref="J13:J20" si="2">F13/C$11</f>
        <v>9.7281403259172443E-3</v>
      </c>
      <c r="K13" s="67"/>
      <c r="L13" s="124">
        <v>500</v>
      </c>
      <c r="M13" s="108">
        <v>0.02</v>
      </c>
      <c r="N13" s="170">
        <v>3400000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3479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10611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10862</v>
      </c>
      <c r="F14" s="48">
        <f>C14*D14*E14-F13</f>
        <v>265590520839</v>
      </c>
      <c r="G14" s="49">
        <f t="shared" si="0"/>
        <v>52.400580015430947</v>
      </c>
      <c r="H14" s="48">
        <v>4</v>
      </c>
      <c r="I14" s="96">
        <f t="shared" si="1"/>
        <v>3.0534013164144961E-4</v>
      </c>
      <c r="J14" s="50">
        <f t="shared" si="2"/>
        <v>1.9083758227590602E-2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126.47783824647155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3379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10811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11262</v>
      </c>
      <c r="F15" s="48">
        <f>C15*D15*E15-F13</f>
        <v>276017539839</v>
      </c>
      <c r="G15" s="49">
        <f t="shared" si="0"/>
        <v>50.421061453854676</v>
      </c>
      <c r="H15" s="48">
        <v>3</v>
      </c>
      <c r="I15" s="96">
        <f t="shared" si="1"/>
        <v>2.3799578299204177E-4</v>
      </c>
      <c r="J15" s="50">
        <f t="shared" si="2"/>
        <v>1.9832981916003481E-2</v>
      </c>
      <c r="K15" s="34"/>
      <c r="L15" s="35"/>
      <c r="M15" s="35"/>
      <c r="N15" s="111" t="s">
        <v>92</v>
      </c>
      <c r="O15" s="98">
        <f>SUMPRODUCT(M3:M14, O3:O14)</f>
        <v>73.283424658778955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3479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11371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10731</v>
      </c>
      <c r="F16" s="48">
        <f>C16*D16*E16-F13</f>
        <v>289127761440</v>
      </c>
      <c r="G16" s="49">
        <f t="shared" si="0"/>
        <v>48.134766683247349</v>
      </c>
      <c r="H16" s="48">
        <v>2.4</v>
      </c>
      <c r="I16" s="96">
        <f t="shared" si="1"/>
        <v>1.9944004430670997E-4</v>
      </c>
      <c r="J16" s="50">
        <f t="shared" si="2"/>
        <v>2.077500461528229E-2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126.47783824647155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3879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13851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10862</v>
      </c>
      <c r="F17" s="48">
        <f>C17*D17*E17-F13</f>
        <v>448206375159</v>
      </c>
      <c r="G17" s="49">
        <f t="shared" si="0"/>
        <v>31.050645662117027</v>
      </c>
      <c r="H17" s="48">
        <v>2</v>
      </c>
      <c r="I17" s="96">
        <f t="shared" si="1"/>
        <v>2.5764359579035439E-4</v>
      </c>
      <c r="J17" s="50">
        <f t="shared" si="2"/>
        <v>3.22054494737943E-2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4287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12331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11893</v>
      </c>
      <c r="F18" s="48">
        <f>C18*D18*E18-F13</f>
        <v>493312147482</v>
      </c>
      <c r="G18" s="49">
        <f t="shared" si="0"/>
        <v>28.211543967852137</v>
      </c>
      <c r="H18" s="48">
        <v>1.6</v>
      </c>
      <c r="I18" s="96">
        <f t="shared" si="1"/>
        <v>2.2685748810107606E-4</v>
      </c>
      <c r="J18" s="50">
        <f t="shared" si="2"/>
        <v>3.5446482515793132E-2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4087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11111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10631</v>
      </c>
      <c r="F19" s="48">
        <f>C19*D19*E19-F13</f>
        <v>347373218728</v>
      </c>
      <c r="G19" s="49">
        <f t="shared" si="0"/>
        <v>40.063817785162527</v>
      </c>
      <c r="H19" s="48">
        <v>1</v>
      </c>
      <c r="I19" s="96">
        <f t="shared" si="1"/>
        <v>9.9840709675985586E-5</v>
      </c>
      <c r="J19" s="50">
        <f t="shared" si="2"/>
        <v>2.4960177418996397E-2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4287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10811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11893</v>
      </c>
      <c r="F20" s="53">
        <f>C20*D20*E20-F13</f>
        <v>415814505162</v>
      </c>
      <c r="G20" s="54">
        <f t="shared" si="0"/>
        <v>33.469484988605544</v>
      </c>
      <c r="H20" s="53">
        <v>0.4</v>
      </c>
      <c r="I20" s="97">
        <f t="shared" si="1"/>
        <v>4.7804739168968667E-5</v>
      </c>
      <c r="J20" s="55">
        <f t="shared" si="2"/>
        <v>2.9877961980605414E-2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7.4769728593547186E-3</v>
      </c>
      <c r="N21" s="288">
        <f>$O$15</f>
        <v>73.283424658778955</v>
      </c>
      <c r="O21" s="186" cm="1">
        <f t="array" aca="1" ref="O21:O25" ca="1">M21:M25*N21:N25</f>
        <v>0.54793817721425653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7.4769728593547186E-3</v>
      </c>
      <c r="N22" s="290">
        <f>$O$15+1*$O$15*_xlfn.BINOM.DIST(1,1,$I$4,FALSE)</f>
        <v>106.27562244016124</v>
      </c>
      <c r="O22" s="189">
        <f ca="1"/>
        <v>0.79461994459611496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13917097338564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7.4769728593547186E-3</v>
      </c>
      <c r="N23" s="290">
        <f>$O$15+1*$O$15*_xlfn.BINOM.DIST(1,2,$I$4,FALSE)+2*$O$15*_xlfn.BINOM.DIST(2,2,$I$4,FALSE)</f>
        <v>139.26782022154353</v>
      </c>
      <c r="O23" s="189">
        <f ca="1"/>
        <v>1.0413017119779733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7.4769728593547186E-3</v>
      </c>
      <c r="N24" s="290">
        <f>$O$15+1*$O$15*_xlfn.BINOM.DIST(1,3,$I$4,FALSE)+2*$O$15*_xlfn.BINOM.DIST(2,3,$I$4,FALSE)+3*$O$15*_xlfn.BINOM.DIST(3,3,$I$4,FALSE)</f>
        <v>172.26001800292582</v>
      </c>
      <c r="O24" s="189">
        <f ca="1"/>
        <v>1.2879834793598315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1941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7665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7406</v>
      </c>
      <c r="F25" s="43">
        <f ca="1">C25*D25*E25</f>
        <v>110184727590</v>
      </c>
      <c r="G25" s="44">
        <f t="shared" ref="G25:G32" ca="1" si="5">C$11/F25</f>
        <v>126.30695417562633</v>
      </c>
      <c r="H25" s="43" cm="1">
        <f t="array" ref="H25:H32">_xlfn.ANCHORARRAY(H13)</f>
        <v>5</v>
      </c>
      <c r="I25" s="45">
        <f t="shared" ref="I25:I32" ca="1" si="6">J25*H25/$C$1</f>
        <v>1.5834440890871737E-4</v>
      </c>
      <c r="J25" s="45">
        <f t="shared" ref="J25:J32" ca="1" si="7">F25/C$11</f>
        <v>7.9172204454358679E-3</v>
      </c>
      <c r="K25" s="34"/>
      <c r="L25" s="68" t="s">
        <v>280</v>
      </c>
      <c r="M25" s="291">
        <f t="shared" ca="1" si="4"/>
        <v>7.4769728593547186E-3</v>
      </c>
      <c r="N25" s="292">
        <f>$O$15+1*$O$15*_xlfn.BINOM.DIST(1,4,$I$4,FALSE)+2*$O$15*_xlfn.BINOM.DIST(2,4,$I$4,FALSE)+3*$O$15*_xlfn.BINOM.DIST(3,4,$I$4,FALSE)+4*$O$15*_xlfn.BINOM.DIST(4,4,$I$4,FALSE)</f>
        <v>205.25221578430808</v>
      </c>
      <c r="O25" s="192">
        <f ca="1"/>
        <v>1.5346652467416897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3341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10065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10059</v>
      </c>
      <c r="F26" s="48">
        <f ca="1">C26*D26*E26-F25</f>
        <v>228070925145</v>
      </c>
      <c r="G26" s="49">
        <f t="shared" ca="1" si="5"/>
        <v>61.020918513466661</v>
      </c>
      <c r="H26" s="48">
        <v>4</v>
      </c>
      <c r="I26" s="50">
        <f t="shared" ca="1" si="6"/>
        <v>2.6220516488077727E-4</v>
      </c>
      <c r="J26" s="50">
        <f t="shared" ca="1" si="7"/>
        <v>1.638782280504858E-2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3241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11003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10459</v>
      </c>
      <c r="F27" s="48">
        <f ca="1">C27*D27*E27-F25</f>
        <v>262790774267</v>
      </c>
      <c r="G27" s="49">
        <f t="shared" ca="1" si="5"/>
        <v>52.958850543299462</v>
      </c>
      <c r="H27" s="48">
        <v>3</v>
      </c>
      <c r="I27" s="50">
        <f t="shared" ca="1" si="6"/>
        <v>2.265910207055708E-4</v>
      </c>
      <c r="J27" s="50">
        <f t="shared" ca="1" si="7"/>
        <v>1.8882585058797568E-2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3341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10534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10559</v>
      </c>
      <c r="F28" s="48">
        <f ca="1">C28*D28*E28-F25</f>
        <v>261429710956</v>
      </c>
      <c r="G28" s="49">
        <f t="shared" ca="1" si="5"/>
        <v>53.234566521424647</v>
      </c>
      <c r="H28" s="48">
        <v>2.4</v>
      </c>
      <c r="I28" s="50">
        <f t="shared" ca="1" si="6"/>
        <v>1.8033395643667744E-4</v>
      </c>
      <c r="J28" s="50">
        <f t="shared" ca="1" si="7"/>
        <v>1.8784787128820566E-2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4095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12510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10412</v>
      </c>
      <c r="F29" s="48">
        <f ca="1">C29*D29*E29-F25</f>
        <v>423205893810</v>
      </c>
      <c r="G29" s="49">
        <f t="shared" ca="1" si="5"/>
        <v>32.884932705620912</v>
      </c>
      <c r="H29" s="48">
        <v>2</v>
      </c>
      <c r="I29" s="50">
        <f t="shared" ca="1" si="6"/>
        <v>2.4327250633639235E-4</v>
      </c>
      <c r="J29" s="50">
        <f t="shared" ca="1" si="7"/>
        <v>3.0409063292049045E-2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4018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11203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10812</v>
      </c>
      <c r="F30" s="48">
        <f ca="1">C30*D30*E30-F25</f>
        <v>376502899458</v>
      </c>
      <c r="G30" s="49">
        <f t="shared" ca="1" si="5"/>
        <v>36.964117297897445</v>
      </c>
      <c r="H30" s="48">
        <v>1.6</v>
      </c>
      <c r="I30" s="50">
        <f t="shared" ca="1" si="6"/>
        <v>1.7314088548150018E-4</v>
      </c>
      <c r="J30" s="50">
        <f t="shared" ca="1" si="7"/>
        <v>2.7053263356484399E-2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3818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11672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10812</v>
      </c>
      <c r="F31" s="48">
        <f ca="1">C31*D31*E31-F25</f>
        <v>371637953562</v>
      </c>
      <c r="G31" s="49">
        <f t="shared" ca="1" si="5"/>
        <v>37.44799799152436</v>
      </c>
      <c r="H31" s="48">
        <v>1</v>
      </c>
      <c r="I31" s="50">
        <f t="shared" ca="1" si="6"/>
        <v>1.0681478889486492E-4</v>
      </c>
      <c r="J31" s="50">
        <f t="shared" ca="1" si="7"/>
        <v>2.6703697223716228E-2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4195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10634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11871</v>
      </c>
      <c r="F32" s="53">
        <f ca="1">C32*D32*E32-F25</f>
        <v>419376190140</v>
      </c>
      <c r="G32" s="54">
        <f t="shared" ca="1" si="5"/>
        <v>33.185234798184581</v>
      </c>
      <c r="H32" s="53">
        <v>0.4</v>
      </c>
      <c r="I32" s="55">
        <f t="shared" ca="1" si="6"/>
        <v>4.8214213632369095E-5</v>
      </c>
      <c r="J32" s="55">
        <f t="shared" ca="1" si="7"/>
        <v>3.0133883520230682E-2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13917097338564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2079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8211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7931</v>
      </c>
      <c r="F37" s="43">
        <f ca="1">C37*D37*E37</f>
        <v>135387475839</v>
      </c>
      <c r="G37" s="44">
        <f t="shared" ref="G37:G44" ca="1" si="8">C$11/F37</f>
        <v>102.79456982501044</v>
      </c>
      <c r="H37" s="43" cm="1">
        <f t="array" ref="H37:H44">_xlfn.ANCHORARRAY(H25)</f>
        <v>5</v>
      </c>
      <c r="I37" s="45">
        <f t="shared" ref="I37:I44" ca="1" si="9">J37*H37/$C$1</f>
        <v>1.9456280651834491E-4</v>
      </c>
      <c r="J37" s="45">
        <f t="shared" ref="J37:J44" ca="1" si="10">F37/C$11</f>
        <v>9.7281403259172443E-3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3479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10611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10231</v>
      </c>
      <c r="F38" s="48">
        <f ca="1">C38*D38*E38-F37</f>
        <v>242296733700</v>
      </c>
      <c r="G38" s="49">
        <f t="shared" ca="1" si="8"/>
        <v>57.43823751167637</v>
      </c>
      <c r="H38" s="48">
        <v>4</v>
      </c>
      <c r="I38" s="50">
        <f t="shared" ca="1" si="9"/>
        <v>2.785600793678154E-4</v>
      </c>
      <c r="J38" s="50">
        <f t="shared" ca="1" si="10"/>
        <v>1.7410004960488463E-2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3379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12131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10631</v>
      </c>
      <c r="F39" s="48">
        <f ca="1">C39*D39*E39-F37</f>
        <v>300384113680</v>
      </c>
      <c r="G39" s="49">
        <f t="shared" ca="1" si="8"/>
        <v>46.331003221395129</v>
      </c>
      <c r="H39" s="48">
        <v>3</v>
      </c>
      <c r="I39" s="50">
        <f t="shared" ca="1" si="9"/>
        <v>2.5900583120674881E-4</v>
      </c>
      <c r="J39" s="50">
        <f t="shared" ca="1" si="10"/>
        <v>2.1583819267229066E-2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3479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10711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11362</v>
      </c>
      <c r="F40" s="48">
        <f ca="1">C40*D40*E40-F37</f>
        <v>288001195139</v>
      </c>
      <c r="G40" s="49">
        <f t="shared" ca="1" si="8"/>
        <v>48.323054117352171</v>
      </c>
      <c r="H40" s="48">
        <v>2.4</v>
      </c>
      <c r="I40" s="50">
        <f t="shared" ca="1" si="9"/>
        <v>1.9866293998484599E-4</v>
      </c>
      <c r="J40" s="50">
        <f t="shared" ca="1" si="10"/>
        <v>2.0694056248421459E-2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4495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11871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10862</v>
      </c>
      <c r="F41" s="48">
        <f ca="1">C41*D41*E41-F37</f>
        <v>444210419151</v>
      </c>
      <c r="G41" s="49">
        <f t="shared" ca="1" si="8"/>
        <v>31.329966021875716</v>
      </c>
      <c r="H41" s="48">
        <v>2</v>
      </c>
      <c r="I41" s="50">
        <f t="shared" ca="1" si="9"/>
        <v>2.5534659036700229E-4</v>
      </c>
      <c r="J41" s="50">
        <f t="shared" ca="1" si="10"/>
        <v>3.1918323795875288E-2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3979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11011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10631</v>
      </c>
      <c r="F42" s="48">
        <f ca="1">C42*D42*E42-F37</f>
        <v>330386071400</v>
      </c>
      <c r="G42" s="49">
        <f t="shared" ca="1" si="8"/>
        <v>42.123741111696269</v>
      </c>
      <c r="H42" s="48">
        <v>1.6</v>
      </c>
      <c r="I42" s="50">
        <f t="shared" ca="1" si="9"/>
        <v>1.5193332384769943E-4</v>
      </c>
      <c r="J42" s="50">
        <f t="shared" ca="1" si="10"/>
        <v>2.3739581851203034E-2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3779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13091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11893</v>
      </c>
      <c r="F43" s="48">
        <f ca="1">C43*D43*E43-F37</f>
        <v>452969807038</v>
      </c>
      <c r="G43" s="49">
        <f t="shared" ca="1" si="8"/>
        <v>30.724116977175221</v>
      </c>
      <c r="H43" s="48">
        <v>1</v>
      </c>
      <c r="I43" s="50">
        <f t="shared" ca="1" si="9"/>
        <v>1.3019088564763566E-4</v>
      </c>
      <c r="J43" s="50">
        <f t="shared" ca="1" si="10"/>
        <v>3.2547721411908911E-2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4287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11471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12524</v>
      </c>
      <c r="F44" s="53">
        <f ca="1">C44*D44*E44-F37</f>
        <v>480494964909</v>
      </c>
      <c r="G44" s="54">
        <f t="shared" ca="1" si="8"/>
        <v>28.96408569276003</v>
      </c>
      <c r="H44" s="53">
        <v>0.4</v>
      </c>
      <c r="I44" s="55">
        <f t="shared" ca="1" si="9"/>
        <v>5.5240825378442452E-5</v>
      </c>
      <c r="J44" s="55">
        <f t="shared" ca="1" si="10"/>
        <v>3.452551586152653E-2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13917097338564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2079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7665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7931</v>
      </c>
      <c r="F49" s="43">
        <f ca="1">C49*D49*E49</f>
        <v>126384728085</v>
      </c>
      <c r="G49" s="44">
        <f t="shared" ref="G49:G56" ca="1" si="11">C$11/F49</f>
        <v>110.11692274405229</v>
      </c>
      <c r="H49" s="43" cm="1">
        <f t="array" ref="H49:H56">_xlfn.ANCHORARRAY(H37)</f>
        <v>5</v>
      </c>
      <c r="I49" s="45">
        <f t="shared" ref="I49:I56" ca="1" si="12">J49*H49/$C$1</f>
        <v>1.8162512628950352E-4</v>
      </c>
      <c r="J49" s="45">
        <f t="shared" ref="J49:J56" ca="1" si="13">F49/C$11</f>
        <v>9.0812563144751762E-3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3479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10065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10231</v>
      </c>
      <c r="F50" s="48">
        <f ca="1">C50*D50*E50-F49</f>
        <v>231865349100</v>
      </c>
      <c r="G50" s="49">
        <f t="shared" ca="1" si="11"/>
        <v>60.022324994157572</v>
      </c>
      <c r="H50" s="48">
        <v>4</v>
      </c>
      <c r="I50" s="50">
        <f t="shared" ca="1" si="12"/>
        <v>2.6656748137559487E-4</v>
      </c>
      <c r="J50" s="50">
        <f t="shared" ca="1" si="13"/>
        <v>1.666046758597468E-2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3379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11003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10631</v>
      </c>
      <c r="F51" s="48">
        <f ca="1">C51*D51*E51-F49</f>
        <v>268866677362</v>
      </c>
      <c r="G51" s="49">
        <f t="shared" ca="1" si="11"/>
        <v>51.762075818068482</v>
      </c>
      <c r="H51" s="48">
        <v>3</v>
      </c>
      <c r="I51" s="50">
        <f t="shared" ca="1" si="12"/>
        <v>2.3182996064874167E-4</v>
      </c>
      <c r="J51" s="50">
        <f t="shared" ca="1" si="13"/>
        <v>1.9319163387395141E-2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3479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10534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11362</v>
      </c>
      <c r="F52" s="48">
        <f ca="1">C52*D52*E52-F49</f>
        <v>290007416447</v>
      </c>
      <c r="G52" s="49">
        <f t="shared" ca="1" si="11"/>
        <v>47.988763560146417</v>
      </c>
      <c r="H52" s="48">
        <v>2.4</v>
      </c>
      <c r="I52" s="50">
        <f t="shared" ca="1" si="12"/>
        <v>2.0004682946181559E-4</v>
      </c>
      <c r="J52" s="50">
        <f t="shared" ca="1" si="13"/>
        <v>2.0838211402272457E-2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3879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12510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10862</v>
      </c>
      <c r="F53" s="48">
        <f ca="1">C53*D53*E53-F49</f>
        <v>400707833895</v>
      </c>
      <c r="G53" s="49">
        <f t="shared" ca="1" si="11"/>
        <v>34.731283397396183</v>
      </c>
      <c r="H53" s="48">
        <v>2</v>
      </c>
      <c r="I53" s="50">
        <f t="shared" ca="1" si="12"/>
        <v>2.3033989007730603E-4</v>
      </c>
      <c r="J53" s="50">
        <f t="shared" ca="1" si="13"/>
        <v>2.8792486259663252E-2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4287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11203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10631</v>
      </c>
      <c r="F54" s="48">
        <f ca="1">C54*D54*E54-F49</f>
        <v>384193083606</v>
      </c>
      <c r="G54" s="49">
        <f t="shared" ca="1" si="11"/>
        <v>36.224226651712307</v>
      </c>
      <c r="H54" s="48">
        <v>1.6</v>
      </c>
      <c r="I54" s="50">
        <f t="shared" ca="1" si="12"/>
        <v>1.7667733976861795E-4</v>
      </c>
      <c r="J54" s="50">
        <f t="shared" ca="1" si="13"/>
        <v>2.7605834338846551E-2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4087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11672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11893</v>
      </c>
      <c r="F55" s="48">
        <f ca="1">C55*D55*E55-F49</f>
        <v>440952569267</v>
      </c>
      <c r="G55" s="49">
        <f t="shared" ca="1" si="11"/>
        <v>31.561438368980443</v>
      </c>
      <c r="H55" s="48">
        <v>1</v>
      </c>
      <c r="I55" s="50">
        <f t="shared" ca="1" si="12"/>
        <v>1.2673693616990927E-4</v>
      </c>
      <c r="J55" s="50">
        <f t="shared" ca="1" si="13"/>
        <v>3.1684234042477319E-2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4287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10634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12524</v>
      </c>
      <c r="F56" s="53">
        <f ca="1">C56*D56*E56-F49</f>
        <v>444558857907</v>
      </c>
      <c r="G56" s="54">
        <f t="shared" ca="1" si="11"/>
        <v>31.305410050957533</v>
      </c>
      <c r="H56" s="53">
        <v>0.4</v>
      </c>
      <c r="I56" s="55">
        <f t="shared" ca="1" si="12"/>
        <v>5.1109376858363859E-5</v>
      </c>
      <c r="J56" s="55">
        <f t="shared" ca="1" si="13"/>
        <v>3.1943360536477408E-2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13917097338564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2079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7665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7931</v>
      </c>
      <c r="F61" s="43">
        <f ca="1">C61*D61*E61</f>
        <v>126384728085</v>
      </c>
      <c r="G61" s="44">
        <f t="shared" ref="G61:G68" ca="1" si="14">C$11/F61</f>
        <v>110.11692274405229</v>
      </c>
      <c r="H61" s="43" cm="1">
        <f t="array" ref="H61:H68">_xlfn.ANCHORARRAY(H49)</f>
        <v>5</v>
      </c>
      <c r="I61" s="45">
        <f t="shared" ref="I61:I68" ca="1" si="15">J61*H61/$C$1</f>
        <v>1.8162512628950352E-4</v>
      </c>
      <c r="J61" s="45">
        <f t="shared" ref="J61:J68" ca="1" si="16">F61/C$11</f>
        <v>9.0812563144751762E-3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3479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10065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10862</v>
      </c>
      <c r="F62" s="48">
        <f ca="1">C62*D62*E62-F61</f>
        <v>253960530285</v>
      </c>
      <c r="G62" s="49">
        <f t="shared" ca="1" si="14"/>
        <v>54.800237355568335</v>
      </c>
      <c r="H62" s="48">
        <v>4</v>
      </c>
      <c r="I62" s="50">
        <f t="shared" ca="1" si="15"/>
        <v>2.9196953831029743E-4</v>
      </c>
      <c r="J62" s="50">
        <f t="shared" ca="1" si="16"/>
        <v>1.8248096144393589E-2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3379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11003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11262</v>
      </c>
      <c r="F63" s="48">
        <f ca="1">C63*D63*E63-F61</f>
        <v>292326712809</v>
      </c>
      <c r="G63" s="49">
        <f t="shared" ca="1" si="14"/>
        <v>47.608024613395948</v>
      </c>
      <c r="H63" s="48">
        <v>3</v>
      </c>
      <c r="I63" s="50">
        <f t="shared" ca="1" si="15"/>
        <v>2.5205834725231256E-4</v>
      </c>
      <c r="J63" s="50">
        <f t="shared" ca="1" si="16"/>
        <v>2.1004862271026048E-2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3479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10534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10731</v>
      </c>
      <c r="F64" s="48">
        <f ca="1">C64*D64*E64-F61</f>
        <v>266882663481</v>
      </c>
      <c r="G64" s="49">
        <f t="shared" ca="1" si="14"/>
        <v>52.146876672469922</v>
      </c>
      <c r="H64" s="48">
        <v>2.4</v>
      </c>
      <c r="I64" s="50">
        <f t="shared" ca="1" si="15"/>
        <v>1.8409539770323694E-4</v>
      </c>
      <c r="J64" s="50">
        <f t="shared" ca="1" si="16"/>
        <v>1.9176603927420516E-2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4495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12510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10862</v>
      </c>
      <c r="F65" s="48">
        <f ca="1">C65*D65*E65-F61</f>
        <v>484412143815</v>
      </c>
      <c r="G65" s="49">
        <f t="shared" ca="1" si="14"/>
        <v>28.729868803369691</v>
      </c>
      <c r="H65" s="48">
        <v>2</v>
      </c>
      <c r="I65" s="50">
        <f t="shared" ca="1" si="15"/>
        <v>2.7845584867626299E-4</v>
      </c>
      <c r="J65" s="50">
        <f t="shared" ca="1" si="16"/>
        <v>3.4806981084532874E-2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3979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11203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11893</v>
      </c>
      <c r="F66" s="48">
        <f ca="1">C66*D66*E66-F61</f>
        <v>403766405056</v>
      </c>
      <c r="G66" s="49">
        <f t="shared" ca="1" si="14"/>
        <v>34.468190429646519</v>
      </c>
      <c r="H66" s="48">
        <v>1.6</v>
      </c>
      <c r="I66" s="50">
        <f t="shared" ca="1" si="15"/>
        <v>1.8567844497270969E-4</v>
      </c>
      <c r="J66" s="50">
        <f t="shared" ca="1" si="16"/>
        <v>2.9012257026985889E-2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3779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11672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10631</v>
      </c>
      <c r="F67" s="48">
        <f ca="1">C67*D67*E67-F61</f>
        <v>342532607843</v>
      </c>
      <c r="G67" s="49">
        <f t="shared" ca="1" si="14"/>
        <v>40.629992648591603</v>
      </c>
      <c r="H67" s="48">
        <v>1</v>
      </c>
      <c r="I67" s="50">
        <f t="shared" ca="1" si="15"/>
        <v>9.8449439422644246E-5</v>
      </c>
      <c r="J67" s="50">
        <f t="shared" ca="1" si="16"/>
        <v>2.4612359855661063E-2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4287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10634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11893</v>
      </c>
      <c r="F68" s="53">
        <f ca="1">C68*D68*E68-F61</f>
        <v>415792856409</v>
      </c>
      <c r="G68" s="54">
        <f t="shared" ca="1" si="14"/>
        <v>33.47122761742272</v>
      </c>
      <c r="H68" s="53">
        <v>0.4</v>
      </c>
      <c r="I68" s="55">
        <f t="shared" ca="1" si="15"/>
        <v>4.7802250287562046E-5</v>
      </c>
      <c r="J68" s="55">
        <f t="shared" ca="1" si="16"/>
        <v>2.987640642972628E-2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1.8692432148386798E-2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14.303445318447061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13917097338564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2079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8211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7931</v>
      </c>
      <c r="F13" s="43">
        <f>C13*D13*E13</f>
        <v>135387475839</v>
      </c>
      <c r="G13" s="44">
        <f t="shared" ref="G13:G20" si="0">C$11/F13</f>
        <v>102.79456982501044</v>
      </c>
      <c r="H13" s="43" cm="1">
        <f t="array" ref="H13:H20">Overview!B40:B47</f>
        <v>5</v>
      </c>
      <c r="I13" s="95">
        <f t="shared" ref="I13:I20" si="1">J13*H13/$C$1</f>
        <v>4.8640701629586224E-4</v>
      </c>
      <c r="J13" s="45">
        <f t="shared" ref="J13:J20" si="2">F13/C$11</f>
        <v>9.7281403259172443E-3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3479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10611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10862</v>
      </c>
      <c r="F14" s="48">
        <f>C14*D14*E14-F13</f>
        <v>265590520839</v>
      </c>
      <c r="G14" s="49">
        <f t="shared" si="0"/>
        <v>52.400580015430947</v>
      </c>
      <c r="H14" s="48">
        <v>4</v>
      </c>
      <c r="I14" s="96">
        <f t="shared" si="1"/>
        <v>7.6335032910362411E-4</v>
      </c>
      <c r="J14" s="50">
        <f t="shared" si="2"/>
        <v>1.9083758227590602E-2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3379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10811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11262</v>
      </c>
      <c r="F15" s="48">
        <f>C15*D15*E15-F13</f>
        <v>276017539839</v>
      </c>
      <c r="G15" s="49">
        <f t="shared" si="0"/>
        <v>50.421061453854676</v>
      </c>
      <c r="H15" s="48">
        <v>3</v>
      </c>
      <c r="I15" s="96">
        <f t="shared" si="1"/>
        <v>5.9498945748010445E-4</v>
      </c>
      <c r="J15" s="50">
        <f t="shared" si="2"/>
        <v>1.9832981916003481E-2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3479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11371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10731</v>
      </c>
      <c r="F16" s="48">
        <f>C16*D16*E16-F13</f>
        <v>289127761440</v>
      </c>
      <c r="G16" s="49">
        <f t="shared" si="0"/>
        <v>48.134766683247349</v>
      </c>
      <c r="H16" s="48">
        <v>2.4</v>
      </c>
      <c r="I16" s="96">
        <f t="shared" si="1"/>
        <v>4.9860011076677496E-4</v>
      </c>
      <c r="J16" s="50">
        <f t="shared" si="2"/>
        <v>2.077500461528229E-2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3879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13851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10862</v>
      </c>
      <c r="F17" s="48">
        <f>C17*D17*E17-F13</f>
        <v>448206375159</v>
      </c>
      <c r="G17" s="49">
        <f t="shared" si="0"/>
        <v>31.050645662117027</v>
      </c>
      <c r="H17" s="48">
        <v>2</v>
      </c>
      <c r="I17" s="96">
        <f t="shared" si="1"/>
        <v>6.44108989475886E-4</v>
      </c>
      <c r="J17" s="50">
        <f t="shared" si="2"/>
        <v>3.22054494737943E-2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4287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12331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11893</v>
      </c>
      <c r="F18" s="48">
        <f>C18*D18*E18-F13</f>
        <v>493312147482</v>
      </c>
      <c r="G18" s="49">
        <f t="shared" si="0"/>
        <v>28.211543967852137</v>
      </c>
      <c r="H18" s="48">
        <v>1.6</v>
      </c>
      <c r="I18" s="96">
        <f t="shared" si="1"/>
        <v>5.6714372025269016E-4</v>
      </c>
      <c r="J18" s="50">
        <f t="shared" si="2"/>
        <v>3.5446482515793132E-2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4087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11111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10631</v>
      </c>
      <c r="F19" s="48">
        <f>C19*D19*E19-F13</f>
        <v>347373218728</v>
      </c>
      <c r="G19" s="49">
        <f t="shared" si="0"/>
        <v>40.063817785162527</v>
      </c>
      <c r="H19" s="48">
        <v>1</v>
      </c>
      <c r="I19" s="96">
        <f t="shared" si="1"/>
        <v>2.4960177418996399E-4</v>
      </c>
      <c r="J19" s="50">
        <f t="shared" si="2"/>
        <v>2.4960177418996397E-2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4287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10811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11893</v>
      </c>
      <c r="F20" s="53">
        <f>C20*D20*E20-F13</f>
        <v>415814505162</v>
      </c>
      <c r="G20" s="54">
        <f t="shared" si="0"/>
        <v>33.469484988605544</v>
      </c>
      <c r="H20" s="53">
        <v>0.4</v>
      </c>
      <c r="I20" s="97">
        <f t="shared" si="1"/>
        <v>1.1951184792242166E-4</v>
      </c>
      <c r="J20" s="55">
        <f t="shared" si="2"/>
        <v>2.9877961980605414E-2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1.8692432148386798E-2</v>
      </c>
      <c r="N21" s="288">
        <f>$O$15</f>
        <v>108.57529814106596</v>
      </c>
      <c r="O21" s="186" cm="1">
        <f t="array" aca="1" ref="O21:O25" ca="1">M21:M25*N21:N25</f>
        <v>2.0295363934927426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1.8692432148386798E-2</v>
      </c>
      <c r="N22" s="290">
        <f>$O$15+1*$O$15*_xlfn.BINOM.DIST(1,1,$I$4,FALSE)</f>
        <v>130.80762894742386</v>
      </c>
      <c r="O22" s="189">
        <f ca="1"/>
        <v>2.4451127285910772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13917097338564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1.8692432148386798E-2</v>
      </c>
      <c r="N23" s="290">
        <f>$O$15+1*$O$15*_xlfn.BINOM.DIST(1,2,$I$4,FALSE)+2*$O$15*_xlfn.BINOM.DIST(2,2,$I$4,FALSE)</f>
        <v>153.03995975378177</v>
      </c>
      <c r="O23" s="189">
        <f ca="1"/>
        <v>2.8606890636894122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1.8692432148386798E-2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3.2762653987877477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1941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7665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7406</v>
      </c>
      <c r="F25" s="43">
        <f ca="1">C25*D25*E25</f>
        <v>110184727590</v>
      </c>
      <c r="G25" s="44">
        <f t="shared" ref="G25:G32" ca="1" si="5">C$11/F25</f>
        <v>126.30695417562633</v>
      </c>
      <c r="H25" s="43" cm="1">
        <f t="array" ref="H25:H32">_xlfn.ANCHORARRAY(H13)</f>
        <v>5</v>
      </c>
      <c r="I25" s="45">
        <f t="shared" ref="I25:I32" ca="1" si="6">J25*H25/$C$1</f>
        <v>3.9586102227179341E-4</v>
      </c>
      <c r="J25" s="45">
        <f t="shared" ref="J25:J32" ca="1" si="7">F25/C$11</f>
        <v>7.9172204454358679E-3</v>
      </c>
      <c r="K25" s="34"/>
      <c r="L25" s="68" t="s">
        <v>280</v>
      </c>
      <c r="M25" s="291">
        <f t="shared" ca="1" si="4"/>
        <v>1.8692432148386798E-2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3.6918417338860814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3341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10065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10059</v>
      </c>
      <c r="F26" s="48">
        <f ca="1">C26*D26*E26-F25</f>
        <v>228070925145</v>
      </c>
      <c r="G26" s="49">
        <f t="shared" ca="1" si="5"/>
        <v>61.020918513466661</v>
      </c>
      <c r="H26" s="48">
        <v>4</v>
      </c>
      <c r="I26" s="50">
        <f t="shared" ca="1" si="6"/>
        <v>6.5551291220194324E-4</v>
      </c>
      <c r="J26" s="50">
        <f t="shared" ca="1" si="7"/>
        <v>1.638782280504858E-2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3241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11003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10459</v>
      </c>
      <c r="F27" s="48">
        <f ca="1">C27*D27*E27-F25</f>
        <v>262790774267</v>
      </c>
      <c r="G27" s="49">
        <f t="shared" ca="1" si="5"/>
        <v>52.958850543299462</v>
      </c>
      <c r="H27" s="48">
        <v>3</v>
      </c>
      <c r="I27" s="50">
        <f t="shared" ca="1" si="6"/>
        <v>5.6647755176392699E-4</v>
      </c>
      <c r="J27" s="50">
        <f t="shared" ca="1" si="7"/>
        <v>1.8882585058797568E-2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3341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10534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10559</v>
      </c>
      <c r="F28" s="48">
        <f ca="1">C28*D28*E28-F25</f>
        <v>261429710956</v>
      </c>
      <c r="G28" s="49">
        <f t="shared" ca="1" si="5"/>
        <v>53.234566521424647</v>
      </c>
      <c r="H28" s="48">
        <v>2.4</v>
      </c>
      <c r="I28" s="50">
        <f t="shared" ca="1" si="6"/>
        <v>4.508348910916936E-4</v>
      </c>
      <c r="J28" s="50">
        <f t="shared" ca="1" si="7"/>
        <v>1.8784787128820566E-2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4095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12510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10412</v>
      </c>
      <c r="F29" s="48">
        <f ca="1">C29*D29*E29-F25</f>
        <v>423205893810</v>
      </c>
      <c r="G29" s="49">
        <f t="shared" ca="1" si="5"/>
        <v>32.884932705620912</v>
      </c>
      <c r="H29" s="48">
        <v>2</v>
      </c>
      <c r="I29" s="50">
        <f t="shared" ca="1" si="6"/>
        <v>6.0818126584098091E-4</v>
      </c>
      <c r="J29" s="50">
        <f t="shared" ca="1" si="7"/>
        <v>3.0409063292049045E-2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4018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11203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10812</v>
      </c>
      <c r="F30" s="48">
        <f ca="1">C30*D30*E30-F25</f>
        <v>376502899458</v>
      </c>
      <c r="G30" s="49">
        <f t="shared" ca="1" si="5"/>
        <v>36.964117297897445</v>
      </c>
      <c r="H30" s="48">
        <v>1.6</v>
      </c>
      <c r="I30" s="50">
        <f t="shared" ca="1" si="6"/>
        <v>4.328522137037504E-4</v>
      </c>
      <c r="J30" s="50">
        <f t="shared" ca="1" si="7"/>
        <v>2.7053263356484399E-2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3818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11672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10812</v>
      </c>
      <c r="F31" s="48">
        <f ca="1">C31*D31*E31-F25</f>
        <v>371637953562</v>
      </c>
      <c r="G31" s="49">
        <f t="shared" ca="1" si="5"/>
        <v>37.44799799152436</v>
      </c>
      <c r="H31" s="48">
        <v>1</v>
      </c>
      <c r="I31" s="50">
        <f t="shared" ca="1" si="6"/>
        <v>2.6703697223716226E-4</v>
      </c>
      <c r="J31" s="50">
        <f t="shared" ca="1" si="7"/>
        <v>2.6703697223716228E-2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4195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10634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11871</v>
      </c>
      <c r="F32" s="53">
        <f ca="1">C32*D32*E32-F25</f>
        <v>419376190140</v>
      </c>
      <c r="G32" s="54">
        <f t="shared" ca="1" si="5"/>
        <v>33.185234798184581</v>
      </c>
      <c r="H32" s="53">
        <v>0.4</v>
      </c>
      <c r="I32" s="55">
        <f t="shared" ca="1" si="6"/>
        <v>1.2053553408092273E-4</v>
      </c>
      <c r="J32" s="55">
        <f t="shared" ca="1" si="7"/>
        <v>3.0133883520230682E-2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13917097338564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2079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8211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7931</v>
      </c>
      <c r="F37" s="43">
        <f ca="1">C37*D37*E37</f>
        <v>135387475839</v>
      </c>
      <c r="G37" s="44">
        <f t="shared" ref="G37:G44" ca="1" si="8">C$11/F37</f>
        <v>102.79456982501044</v>
      </c>
      <c r="H37" s="43" cm="1">
        <f t="array" ref="H37:H44">_xlfn.ANCHORARRAY(H25)</f>
        <v>5</v>
      </c>
      <c r="I37" s="45">
        <f t="shared" ref="I37:I44" ca="1" si="9">J37*H37/$C$1</f>
        <v>4.8640701629586224E-4</v>
      </c>
      <c r="J37" s="45">
        <f t="shared" ref="J37:J44" ca="1" si="10">F37/C$11</f>
        <v>9.7281403259172443E-3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3479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10611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10231</v>
      </c>
      <c r="F38" s="48">
        <f ca="1">C38*D38*E38-F37</f>
        <v>242296733700</v>
      </c>
      <c r="G38" s="49">
        <f t="shared" ca="1" si="8"/>
        <v>57.43823751167637</v>
      </c>
      <c r="H38" s="48">
        <v>4</v>
      </c>
      <c r="I38" s="50">
        <f t="shared" ca="1" si="9"/>
        <v>6.9640019841953852E-4</v>
      </c>
      <c r="J38" s="50">
        <f t="shared" ca="1" si="10"/>
        <v>1.7410004960488463E-2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3379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12131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10631</v>
      </c>
      <c r="F39" s="48">
        <f ca="1">C39*D39*E39-F37</f>
        <v>300384113680</v>
      </c>
      <c r="G39" s="49">
        <f t="shared" ca="1" si="8"/>
        <v>46.331003221395129</v>
      </c>
      <c r="H39" s="48">
        <v>3</v>
      </c>
      <c r="I39" s="50">
        <f t="shared" ca="1" si="9"/>
        <v>6.4751457801687196E-4</v>
      </c>
      <c r="J39" s="50">
        <f t="shared" ca="1" si="10"/>
        <v>2.1583819267229066E-2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3479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10711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11362</v>
      </c>
      <c r="F40" s="48">
        <f ca="1">C40*D40*E40-F37</f>
        <v>288001195139</v>
      </c>
      <c r="G40" s="49">
        <f t="shared" ca="1" si="8"/>
        <v>48.323054117352171</v>
      </c>
      <c r="H40" s="48">
        <v>2.4</v>
      </c>
      <c r="I40" s="50">
        <f t="shared" ca="1" si="9"/>
        <v>4.9665734996211502E-4</v>
      </c>
      <c r="J40" s="50">
        <f t="shared" ca="1" si="10"/>
        <v>2.0694056248421459E-2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4495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11871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10862</v>
      </c>
      <c r="F41" s="48">
        <f ca="1">C41*D41*E41-F37</f>
        <v>444210419151</v>
      </c>
      <c r="G41" s="49">
        <f t="shared" ca="1" si="8"/>
        <v>31.329966021875716</v>
      </c>
      <c r="H41" s="48">
        <v>2</v>
      </c>
      <c r="I41" s="50">
        <f t="shared" ca="1" si="9"/>
        <v>6.3836647591750573E-4</v>
      </c>
      <c r="J41" s="50">
        <f t="shared" ca="1" si="10"/>
        <v>3.1918323795875288E-2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3979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11011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10631</v>
      </c>
      <c r="F42" s="48">
        <f ca="1">C42*D42*E42-F37</f>
        <v>330386071400</v>
      </c>
      <c r="G42" s="49">
        <f t="shared" ca="1" si="8"/>
        <v>42.123741111696269</v>
      </c>
      <c r="H42" s="48">
        <v>1.6</v>
      </c>
      <c r="I42" s="50">
        <f t="shared" ca="1" si="9"/>
        <v>3.7983330961924853E-4</v>
      </c>
      <c r="J42" s="50">
        <f t="shared" ca="1" si="10"/>
        <v>2.3739581851203034E-2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3779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13091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11893</v>
      </c>
      <c r="F43" s="48">
        <f ca="1">C43*D43*E43-F37</f>
        <v>452969807038</v>
      </c>
      <c r="G43" s="49">
        <f t="shared" ca="1" si="8"/>
        <v>30.724116977175221</v>
      </c>
      <c r="H43" s="48">
        <v>1</v>
      </c>
      <c r="I43" s="50">
        <f t="shared" ca="1" si="9"/>
        <v>3.2547721411908912E-4</v>
      </c>
      <c r="J43" s="50">
        <f t="shared" ca="1" si="10"/>
        <v>3.2547721411908911E-2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4287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11471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12524</v>
      </c>
      <c r="F44" s="53">
        <f ca="1">C44*D44*E44-F37</f>
        <v>480494964909</v>
      </c>
      <c r="G44" s="54">
        <f t="shared" ca="1" si="8"/>
        <v>28.96408569276003</v>
      </c>
      <c r="H44" s="53">
        <v>0.4</v>
      </c>
      <c r="I44" s="55">
        <f t="shared" ca="1" si="9"/>
        <v>1.3810206344610612E-4</v>
      </c>
      <c r="J44" s="55">
        <f t="shared" ca="1" si="10"/>
        <v>3.452551586152653E-2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13917097338564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2079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7665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7931</v>
      </c>
      <c r="F49" s="43">
        <f ca="1">C49*D49*E49</f>
        <v>126384728085</v>
      </c>
      <c r="G49" s="44">
        <f t="shared" ref="G49:G56" ca="1" si="11">C$11/F49</f>
        <v>110.11692274405229</v>
      </c>
      <c r="H49" s="43" cm="1">
        <f t="array" ref="H49:H56">_xlfn.ANCHORARRAY(H37)</f>
        <v>5</v>
      </c>
      <c r="I49" s="45">
        <f t="shared" ref="I49:I56" ca="1" si="12">J49*H49/$C$1</f>
        <v>4.5406281572375881E-4</v>
      </c>
      <c r="J49" s="45">
        <f t="shared" ref="J49:J56" ca="1" si="13">F49/C$11</f>
        <v>9.0812563144751762E-3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3479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10065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10231</v>
      </c>
      <c r="F50" s="48">
        <f ca="1">C50*D50*E50-F49</f>
        <v>231865349100</v>
      </c>
      <c r="G50" s="49">
        <f t="shared" ca="1" si="11"/>
        <v>60.022324994157572</v>
      </c>
      <c r="H50" s="48">
        <v>4</v>
      </c>
      <c r="I50" s="50">
        <f t="shared" ca="1" si="12"/>
        <v>6.6641870343898718E-4</v>
      </c>
      <c r="J50" s="50">
        <f t="shared" ca="1" si="13"/>
        <v>1.666046758597468E-2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3379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11003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10631</v>
      </c>
      <c r="F51" s="48">
        <f ca="1">C51*D51*E51-F49</f>
        <v>268866677362</v>
      </c>
      <c r="G51" s="49">
        <f t="shared" ca="1" si="11"/>
        <v>51.762075818068482</v>
      </c>
      <c r="H51" s="48">
        <v>3</v>
      </c>
      <c r="I51" s="50">
        <f t="shared" ca="1" si="12"/>
        <v>5.7957490162185423E-4</v>
      </c>
      <c r="J51" s="50">
        <f t="shared" ca="1" si="13"/>
        <v>1.9319163387395141E-2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3479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10534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11362</v>
      </c>
      <c r="F52" s="48">
        <f ca="1">C52*D52*E52-F49</f>
        <v>290007416447</v>
      </c>
      <c r="G52" s="49">
        <f t="shared" ca="1" si="11"/>
        <v>47.988763560146417</v>
      </c>
      <c r="H52" s="48">
        <v>2.4</v>
      </c>
      <c r="I52" s="50">
        <f t="shared" ca="1" si="12"/>
        <v>5.0011707365453897E-4</v>
      </c>
      <c r="J52" s="50">
        <f t="shared" ca="1" si="13"/>
        <v>2.0838211402272457E-2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3879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12510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10862</v>
      </c>
      <c r="F53" s="48">
        <f ca="1">C53*D53*E53-F49</f>
        <v>400707833895</v>
      </c>
      <c r="G53" s="49">
        <f t="shared" ca="1" si="11"/>
        <v>34.731283397396183</v>
      </c>
      <c r="H53" s="48">
        <v>2</v>
      </c>
      <c r="I53" s="50">
        <f t="shared" ca="1" si="12"/>
        <v>5.7584972519326505E-4</v>
      </c>
      <c r="J53" s="50">
        <f t="shared" ca="1" si="13"/>
        <v>2.8792486259663252E-2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4287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11203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10631</v>
      </c>
      <c r="F54" s="48">
        <f ca="1">C54*D54*E54-F49</f>
        <v>384193083606</v>
      </c>
      <c r="G54" s="49">
        <f t="shared" ca="1" si="11"/>
        <v>36.224226651712307</v>
      </c>
      <c r="H54" s="48">
        <v>1.6</v>
      </c>
      <c r="I54" s="50">
        <f t="shared" ca="1" si="12"/>
        <v>4.4169334942154481E-4</v>
      </c>
      <c r="J54" s="50">
        <f t="shared" ca="1" si="13"/>
        <v>2.7605834338846551E-2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4087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11672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11893</v>
      </c>
      <c r="F55" s="48">
        <f ca="1">C55*D55*E55-F49</f>
        <v>440952569267</v>
      </c>
      <c r="G55" s="49">
        <f t="shared" ca="1" si="11"/>
        <v>31.561438368980443</v>
      </c>
      <c r="H55" s="48">
        <v>1</v>
      </c>
      <c r="I55" s="50">
        <f t="shared" ca="1" si="12"/>
        <v>3.1684234042477318E-4</v>
      </c>
      <c r="J55" s="50">
        <f t="shared" ca="1" si="13"/>
        <v>3.1684234042477319E-2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4287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10634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12524</v>
      </c>
      <c r="F56" s="53">
        <f ca="1">C56*D56*E56-F49</f>
        <v>444558857907</v>
      </c>
      <c r="G56" s="54">
        <f t="shared" ca="1" si="11"/>
        <v>31.305410050957533</v>
      </c>
      <c r="H56" s="53">
        <v>0.4</v>
      </c>
      <c r="I56" s="55">
        <f t="shared" ca="1" si="12"/>
        <v>1.2777344214590965E-4</v>
      </c>
      <c r="J56" s="55">
        <f t="shared" ca="1" si="13"/>
        <v>3.1943360536477408E-2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13917097338564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2079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7665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7931</v>
      </c>
      <c r="F61" s="43">
        <f ca="1">C61*D61*E61</f>
        <v>126384728085</v>
      </c>
      <c r="G61" s="44">
        <f t="shared" ref="G61:G68" ca="1" si="14">C$11/F61</f>
        <v>110.11692274405229</v>
      </c>
      <c r="H61" s="43" cm="1">
        <f t="array" ref="H61:H68">_xlfn.ANCHORARRAY(H49)</f>
        <v>5</v>
      </c>
      <c r="I61" s="45">
        <f t="shared" ref="I61:I68" ca="1" si="15">J61*H61/$C$1</f>
        <v>4.5406281572375881E-4</v>
      </c>
      <c r="J61" s="45">
        <f t="shared" ref="J61:J68" ca="1" si="16">F61/C$11</f>
        <v>9.0812563144751762E-3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3479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10065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10862</v>
      </c>
      <c r="F62" s="48">
        <f ca="1">C62*D62*E62-F61</f>
        <v>253960530285</v>
      </c>
      <c r="G62" s="49">
        <f t="shared" ca="1" si="14"/>
        <v>54.800237355568335</v>
      </c>
      <c r="H62" s="48">
        <v>4</v>
      </c>
      <c r="I62" s="50">
        <f t="shared" ca="1" si="15"/>
        <v>7.2992384577574355E-4</v>
      </c>
      <c r="J62" s="50">
        <f t="shared" ca="1" si="16"/>
        <v>1.8248096144393589E-2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3379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11003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11262</v>
      </c>
      <c r="F63" s="48">
        <f ca="1">C63*D63*E63-F61</f>
        <v>292326712809</v>
      </c>
      <c r="G63" s="49">
        <f t="shared" ca="1" si="14"/>
        <v>47.608024613395948</v>
      </c>
      <c r="H63" s="48">
        <v>3</v>
      </c>
      <c r="I63" s="50">
        <f t="shared" ca="1" si="15"/>
        <v>6.3014586813078149E-4</v>
      </c>
      <c r="J63" s="50">
        <f t="shared" ca="1" si="16"/>
        <v>2.1004862271026048E-2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3479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10534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10731</v>
      </c>
      <c r="F64" s="48">
        <f ca="1">C64*D64*E64-F61</f>
        <v>266882663481</v>
      </c>
      <c r="G64" s="49">
        <f t="shared" ca="1" si="14"/>
        <v>52.146876672469922</v>
      </c>
      <c r="H64" s="48">
        <v>2.4</v>
      </c>
      <c r="I64" s="50">
        <f t="shared" ca="1" si="15"/>
        <v>4.6023849425809232E-4</v>
      </c>
      <c r="J64" s="50">
        <f t="shared" ca="1" si="16"/>
        <v>1.9176603927420516E-2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4495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12510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10862</v>
      </c>
      <c r="F65" s="48">
        <f ca="1">C65*D65*E65-F61</f>
        <v>484412143815</v>
      </c>
      <c r="G65" s="49">
        <f t="shared" ca="1" si="14"/>
        <v>28.729868803369691</v>
      </c>
      <c r="H65" s="48">
        <v>2</v>
      </c>
      <c r="I65" s="50">
        <f t="shared" ca="1" si="15"/>
        <v>6.9613962169065753E-4</v>
      </c>
      <c r="J65" s="50">
        <f t="shared" ca="1" si="16"/>
        <v>3.4806981084532874E-2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3979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11203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11893</v>
      </c>
      <c r="F66" s="48">
        <f ca="1">C66*D66*E66-F61</f>
        <v>403766405056</v>
      </c>
      <c r="G66" s="49">
        <f t="shared" ca="1" si="14"/>
        <v>34.468190429646519</v>
      </c>
      <c r="H66" s="48">
        <v>1.6</v>
      </c>
      <c r="I66" s="50">
        <f t="shared" ca="1" si="15"/>
        <v>4.6419611243177423E-4</v>
      </c>
      <c r="J66" s="50">
        <f t="shared" ca="1" si="16"/>
        <v>2.9012257026985889E-2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3779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11672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10631</v>
      </c>
      <c r="F67" s="48">
        <f ca="1">C67*D67*E67-F61</f>
        <v>342532607843</v>
      </c>
      <c r="G67" s="49">
        <f t="shared" ca="1" si="14"/>
        <v>40.629992648591603</v>
      </c>
      <c r="H67" s="48">
        <v>1</v>
      </c>
      <c r="I67" s="50">
        <f t="shared" ca="1" si="15"/>
        <v>2.4612359855661064E-4</v>
      </c>
      <c r="J67" s="50">
        <f t="shared" ca="1" si="16"/>
        <v>2.4612359855661063E-2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4287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10634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11893</v>
      </c>
      <c r="F68" s="53">
        <f ca="1">C68*D68*E68-F61</f>
        <v>415792856409</v>
      </c>
      <c r="G68" s="54">
        <f t="shared" ca="1" si="14"/>
        <v>33.47122761742272</v>
      </c>
      <c r="H68" s="53">
        <v>0.4</v>
      </c>
      <c r="I68" s="55">
        <f t="shared" ca="1" si="15"/>
        <v>1.1950562571890512E-4</v>
      </c>
      <c r="J68" s="55">
        <f t="shared" ca="1" si="16"/>
        <v>2.987640642972628E-2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1.8692432148386798E-2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24.30307775257026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13917097338564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2079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8211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7931</v>
      </c>
      <c r="F13" s="43">
        <f>C13*D13*E13</f>
        <v>135387475839</v>
      </c>
      <c r="G13" s="44">
        <f t="shared" ref="G13:G20" si="0">C$11/F13</f>
        <v>102.79456982501044</v>
      </c>
      <c r="H13" s="43" cm="1">
        <f t="array" ref="H13:H20">Overview!B40:B47</f>
        <v>5</v>
      </c>
      <c r="I13" s="95">
        <f t="shared" ref="I13:I20" si="1">J13*H13/$C$1</f>
        <v>4.8640701629586224E-4</v>
      </c>
      <c r="J13" s="45">
        <f t="shared" ref="J13:J20" si="2">F13/C$11</f>
        <v>9.7281403259172443E-3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3479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10611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10862</v>
      </c>
      <c r="F14" s="48">
        <f>C14*D14*E14-F13</f>
        <v>265590520839</v>
      </c>
      <c r="G14" s="49">
        <f t="shared" si="0"/>
        <v>52.400580015430947</v>
      </c>
      <c r="H14" s="48">
        <v>4</v>
      </c>
      <c r="I14" s="96">
        <f t="shared" si="1"/>
        <v>7.6335032910362411E-4</v>
      </c>
      <c r="J14" s="50">
        <f t="shared" si="2"/>
        <v>1.9083758227590602E-2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3379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10811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11262</v>
      </c>
      <c r="F15" s="48">
        <f>C15*D15*E15-F13</f>
        <v>276017539839</v>
      </c>
      <c r="G15" s="49">
        <f t="shared" si="0"/>
        <v>50.421061453854676</v>
      </c>
      <c r="H15" s="48">
        <v>3</v>
      </c>
      <c r="I15" s="96">
        <f t="shared" si="1"/>
        <v>5.9498945748010445E-4</v>
      </c>
      <c r="J15" s="50">
        <f t="shared" si="2"/>
        <v>1.9832981916003481E-2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3479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11371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10731</v>
      </c>
      <c r="F16" s="48">
        <f>C16*D16*E16-F13</f>
        <v>289127761440</v>
      </c>
      <c r="G16" s="49">
        <f t="shared" si="0"/>
        <v>48.134766683247349</v>
      </c>
      <c r="H16" s="48">
        <v>2.4</v>
      </c>
      <c r="I16" s="96">
        <f t="shared" si="1"/>
        <v>4.9860011076677496E-4</v>
      </c>
      <c r="J16" s="50">
        <f t="shared" si="2"/>
        <v>2.077500461528229E-2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3879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13851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10862</v>
      </c>
      <c r="F17" s="48">
        <f>C17*D17*E17-F13</f>
        <v>448206375159</v>
      </c>
      <c r="G17" s="49">
        <f t="shared" si="0"/>
        <v>31.050645662117027</v>
      </c>
      <c r="H17" s="48">
        <v>2</v>
      </c>
      <c r="I17" s="96">
        <f t="shared" si="1"/>
        <v>6.44108989475886E-4</v>
      </c>
      <c r="J17" s="50">
        <f t="shared" si="2"/>
        <v>3.22054494737943E-2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4287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12331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11893</v>
      </c>
      <c r="F18" s="48">
        <f>C18*D18*E18-F13</f>
        <v>493312147482</v>
      </c>
      <c r="G18" s="49">
        <f t="shared" si="0"/>
        <v>28.211543967852137</v>
      </c>
      <c r="H18" s="48">
        <v>1.6</v>
      </c>
      <c r="I18" s="96">
        <f t="shared" si="1"/>
        <v>5.6714372025269016E-4</v>
      </c>
      <c r="J18" s="50">
        <f t="shared" si="2"/>
        <v>3.5446482515793132E-2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4087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11111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10631</v>
      </c>
      <c r="F19" s="48">
        <f>C19*D19*E19-F13</f>
        <v>347373218728</v>
      </c>
      <c r="G19" s="49">
        <f t="shared" si="0"/>
        <v>40.063817785162527</v>
      </c>
      <c r="H19" s="48">
        <v>1</v>
      </c>
      <c r="I19" s="96">
        <f t="shared" si="1"/>
        <v>2.4960177418996399E-4</v>
      </c>
      <c r="J19" s="50">
        <f t="shared" si="2"/>
        <v>2.4960177418996397E-2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4287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10811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11893</v>
      </c>
      <c r="F20" s="53">
        <f>C20*D20*E20-F13</f>
        <v>415814505162</v>
      </c>
      <c r="G20" s="54">
        <f t="shared" si="0"/>
        <v>33.469484988605544</v>
      </c>
      <c r="H20" s="53">
        <v>0.4</v>
      </c>
      <c r="I20" s="97">
        <f t="shared" si="1"/>
        <v>1.1951184792242166E-4</v>
      </c>
      <c r="J20" s="55">
        <f t="shared" si="2"/>
        <v>2.9877961980605414E-2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1.8692432148386798E-2</v>
      </c>
      <c r="N21" s="288">
        <f>$O$15</f>
        <v>184.48100118421755</v>
      </c>
      <c r="O21" s="186" cm="1">
        <f t="array" aca="1" ref="O21:O25" ca="1">M21:M25*N21:N25</f>
        <v>3.4483985973024511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1.8692432148386798E-2</v>
      </c>
      <c r="N22" s="290">
        <f>$O$15+1*$O$15*_xlfn.BINOM.DIST(1,1,$I$4,FALSE)</f>
        <v>222.25610027247288</v>
      </c>
      <c r="O22" s="189">
        <f ca="1"/>
        <v>4.1545070739082517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13917097338564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1.8692432148386798E-2</v>
      </c>
      <c r="N23" s="290">
        <f>$O$15+1*$O$15*_xlfn.BINOM.DIST(1,2,$I$4,FALSE)+2*$O$15*_xlfn.BINOM.DIST(2,2,$I$4,FALSE)</f>
        <v>260.03119936072818</v>
      </c>
      <c r="O23" s="189">
        <f ca="1"/>
        <v>4.8606155505140523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1.8692432148386798E-2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5.5667240271198537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1941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7665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7406</v>
      </c>
      <c r="F25" s="43">
        <f ca="1">C25*D25*E25</f>
        <v>110184727590</v>
      </c>
      <c r="G25" s="44">
        <f t="shared" ref="G25:G32" ca="1" si="5">C$11/F25</f>
        <v>126.30695417562633</v>
      </c>
      <c r="H25" s="43" cm="1">
        <f t="array" ref="H25:H32">_xlfn.ANCHORARRAY(H13)</f>
        <v>5</v>
      </c>
      <c r="I25" s="45">
        <f t="shared" ref="I25:I32" ca="1" si="6">J25*H25/$C$1</f>
        <v>3.9586102227179341E-4</v>
      </c>
      <c r="J25" s="45">
        <f t="shared" ref="J25:J32" ca="1" si="7">F25/C$11</f>
        <v>7.9172204454358679E-3</v>
      </c>
      <c r="K25" s="34"/>
      <c r="L25" s="68" t="s">
        <v>280</v>
      </c>
      <c r="M25" s="291">
        <f t="shared" ca="1" si="4"/>
        <v>1.8692432148386798E-2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6.2728325037256525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3341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10065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10059</v>
      </c>
      <c r="F26" s="48">
        <f ca="1">C26*D26*E26-F25</f>
        <v>228070925145</v>
      </c>
      <c r="G26" s="49">
        <f t="shared" ca="1" si="5"/>
        <v>61.020918513466661</v>
      </c>
      <c r="H26" s="48">
        <v>4</v>
      </c>
      <c r="I26" s="50">
        <f t="shared" ca="1" si="6"/>
        <v>6.5551291220194324E-4</v>
      </c>
      <c r="J26" s="50">
        <f t="shared" ca="1" si="7"/>
        <v>1.638782280504858E-2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3241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11003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10459</v>
      </c>
      <c r="F27" s="48">
        <f ca="1">C27*D27*E27-F25</f>
        <v>262790774267</v>
      </c>
      <c r="G27" s="49">
        <f t="shared" ca="1" si="5"/>
        <v>52.958850543299462</v>
      </c>
      <c r="H27" s="48">
        <v>3</v>
      </c>
      <c r="I27" s="50">
        <f t="shared" ca="1" si="6"/>
        <v>5.6647755176392699E-4</v>
      </c>
      <c r="J27" s="50">
        <f t="shared" ca="1" si="7"/>
        <v>1.8882585058797568E-2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3341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10534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10559</v>
      </c>
      <c r="F28" s="48">
        <f ca="1">C28*D28*E28-F25</f>
        <v>261429710956</v>
      </c>
      <c r="G28" s="49">
        <f t="shared" ca="1" si="5"/>
        <v>53.234566521424647</v>
      </c>
      <c r="H28" s="48">
        <v>2.4</v>
      </c>
      <c r="I28" s="50">
        <f t="shared" ca="1" si="6"/>
        <v>4.508348910916936E-4</v>
      </c>
      <c r="J28" s="50">
        <f t="shared" ca="1" si="7"/>
        <v>1.8784787128820566E-2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4095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12510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10412</v>
      </c>
      <c r="F29" s="48">
        <f ca="1">C29*D29*E29-F25</f>
        <v>423205893810</v>
      </c>
      <c r="G29" s="49">
        <f t="shared" ca="1" si="5"/>
        <v>32.884932705620912</v>
      </c>
      <c r="H29" s="48">
        <v>2</v>
      </c>
      <c r="I29" s="50">
        <f t="shared" ca="1" si="6"/>
        <v>6.0818126584098091E-4</v>
      </c>
      <c r="J29" s="50">
        <f t="shared" ca="1" si="7"/>
        <v>3.0409063292049045E-2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4018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11203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10812</v>
      </c>
      <c r="F30" s="48">
        <f ca="1">C30*D30*E30-F25</f>
        <v>376502899458</v>
      </c>
      <c r="G30" s="49">
        <f t="shared" ca="1" si="5"/>
        <v>36.964117297897445</v>
      </c>
      <c r="H30" s="48">
        <v>1.6</v>
      </c>
      <c r="I30" s="50">
        <f t="shared" ca="1" si="6"/>
        <v>4.328522137037504E-4</v>
      </c>
      <c r="J30" s="50">
        <f t="shared" ca="1" si="7"/>
        <v>2.7053263356484399E-2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3818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11672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10812</v>
      </c>
      <c r="F31" s="48">
        <f ca="1">C31*D31*E31-F25</f>
        <v>371637953562</v>
      </c>
      <c r="G31" s="49">
        <f t="shared" ca="1" si="5"/>
        <v>37.44799799152436</v>
      </c>
      <c r="H31" s="48">
        <v>1</v>
      </c>
      <c r="I31" s="50">
        <f t="shared" ca="1" si="6"/>
        <v>2.6703697223716226E-4</v>
      </c>
      <c r="J31" s="50">
        <f t="shared" ca="1" si="7"/>
        <v>2.6703697223716228E-2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4195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10634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11871</v>
      </c>
      <c r="F32" s="53">
        <f ca="1">C32*D32*E32-F25</f>
        <v>419376190140</v>
      </c>
      <c r="G32" s="54">
        <f t="shared" ca="1" si="5"/>
        <v>33.185234798184581</v>
      </c>
      <c r="H32" s="53">
        <v>0.4</v>
      </c>
      <c r="I32" s="55">
        <f t="shared" ca="1" si="6"/>
        <v>1.2053553408092273E-4</v>
      </c>
      <c r="J32" s="55">
        <f t="shared" ca="1" si="7"/>
        <v>3.0133883520230682E-2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13917097338564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2079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8211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7931</v>
      </c>
      <c r="F37" s="43">
        <f ca="1">C37*D37*E37</f>
        <v>135387475839</v>
      </c>
      <c r="G37" s="44">
        <f t="shared" ref="G37:G44" ca="1" si="8">C$11/F37</f>
        <v>102.79456982501044</v>
      </c>
      <c r="H37" s="43" cm="1">
        <f t="array" ref="H37:H44">_xlfn.ANCHORARRAY(H25)</f>
        <v>5</v>
      </c>
      <c r="I37" s="45">
        <f t="shared" ref="I37:I44" ca="1" si="9">J37*H37/$C$1</f>
        <v>4.8640701629586224E-4</v>
      </c>
      <c r="J37" s="45">
        <f t="shared" ref="J37:J44" ca="1" si="10">F37/C$11</f>
        <v>9.7281403259172443E-3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3479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10611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10231</v>
      </c>
      <c r="F38" s="48">
        <f ca="1">C38*D38*E38-F37</f>
        <v>242296733700</v>
      </c>
      <c r="G38" s="49">
        <f t="shared" ca="1" si="8"/>
        <v>57.43823751167637</v>
      </c>
      <c r="H38" s="48">
        <v>4</v>
      </c>
      <c r="I38" s="50">
        <f t="shared" ca="1" si="9"/>
        <v>6.9640019841953852E-4</v>
      </c>
      <c r="J38" s="50">
        <f t="shared" ca="1" si="10"/>
        <v>1.7410004960488463E-2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3379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12131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10631</v>
      </c>
      <c r="F39" s="48">
        <f ca="1">C39*D39*E39-F37</f>
        <v>300384113680</v>
      </c>
      <c r="G39" s="49">
        <f t="shared" ca="1" si="8"/>
        <v>46.331003221395129</v>
      </c>
      <c r="H39" s="48">
        <v>3</v>
      </c>
      <c r="I39" s="50">
        <f t="shared" ca="1" si="9"/>
        <v>6.4751457801687196E-4</v>
      </c>
      <c r="J39" s="50">
        <f t="shared" ca="1" si="10"/>
        <v>2.1583819267229066E-2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3479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10711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11362</v>
      </c>
      <c r="F40" s="48">
        <f ca="1">C40*D40*E40-F37</f>
        <v>288001195139</v>
      </c>
      <c r="G40" s="49">
        <f t="shared" ca="1" si="8"/>
        <v>48.323054117352171</v>
      </c>
      <c r="H40" s="48">
        <v>2.4</v>
      </c>
      <c r="I40" s="50">
        <f t="shared" ca="1" si="9"/>
        <v>4.9665734996211502E-4</v>
      </c>
      <c r="J40" s="50">
        <f t="shared" ca="1" si="10"/>
        <v>2.0694056248421459E-2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4495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11871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10862</v>
      </c>
      <c r="F41" s="48">
        <f ca="1">C41*D41*E41-F37</f>
        <v>444210419151</v>
      </c>
      <c r="G41" s="49">
        <f t="shared" ca="1" si="8"/>
        <v>31.329966021875716</v>
      </c>
      <c r="H41" s="48">
        <v>2</v>
      </c>
      <c r="I41" s="50">
        <f t="shared" ca="1" si="9"/>
        <v>6.3836647591750573E-4</v>
      </c>
      <c r="J41" s="50">
        <f t="shared" ca="1" si="10"/>
        <v>3.1918323795875288E-2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3979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11011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10631</v>
      </c>
      <c r="F42" s="48">
        <f ca="1">C42*D42*E42-F37</f>
        <v>330386071400</v>
      </c>
      <c r="G42" s="49">
        <f t="shared" ca="1" si="8"/>
        <v>42.123741111696269</v>
      </c>
      <c r="H42" s="48">
        <v>1.6</v>
      </c>
      <c r="I42" s="50">
        <f t="shared" ca="1" si="9"/>
        <v>3.7983330961924853E-4</v>
      </c>
      <c r="J42" s="50">
        <f t="shared" ca="1" si="10"/>
        <v>2.3739581851203034E-2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3779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13091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11893</v>
      </c>
      <c r="F43" s="48">
        <f ca="1">C43*D43*E43-F37</f>
        <v>452969807038</v>
      </c>
      <c r="G43" s="49">
        <f t="shared" ca="1" si="8"/>
        <v>30.724116977175221</v>
      </c>
      <c r="H43" s="48">
        <v>1</v>
      </c>
      <c r="I43" s="50">
        <f t="shared" ca="1" si="9"/>
        <v>3.2547721411908912E-4</v>
      </c>
      <c r="J43" s="50">
        <f t="shared" ca="1" si="10"/>
        <v>3.2547721411908911E-2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4287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11471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12524</v>
      </c>
      <c r="F44" s="53">
        <f ca="1">C44*D44*E44-F37</f>
        <v>480494964909</v>
      </c>
      <c r="G44" s="54">
        <f t="shared" ca="1" si="8"/>
        <v>28.96408569276003</v>
      </c>
      <c r="H44" s="53">
        <v>0.4</v>
      </c>
      <c r="I44" s="55">
        <f t="shared" ca="1" si="9"/>
        <v>1.3810206344610612E-4</v>
      </c>
      <c r="J44" s="55">
        <f t="shared" ca="1" si="10"/>
        <v>3.452551586152653E-2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13917097338564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2079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7665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7931</v>
      </c>
      <c r="F49" s="43">
        <f ca="1">C49*D49*E49</f>
        <v>126384728085</v>
      </c>
      <c r="G49" s="44">
        <f t="shared" ref="G49:G56" ca="1" si="11">C$11/F49</f>
        <v>110.11692274405229</v>
      </c>
      <c r="H49" s="43" cm="1">
        <f t="array" ref="H49:H56">_xlfn.ANCHORARRAY(H37)</f>
        <v>5</v>
      </c>
      <c r="I49" s="45">
        <f t="shared" ref="I49:I56" ca="1" si="12">J49*H49/$C$1</f>
        <v>4.5406281572375881E-4</v>
      </c>
      <c r="J49" s="45">
        <f t="shared" ref="J49:J56" ca="1" si="13">F49/C$11</f>
        <v>9.0812563144751762E-3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3479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10065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10231</v>
      </c>
      <c r="F50" s="48">
        <f ca="1">C50*D50*E50-F49</f>
        <v>231865349100</v>
      </c>
      <c r="G50" s="49">
        <f t="shared" ca="1" si="11"/>
        <v>60.022324994157572</v>
      </c>
      <c r="H50" s="48">
        <v>4</v>
      </c>
      <c r="I50" s="50">
        <f t="shared" ca="1" si="12"/>
        <v>6.6641870343898718E-4</v>
      </c>
      <c r="J50" s="50">
        <f t="shared" ca="1" si="13"/>
        <v>1.666046758597468E-2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3379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11003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10631</v>
      </c>
      <c r="F51" s="48">
        <f ca="1">C51*D51*E51-F49</f>
        <v>268866677362</v>
      </c>
      <c r="G51" s="49">
        <f t="shared" ca="1" si="11"/>
        <v>51.762075818068482</v>
      </c>
      <c r="H51" s="48">
        <v>3</v>
      </c>
      <c r="I51" s="50">
        <f t="shared" ca="1" si="12"/>
        <v>5.7957490162185423E-4</v>
      </c>
      <c r="J51" s="50">
        <f t="shared" ca="1" si="13"/>
        <v>1.9319163387395141E-2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3479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10534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11362</v>
      </c>
      <c r="F52" s="48">
        <f ca="1">C52*D52*E52-F49</f>
        <v>290007416447</v>
      </c>
      <c r="G52" s="49">
        <f t="shared" ca="1" si="11"/>
        <v>47.988763560146417</v>
      </c>
      <c r="H52" s="48">
        <v>2.4</v>
      </c>
      <c r="I52" s="50">
        <f t="shared" ca="1" si="12"/>
        <v>5.0011707365453897E-4</v>
      </c>
      <c r="J52" s="50">
        <f t="shared" ca="1" si="13"/>
        <v>2.0838211402272457E-2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3879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12510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10862</v>
      </c>
      <c r="F53" s="48">
        <f ca="1">C53*D53*E53-F49</f>
        <v>400707833895</v>
      </c>
      <c r="G53" s="49">
        <f t="shared" ca="1" si="11"/>
        <v>34.731283397396183</v>
      </c>
      <c r="H53" s="48">
        <v>2</v>
      </c>
      <c r="I53" s="50">
        <f t="shared" ca="1" si="12"/>
        <v>5.7584972519326505E-4</v>
      </c>
      <c r="J53" s="50">
        <f t="shared" ca="1" si="13"/>
        <v>2.8792486259663252E-2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4287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11203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10631</v>
      </c>
      <c r="F54" s="48">
        <f ca="1">C54*D54*E54-F49</f>
        <v>384193083606</v>
      </c>
      <c r="G54" s="49">
        <f t="shared" ca="1" si="11"/>
        <v>36.224226651712307</v>
      </c>
      <c r="H54" s="48">
        <v>1.6</v>
      </c>
      <c r="I54" s="50">
        <f t="shared" ca="1" si="12"/>
        <v>4.4169334942154481E-4</v>
      </c>
      <c r="J54" s="50">
        <f t="shared" ca="1" si="13"/>
        <v>2.7605834338846551E-2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4087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11672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11893</v>
      </c>
      <c r="F55" s="48">
        <f ca="1">C55*D55*E55-F49</f>
        <v>440952569267</v>
      </c>
      <c r="G55" s="49">
        <f t="shared" ca="1" si="11"/>
        <v>31.561438368980443</v>
      </c>
      <c r="H55" s="48">
        <v>1</v>
      </c>
      <c r="I55" s="50">
        <f t="shared" ca="1" si="12"/>
        <v>3.1684234042477318E-4</v>
      </c>
      <c r="J55" s="50">
        <f t="shared" ca="1" si="13"/>
        <v>3.1684234042477319E-2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4287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10634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12524</v>
      </c>
      <c r="F56" s="53">
        <f ca="1">C56*D56*E56-F49</f>
        <v>444558857907</v>
      </c>
      <c r="G56" s="54">
        <f t="shared" ca="1" si="11"/>
        <v>31.305410050957533</v>
      </c>
      <c r="H56" s="53">
        <v>0.4</v>
      </c>
      <c r="I56" s="55">
        <f t="shared" ca="1" si="12"/>
        <v>1.2777344214590965E-4</v>
      </c>
      <c r="J56" s="55">
        <f t="shared" ca="1" si="13"/>
        <v>3.1943360536477408E-2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13917097338564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2079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7665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7931</v>
      </c>
      <c r="F61" s="43">
        <f ca="1">C61*D61*E61</f>
        <v>126384728085</v>
      </c>
      <c r="G61" s="44">
        <f t="shared" ref="G61:G68" ca="1" si="14">C$11/F61</f>
        <v>110.11692274405229</v>
      </c>
      <c r="H61" s="43" cm="1">
        <f t="array" ref="H61:H68">_xlfn.ANCHORARRAY(H49)</f>
        <v>5</v>
      </c>
      <c r="I61" s="45">
        <f t="shared" ref="I61:I68" ca="1" si="15">J61*H61/$C$1</f>
        <v>4.5406281572375881E-4</v>
      </c>
      <c r="J61" s="45">
        <f t="shared" ref="J61:J68" ca="1" si="16">F61/C$11</f>
        <v>9.0812563144751762E-3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3479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10065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10862</v>
      </c>
      <c r="F62" s="48">
        <f ca="1">C62*D62*E62-F61</f>
        <v>253960530285</v>
      </c>
      <c r="G62" s="49">
        <f t="shared" ca="1" si="14"/>
        <v>54.800237355568335</v>
      </c>
      <c r="H62" s="48">
        <v>4</v>
      </c>
      <c r="I62" s="50">
        <f t="shared" ca="1" si="15"/>
        <v>7.2992384577574355E-4</v>
      </c>
      <c r="J62" s="50">
        <f t="shared" ca="1" si="16"/>
        <v>1.8248096144393589E-2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3379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11003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11262</v>
      </c>
      <c r="F63" s="48">
        <f ca="1">C63*D63*E63-F61</f>
        <v>292326712809</v>
      </c>
      <c r="G63" s="49">
        <f t="shared" ca="1" si="14"/>
        <v>47.608024613395948</v>
      </c>
      <c r="H63" s="48">
        <v>3</v>
      </c>
      <c r="I63" s="50">
        <f t="shared" ca="1" si="15"/>
        <v>6.3014586813078149E-4</v>
      </c>
      <c r="J63" s="50">
        <f t="shared" ca="1" si="16"/>
        <v>2.1004862271026048E-2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3479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10534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10731</v>
      </c>
      <c r="F64" s="48">
        <f ca="1">C64*D64*E64-F61</f>
        <v>266882663481</v>
      </c>
      <c r="G64" s="49">
        <f t="shared" ca="1" si="14"/>
        <v>52.146876672469922</v>
      </c>
      <c r="H64" s="48">
        <v>2.4</v>
      </c>
      <c r="I64" s="50">
        <f t="shared" ca="1" si="15"/>
        <v>4.6023849425809232E-4</v>
      </c>
      <c r="J64" s="50">
        <f t="shared" ca="1" si="16"/>
        <v>1.9176603927420516E-2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4495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12510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10862</v>
      </c>
      <c r="F65" s="48">
        <f ca="1">C65*D65*E65-F61</f>
        <v>484412143815</v>
      </c>
      <c r="G65" s="49">
        <f t="shared" ca="1" si="14"/>
        <v>28.729868803369691</v>
      </c>
      <c r="H65" s="48">
        <v>2</v>
      </c>
      <c r="I65" s="50">
        <f t="shared" ca="1" si="15"/>
        <v>6.9613962169065753E-4</v>
      </c>
      <c r="J65" s="50">
        <f t="shared" ca="1" si="16"/>
        <v>3.4806981084532874E-2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3979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11203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11893</v>
      </c>
      <c r="F66" s="48">
        <f ca="1">C66*D66*E66-F61</f>
        <v>403766405056</v>
      </c>
      <c r="G66" s="49">
        <f t="shared" ca="1" si="14"/>
        <v>34.468190429646519</v>
      </c>
      <c r="H66" s="48">
        <v>1.6</v>
      </c>
      <c r="I66" s="50">
        <f t="shared" ca="1" si="15"/>
        <v>4.6419611243177423E-4</v>
      </c>
      <c r="J66" s="50">
        <f t="shared" ca="1" si="16"/>
        <v>2.9012257026985889E-2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3779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11672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10631</v>
      </c>
      <c r="F67" s="48">
        <f ca="1">C67*D67*E67-F61</f>
        <v>342532607843</v>
      </c>
      <c r="G67" s="49">
        <f t="shared" ca="1" si="14"/>
        <v>40.629992648591603</v>
      </c>
      <c r="H67" s="48">
        <v>1</v>
      </c>
      <c r="I67" s="50">
        <f t="shared" ca="1" si="15"/>
        <v>2.4612359855661064E-4</v>
      </c>
      <c r="J67" s="50">
        <f t="shared" ca="1" si="16"/>
        <v>2.4612359855661063E-2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4287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10634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11893</v>
      </c>
      <c r="F68" s="53">
        <f ca="1">C68*D68*E68-F61</f>
        <v>415792856409</v>
      </c>
      <c r="G68" s="54">
        <f t="shared" ca="1" si="14"/>
        <v>33.47122761742272</v>
      </c>
      <c r="H68" s="53">
        <v>0.4</v>
      </c>
      <c r="I68" s="55">
        <f t="shared" ca="1" si="15"/>
        <v>1.1950562571890512E-4</v>
      </c>
      <c r="J68" s="55">
        <f t="shared" ca="1" si="16"/>
        <v>2.987640642972628E-2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5.9966235238802887E-2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5.5333512964734899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13917097338564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2079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8211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7931</v>
      </c>
      <c r="F13" s="43">
        <f>C13*D13*E13</f>
        <v>135387475839</v>
      </c>
      <c r="G13" s="44">
        <f t="shared" ref="G13:G20" si="0">C$11/F13</f>
        <v>102.79456982501044</v>
      </c>
      <c r="H13" s="43" cm="1">
        <f t="array" ref="H13:H20">Overview!B40:B47</f>
        <v>5</v>
      </c>
      <c r="I13" s="95">
        <f t="shared" ref="I13:I20" si="1">J13*H13/$C$1</f>
        <v>1.9456280651834491E-4</v>
      </c>
      <c r="J13" s="45">
        <f t="shared" ref="J13:J20" si="2">F13/C$11</f>
        <v>9.7281403259172443E-3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3479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10611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10862</v>
      </c>
      <c r="F14" s="48">
        <f>C14*D14*E14-F13</f>
        <v>265590520839</v>
      </c>
      <c r="G14" s="49">
        <f t="shared" si="0"/>
        <v>52.400580015430947</v>
      </c>
      <c r="H14" s="48">
        <v>4</v>
      </c>
      <c r="I14" s="96">
        <f t="shared" si="1"/>
        <v>3.0534013164144961E-4</v>
      </c>
      <c r="J14" s="50">
        <f t="shared" si="2"/>
        <v>1.9083758227590602E-2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3379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10811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11262</v>
      </c>
      <c r="F15" s="48">
        <f>C15*D15*E15-F13</f>
        <v>276017539839</v>
      </c>
      <c r="G15" s="49">
        <f t="shared" si="0"/>
        <v>50.421061453854676</v>
      </c>
      <c r="H15" s="48">
        <v>3</v>
      </c>
      <c r="I15" s="96">
        <f t="shared" si="1"/>
        <v>2.3799578299204177E-4</v>
      </c>
      <c r="J15" s="50">
        <f t="shared" si="2"/>
        <v>1.9832981916003481E-2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3479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11371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10731</v>
      </c>
      <c r="F16" s="48">
        <f>C16*D16*E16-F13</f>
        <v>289127761440</v>
      </c>
      <c r="G16" s="49">
        <f t="shared" si="0"/>
        <v>48.134766683247349</v>
      </c>
      <c r="H16" s="48">
        <v>2.4</v>
      </c>
      <c r="I16" s="96">
        <f t="shared" si="1"/>
        <v>1.9944004430670997E-4</v>
      </c>
      <c r="J16" s="50">
        <f t="shared" si="2"/>
        <v>2.077500461528229E-2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3879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13851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10862</v>
      </c>
      <c r="F17" s="48">
        <f>C17*D17*E17-F13</f>
        <v>448206375159</v>
      </c>
      <c r="G17" s="49">
        <f t="shared" si="0"/>
        <v>31.050645662117027</v>
      </c>
      <c r="H17" s="48">
        <v>2</v>
      </c>
      <c r="I17" s="96">
        <f t="shared" si="1"/>
        <v>2.5764359579035439E-4</v>
      </c>
      <c r="J17" s="50">
        <f t="shared" si="2"/>
        <v>3.22054494737943E-2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4287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12331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11893</v>
      </c>
      <c r="F18" s="48">
        <f>C18*D18*E18-F13</f>
        <v>493312147482</v>
      </c>
      <c r="G18" s="49">
        <f t="shared" si="0"/>
        <v>28.211543967852137</v>
      </c>
      <c r="H18" s="48">
        <v>1.6</v>
      </c>
      <c r="I18" s="96">
        <f t="shared" si="1"/>
        <v>2.2685748810107606E-4</v>
      </c>
      <c r="J18" s="50">
        <f t="shared" si="2"/>
        <v>3.5446482515793132E-2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4087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11111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10631</v>
      </c>
      <c r="F19" s="48">
        <f>C19*D19*E19-F13</f>
        <v>347373218728</v>
      </c>
      <c r="G19" s="49">
        <f t="shared" si="0"/>
        <v>40.063817785162527</v>
      </c>
      <c r="H19" s="48">
        <v>1</v>
      </c>
      <c r="I19" s="96">
        <f t="shared" si="1"/>
        <v>9.9840709675985586E-5</v>
      </c>
      <c r="J19" s="50">
        <f t="shared" si="2"/>
        <v>2.4960177418996397E-2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4287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10811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11893</v>
      </c>
      <c r="F20" s="53">
        <f>C20*D20*E20-F13</f>
        <v>415814505162</v>
      </c>
      <c r="G20" s="54">
        <f t="shared" si="0"/>
        <v>33.469484988605544</v>
      </c>
      <c r="H20" s="53">
        <v>0.4</v>
      </c>
      <c r="I20" s="97">
        <f t="shared" si="1"/>
        <v>4.7804739168968667E-5</v>
      </c>
      <c r="J20" s="55">
        <f t="shared" si="2"/>
        <v>2.9877961980605414E-2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13917097338564</v>
      </c>
      <c r="D23" s="327"/>
      <c r="E23" s="327"/>
      <c r="F23" s="327"/>
      <c r="G23" s="327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1941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31631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30548</v>
      </c>
      <c r="F25" s="43">
        <f ca="1">C25*D25*E25</f>
        <v>1875518012508</v>
      </c>
      <c r="G25" s="44">
        <f t="shared" ref="G25:G32" ca="1" si="4">C$11/F25</f>
        <v>7.4204018547140649</v>
      </c>
      <c r="H25" s="43" cm="1">
        <f t="array" ref="H25:H32">_xlfn.ANCHORARRAY(H13)</f>
        <v>5</v>
      </c>
      <c r="I25" s="45">
        <f t="shared" ref="I25:I32" ca="1" si="5">J25*H25/$C$1</f>
        <v>2.6952718183711724E-3</v>
      </c>
      <c r="J25" s="45">
        <f t="shared" ref="J25:J32" ca="1" si="6">F25/C$11</f>
        <v>0.13476359091855863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3341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31631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30548</v>
      </c>
      <c r="F26" s="48">
        <f ca="1">C26*D26*E26-F25</f>
        <v>1352769303200</v>
      </c>
      <c r="G26" s="49">
        <f t="shared" ca="1" si="4"/>
        <v>10.287857142857144</v>
      </c>
      <c r="H26" s="48">
        <v>4</v>
      </c>
      <c r="I26" s="50">
        <f t="shared" ca="1" si="5"/>
        <v>1.5552315489828507E-3</v>
      </c>
      <c r="J26" s="50">
        <f t="shared" ca="1" si="6"/>
        <v>9.7201971811428173E-2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3241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31631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30548</v>
      </c>
      <c r="F27" s="48">
        <f ca="1">C27*D27*E27-F25</f>
        <v>1256142924400</v>
      </c>
      <c r="G27" s="49">
        <f t="shared" ca="1" si="4"/>
        <v>11.079230769230769</v>
      </c>
      <c r="H27" s="48">
        <v>3</v>
      </c>
      <c r="I27" s="50">
        <f t="shared" ca="1" si="5"/>
        <v>1.0831076858987712E-3</v>
      </c>
      <c r="J27" s="50">
        <f t="shared" ca="1" si="6"/>
        <v>9.0258973824897587E-2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3341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31631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30548</v>
      </c>
      <c r="F28" s="48">
        <f ca="1">C28*D28*E28-F25</f>
        <v>1352769303200</v>
      </c>
      <c r="G28" s="49">
        <f t="shared" ca="1" si="4"/>
        <v>10.287857142857144</v>
      </c>
      <c r="H28" s="48">
        <v>2.4</v>
      </c>
      <c r="I28" s="50">
        <f t="shared" ca="1" si="5"/>
        <v>9.331389293897104E-4</v>
      </c>
      <c r="J28" s="50">
        <f t="shared" ca="1" si="6"/>
        <v>9.7201971811428173E-2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4095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31631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30548</v>
      </c>
      <c r="F29" s="48">
        <f ca="1">C29*D29*E29-F25</f>
        <v>2081332199352</v>
      </c>
      <c r="G29" s="49">
        <f t="shared" ca="1" si="4"/>
        <v>6.6866295264623954</v>
      </c>
      <c r="H29" s="48">
        <v>2</v>
      </c>
      <c r="I29" s="50">
        <f t="shared" ca="1" si="5"/>
        <v>1.1964174130389502E-3</v>
      </c>
      <c r="J29" s="50">
        <f t="shared" ca="1" si="6"/>
        <v>0.14955217662986878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4018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31631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30548</v>
      </c>
      <c r="F30" s="48">
        <f ca="1">C30*D30*E30-F25</f>
        <v>2006929887676</v>
      </c>
      <c r="G30" s="49">
        <f t="shared" ca="1" si="4"/>
        <v>6.9345209436687529</v>
      </c>
      <c r="H30" s="48">
        <v>1.6</v>
      </c>
      <c r="I30" s="50">
        <f t="shared" ca="1" si="5"/>
        <v>9.2291883635353753E-4</v>
      </c>
      <c r="J30" s="50">
        <f t="shared" ca="1" si="6"/>
        <v>0.14420606818024023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3818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31631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30548</v>
      </c>
      <c r="F31" s="48">
        <f ca="1">C31*D31*E31-F25</f>
        <v>1813677130076</v>
      </c>
      <c r="G31" s="49">
        <f t="shared" ca="1" si="4"/>
        <v>7.6734150239744272</v>
      </c>
      <c r="H31" s="48">
        <v>1</v>
      </c>
      <c r="I31" s="50">
        <f t="shared" ca="1" si="5"/>
        <v>5.212802888287162E-4</v>
      </c>
      <c r="J31" s="50">
        <f t="shared" ca="1" si="6"/>
        <v>0.13032007220717906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4195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31631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30548</v>
      </c>
      <c r="F32" s="53">
        <f ca="1">C32*D32*E32-F25</f>
        <v>2177958578152</v>
      </c>
      <c r="G32" s="54">
        <f t="shared" ca="1" si="4"/>
        <v>6.3899733806566106</v>
      </c>
      <c r="H32" s="53">
        <v>0.4</v>
      </c>
      <c r="I32" s="55">
        <f t="shared" ca="1" si="5"/>
        <v>2.5039227938623897E-4</v>
      </c>
      <c r="J32" s="55">
        <f t="shared" ca="1" si="6"/>
        <v>0.15649517461639936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Symbol'!C96:E96)</f>
        <v>13917097338564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2079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8211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7931</v>
      </c>
      <c r="F37" s="43">
        <f ca="1">C37*D37*E37</f>
        <v>135387475839</v>
      </c>
      <c r="G37" s="44">
        <f t="shared" ref="G37:G44" ca="1" si="7">C$11/F37</f>
        <v>102.79456982501044</v>
      </c>
      <c r="H37" s="43" cm="1">
        <f t="array" ref="H37:H44">_xlfn.ANCHORARRAY(H25)</f>
        <v>5</v>
      </c>
      <c r="I37" s="45">
        <f t="shared" ref="I37:I44" ca="1" si="8">J37*H37/$C$1</f>
        <v>1.9456280651834491E-4</v>
      </c>
      <c r="J37" s="45">
        <f t="shared" ref="J37:J44" ca="1" si="9">F37/C$11</f>
        <v>9.7281403259172443E-3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3479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10611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10231</v>
      </c>
      <c r="F38" s="48">
        <f ca="1">C38*D38*E38-F37</f>
        <v>242296733700</v>
      </c>
      <c r="G38" s="49">
        <f t="shared" ca="1" si="7"/>
        <v>57.43823751167637</v>
      </c>
      <c r="H38" s="48">
        <v>4</v>
      </c>
      <c r="I38" s="50">
        <f t="shared" ca="1" si="8"/>
        <v>2.785600793678154E-4</v>
      </c>
      <c r="J38" s="50">
        <f t="shared" ca="1" si="9"/>
        <v>1.7410004960488463E-2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3379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12131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10631</v>
      </c>
      <c r="F39" s="48">
        <f ca="1">C39*D39*E39-F37</f>
        <v>300384113680</v>
      </c>
      <c r="G39" s="49">
        <f t="shared" ca="1" si="7"/>
        <v>46.331003221395129</v>
      </c>
      <c r="H39" s="48">
        <v>3</v>
      </c>
      <c r="I39" s="50">
        <f t="shared" ca="1" si="8"/>
        <v>2.5900583120674881E-4</v>
      </c>
      <c r="J39" s="50">
        <f t="shared" ca="1" si="9"/>
        <v>2.1583819267229066E-2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3479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10711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11362</v>
      </c>
      <c r="F40" s="48">
        <f ca="1">C40*D40*E40-F37</f>
        <v>288001195139</v>
      </c>
      <c r="G40" s="49">
        <f t="shared" ca="1" si="7"/>
        <v>48.323054117352171</v>
      </c>
      <c r="H40" s="48">
        <v>2.4</v>
      </c>
      <c r="I40" s="50">
        <f t="shared" ca="1" si="8"/>
        <v>1.9866293998484599E-4</v>
      </c>
      <c r="J40" s="50">
        <f t="shared" ca="1" si="9"/>
        <v>2.0694056248421459E-2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4495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11871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10862</v>
      </c>
      <c r="F41" s="48">
        <f ca="1">C41*D41*E41-F37</f>
        <v>444210419151</v>
      </c>
      <c r="G41" s="49">
        <f t="shared" ca="1" si="7"/>
        <v>31.329966021875716</v>
      </c>
      <c r="H41" s="48">
        <v>2</v>
      </c>
      <c r="I41" s="50">
        <f t="shared" ca="1" si="8"/>
        <v>2.5534659036700229E-4</v>
      </c>
      <c r="J41" s="50">
        <f t="shared" ca="1" si="9"/>
        <v>3.1918323795875288E-2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3979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11011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10631</v>
      </c>
      <c r="F42" s="48">
        <f ca="1">C42*D42*E42-F37</f>
        <v>330386071400</v>
      </c>
      <c r="G42" s="49">
        <f t="shared" ca="1" si="7"/>
        <v>42.123741111696269</v>
      </c>
      <c r="H42" s="48">
        <v>1.6</v>
      </c>
      <c r="I42" s="50">
        <f t="shared" ca="1" si="8"/>
        <v>1.5193332384769943E-4</v>
      </c>
      <c r="J42" s="50">
        <f t="shared" ca="1" si="9"/>
        <v>2.3739581851203034E-2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3779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13091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11893</v>
      </c>
      <c r="F43" s="48">
        <f ca="1">C43*D43*E43-F37</f>
        <v>452969807038</v>
      </c>
      <c r="G43" s="49">
        <f t="shared" ca="1" si="7"/>
        <v>30.724116977175221</v>
      </c>
      <c r="H43" s="48">
        <v>1</v>
      </c>
      <c r="I43" s="50">
        <f t="shared" ca="1" si="8"/>
        <v>1.3019088564763566E-4</v>
      </c>
      <c r="J43" s="50">
        <f t="shared" ca="1" si="9"/>
        <v>3.2547721411908911E-2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4287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11471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12524</v>
      </c>
      <c r="F44" s="53">
        <f ca="1">C44*D44*E44-F37</f>
        <v>480494964909</v>
      </c>
      <c r="G44" s="54">
        <f t="shared" ca="1" si="7"/>
        <v>28.96408569276003</v>
      </c>
      <c r="H44" s="53">
        <v>0.4</v>
      </c>
      <c r="I44" s="55">
        <f t="shared" ca="1" si="8"/>
        <v>5.5240825378442452E-5</v>
      </c>
      <c r="J44" s="55">
        <f t="shared" ca="1" si="9"/>
        <v>3.452551586152653E-2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Symbol'!C96:E96)</f>
        <v>13917097338564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2079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31631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7931</v>
      </c>
      <c r="F49" s="43">
        <f ca="1">C49*D49*E49</f>
        <v>521549293419</v>
      </c>
      <c r="G49" s="44">
        <f t="shared" ref="G49:G56" ca="1" si="10">C$11/F49</f>
        <v>26.684145706211019</v>
      </c>
      <c r="H49" s="43" cm="1">
        <f t="array" ref="H49:H56">_xlfn.ANCHORARRAY(H37)</f>
        <v>5</v>
      </c>
      <c r="I49" s="45">
        <f t="shared" ref="I49:I56" ca="1" si="11">J49*H49/$C$1</f>
        <v>7.4950872402652132E-4</v>
      </c>
      <c r="J49" s="45">
        <f t="shared" ref="J49:J56" ca="1" si="12">F49/C$11</f>
        <v>3.7475436201326068E-2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3479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31631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10231</v>
      </c>
      <c r="F50" s="48">
        <f ca="1">C50*D50*E50-F49</f>
        <v>604313418100</v>
      </c>
      <c r="G50" s="49">
        <f t="shared" ca="1" si="10"/>
        <v>23.029601729381159</v>
      </c>
      <c r="H50" s="48">
        <v>4</v>
      </c>
      <c r="I50" s="50">
        <f t="shared" ca="1" si="11"/>
        <v>6.9475799833686245E-4</v>
      </c>
      <c r="J50" s="50">
        <f t="shared" ca="1" si="12"/>
        <v>4.3422374896053904E-2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3379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31631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10631</v>
      </c>
      <c r="F51" s="48">
        <f ca="1">C51*D51*E51-F49</f>
        <v>614704201600</v>
      </c>
      <c r="G51" s="49">
        <f t="shared" ca="1" si="10"/>
        <v>22.640315947637081</v>
      </c>
      <c r="H51" s="48">
        <v>3</v>
      </c>
      <c r="I51" s="50">
        <f t="shared" ca="1" si="11"/>
        <v>5.3002793899845795E-4</v>
      </c>
      <c r="J51" s="50">
        <f t="shared" ca="1" si="12"/>
        <v>4.4168994916538154E-2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3479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31631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11362</v>
      </c>
      <c r="F52" s="48">
        <f ca="1">C52*D52*E52-F49</f>
        <v>728773463719</v>
      </c>
      <c r="G52" s="49">
        <f t="shared" ca="1" si="10"/>
        <v>19.096602759853155</v>
      </c>
      <c r="H52" s="48">
        <v>2.4</v>
      </c>
      <c r="I52" s="50">
        <f t="shared" ca="1" si="11"/>
        <v>5.0270721555679564E-4</v>
      </c>
      <c r="J52" s="50">
        <f t="shared" ca="1" si="12"/>
        <v>5.236533495383288E-2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3879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31631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10862</v>
      </c>
      <c r="F53" s="48">
        <f ca="1">C53*D53*E53-F49</f>
        <v>811181708019</v>
      </c>
      <c r="G53" s="49">
        <f t="shared" ca="1" si="10"/>
        <v>17.156571950508066</v>
      </c>
      <c r="H53" s="48">
        <v>2</v>
      </c>
      <c r="I53" s="50">
        <f t="shared" ca="1" si="11"/>
        <v>4.6629361757568894E-4</v>
      </c>
      <c r="J53" s="50">
        <f t="shared" ca="1" si="12"/>
        <v>5.8286702196961117E-2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4287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31631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10631</v>
      </c>
      <c r="F54" s="48">
        <f ca="1">C54*D54*E54-F49</f>
        <v>920036599788</v>
      </c>
      <c r="G54" s="49">
        <f t="shared" ca="1" si="10"/>
        <v>15.126677940606772</v>
      </c>
      <c r="H54" s="48">
        <v>1.6</v>
      </c>
      <c r="I54" s="50">
        <f t="shared" ca="1" si="11"/>
        <v>4.23093558620663E-4</v>
      </c>
      <c r="J54" s="50">
        <f t="shared" ca="1" si="12"/>
        <v>6.6108368534478587E-2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4087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31631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11893</v>
      </c>
      <c r="F55" s="48">
        <f ca="1">C55*D55*E55-F49</f>
        <v>1015928949602</v>
      </c>
      <c r="G55" s="49">
        <f t="shared" ca="1" si="10"/>
        <v>13.698888435078219</v>
      </c>
      <c r="H55" s="48">
        <v>1</v>
      </c>
      <c r="I55" s="50">
        <f t="shared" ca="1" si="11"/>
        <v>2.9199449422168832E-4</v>
      </c>
      <c r="J55" s="50">
        <f t="shared" ca="1" si="12"/>
        <v>7.2998623555422082E-2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4287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31631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12524</v>
      </c>
      <c r="F56" s="53">
        <f ca="1">C56*D56*E56-F49</f>
        <v>1176731369409</v>
      </c>
      <c r="G56" s="54">
        <f t="shared" ca="1" si="10"/>
        <v>11.826911137376838</v>
      </c>
      <c r="H56" s="53">
        <v>0.4</v>
      </c>
      <c r="I56" s="55">
        <f t="shared" ca="1" si="11"/>
        <v>1.3528468941848107E-4</v>
      </c>
      <c r="J56" s="55">
        <f t="shared" ca="1" si="12"/>
        <v>8.4552930886550665E-2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13917097338564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2079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31631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7931</v>
      </c>
      <c r="F61" s="43">
        <f ca="1">C61*D61*E61</f>
        <v>521549293419</v>
      </c>
      <c r="G61" s="44">
        <f t="shared" ref="G61:G68" ca="1" si="13">C$11/F61</f>
        <v>26.684145706211019</v>
      </c>
      <c r="H61" s="43" cm="1">
        <f t="array" ref="H61:H68">_xlfn.ANCHORARRAY(H49)</f>
        <v>5</v>
      </c>
      <c r="I61" s="45">
        <f t="shared" ref="I61:I68" ca="1" si="14">J61*H61/$C$1</f>
        <v>7.4950872402652132E-4</v>
      </c>
      <c r="J61" s="45">
        <f t="shared" ref="J61:J68" ca="1" si="15">F61/C$11</f>
        <v>3.7475436201326068E-2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3479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31631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10862</v>
      </c>
      <c r="F62" s="48">
        <f ca="1">C62*D62*E62-F61</f>
        <v>673751339219</v>
      </c>
      <c r="G62" s="49">
        <f t="shared" ca="1" si="13"/>
        <v>20.656133099039831</v>
      </c>
      <c r="H62" s="48">
        <v>4</v>
      </c>
      <c r="I62" s="50">
        <f t="shared" ca="1" si="14"/>
        <v>7.7458834735838022E-4</v>
      </c>
      <c r="J62" s="50">
        <f t="shared" ca="1" si="15"/>
        <v>4.8411771709898764E-2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3379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31631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11262</v>
      </c>
      <c r="F63" s="48">
        <f ca="1">C63*D63*E63-F61</f>
        <v>682146206619</v>
      </c>
      <c r="G63" s="49">
        <f t="shared" ca="1" si="13"/>
        <v>20.401927333940499</v>
      </c>
      <c r="H63" s="48">
        <v>3</v>
      </c>
      <c r="I63" s="50">
        <f t="shared" ca="1" si="14"/>
        <v>5.8817972457126083E-4</v>
      </c>
      <c r="J63" s="50">
        <f t="shared" ca="1" si="15"/>
        <v>4.9014977047605067E-2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3479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31631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10731</v>
      </c>
      <c r="F64" s="48">
        <f ca="1">C64*D64*E64-F61</f>
        <v>659335542600</v>
      </c>
      <c r="G64" s="49">
        <f t="shared" ca="1" si="13"/>
        <v>21.107761434616158</v>
      </c>
      <c r="H64" s="48">
        <v>2.4</v>
      </c>
      <c r="I64" s="50">
        <f t="shared" ca="1" si="14"/>
        <v>4.5480900614388496E-4</v>
      </c>
      <c r="J64" s="50">
        <f t="shared" ca="1" si="15"/>
        <v>4.7375938139988021E-2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4495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31631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10862</v>
      </c>
      <c r="F65" s="48">
        <f ca="1">C65*D65*E65-F61</f>
        <v>1022824475971</v>
      </c>
      <c r="G65" s="49">
        <f t="shared" ca="1" si="13"/>
        <v>13.606535300548078</v>
      </c>
      <c r="H65" s="48">
        <v>2</v>
      </c>
      <c r="I65" s="50">
        <f t="shared" ca="1" si="14"/>
        <v>5.8795276117629711E-4</v>
      </c>
      <c r="J65" s="50">
        <f t="shared" ca="1" si="15"/>
        <v>7.3494095147037142E-2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3979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31631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11893</v>
      </c>
      <c r="F66" s="48">
        <f ca="1">C66*D66*E66-F61</f>
        <v>975300701438</v>
      </c>
      <c r="G66" s="49">
        <f t="shared" ca="1" si="13"/>
        <v>14.269545093163979</v>
      </c>
      <c r="H66" s="48">
        <v>1.6</v>
      </c>
      <c r="I66" s="50">
        <f t="shared" ca="1" si="14"/>
        <v>4.4850764044790804E-4</v>
      </c>
      <c r="J66" s="50">
        <f t="shared" ca="1" si="15"/>
        <v>7.0079318819985623E-2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3779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31631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10631</v>
      </c>
      <c r="F67" s="48">
        <f ca="1">C67*D67*E67-F61</f>
        <v>749211866000</v>
      </c>
      <c r="G67" s="49">
        <f t="shared" ca="1" si="13"/>
        <v>18.575649919783839</v>
      </c>
      <c r="H67" s="48">
        <v>1</v>
      </c>
      <c r="I67" s="50">
        <f t="shared" ca="1" si="14"/>
        <v>2.153356688607613E-4</v>
      </c>
      <c r="J67" s="50">
        <f t="shared" ca="1" si="15"/>
        <v>5.3833917215190326E-2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4287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31631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11893</v>
      </c>
      <c r="F68" s="53">
        <f ca="1">C68*D68*E68-F61</f>
        <v>1091166446202</v>
      </c>
      <c r="G68" s="54">
        <f t="shared" ca="1" si="13"/>
        <v>12.754330365458859</v>
      </c>
      <c r="H68" s="53">
        <v>0.4</v>
      </c>
      <c r="I68" s="55">
        <f t="shared" ca="1" si="14"/>
        <v>1.2544758949737598E-4</v>
      </c>
      <c r="J68" s="55">
        <f t="shared" ca="1" si="15"/>
        <v>7.8404743435859972E-2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0.19988745079600964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7.3880875592697457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13917097338564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2079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8211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7931</v>
      </c>
      <c r="F13" s="43">
        <f>C13*D13*E13</f>
        <v>135387475839</v>
      </c>
      <c r="G13" s="44">
        <f t="shared" ref="G13:G20" si="0">C$11/F13</f>
        <v>102.79456982501044</v>
      </c>
      <c r="H13" s="43" cm="1">
        <f t="array" ref="H13:H20">Overview!B40:B47</f>
        <v>5</v>
      </c>
      <c r="I13" s="95">
        <f t="shared" ref="I13:I20" si="1">J13*H13/$C$1</f>
        <v>1.9456280651834491E-4</v>
      </c>
      <c r="J13" s="45">
        <f t="shared" ref="J13:J20" si="2">F13/C$11</f>
        <v>9.7281403259172443E-3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3479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10611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10862</v>
      </c>
      <c r="F14" s="48">
        <f>C14*D14*E14-F13</f>
        <v>265590520839</v>
      </c>
      <c r="G14" s="49">
        <f t="shared" si="0"/>
        <v>52.400580015430947</v>
      </c>
      <c r="H14" s="48">
        <v>4</v>
      </c>
      <c r="I14" s="96">
        <f t="shared" si="1"/>
        <v>3.0534013164144961E-4</v>
      </c>
      <c r="J14" s="50">
        <f t="shared" si="2"/>
        <v>1.9083758227590602E-2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3379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10811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11262</v>
      </c>
      <c r="F15" s="48">
        <f>C15*D15*E15-F13</f>
        <v>276017539839</v>
      </c>
      <c r="G15" s="49">
        <f t="shared" si="0"/>
        <v>50.421061453854676</v>
      </c>
      <c r="H15" s="48">
        <v>3</v>
      </c>
      <c r="I15" s="96">
        <f t="shared" si="1"/>
        <v>2.3799578299204177E-4</v>
      </c>
      <c r="J15" s="50">
        <f t="shared" si="2"/>
        <v>1.9832981916003481E-2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3479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11371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10731</v>
      </c>
      <c r="F16" s="48">
        <f>C16*D16*E16-F13</f>
        <v>289127761440</v>
      </c>
      <c r="G16" s="49">
        <f t="shared" si="0"/>
        <v>48.134766683247349</v>
      </c>
      <c r="H16" s="48">
        <v>2.4</v>
      </c>
      <c r="I16" s="96">
        <f t="shared" si="1"/>
        <v>1.9944004430670997E-4</v>
      </c>
      <c r="J16" s="50">
        <f t="shared" si="2"/>
        <v>2.077500461528229E-2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3879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13851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10862</v>
      </c>
      <c r="F17" s="48">
        <f>C17*D17*E17-F13</f>
        <v>448206375159</v>
      </c>
      <c r="G17" s="49">
        <f t="shared" si="0"/>
        <v>31.050645662117027</v>
      </c>
      <c r="H17" s="48">
        <v>2</v>
      </c>
      <c r="I17" s="96">
        <f t="shared" si="1"/>
        <v>2.5764359579035439E-4</v>
      </c>
      <c r="J17" s="50">
        <f t="shared" si="2"/>
        <v>3.22054494737943E-2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4287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12331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11893</v>
      </c>
      <c r="F18" s="48">
        <f>C18*D18*E18-F13</f>
        <v>493312147482</v>
      </c>
      <c r="G18" s="49">
        <f t="shared" si="0"/>
        <v>28.211543967852137</v>
      </c>
      <c r="H18" s="48">
        <v>1.6</v>
      </c>
      <c r="I18" s="96">
        <f t="shared" si="1"/>
        <v>2.2685748810107606E-4</v>
      </c>
      <c r="J18" s="50">
        <f t="shared" si="2"/>
        <v>3.5446482515793132E-2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4087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11111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10631</v>
      </c>
      <c r="F19" s="48">
        <f>C19*D19*E19-F13</f>
        <v>347373218728</v>
      </c>
      <c r="G19" s="49">
        <f t="shared" si="0"/>
        <v>40.063817785162527</v>
      </c>
      <c r="H19" s="48">
        <v>1</v>
      </c>
      <c r="I19" s="96">
        <f t="shared" si="1"/>
        <v>9.9840709675985586E-5</v>
      </c>
      <c r="J19" s="50">
        <f t="shared" si="2"/>
        <v>2.4960177418996397E-2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4287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10811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11893</v>
      </c>
      <c r="F20" s="53">
        <f>C20*D20*E20-F13</f>
        <v>415814505162</v>
      </c>
      <c r="G20" s="54">
        <f t="shared" si="0"/>
        <v>33.469484988605544</v>
      </c>
      <c r="H20" s="53">
        <v>0.4</v>
      </c>
      <c r="I20" s="97">
        <f t="shared" si="1"/>
        <v>4.7804739168968667E-5</v>
      </c>
      <c r="J20" s="55">
        <f t="shared" si="2"/>
        <v>2.9877961980605414E-2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13917097338564</v>
      </c>
      <c r="D23" s="327"/>
      <c r="E23" s="327"/>
      <c r="F23" s="327"/>
      <c r="G23" s="327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1941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31631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30548</v>
      </c>
      <c r="F25" s="43">
        <f ca="1">C25*D25*E25</f>
        <v>1875518012508</v>
      </c>
      <c r="G25" s="44">
        <f t="shared" ref="G25:G32" ca="1" si="4">C$11/F25</f>
        <v>7.4204018547140649</v>
      </c>
      <c r="H25" s="43" cm="1">
        <f t="array" ref="H25:H32">_xlfn.ANCHORARRAY(H13)</f>
        <v>5</v>
      </c>
      <c r="I25" s="45">
        <f t="shared" ref="I25:I32" ca="1" si="5">J25*H25/$C$1</f>
        <v>2.6952718183711724E-3</v>
      </c>
      <c r="J25" s="45">
        <f t="shared" ref="J25:J32" ca="1" si="6">F25/C$11</f>
        <v>0.13476359091855863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3341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31631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30548</v>
      </c>
      <c r="F26" s="48">
        <f ca="1">C26*D26*E26-F25</f>
        <v>1352769303200</v>
      </c>
      <c r="G26" s="49">
        <f t="shared" ca="1" si="4"/>
        <v>10.287857142857144</v>
      </c>
      <c r="H26" s="48">
        <v>4</v>
      </c>
      <c r="I26" s="50">
        <f t="shared" ca="1" si="5"/>
        <v>1.5552315489828507E-3</v>
      </c>
      <c r="J26" s="50">
        <f t="shared" ca="1" si="6"/>
        <v>9.7201971811428173E-2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3241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31631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30548</v>
      </c>
      <c r="F27" s="48">
        <f ca="1">C27*D27*E27-F25</f>
        <v>1256142924400</v>
      </c>
      <c r="G27" s="49">
        <f t="shared" ca="1" si="4"/>
        <v>11.079230769230769</v>
      </c>
      <c r="H27" s="48">
        <v>3</v>
      </c>
      <c r="I27" s="50">
        <f t="shared" ca="1" si="5"/>
        <v>1.0831076858987712E-3</v>
      </c>
      <c r="J27" s="50">
        <f t="shared" ca="1" si="6"/>
        <v>9.0258973824897587E-2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3341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31631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30548</v>
      </c>
      <c r="F28" s="48">
        <f ca="1">C28*D28*E28-F25</f>
        <v>1352769303200</v>
      </c>
      <c r="G28" s="49">
        <f t="shared" ca="1" si="4"/>
        <v>10.287857142857144</v>
      </c>
      <c r="H28" s="48">
        <v>2.4</v>
      </c>
      <c r="I28" s="50">
        <f t="shared" ca="1" si="5"/>
        <v>9.331389293897104E-4</v>
      </c>
      <c r="J28" s="50">
        <f t="shared" ca="1" si="6"/>
        <v>9.7201971811428173E-2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4095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31631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30548</v>
      </c>
      <c r="F29" s="48">
        <f ca="1">C29*D29*E29-F25</f>
        <v>2081332199352</v>
      </c>
      <c r="G29" s="49">
        <f t="shared" ca="1" si="4"/>
        <v>6.6866295264623954</v>
      </c>
      <c r="H29" s="48">
        <v>2</v>
      </c>
      <c r="I29" s="50">
        <f t="shared" ca="1" si="5"/>
        <v>1.1964174130389502E-3</v>
      </c>
      <c r="J29" s="50">
        <f t="shared" ca="1" si="6"/>
        <v>0.14955217662986878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4018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31631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30548</v>
      </c>
      <c r="F30" s="48">
        <f ca="1">C30*D30*E30-F25</f>
        <v>2006929887676</v>
      </c>
      <c r="G30" s="49">
        <f t="shared" ca="1" si="4"/>
        <v>6.9345209436687529</v>
      </c>
      <c r="H30" s="48">
        <v>1.6</v>
      </c>
      <c r="I30" s="50">
        <f t="shared" ca="1" si="5"/>
        <v>9.2291883635353753E-4</v>
      </c>
      <c r="J30" s="50">
        <f t="shared" ca="1" si="6"/>
        <v>0.14420606818024023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3818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31631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30548</v>
      </c>
      <c r="F31" s="48">
        <f ca="1">C31*D31*E31-F25</f>
        <v>1813677130076</v>
      </c>
      <c r="G31" s="49">
        <f t="shared" ca="1" si="4"/>
        <v>7.6734150239744272</v>
      </c>
      <c r="H31" s="48">
        <v>1</v>
      </c>
      <c r="I31" s="50">
        <f t="shared" ca="1" si="5"/>
        <v>5.212802888287162E-4</v>
      </c>
      <c r="J31" s="50">
        <f t="shared" ca="1" si="6"/>
        <v>0.13032007220717906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4195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31631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30548</v>
      </c>
      <c r="F32" s="53">
        <f ca="1">C32*D32*E32-F25</f>
        <v>2177958578152</v>
      </c>
      <c r="G32" s="54">
        <f t="shared" ca="1" si="4"/>
        <v>6.3899733806566106</v>
      </c>
      <c r="H32" s="53">
        <v>0.4</v>
      </c>
      <c r="I32" s="55">
        <f t="shared" ca="1" si="5"/>
        <v>2.5039227938623897E-4</v>
      </c>
      <c r="J32" s="55">
        <f t="shared" ca="1" si="6"/>
        <v>0.15649517461639936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Symbol'!C96:E96)</f>
        <v>13917097338564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2079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8211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7931</v>
      </c>
      <c r="F37" s="43">
        <f ca="1">C37*D37*E37</f>
        <v>135387475839</v>
      </c>
      <c r="G37" s="44">
        <f t="shared" ref="G37:G44" ca="1" si="7">C$11/F37</f>
        <v>102.79456982501044</v>
      </c>
      <c r="H37" s="43" cm="1">
        <f t="array" ref="H37:H44">_xlfn.ANCHORARRAY(H25)</f>
        <v>5</v>
      </c>
      <c r="I37" s="45">
        <f t="shared" ref="I37:I44" ca="1" si="8">J37*H37/$C$1</f>
        <v>1.9456280651834491E-4</v>
      </c>
      <c r="J37" s="45">
        <f t="shared" ref="J37:J44" ca="1" si="9">F37/C$11</f>
        <v>9.7281403259172443E-3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3479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10611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10231</v>
      </c>
      <c r="F38" s="48">
        <f ca="1">C38*D38*E38-F37</f>
        <v>242296733700</v>
      </c>
      <c r="G38" s="49">
        <f t="shared" ca="1" si="7"/>
        <v>57.43823751167637</v>
      </c>
      <c r="H38" s="48">
        <v>4</v>
      </c>
      <c r="I38" s="50">
        <f t="shared" ca="1" si="8"/>
        <v>2.785600793678154E-4</v>
      </c>
      <c r="J38" s="50">
        <f t="shared" ca="1" si="9"/>
        <v>1.7410004960488463E-2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3379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12131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10631</v>
      </c>
      <c r="F39" s="48">
        <f ca="1">C39*D39*E39-F37</f>
        <v>300384113680</v>
      </c>
      <c r="G39" s="49">
        <f t="shared" ca="1" si="7"/>
        <v>46.331003221395129</v>
      </c>
      <c r="H39" s="48">
        <v>3</v>
      </c>
      <c r="I39" s="50">
        <f t="shared" ca="1" si="8"/>
        <v>2.5900583120674881E-4</v>
      </c>
      <c r="J39" s="50">
        <f t="shared" ca="1" si="9"/>
        <v>2.1583819267229066E-2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3479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10711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11362</v>
      </c>
      <c r="F40" s="48">
        <f ca="1">C40*D40*E40-F37</f>
        <v>288001195139</v>
      </c>
      <c r="G40" s="49">
        <f t="shared" ca="1" si="7"/>
        <v>48.323054117352171</v>
      </c>
      <c r="H40" s="48">
        <v>2.4</v>
      </c>
      <c r="I40" s="50">
        <f t="shared" ca="1" si="8"/>
        <v>1.9866293998484599E-4</v>
      </c>
      <c r="J40" s="50">
        <f t="shared" ca="1" si="9"/>
        <v>2.0694056248421459E-2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4495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11871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10862</v>
      </c>
      <c r="F41" s="48">
        <f ca="1">C41*D41*E41-F37</f>
        <v>444210419151</v>
      </c>
      <c r="G41" s="49">
        <f t="shared" ca="1" si="7"/>
        <v>31.329966021875716</v>
      </c>
      <c r="H41" s="48">
        <v>2</v>
      </c>
      <c r="I41" s="50">
        <f t="shared" ca="1" si="8"/>
        <v>2.5534659036700229E-4</v>
      </c>
      <c r="J41" s="50">
        <f t="shared" ca="1" si="9"/>
        <v>3.1918323795875288E-2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3979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11011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10631</v>
      </c>
      <c r="F42" s="48">
        <f ca="1">C42*D42*E42-F37</f>
        <v>330386071400</v>
      </c>
      <c r="G42" s="49">
        <f t="shared" ca="1" si="7"/>
        <v>42.123741111696269</v>
      </c>
      <c r="H42" s="48">
        <v>1.6</v>
      </c>
      <c r="I42" s="50">
        <f t="shared" ca="1" si="8"/>
        <v>1.5193332384769943E-4</v>
      </c>
      <c r="J42" s="50">
        <f t="shared" ca="1" si="9"/>
        <v>2.3739581851203034E-2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3779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13091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11893</v>
      </c>
      <c r="F43" s="48">
        <f ca="1">C43*D43*E43-F37</f>
        <v>452969807038</v>
      </c>
      <c r="G43" s="49">
        <f t="shared" ca="1" si="7"/>
        <v>30.724116977175221</v>
      </c>
      <c r="H43" s="48">
        <v>1</v>
      </c>
      <c r="I43" s="50">
        <f t="shared" ca="1" si="8"/>
        <v>1.3019088564763566E-4</v>
      </c>
      <c r="J43" s="50">
        <f t="shared" ca="1" si="9"/>
        <v>3.2547721411908911E-2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4287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11471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12524</v>
      </c>
      <c r="F44" s="53">
        <f ca="1">C44*D44*E44-F37</f>
        <v>480494964909</v>
      </c>
      <c r="G44" s="54">
        <f t="shared" ca="1" si="7"/>
        <v>28.96408569276003</v>
      </c>
      <c r="H44" s="53">
        <v>0.4</v>
      </c>
      <c r="I44" s="55">
        <f t="shared" ca="1" si="8"/>
        <v>5.5240825378442452E-5</v>
      </c>
      <c r="J44" s="55">
        <f t="shared" ca="1" si="9"/>
        <v>3.452551586152653E-2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Symbol'!C96:E96)</f>
        <v>13917097338564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2079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31631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7931</v>
      </c>
      <c r="F49" s="43">
        <f ca="1">C49*D49*E49</f>
        <v>521549293419</v>
      </c>
      <c r="G49" s="44">
        <f t="shared" ref="G49:G56" ca="1" si="10">C$11/F49</f>
        <v>26.684145706211019</v>
      </c>
      <c r="H49" s="43" cm="1">
        <f t="array" ref="H49:H56">_xlfn.ANCHORARRAY(H37)</f>
        <v>5</v>
      </c>
      <c r="I49" s="45">
        <f t="shared" ref="I49:I56" ca="1" si="11">J49*H49/$C$1</f>
        <v>7.4950872402652132E-4</v>
      </c>
      <c r="J49" s="45">
        <f t="shared" ref="J49:J56" ca="1" si="12">F49/C$11</f>
        <v>3.7475436201326068E-2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3479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31631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10231</v>
      </c>
      <c r="F50" s="48">
        <f ca="1">C50*D50*E50-F49</f>
        <v>604313418100</v>
      </c>
      <c r="G50" s="49">
        <f t="shared" ca="1" si="10"/>
        <v>23.029601729381159</v>
      </c>
      <c r="H50" s="48">
        <v>4</v>
      </c>
      <c r="I50" s="50">
        <f t="shared" ca="1" si="11"/>
        <v>6.9475799833686245E-4</v>
      </c>
      <c r="J50" s="50">
        <f t="shared" ca="1" si="12"/>
        <v>4.3422374896053904E-2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3379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31631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10631</v>
      </c>
      <c r="F51" s="48">
        <f ca="1">C51*D51*E51-F49</f>
        <v>614704201600</v>
      </c>
      <c r="G51" s="49">
        <f t="shared" ca="1" si="10"/>
        <v>22.640315947637081</v>
      </c>
      <c r="H51" s="48">
        <v>3</v>
      </c>
      <c r="I51" s="50">
        <f t="shared" ca="1" si="11"/>
        <v>5.3002793899845795E-4</v>
      </c>
      <c r="J51" s="50">
        <f t="shared" ca="1" si="12"/>
        <v>4.4168994916538154E-2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3479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31631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11362</v>
      </c>
      <c r="F52" s="48">
        <f ca="1">C52*D52*E52-F49</f>
        <v>728773463719</v>
      </c>
      <c r="G52" s="49">
        <f t="shared" ca="1" si="10"/>
        <v>19.096602759853155</v>
      </c>
      <c r="H52" s="48">
        <v>2.4</v>
      </c>
      <c r="I52" s="50">
        <f t="shared" ca="1" si="11"/>
        <v>5.0270721555679564E-4</v>
      </c>
      <c r="J52" s="50">
        <f t="shared" ca="1" si="12"/>
        <v>5.236533495383288E-2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3879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31631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10862</v>
      </c>
      <c r="F53" s="48">
        <f ca="1">C53*D53*E53-F49</f>
        <v>811181708019</v>
      </c>
      <c r="G53" s="49">
        <f t="shared" ca="1" si="10"/>
        <v>17.156571950508066</v>
      </c>
      <c r="H53" s="48">
        <v>2</v>
      </c>
      <c r="I53" s="50">
        <f t="shared" ca="1" si="11"/>
        <v>4.6629361757568894E-4</v>
      </c>
      <c r="J53" s="50">
        <f t="shared" ca="1" si="12"/>
        <v>5.8286702196961117E-2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4287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31631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10631</v>
      </c>
      <c r="F54" s="48">
        <f ca="1">C54*D54*E54-F49</f>
        <v>920036599788</v>
      </c>
      <c r="G54" s="49">
        <f t="shared" ca="1" si="10"/>
        <v>15.126677940606772</v>
      </c>
      <c r="H54" s="48">
        <v>1.6</v>
      </c>
      <c r="I54" s="50">
        <f t="shared" ca="1" si="11"/>
        <v>4.23093558620663E-4</v>
      </c>
      <c r="J54" s="50">
        <f t="shared" ca="1" si="12"/>
        <v>6.6108368534478587E-2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4087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31631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11893</v>
      </c>
      <c r="F55" s="48">
        <f ca="1">C55*D55*E55-F49</f>
        <v>1015928949602</v>
      </c>
      <c r="G55" s="49">
        <f t="shared" ca="1" si="10"/>
        <v>13.698888435078219</v>
      </c>
      <c r="H55" s="48">
        <v>1</v>
      </c>
      <c r="I55" s="50">
        <f t="shared" ca="1" si="11"/>
        <v>2.9199449422168832E-4</v>
      </c>
      <c r="J55" s="50">
        <f t="shared" ca="1" si="12"/>
        <v>7.2998623555422082E-2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4287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31631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12524</v>
      </c>
      <c r="F56" s="53">
        <f ca="1">C56*D56*E56-F49</f>
        <v>1176731369409</v>
      </c>
      <c r="G56" s="54">
        <f t="shared" ca="1" si="10"/>
        <v>11.826911137376838</v>
      </c>
      <c r="H56" s="53">
        <v>0.4</v>
      </c>
      <c r="I56" s="55">
        <f t="shared" ca="1" si="11"/>
        <v>1.3528468941848107E-4</v>
      </c>
      <c r="J56" s="55">
        <f t="shared" ca="1" si="12"/>
        <v>8.4552930886550665E-2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13917097338564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2079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31631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7931</v>
      </c>
      <c r="F61" s="43">
        <f ca="1">C61*D61*E61</f>
        <v>521549293419</v>
      </c>
      <c r="G61" s="44">
        <f t="shared" ref="G61:G68" ca="1" si="13">C$11/F61</f>
        <v>26.684145706211019</v>
      </c>
      <c r="H61" s="43" cm="1">
        <f t="array" ref="H61:H68">_xlfn.ANCHORARRAY(H49)</f>
        <v>5</v>
      </c>
      <c r="I61" s="45">
        <f t="shared" ref="I61:I68" ca="1" si="14">J61*H61/$C$1</f>
        <v>7.4950872402652132E-4</v>
      </c>
      <c r="J61" s="45">
        <f t="shared" ref="J61:J68" ca="1" si="15">F61/C$11</f>
        <v>3.7475436201326068E-2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3479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31631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10862</v>
      </c>
      <c r="F62" s="48">
        <f ca="1">C62*D62*E62-F61</f>
        <v>673751339219</v>
      </c>
      <c r="G62" s="49">
        <f t="shared" ca="1" si="13"/>
        <v>20.656133099039831</v>
      </c>
      <c r="H62" s="48">
        <v>4</v>
      </c>
      <c r="I62" s="50">
        <f t="shared" ca="1" si="14"/>
        <v>7.7458834735838022E-4</v>
      </c>
      <c r="J62" s="50">
        <f t="shared" ca="1" si="15"/>
        <v>4.8411771709898764E-2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3379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31631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11262</v>
      </c>
      <c r="F63" s="48">
        <f ca="1">C63*D63*E63-F61</f>
        <v>682146206619</v>
      </c>
      <c r="G63" s="49">
        <f t="shared" ca="1" si="13"/>
        <v>20.401927333940499</v>
      </c>
      <c r="H63" s="48">
        <v>3</v>
      </c>
      <c r="I63" s="50">
        <f t="shared" ca="1" si="14"/>
        <v>5.8817972457126083E-4</v>
      </c>
      <c r="J63" s="50">
        <f t="shared" ca="1" si="15"/>
        <v>4.9014977047605067E-2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3479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31631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10731</v>
      </c>
      <c r="F64" s="48">
        <f ca="1">C64*D64*E64-F61</f>
        <v>659335542600</v>
      </c>
      <c r="G64" s="49">
        <f t="shared" ca="1" si="13"/>
        <v>21.107761434616158</v>
      </c>
      <c r="H64" s="48">
        <v>2.4</v>
      </c>
      <c r="I64" s="50">
        <f t="shared" ca="1" si="14"/>
        <v>4.5480900614388496E-4</v>
      </c>
      <c r="J64" s="50">
        <f t="shared" ca="1" si="15"/>
        <v>4.7375938139988021E-2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4495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31631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10862</v>
      </c>
      <c r="F65" s="48">
        <f ca="1">C65*D65*E65-F61</f>
        <v>1022824475971</v>
      </c>
      <c r="G65" s="49">
        <f t="shared" ca="1" si="13"/>
        <v>13.606535300548078</v>
      </c>
      <c r="H65" s="48">
        <v>2</v>
      </c>
      <c r="I65" s="50">
        <f t="shared" ca="1" si="14"/>
        <v>5.8795276117629711E-4</v>
      </c>
      <c r="J65" s="50">
        <f t="shared" ca="1" si="15"/>
        <v>7.3494095147037142E-2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3979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31631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11893</v>
      </c>
      <c r="F66" s="48">
        <f ca="1">C66*D66*E66-F61</f>
        <v>975300701438</v>
      </c>
      <c r="G66" s="49">
        <f t="shared" ca="1" si="13"/>
        <v>14.269545093163979</v>
      </c>
      <c r="H66" s="48">
        <v>1.6</v>
      </c>
      <c r="I66" s="50">
        <f t="shared" ca="1" si="14"/>
        <v>4.4850764044790804E-4</v>
      </c>
      <c r="J66" s="50">
        <f t="shared" ca="1" si="15"/>
        <v>7.0079318819985623E-2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3779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31631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10631</v>
      </c>
      <c r="F67" s="48">
        <f ca="1">C67*D67*E67-F61</f>
        <v>749211866000</v>
      </c>
      <c r="G67" s="49">
        <f t="shared" ca="1" si="13"/>
        <v>18.575649919783839</v>
      </c>
      <c r="H67" s="48">
        <v>1</v>
      </c>
      <c r="I67" s="50">
        <f t="shared" ca="1" si="14"/>
        <v>2.153356688607613E-4</v>
      </c>
      <c r="J67" s="50">
        <f t="shared" ca="1" si="15"/>
        <v>5.3833917215190326E-2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4287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31631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11893</v>
      </c>
      <c r="F68" s="53">
        <f ca="1">C68*D68*E68-F61</f>
        <v>1091166446202</v>
      </c>
      <c r="G68" s="54">
        <f t="shared" ca="1" si="13"/>
        <v>12.754330365458859</v>
      </c>
      <c r="H68" s="53">
        <v>0.4</v>
      </c>
      <c r="I68" s="55">
        <f t="shared" ca="1" si="14"/>
        <v>1.2544758949737598E-4</v>
      </c>
      <c r="J68" s="55">
        <f t="shared" ca="1" si="15"/>
        <v>7.8404743435859972E-2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2026-10-19T06:13:24Z</dcterms:modified>
</cp:coreProperties>
</file>