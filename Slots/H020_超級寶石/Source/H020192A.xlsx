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8576ECCC-077E-4070-842B-4AE0EB5B256E}" xr6:coauthVersionLast="47" xr6:coauthVersionMax="47" xr10:uidLastSave="{00000000-0000-0000-0000-000000000000}"/>
  <bookViews>
    <workbookView xWindow="-27060" yWindow="397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9" i="32" l="1" a="1"/>
  <c r="C199" i="32" s="1"/>
  <c r="E256" i="32"/>
  <c r="E255" i="32"/>
  <c r="E254" i="32"/>
  <c r="E253" i="32"/>
  <c r="E252" i="32"/>
  <c r="E251" i="32"/>
  <c r="E250" i="32"/>
  <c r="E249" i="32"/>
  <c r="E248" i="32"/>
  <c r="E247" i="32"/>
  <c r="E246" i="32"/>
  <c r="E245" i="32"/>
  <c r="E244" i="32"/>
  <c r="E243" i="32"/>
  <c r="E242" i="32"/>
  <c r="E241" i="32"/>
  <c r="E240" i="32"/>
  <c r="E239" i="32"/>
  <c r="E238" i="32"/>
  <c r="E237" i="32"/>
  <c r="E236" i="32"/>
  <c r="E235" i="32"/>
  <c r="E234" i="32"/>
  <c r="E233" i="32"/>
  <c r="E232" i="32"/>
  <c r="E231" i="32"/>
  <c r="E230" i="32"/>
  <c r="E229" i="32"/>
  <c r="E228" i="32"/>
  <c r="E227" i="32"/>
  <c r="E226" i="32"/>
  <c r="E225" i="32"/>
  <c r="E224" i="32"/>
  <c r="E223" i="32"/>
  <c r="E222" i="32"/>
  <c r="E221" i="32"/>
  <c r="E220" i="32"/>
  <c r="E219" i="32"/>
  <c r="E218" i="32"/>
  <c r="E217" i="32"/>
  <c r="E216" i="32"/>
  <c r="E215" i="32"/>
  <c r="E214" i="32"/>
  <c r="E213" i="32"/>
  <c r="E212" i="32"/>
  <c r="E211" i="32"/>
  <c r="E210" i="32"/>
  <c r="E209" i="32"/>
  <c r="E208" i="32"/>
  <c r="E207" i="32"/>
  <c r="E206" i="32"/>
  <c r="E205" i="32"/>
  <c r="E204" i="32"/>
  <c r="E203" i="32"/>
  <c r="E202" i="32"/>
  <c r="E201" i="32"/>
  <c r="E200" i="32"/>
  <c r="R20" i="24" a="1"/>
  <c r="R20" i="24" s="1"/>
  <c r="S31" i="24" s="1"/>
  <c r="F199" i="32" l="1" a="1"/>
  <c r="F199" i="32" s="1"/>
  <c r="J199" i="32" s="1" a="1"/>
  <c r="J199" i="32" s="1"/>
  <c r="L199" i="32" s="1" a="1"/>
  <c r="L199" i="32" s="1"/>
  <c r="E199" i="32"/>
  <c r="P229" i="28" a="1"/>
  <c r="P229" i="28" s="1"/>
  <c r="G199" i="32" l="1" a="1"/>
  <c r="G199" i="32" s="1"/>
  <c r="AR15" i="40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I93" i="38" l="1"/>
  <c r="M4" i="39" a="1"/>
  <c r="M4" i="39" s="1"/>
  <c r="N4" i="39" s="1" a="1"/>
  <c r="I117" i="39"/>
  <c r="Q69" i="39" a="1"/>
  <c r="Q69" i="39" s="1"/>
  <c r="P68" i="39" s="1"/>
  <c r="R69" i="39" s="1" a="1"/>
  <c r="S70" i="39" s="1" a="1"/>
  <c r="S70" i="39" s="1"/>
  <c r="I101" i="39"/>
  <c r="I125" i="39"/>
  <c r="I109" i="39"/>
  <c r="I93" i="39"/>
  <c r="I77" i="39"/>
  <c r="Q4" i="39" a="1"/>
  <c r="Q4" i="39" s="1"/>
  <c r="P3" i="39" s="1"/>
  <c r="R4" i="39" s="1" a="1"/>
  <c r="R4" i="39" s="1"/>
  <c r="I85" i="39"/>
  <c r="I70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R69" i="39" l="1"/>
  <c r="E199" i="38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AB3" i="36" a="1"/>
  <c r="AB3" i="36" s="1"/>
  <c r="AC3" i="36" s="1" a="1"/>
  <c r="AC3" i="36" s="1"/>
  <c r="AD3" i="36" s="1" a="1"/>
  <c r="AD3" i="36" s="1"/>
  <c r="M2" i="36"/>
  <c r="M69" i="36" l="1" a="1"/>
  <c r="M69" i="36" s="1"/>
  <c r="N69" i="36" s="1" a="1"/>
  <c r="Q4" i="36" a="1"/>
  <c r="Q4" i="36" s="1"/>
  <c r="P3" i="36" s="1"/>
  <c r="R4" i="36" s="1" a="1"/>
  <c r="I108" i="36"/>
  <c r="Q69" i="36" a="1"/>
  <c r="Q69" i="36" s="1"/>
  <c r="P68" i="36" s="1"/>
  <c r="R69" i="36" s="1" a="1"/>
  <c r="I92" i="36"/>
  <c r="I84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I115" i="34" l="1"/>
  <c r="I99" i="34"/>
  <c r="J69" i="34" a="1"/>
  <c r="J69" i="34" s="1"/>
  <c r="L69" i="34" s="1" a="1"/>
  <c r="L69" i="34" s="1"/>
  <c r="M69" i="34" s="1" a="1"/>
  <c r="M69" i="34" s="1"/>
  <c r="N69" i="34" s="1" a="1"/>
  <c r="G69" i="34" a="1"/>
  <c r="G69" i="34" s="1"/>
  <c r="I107" i="34"/>
  <c r="I122" i="34"/>
  <c r="I123" i="34"/>
  <c r="O129" i="36" a="1"/>
  <c r="O129" i="36" s="1"/>
  <c r="I81" i="34"/>
  <c r="I82" i="34"/>
  <c r="I97" i="34"/>
  <c r="Q69" i="34" a="1"/>
  <c r="Q69" i="34" s="1"/>
  <c r="P68" i="34" s="1"/>
  <c r="R69" i="34" s="1" a="1"/>
  <c r="S70" i="34" s="1" a="1"/>
  <c r="S70" i="34" s="1"/>
  <c r="I83" i="34"/>
  <c r="Q4" i="34" a="1"/>
  <c r="Q4" i="34" s="1"/>
  <c r="P3" i="34" s="1"/>
  <c r="R4" i="34" s="1" a="1"/>
  <c r="S5" i="34" s="1" a="1"/>
  <c r="S5" i="34" s="1"/>
  <c r="I98" i="34"/>
  <c r="I113" i="34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69" i="34" l="1"/>
  <c r="R68" i="34" s="1"/>
  <c r="S69" i="34" s="1"/>
  <c r="T69" i="34" s="1" a="1"/>
  <c r="T69" i="34" s="1"/>
  <c r="O64" i="36" a="1"/>
  <c r="O64" i="36" s="1"/>
  <c r="R4" i="34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A198" i="32" s="1" a="1"/>
  <c r="A198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M199" i="32" s="1" a="1"/>
  <c r="M199" i="32" s="1"/>
  <c r="N199" i="32" s="1" a="1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N257" i="32" l="1"/>
  <c r="N199" i="32"/>
  <c r="O199" i="32" s="1" a="1"/>
  <c r="G4" i="28" a="1"/>
  <c r="G4" i="28" s="1"/>
  <c r="I121" i="28"/>
  <c r="I122" i="28"/>
  <c r="A134" i="28" a="1"/>
  <c r="A134" i="28" s="1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E81" i="32"/>
  <c r="E111" i="32"/>
  <c r="E122" i="32"/>
  <c r="E91" i="32"/>
  <c r="E121" i="32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O257" i="32" l="1"/>
  <c r="O199" i="32"/>
  <c r="O197" i="32" s="1"/>
  <c r="I188" i="28"/>
  <c r="A199" i="28" a="1"/>
  <c r="H134" i="28" a="1"/>
  <c r="H134" i="28" s="1"/>
  <c r="I187" i="28"/>
  <c r="I186" i="28"/>
  <c r="I191" i="28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2" i="28" l="1"/>
  <c r="I255" i="28"/>
  <c r="I253" i="28"/>
  <c r="A199" i="28"/>
  <c r="H199" i="28" s="1" a="1"/>
  <c r="H199" i="28" s="1"/>
  <c r="I256" i="28"/>
  <c r="I254" i="28"/>
  <c r="I251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A199" i="32" s="1" a="1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I247" i="32" l="1"/>
  <c r="I201" i="32"/>
  <c r="I215" i="32"/>
  <c r="I211" i="32"/>
  <c r="I225" i="32"/>
  <c r="A199" i="32"/>
  <c r="I221" i="32"/>
  <c r="I235" i="32"/>
  <c r="I200" i="32"/>
  <c r="I231" i="32"/>
  <c r="I245" i="32"/>
  <c r="I210" i="32"/>
  <c r="I241" i="32"/>
  <c r="I255" i="32"/>
  <c r="I220" i="32"/>
  <c r="I251" i="32"/>
  <c r="I206" i="32"/>
  <c r="I230" i="32"/>
  <c r="I202" i="32"/>
  <c r="I216" i="32"/>
  <c r="I240" i="32"/>
  <c r="I232" i="32"/>
  <c r="I226" i="32"/>
  <c r="I250" i="32"/>
  <c r="I203" i="32"/>
  <c r="I236" i="32"/>
  <c r="I212" i="32"/>
  <c r="I213" i="32"/>
  <c r="I246" i="32"/>
  <c r="I222" i="32"/>
  <c r="I223" i="32"/>
  <c r="I256" i="32"/>
  <c r="I242" i="32"/>
  <c r="I233" i="32"/>
  <c r="I209" i="32"/>
  <c r="I252" i="32"/>
  <c r="I243" i="32"/>
  <c r="I219" i="32"/>
  <c r="I244" i="32"/>
  <c r="I253" i="32"/>
  <c r="I229" i="32"/>
  <c r="I208" i="32"/>
  <c r="I204" i="32"/>
  <c r="I249" i="32"/>
  <c r="I218" i="32"/>
  <c r="I214" i="32"/>
  <c r="I207" i="32"/>
  <c r="I228" i="32"/>
  <c r="I224" i="32"/>
  <c r="I217" i="32"/>
  <c r="I238" i="32"/>
  <c r="I234" i="32"/>
  <c r="I227" i="32"/>
  <c r="I248" i="32"/>
  <c r="I254" i="32"/>
  <c r="I237" i="32"/>
  <c r="I239" i="32"/>
  <c r="I205" i="32"/>
  <c r="H134" i="32" a="1"/>
  <c r="H134" i="32" s="1"/>
  <c r="I134" i="32"/>
  <c r="O4" i="32"/>
  <c r="O2" i="32" s="1"/>
  <c r="O62" i="32"/>
  <c r="O127" i="32"/>
  <c r="O69" i="32"/>
  <c r="O67" i="32" s="1"/>
  <c r="I199" i="32" l="1"/>
  <c r="H199" i="32" a="1"/>
  <c r="H199" i="32" s="1"/>
  <c r="N131" i="28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56" i="24" l="1"/>
  <c r="C20" i="24"/>
  <c r="C72" i="1"/>
  <c r="C47" i="1"/>
  <c r="C73" i="1"/>
  <c r="C49" i="1"/>
  <c r="C77" i="1"/>
  <c r="C46" i="1"/>
  <c r="C75" i="1"/>
  <c r="C45" i="1"/>
  <c r="C71" i="1"/>
  <c r="C48" i="1"/>
  <c r="C74" i="1"/>
  <c r="C50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55" i="26" l="1"/>
  <c r="C19" i="26"/>
  <c r="C55" i="24"/>
  <c r="C19" i="24"/>
  <c r="C14" i="26"/>
  <c r="C50" i="26"/>
  <c r="C52" i="24"/>
  <c r="C16" i="24"/>
  <c r="C52" i="26"/>
  <c r="C16" i="26"/>
  <c r="C51" i="26"/>
  <c r="C15" i="26"/>
  <c r="C53" i="26"/>
  <c r="C17" i="26"/>
  <c r="J59" i="1"/>
  <c r="C14" i="24"/>
  <c r="C50" i="24"/>
  <c r="C54" i="26"/>
  <c r="C18" i="26"/>
  <c r="C51" i="24"/>
  <c r="C15" i="24"/>
  <c r="C56" i="26"/>
  <c r="C20" i="26"/>
  <c r="C17" i="24"/>
  <c r="C53" i="24"/>
  <c r="R34" i="1"/>
  <c r="C18" i="24"/>
  <c r="C54" i="24"/>
  <c r="E13" i="40"/>
  <c r="E61" i="40"/>
  <c r="E13" i="37"/>
  <c r="E61" i="37"/>
  <c r="E13" i="27"/>
  <c r="E61" i="27"/>
  <c r="E13" i="35"/>
  <c r="E61" i="35"/>
  <c r="E61" i="33"/>
  <c r="E13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E102" i="1" s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Q75" i="1" s="1"/>
  <c r="C97" i="1" l="1"/>
  <c r="C103" i="1"/>
  <c r="C100" i="1"/>
  <c r="C102" i="1"/>
  <c r="C99" i="1"/>
  <c r="C101" i="1"/>
  <c r="C98" i="1"/>
  <c r="D97" i="1"/>
  <c r="D103" i="1"/>
  <c r="D100" i="1"/>
  <c r="D102" i="1"/>
  <c r="D99" i="1"/>
  <c r="D101" i="1"/>
  <c r="D98" i="1"/>
  <c r="C37" i="26"/>
  <c r="E62" i="40"/>
  <c r="E14" i="40"/>
  <c r="E62" i="37"/>
  <c r="E14" i="37"/>
  <c r="E62" i="27"/>
  <c r="E14" i="27"/>
  <c r="E14" i="35"/>
  <c r="E62" i="35"/>
  <c r="E14" i="33"/>
  <c r="E62" i="33"/>
  <c r="E17" i="40"/>
  <c r="E65" i="40"/>
  <c r="E65" i="37"/>
  <c r="E17" i="37"/>
  <c r="E65" i="27"/>
  <c r="E17" i="27"/>
  <c r="E65" i="35"/>
  <c r="E17" i="35"/>
  <c r="E17" i="33"/>
  <c r="E65" i="33"/>
  <c r="E68" i="40"/>
  <c r="E20" i="40"/>
  <c r="E68" i="37"/>
  <c r="E20" i="37"/>
  <c r="E20" i="27"/>
  <c r="E68" i="27"/>
  <c r="E68" i="35"/>
  <c r="E20" i="35"/>
  <c r="E68" i="33"/>
  <c r="E20" i="33"/>
  <c r="E63" i="40"/>
  <c r="E15" i="40"/>
  <c r="E15" i="37"/>
  <c r="E63" i="37"/>
  <c r="E63" i="27"/>
  <c r="E15" i="27"/>
  <c r="E63" i="35"/>
  <c r="E15" i="35"/>
  <c r="E15" i="33"/>
  <c r="E63" i="33"/>
  <c r="Q51" i="1"/>
  <c r="C68" i="24" s="1"/>
  <c r="J24" i="1"/>
  <c r="C31" i="2" s="1"/>
  <c r="J50" i="1"/>
  <c r="C31" i="24" s="1"/>
  <c r="J75" i="1"/>
  <c r="C30" i="26" s="1"/>
  <c r="J48" i="1"/>
  <c r="C29" i="24" s="1"/>
  <c r="J73" i="1"/>
  <c r="C28" i="26" s="1"/>
  <c r="J45" i="1"/>
  <c r="C26" i="24" s="1"/>
  <c r="J49" i="1"/>
  <c r="C30" i="24" s="1"/>
  <c r="J47" i="1"/>
  <c r="C28" i="24" s="1"/>
  <c r="J74" i="1"/>
  <c r="C29" i="26" s="1"/>
  <c r="J72" i="1"/>
  <c r="C27" i="26" s="1"/>
  <c r="J46" i="1"/>
  <c r="C27" i="24" s="1"/>
  <c r="J71" i="1"/>
  <c r="C26" i="26" s="1"/>
  <c r="J76" i="1"/>
  <c r="C31" i="26" s="1"/>
  <c r="J51" i="1"/>
  <c r="C32" i="24" s="1"/>
  <c r="E16" i="40"/>
  <c r="E64" i="40"/>
  <c r="E16" i="37"/>
  <c r="E64" i="37"/>
  <c r="E16" i="27"/>
  <c r="E64" i="27"/>
  <c r="E64" i="35"/>
  <c r="E16" i="35"/>
  <c r="E64" i="33"/>
  <c r="E16" i="33"/>
  <c r="Q21" i="1"/>
  <c r="C64" i="2" s="1"/>
  <c r="Q73" i="1"/>
  <c r="C40" i="26" s="1"/>
  <c r="Q47" i="1"/>
  <c r="C64" i="24" s="1"/>
  <c r="Q71" i="1"/>
  <c r="C62" i="26" s="1"/>
  <c r="Q50" i="1"/>
  <c r="C67" i="24" s="1"/>
  <c r="Q74" i="1"/>
  <c r="C41" i="26" s="1"/>
  <c r="Q48" i="1"/>
  <c r="C41" i="24" s="1"/>
  <c r="Q72" i="1"/>
  <c r="C39" i="26" s="1"/>
  <c r="Q46" i="1"/>
  <c r="C63" i="24" s="1"/>
  <c r="Q45" i="1"/>
  <c r="C38" i="24" s="1"/>
  <c r="Q76" i="1"/>
  <c r="C67" i="26" s="1"/>
  <c r="Q49" i="1"/>
  <c r="C66" i="24" s="1"/>
  <c r="E18" i="40"/>
  <c r="E66" i="40"/>
  <c r="E18" i="37"/>
  <c r="E66" i="37"/>
  <c r="E66" i="27"/>
  <c r="E18" i="27"/>
  <c r="E66" i="35"/>
  <c r="E18" i="35"/>
  <c r="E18" i="33"/>
  <c r="E66" i="33"/>
  <c r="E19" i="40"/>
  <c r="E67" i="40"/>
  <c r="E67" i="37"/>
  <c r="E19" i="37"/>
  <c r="E67" i="27"/>
  <c r="E19" i="27"/>
  <c r="E19" i="35"/>
  <c r="E67" i="35"/>
  <c r="E19" i="33"/>
  <c r="E67" i="33"/>
  <c r="Q77" i="1"/>
  <c r="C44" i="26" s="1"/>
  <c r="E37" i="24"/>
  <c r="S81" i="1"/>
  <c r="D13" i="40"/>
  <c r="D13" i="37"/>
  <c r="D13" i="27"/>
  <c r="D13" i="35"/>
  <c r="D13" i="33"/>
  <c r="C49" i="40"/>
  <c r="C13" i="40"/>
  <c r="C49" i="37"/>
  <c r="C13" i="37"/>
  <c r="C13" i="27"/>
  <c r="C49" i="27"/>
  <c r="C13" i="35"/>
  <c r="C49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103" i="1" s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Q86" i="1"/>
  <c r="S87" i="1"/>
  <c r="L82" i="1"/>
  <c r="J86" i="1"/>
  <c r="C96" i="1"/>
  <c r="R81" i="1"/>
  <c r="E92" i="1"/>
  <c r="E96" i="1"/>
  <c r="K81" i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S103" i="1" l="1"/>
  <c r="E44" i="35" s="1"/>
  <c r="S102" i="1"/>
  <c r="S99" i="1"/>
  <c r="S101" i="1"/>
  <c r="S98" i="1"/>
  <c r="S100" i="1"/>
  <c r="Q102" i="1"/>
  <c r="Q99" i="1"/>
  <c r="Q98" i="1"/>
  <c r="Q100" i="1"/>
  <c r="Q97" i="1"/>
  <c r="Q101" i="1"/>
  <c r="C66" i="27" s="1"/>
  <c r="S97" i="1"/>
  <c r="E50" i="40" s="1"/>
  <c r="K103" i="1"/>
  <c r="R103" i="1"/>
  <c r="D44" i="27" s="1"/>
  <c r="J97" i="1"/>
  <c r="J100" i="1"/>
  <c r="J102" i="1"/>
  <c r="J99" i="1"/>
  <c r="J101" i="1"/>
  <c r="J98" i="1"/>
  <c r="L100" i="1"/>
  <c r="L103" i="1"/>
  <c r="L102" i="1"/>
  <c r="L99" i="1"/>
  <c r="L101" i="1"/>
  <c r="L98" i="1"/>
  <c r="L97" i="1"/>
  <c r="E26" i="27" s="1"/>
  <c r="C64" i="26"/>
  <c r="R101" i="1"/>
  <c r="D42" i="33" s="1"/>
  <c r="R102" i="1"/>
  <c r="D43" i="37" s="1"/>
  <c r="K101" i="1"/>
  <c r="D30" i="27" s="1"/>
  <c r="K102" i="1"/>
  <c r="D67" i="37" s="1"/>
  <c r="R99" i="1"/>
  <c r="D40" i="33" s="1"/>
  <c r="R100" i="1"/>
  <c r="D41" i="37" s="1"/>
  <c r="K99" i="1"/>
  <c r="D64" i="40" s="1"/>
  <c r="K100" i="1"/>
  <c r="D29" i="27" s="1"/>
  <c r="R97" i="1"/>
  <c r="D38" i="27" s="1"/>
  <c r="R98" i="1"/>
  <c r="D39" i="33" s="1"/>
  <c r="K97" i="1"/>
  <c r="D62" i="27" s="1"/>
  <c r="K98" i="1"/>
  <c r="D27" i="27" s="1"/>
  <c r="C62" i="24"/>
  <c r="C32" i="35"/>
  <c r="C39" i="24"/>
  <c r="C44" i="33"/>
  <c r="C63" i="26"/>
  <c r="C40" i="2"/>
  <c r="E55" i="27"/>
  <c r="E52" i="35"/>
  <c r="E42" i="27"/>
  <c r="E39" i="33"/>
  <c r="E41" i="35"/>
  <c r="C38" i="26"/>
  <c r="C43" i="26"/>
  <c r="D68" i="37"/>
  <c r="F13" i="35"/>
  <c r="F13" i="27"/>
  <c r="F13" i="37"/>
  <c r="F13" i="40"/>
  <c r="C44" i="24"/>
  <c r="C42" i="24"/>
  <c r="C65" i="26"/>
  <c r="C53" i="40"/>
  <c r="C17" i="40"/>
  <c r="C17" i="37"/>
  <c r="C53" i="37"/>
  <c r="C17" i="27"/>
  <c r="C53" i="27"/>
  <c r="C53" i="35"/>
  <c r="C17" i="35"/>
  <c r="C17" i="33"/>
  <c r="C53" i="33"/>
  <c r="C14" i="40"/>
  <c r="C50" i="40"/>
  <c r="C14" i="37"/>
  <c r="C50" i="37"/>
  <c r="C14" i="27"/>
  <c r="C50" i="27"/>
  <c r="C14" i="35"/>
  <c r="C50" i="35"/>
  <c r="C14" i="33"/>
  <c r="C50" i="33"/>
  <c r="D19" i="40"/>
  <c r="D19" i="37"/>
  <c r="D19" i="27"/>
  <c r="D19" i="35"/>
  <c r="D19" i="33"/>
  <c r="D17" i="40"/>
  <c r="D17" i="37"/>
  <c r="D17" i="27"/>
  <c r="D17" i="35"/>
  <c r="D17" i="33"/>
  <c r="C65" i="24"/>
  <c r="D20" i="40"/>
  <c r="D20" i="37"/>
  <c r="D20" i="27"/>
  <c r="D20" i="35"/>
  <c r="D20" i="33"/>
  <c r="C55" i="40"/>
  <c r="C19" i="40"/>
  <c r="C19" i="37"/>
  <c r="C55" i="37"/>
  <c r="C19" i="27"/>
  <c r="C55" i="27"/>
  <c r="C55" i="35"/>
  <c r="C19" i="35"/>
  <c r="C19" i="33"/>
  <c r="C55" i="33"/>
  <c r="C40" i="24"/>
  <c r="D15" i="40"/>
  <c r="D15" i="37"/>
  <c r="D15" i="27"/>
  <c r="D15" i="35"/>
  <c r="D15" i="33"/>
  <c r="D16" i="40"/>
  <c r="D16" i="37"/>
  <c r="D16" i="27"/>
  <c r="D16" i="35"/>
  <c r="D16" i="33"/>
  <c r="C43" i="24"/>
  <c r="C65" i="2"/>
  <c r="F13" i="33"/>
  <c r="C18" i="40"/>
  <c r="C54" i="40"/>
  <c r="C18" i="37"/>
  <c r="C54" i="37"/>
  <c r="C54" i="27"/>
  <c r="C18" i="27"/>
  <c r="C18" i="35"/>
  <c r="C54" i="35"/>
  <c r="C18" i="33"/>
  <c r="C54" i="33"/>
  <c r="C15" i="40"/>
  <c r="C51" i="40"/>
  <c r="C15" i="37"/>
  <c r="C51" i="37"/>
  <c r="C15" i="27"/>
  <c r="C51" i="27"/>
  <c r="C51" i="35"/>
  <c r="C15" i="35"/>
  <c r="C51" i="33"/>
  <c r="C15" i="33"/>
  <c r="C56" i="40"/>
  <c r="C20" i="40"/>
  <c r="C20" i="37"/>
  <c r="C56" i="37"/>
  <c r="C56" i="27"/>
  <c r="C20" i="27"/>
  <c r="C20" i="35"/>
  <c r="C56" i="35"/>
  <c r="C20" i="33"/>
  <c r="C56" i="33"/>
  <c r="D18" i="40"/>
  <c r="D18" i="37"/>
  <c r="D18" i="27"/>
  <c r="D18" i="35"/>
  <c r="D18" i="33"/>
  <c r="D14" i="40"/>
  <c r="D14" i="37"/>
  <c r="D14" i="27"/>
  <c r="D14" i="35"/>
  <c r="D14" i="33"/>
  <c r="C52" i="40"/>
  <c r="C16" i="40"/>
  <c r="C52" i="37"/>
  <c r="C16" i="37"/>
  <c r="C52" i="27"/>
  <c r="C16" i="27"/>
  <c r="C16" i="35"/>
  <c r="C52" i="35"/>
  <c r="C16" i="33"/>
  <c r="C52" i="33"/>
  <c r="E25" i="40"/>
  <c r="E25" i="37"/>
  <c r="E25" i="27"/>
  <c r="E49" i="40"/>
  <c r="E37" i="40"/>
  <c r="E49" i="37"/>
  <c r="E37" i="37"/>
  <c r="E49" i="27"/>
  <c r="E37" i="27"/>
  <c r="E37" i="35"/>
  <c r="E49" i="35"/>
  <c r="E37" i="33"/>
  <c r="E49" i="33"/>
  <c r="C25" i="40"/>
  <c r="C25" i="37"/>
  <c r="C25" i="27"/>
  <c r="C25" i="35"/>
  <c r="C25" i="33"/>
  <c r="C35" i="40"/>
  <c r="C11" i="40"/>
  <c r="C47" i="40"/>
  <c r="C59" i="40"/>
  <c r="C23" i="40"/>
  <c r="C47" i="37"/>
  <c r="C11" i="37"/>
  <c r="C35" i="37"/>
  <c r="C59" i="37"/>
  <c r="C23" i="37"/>
  <c r="C47" i="35"/>
  <c r="C35" i="35"/>
  <c r="C59" i="35"/>
  <c r="C11" i="35"/>
  <c r="C23" i="35"/>
  <c r="C35" i="33"/>
  <c r="C59" i="33"/>
  <c r="C11" i="33"/>
  <c r="C23" i="33"/>
  <c r="C47" i="33"/>
  <c r="C37" i="40"/>
  <c r="C61" i="40"/>
  <c r="C61" i="37"/>
  <c r="C37" i="37"/>
  <c r="C61" i="27"/>
  <c r="C37" i="27"/>
  <c r="C37" i="35"/>
  <c r="C61" i="35"/>
  <c r="C61" i="33"/>
  <c r="C37" i="33"/>
  <c r="D37" i="37"/>
  <c r="D37" i="40"/>
  <c r="D49" i="40"/>
  <c r="D25" i="40"/>
  <c r="D61" i="40"/>
  <c r="D61" i="27"/>
  <c r="D49" i="37"/>
  <c r="D61" i="37"/>
  <c r="D25" i="37"/>
  <c r="E43" i="27"/>
  <c r="E43" i="35"/>
  <c r="D25" i="27"/>
  <c r="D49" i="27"/>
  <c r="D37" i="35"/>
  <c r="D37" i="27"/>
  <c r="E50" i="26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32" i="27" l="1"/>
  <c r="C32" i="37"/>
  <c r="C32" i="33"/>
  <c r="C32" i="40"/>
  <c r="C44" i="35"/>
  <c r="C68" i="27"/>
  <c r="C44" i="37"/>
  <c r="C44" i="27"/>
  <c r="C68" i="40"/>
  <c r="C68" i="37"/>
  <c r="C68" i="33"/>
  <c r="C68" i="35"/>
  <c r="C44" i="40"/>
  <c r="E38" i="37"/>
  <c r="E38" i="35"/>
  <c r="E44" i="33"/>
  <c r="E50" i="37"/>
  <c r="E50" i="27"/>
  <c r="E38" i="40"/>
  <c r="E56" i="33"/>
  <c r="E50" i="33"/>
  <c r="E55" i="33"/>
  <c r="E38" i="33"/>
  <c r="E50" i="35"/>
  <c r="E38" i="27"/>
  <c r="E43" i="33"/>
  <c r="E55" i="35"/>
  <c r="E26" i="40"/>
  <c r="E41" i="33"/>
  <c r="E52" i="27"/>
  <c r="E26" i="37"/>
  <c r="E53" i="33"/>
  <c r="E40" i="35"/>
  <c r="E42" i="33"/>
  <c r="E54" i="33"/>
  <c r="E53" i="27"/>
  <c r="E54" i="35"/>
  <c r="E40" i="27"/>
  <c r="E42" i="35"/>
  <c r="E54" i="27"/>
  <c r="F20" i="40"/>
  <c r="G20" i="40" s="1"/>
  <c r="F19" i="40"/>
  <c r="J19" i="40" s="1"/>
  <c r="F17" i="40"/>
  <c r="J17" i="40" s="1"/>
  <c r="D32" i="27"/>
  <c r="F16" i="35"/>
  <c r="J16" i="35" s="1"/>
  <c r="F20" i="35"/>
  <c r="J20" i="35" s="1"/>
  <c r="D32" i="37"/>
  <c r="D56" i="37"/>
  <c r="D68" i="27"/>
  <c r="F16" i="27"/>
  <c r="G16" i="27" s="1"/>
  <c r="F16" i="37"/>
  <c r="G16" i="37" s="1"/>
  <c r="F20" i="27"/>
  <c r="J20" i="27" s="1"/>
  <c r="F20" i="37"/>
  <c r="J20" i="37" s="1"/>
  <c r="F17" i="37"/>
  <c r="J17" i="37" s="1"/>
  <c r="G13" i="37"/>
  <c r="D44" i="33"/>
  <c r="F16" i="33"/>
  <c r="J16" i="33" s="1"/>
  <c r="F20" i="33"/>
  <c r="J20" i="33" s="1"/>
  <c r="F18" i="33"/>
  <c r="J18" i="33" s="1"/>
  <c r="F19" i="37"/>
  <c r="G19" i="37" s="1"/>
  <c r="C66" i="33"/>
  <c r="F15" i="27"/>
  <c r="J15" i="27" s="1"/>
  <c r="F19" i="27"/>
  <c r="J19" i="27" s="1"/>
  <c r="F17" i="33"/>
  <c r="J17" i="33" s="1"/>
  <c r="F14" i="40"/>
  <c r="J14" i="40" s="1"/>
  <c r="D32" i="40"/>
  <c r="D68" i="40"/>
  <c r="D44" i="40"/>
  <c r="D44" i="35"/>
  <c r="F14" i="37"/>
  <c r="J14" i="37" s="1"/>
  <c r="D56" i="40"/>
  <c r="F14" i="27"/>
  <c r="G14" i="27" s="1"/>
  <c r="F18" i="37"/>
  <c r="G18" i="37" s="1"/>
  <c r="D44" i="37"/>
  <c r="D56" i="27"/>
  <c r="C66" i="40"/>
  <c r="F18" i="40"/>
  <c r="G18" i="40" s="1"/>
  <c r="F15" i="40"/>
  <c r="G15" i="40" s="1"/>
  <c r="F15" i="35"/>
  <c r="J15" i="35" s="1"/>
  <c r="E53" i="35"/>
  <c r="E41" i="27"/>
  <c r="J13" i="33"/>
  <c r="E40" i="33"/>
  <c r="E51" i="33"/>
  <c r="E52" i="33"/>
  <c r="C66" i="37"/>
  <c r="C42" i="40"/>
  <c r="C42" i="37"/>
  <c r="F15" i="37"/>
  <c r="J15" i="37" s="1"/>
  <c r="F16" i="40"/>
  <c r="G16" i="40" s="1"/>
  <c r="F19" i="33"/>
  <c r="G19" i="33" s="1"/>
  <c r="F17" i="35"/>
  <c r="G17" i="35" s="1"/>
  <c r="D42" i="37"/>
  <c r="C42" i="35"/>
  <c r="C66" i="35"/>
  <c r="C42" i="27"/>
  <c r="F15" i="33"/>
  <c r="J15" i="33" s="1"/>
  <c r="F19" i="35"/>
  <c r="J19" i="35" s="1"/>
  <c r="F14" i="35"/>
  <c r="G14" i="35" s="1"/>
  <c r="F17" i="27"/>
  <c r="G17" i="27" s="1"/>
  <c r="F18" i="27"/>
  <c r="J18" i="27" s="1"/>
  <c r="J13" i="37"/>
  <c r="F18" i="35"/>
  <c r="J18" i="35" s="1"/>
  <c r="F14" i="33"/>
  <c r="G14" i="33" s="1"/>
  <c r="C42" i="33"/>
  <c r="E28" i="40"/>
  <c r="E28" i="37"/>
  <c r="E28" i="27"/>
  <c r="C65" i="35"/>
  <c r="C41" i="37"/>
  <c r="C65" i="33"/>
  <c r="C65" i="40"/>
  <c r="C41" i="40"/>
  <c r="C41" i="27"/>
  <c r="C41" i="33"/>
  <c r="C65" i="37"/>
  <c r="C41" i="35"/>
  <c r="C65" i="27"/>
  <c r="E29" i="37"/>
  <c r="E29" i="40"/>
  <c r="E29" i="27"/>
  <c r="C26" i="27"/>
  <c r="C26" i="35"/>
  <c r="C26" i="33"/>
  <c r="C26" i="37"/>
  <c r="C26" i="40"/>
  <c r="E39" i="37"/>
  <c r="E39" i="40"/>
  <c r="E51" i="37"/>
  <c r="E51" i="40"/>
  <c r="E39" i="35"/>
  <c r="E56" i="27"/>
  <c r="E54" i="37"/>
  <c r="E42" i="37"/>
  <c r="E54" i="40"/>
  <c r="E42" i="40"/>
  <c r="E32" i="40"/>
  <c r="E32" i="37"/>
  <c r="E32" i="27"/>
  <c r="C30" i="37"/>
  <c r="C30" i="27"/>
  <c r="C30" i="40"/>
  <c r="C30" i="35"/>
  <c r="C30" i="33"/>
  <c r="C28" i="33"/>
  <c r="C28" i="40"/>
  <c r="C28" i="27"/>
  <c r="C28" i="37"/>
  <c r="C28" i="35"/>
  <c r="C29" i="40"/>
  <c r="C29" i="35"/>
  <c r="C29" i="37"/>
  <c r="C29" i="27"/>
  <c r="C29" i="33"/>
  <c r="E51" i="35"/>
  <c r="E44" i="27"/>
  <c r="E40" i="40"/>
  <c r="E52" i="40"/>
  <c r="E40" i="37"/>
  <c r="E52" i="37"/>
  <c r="E30" i="37"/>
  <c r="E30" i="40"/>
  <c r="E30" i="27"/>
  <c r="C63" i="40"/>
  <c r="C39" i="37"/>
  <c r="C63" i="33"/>
  <c r="C39" i="27"/>
  <c r="C63" i="35"/>
  <c r="C63" i="37"/>
  <c r="C39" i="35"/>
  <c r="C39" i="33"/>
  <c r="C39" i="40"/>
  <c r="C63" i="27"/>
  <c r="C62" i="35"/>
  <c r="C62" i="37"/>
  <c r="C38" i="33"/>
  <c r="C38" i="37"/>
  <c r="C38" i="35"/>
  <c r="C62" i="33"/>
  <c r="C38" i="40"/>
  <c r="C62" i="40"/>
  <c r="C38" i="27"/>
  <c r="C62" i="27"/>
  <c r="C27" i="33"/>
  <c r="C27" i="40"/>
  <c r="C27" i="27"/>
  <c r="C27" i="35"/>
  <c r="C27" i="37"/>
  <c r="E53" i="40"/>
  <c r="E53" i="37"/>
  <c r="E41" i="40"/>
  <c r="E41" i="37"/>
  <c r="E51" i="27"/>
  <c r="E43" i="40"/>
  <c r="E43" i="37"/>
  <c r="E55" i="40"/>
  <c r="E55" i="37"/>
  <c r="E27" i="37"/>
  <c r="E27" i="40"/>
  <c r="E27" i="27"/>
  <c r="E31" i="40"/>
  <c r="E31" i="37"/>
  <c r="E31" i="27"/>
  <c r="C40" i="33"/>
  <c r="C40" i="37"/>
  <c r="C40" i="40"/>
  <c r="C64" i="37"/>
  <c r="C40" i="27"/>
  <c r="C64" i="33"/>
  <c r="C64" i="40"/>
  <c r="C64" i="27"/>
  <c r="C40" i="35"/>
  <c r="C64" i="35"/>
  <c r="C67" i="37"/>
  <c r="C43" i="27"/>
  <c r="C67" i="40"/>
  <c r="C43" i="37"/>
  <c r="C43" i="35"/>
  <c r="C67" i="33"/>
  <c r="C43" i="40"/>
  <c r="C43" i="33"/>
  <c r="C67" i="27"/>
  <c r="C67" i="35"/>
  <c r="E56" i="37"/>
  <c r="E44" i="40"/>
  <c r="E56" i="40"/>
  <c r="E44" i="37"/>
  <c r="E56" i="35"/>
  <c r="C31" i="35"/>
  <c r="C31" i="33"/>
  <c r="C31" i="37"/>
  <c r="C31" i="40"/>
  <c r="C31" i="27"/>
  <c r="E39" i="27"/>
  <c r="D54" i="37"/>
  <c r="D42" i="27"/>
  <c r="D42" i="35"/>
  <c r="D66" i="37"/>
  <c r="D66" i="27"/>
  <c r="D66" i="40"/>
  <c r="D31" i="40"/>
  <c r="D54" i="40"/>
  <c r="D67" i="40"/>
  <c r="D55" i="40"/>
  <c r="D30" i="40"/>
  <c r="D30" i="37"/>
  <c r="D42" i="40"/>
  <c r="D43" i="27"/>
  <c r="D43" i="35"/>
  <c r="D43" i="33"/>
  <c r="D55" i="27"/>
  <c r="D55" i="37"/>
  <c r="D31" i="27"/>
  <c r="D43" i="40"/>
  <c r="D67" i="27"/>
  <c r="D54" i="27"/>
  <c r="D31" i="37"/>
  <c r="D50" i="27"/>
  <c r="D40" i="40"/>
  <c r="D40" i="37"/>
  <c r="D41" i="27"/>
  <c r="D41" i="35"/>
  <c r="D40" i="27"/>
  <c r="D65" i="27"/>
  <c r="D41" i="33"/>
  <c r="D65" i="40"/>
  <c r="D29" i="40"/>
  <c r="D39" i="35"/>
  <c r="D41" i="40"/>
  <c r="D52" i="37"/>
  <c r="D27" i="40"/>
  <c r="D26" i="40"/>
  <c r="D64" i="37"/>
  <c r="D63" i="40"/>
  <c r="D40" i="35"/>
  <c r="D62" i="40"/>
  <c r="D50" i="40"/>
  <c r="D65" i="37"/>
  <c r="D51" i="40"/>
  <c r="D26" i="27"/>
  <c r="D52" i="40"/>
  <c r="D29" i="37"/>
  <c r="D39" i="40"/>
  <c r="D39" i="27"/>
  <c r="D53" i="37"/>
  <c r="D39" i="37"/>
  <c r="D63" i="37"/>
  <c r="D27" i="37"/>
  <c r="D62" i="37"/>
  <c r="D52" i="27"/>
  <c r="D51" i="37"/>
  <c r="D63" i="27"/>
  <c r="D50" i="37"/>
  <c r="D28" i="27"/>
  <c r="D26" i="37"/>
  <c r="D53" i="40"/>
  <c r="D53" i="27"/>
  <c r="D28" i="37"/>
  <c r="D28" i="40"/>
  <c r="D64" i="27"/>
  <c r="D38" i="35"/>
  <c r="F49" i="40"/>
  <c r="F61" i="40"/>
  <c r="D38" i="33"/>
  <c r="D38" i="40"/>
  <c r="D38" i="37"/>
  <c r="D51" i="27"/>
  <c r="F37" i="40"/>
  <c r="J37" i="40" s="1"/>
  <c r="F25" i="37"/>
  <c r="F25" i="40"/>
  <c r="F49" i="37"/>
  <c r="G49" i="37" s="1"/>
  <c r="F37" i="33"/>
  <c r="G13" i="35"/>
  <c r="F37" i="37"/>
  <c r="G37" i="37" s="1"/>
  <c r="F61" i="37"/>
  <c r="G13" i="40"/>
  <c r="J13" i="35"/>
  <c r="F37" i="27"/>
  <c r="G13" i="33"/>
  <c r="F37" i="35"/>
  <c r="J37" i="35" s="1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G20" i="37" l="1"/>
  <c r="G16" i="35"/>
  <c r="G20" i="35"/>
  <c r="G19" i="40"/>
  <c r="G17" i="40"/>
  <c r="J20" i="40"/>
  <c r="G17" i="37"/>
  <c r="J19" i="37"/>
  <c r="G15" i="27"/>
  <c r="G16" i="33"/>
  <c r="G18" i="33"/>
  <c r="G20" i="33"/>
  <c r="J16" i="37"/>
  <c r="J16" i="27"/>
  <c r="G20" i="27"/>
  <c r="G14" i="37"/>
  <c r="G17" i="33"/>
  <c r="G14" i="40"/>
  <c r="J18" i="40"/>
  <c r="J15" i="40"/>
  <c r="G19" i="35"/>
  <c r="G19" i="27"/>
  <c r="G15" i="35"/>
  <c r="J18" i="37"/>
  <c r="J14" i="27"/>
  <c r="J19" i="33"/>
  <c r="J16" i="40"/>
  <c r="J14" i="33"/>
  <c r="G15" i="37"/>
  <c r="J17" i="35"/>
  <c r="G15" i="33"/>
  <c r="J17" i="27"/>
  <c r="G18" i="27"/>
  <c r="J14" i="35"/>
  <c r="G18" i="35"/>
  <c r="F40" i="33"/>
  <c r="G40" i="33" s="1"/>
  <c r="F67" i="37"/>
  <c r="J67" i="37" s="1"/>
  <c r="F30" i="40"/>
  <c r="J30" i="40" s="1"/>
  <c r="F67" i="40"/>
  <c r="G67" i="40" s="1"/>
  <c r="F43" i="27"/>
  <c r="J43" i="27" s="1"/>
  <c r="F50" i="40"/>
  <c r="J50" i="40" s="1"/>
  <c r="F26" i="37"/>
  <c r="J26" i="37" s="1"/>
  <c r="F63" i="40"/>
  <c r="J63" i="40" s="1"/>
  <c r="F62" i="40"/>
  <c r="J62" i="40" s="1"/>
  <c r="F64" i="40"/>
  <c r="G64" i="40" s="1"/>
  <c r="F68" i="40"/>
  <c r="J68" i="40" s="1"/>
  <c r="F27" i="40"/>
  <c r="J27" i="40" s="1"/>
  <c r="F66" i="40"/>
  <c r="G66" i="40" s="1"/>
  <c r="F54" i="40"/>
  <c r="J54" i="40" s="1"/>
  <c r="F32" i="40"/>
  <c r="J32" i="40" s="1"/>
  <c r="G61" i="40"/>
  <c r="J61" i="40"/>
  <c r="F65" i="40"/>
  <c r="J65" i="40" s="1"/>
  <c r="F27" i="37"/>
  <c r="G27" i="37" s="1"/>
  <c r="F30" i="37"/>
  <c r="G30" i="37" s="1"/>
  <c r="F32" i="37"/>
  <c r="J32" i="37" s="1"/>
  <c r="G49" i="40"/>
  <c r="F55" i="40"/>
  <c r="J55" i="40" s="1"/>
  <c r="F53" i="40"/>
  <c r="J53" i="40" s="1"/>
  <c r="F56" i="40"/>
  <c r="J56" i="40" s="1"/>
  <c r="J49" i="40"/>
  <c r="F51" i="40"/>
  <c r="J51" i="40" s="1"/>
  <c r="F52" i="40"/>
  <c r="J52" i="40" s="1"/>
  <c r="F31" i="40"/>
  <c r="J31" i="40" s="1"/>
  <c r="G37" i="40"/>
  <c r="F29" i="40"/>
  <c r="J29" i="40" s="1"/>
  <c r="G25" i="40"/>
  <c r="J25" i="40"/>
  <c r="F42" i="40"/>
  <c r="G42" i="40" s="1"/>
  <c r="F43" i="40"/>
  <c r="J43" i="40" s="1"/>
  <c r="F40" i="40"/>
  <c r="J40" i="40" s="1"/>
  <c r="F44" i="40"/>
  <c r="J44" i="40" s="1"/>
  <c r="F39" i="40"/>
  <c r="G39" i="40" s="1"/>
  <c r="F41" i="40"/>
  <c r="G41" i="40" s="1"/>
  <c r="F38" i="40"/>
  <c r="G38" i="40" s="1"/>
  <c r="F28" i="40"/>
  <c r="J28" i="40" s="1"/>
  <c r="F28" i="37"/>
  <c r="J28" i="37" s="1"/>
  <c r="J61" i="37"/>
  <c r="F31" i="37"/>
  <c r="G31" i="37" s="1"/>
  <c r="F50" i="37"/>
  <c r="J50" i="37" s="1"/>
  <c r="G61" i="37"/>
  <c r="G25" i="37"/>
  <c r="J25" i="37"/>
  <c r="F29" i="37"/>
  <c r="G29" i="37" s="1"/>
  <c r="J37" i="33"/>
  <c r="F39" i="33"/>
  <c r="G39" i="33" s="1"/>
  <c r="F51" i="37"/>
  <c r="G51" i="37" s="1"/>
  <c r="F44" i="33"/>
  <c r="G44" i="33" s="1"/>
  <c r="F38" i="33"/>
  <c r="J38" i="33" s="1"/>
  <c r="F42" i="33"/>
  <c r="G42" i="33" s="1"/>
  <c r="F44" i="37"/>
  <c r="J44" i="37" s="1"/>
  <c r="F43" i="37"/>
  <c r="J43" i="37" s="1"/>
  <c r="F41" i="37"/>
  <c r="J41" i="37" s="1"/>
  <c r="F40" i="37"/>
  <c r="G40" i="37" s="1"/>
  <c r="F54" i="37"/>
  <c r="J54" i="37" s="1"/>
  <c r="F52" i="37"/>
  <c r="G52" i="37" s="1"/>
  <c r="F55" i="37"/>
  <c r="J55" i="37" s="1"/>
  <c r="F53" i="37"/>
  <c r="G53" i="37" s="1"/>
  <c r="F68" i="37"/>
  <c r="G68" i="37" s="1"/>
  <c r="F26" i="40"/>
  <c r="G26" i="40" s="1"/>
  <c r="F41" i="33"/>
  <c r="J41" i="33" s="1"/>
  <c r="F40" i="27"/>
  <c r="J40" i="27" s="1"/>
  <c r="F43" i="33"/>
  <c r="J43" i="33" s="1"/>
  <c r="F42" i="27"/>
  <c r="G42" i="27" s="1"/>
  <c r="F56" i="37"/>
  <c r="J56" i="37" s="1"/>
  <c r="J49" i="37"/>
  <c r="G37" i="33"/>
  <c r="F62" i="37"/>
  <c r="G62" i="37" s="1"/>
  <c r="F63" i="37"/>
  <c r="J63" i="37" s="1"/>
  <c r="J37" i="37"/>
  <c r="F38" i="35"/>
  <c r="G38" i="35" s="1"/>
  <c r="F42" i="37"/>
  <c r="J42" i="37" s="1"/>
  <c r="F44" i="35"/>
  <c r="J44" i="35" s="1"/>
  <c r="F65" i="37"/>
  <c r="G65" i="37" s="1"/>
  <c r="F44" i="27"/>
  <c r="G44" i="27" s="1"/>
  <c r="J37" i="27"/>
  <c r="F38" i="27"/>
  <c r="J38" i="27" s="1"/>
  <c r="F41" i="27"/>
  <c r="G41" i="27" s="1"/>
  <c r="F39" i="27"/>
  <c r="J39" i="27" s="1"/>
  <c r="F66" i="37"/>
  <c r="G66" i="37" s="1"/>
  <c r="F40" i="35"/>
  <c r="J40" i="35" s="1"/>
  <c r="G37" i="27"/>
  <c r="F41" i="35"/>
  <c r="J41" i="35" s="1"/>
  <c r="F64" i="37"/>
  <c r="J64" i="37" s="1"/>
  <c r="G37" i="35"/>
  <c r="F39" i="35"/>
  <c r="J39" i="35" s="1"/>
  <c r="F38" i="37"/>
  <c r="J38" i="37" s="1"/>
  <c r="F43" i="35"/>
  <c r="G43" i="35" s="1"/>
  <c r="F39" i="37"/>
  <c r="J39" i="37" s="1"/>
  <c r="F42" i="35"/>
  <c r="J42" i="35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40" i="33" l="1"/>
  <c r="G43" i="27"/>
  <c r="J67" i="40"/>
  <c r="G67" i="37"/>
  <c r="G30" i="40"/>
  <c r="G26" i="37"/>
  <c r="G32" i="40"/>
  <c r="G54" i="40"/>
  <c r="G62" i="40"/>
  <c r="J64" i="40"/>
  <c r="G68" i="40"/>
  <c r="G63" i="40"/>
  <c r="J66" i="40"/>
  <c r="G50" i="40"/>
  <c r="G27" i="40"/>
  <c r="G55" i="40"/>
  <c r="J27" i="37"/>
  <c r="J30" i="37"/>
  <c r="G53" i="40"/>
  <c r="J41" i="40"/>
  <c r="G32" i="37"/>
  <c r="G42" i="37"/>
  <c r="G43" i="40"/>
  <c r="G52" i="40"/>
  <c r="G65" i="40"/>
  <c r="G29" i="40"/>
  <c r="G51" i="40"/>
  <c r="G44" i="37"/>
  <c r="J42" i="40"/>
  <c r="G40" i="40"/>
  <c r="G56" i="40"/>
  <c r="J29" i="37"/>
  <c r="G50" i="37"/>
  <c r="J31" i="37"/>
  <c r="G31" i="40"/>
  <c r="J39" i="40"/>
  <c r="J39" i="33"/>
  <c r="G44" i="40"/>
  <c r="J38" i="40"/>
  <c r="G28" i="40"/>
  <c r="J51" i="37"/>
  <c r="J62" i="37"/>
  <c r="G28" i="37"/>
  <c r="G41" i="37"/>
  <c r="G43" i="37"/>
  <c r="G56" i="37"/>
  <c r="G38" i="33"/>
  <c r="J43" i="35"/>
  <c r="J40" i="37"/>
  <c r="J44" i="33"/>
  <c r="J66" i="37"/>
  <c r="G40" i="27"/>
  <c r="J52" i="37"/>
  <c r="G43" i="33"/>
  <c r="G55" i="37"/>
  <c r="J53" i="37"/>
  <c r="G41" i="33"/>
  <c r="G54" i="37"/>
  <c r="J68" i="37"/>
  <c r="J26" i="40"/>
  <c r="J42" i="33"/>
  <c r="G63" i="37"/>
  <c r="G38" i="27"/>
  <c r="J41" i="27"/>
  <c r="G44" i="35"/>
  <c r="J38" i="35"/>
  <c r="G42" i="35"/>
  <c r="J42" i="27"/>
  <c r="J44" i="27"/>
  <c r="G39" i="27"/>
  <c r="G41" i="35"/>
  <c r="J65" i="37"/>
  <c r="G38" i="37"/>
  <c r="G39" i="37"/>
  <c r="G64" i="37"/>
  <c r="G39" i="35"/>
  <c r="G40" i="35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0" i="20"/>
  <c r="AC68" i="20"/>
  <c r="AC49" i="20"/>
  <c r="AC40" i="20"/>
  <c r="AC43" i="20"/>
  <c r="AC28" i="20"/>
  <c r="AC13" i="20"/>
  <c r="AC63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M61" i="20"/>
  <c r="AN28" i="20"/>
  <c r="AC79" i="20"/>
  <c r="P26" i="20"/>
  <c r="O26" i="20"/>
  <c r="C26" i="20"/>
  <c r="D26" i="20"/>
  <c r="E6" i="20"/>
  <c r="AM15" i="20" s="1"/>
  <c r="AN12" i="20" l="1"/>
  <c r="AM28" i="20"/>
  <c r="AC67" i="20"/>
  <c r="AC50" i="20"/>
  <c r="AC11" i="20"/>
  <c r="AC59" i="20"/>
  <c r="AC31" i="20"/>
  <c r="AC61" i="20"/>
  <c r="AC42" i="20"/>
  <c r="AC10" i="20"/>
  <c r="AC51" i="20"/>
  <c r="AC27" i="20"/>
  <c r="AC32" i="20"/>
  <c r="AC46" i="20"/>
  <c r="AC71" i="20"/>
  <c r="AC15" i="20"/>
  <c r="AD32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31" i="20"/>
  <c r="AD42" i="20"/>
  <c r="AN42" i="20"/>
  <c r="AM42" i="20"/>
  <c r="AC85" i="20"/>
  <c r="AM51" i="20"/>
  <c r="J26" i="20"/>
  <c r="E7" i="20"/>
  <c r="AM6" i="20" s="1"/>
  <c r="AN6" i="20" l="1"/>
  <c r="AC16" i="20"/>
  <c r="AC66" i="20"/>
  <c r="AC23" i="20"/>
  <c r="AC52" i="20"/>
  <c r="AC33" i="20"/>
  <c r="AC6" i="20"/>
  <c r="AC72" i="20"/>
  <c r="AM33" i="20"/>
  <c r="AM16" i="20"/>
  <c r="AD16" i="20"/>
  <c r="AD48" i="20"/>
  <c r="AN16" i="20"/>
  <c r="AN48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AW67" i="20"/>
  <c r="AC87" i="20"/>
  <c r="AN100" i="20"/>
  <c r="AM49" i="20"/>
  <c r="AM77" i="20"/>
  <c r="AX100" i="20"/>
  <c r="AN32" i="20"/>
  <c r="AM23" i="20"/>
  <c r="AM87" i="20"/>
  <c r="AW23" i="20"/>
  <c r="AW87" i="20"/>
  <c r="AX32" i="20"/>
  <c r="AD100" i="20"/>
  <c r="AC77" i="20"/>
  <c r="AW33" i="20"/>
  <c r="AM27" i="20"/>
  <c r="E8" i="20"/>
  <c r="AW77" i="20" s="1"/>
  <c r="AW27" i="20" l="1"/>
  <c r="BG7" i="20"/>
  <c r="AW49" i="20"/>
  <c r="AW7" i="20"/>
  <c r="AM7" i="20"/>
  <c r="AC65" i="20"/>
  <c r="AC17" i="20"/>
  <c r="AC22" i="20"/>
  <c r="AC7" i="20"/>
  <c r="AC73" i="20"/>
  <c r="AC45" i="20"/>
  <c r="AC53" i="20"/>
  <c r="AC34" i="20"/>
  <c r="AC82" i="20"/>
  <c r="AM79" i="20"/>
  <c r="AM82" i="20"/>
  <c r="AN82" i="20"/>
  <c r="AD82" i="20"/>
  <c r="AM17" i="20"/>
  <c r="AD22" i="20"/>
  <c r="BG53" i="20"/>
  <c r="AM53" i="20"/>
  <c r="AM22" i="20"/>
  <c r="BG73" i="20"/>
  <c r="AN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35" i="20" l="1"/>
  <c r="AC44" i="20"/>
  <c r="AC26" i="20"/>
  <c r="AC54" i="20"/>
  <c r="AC18" i="20"/>
  <c r="AC74" i="20"/>
  <c r="AC64" i="20"/>
  <c r="AC9" i="20"/>
  <c r="AD44" i="20"/>
  <c r="AM64" i="20"/>
  <c r="AN44" i="20"/>
  <c r="AD64" i="20"/>
  <c r="AN64" i="20"/>
  <c r="AM44" i="20"/>
  <c r="AN74" i="20"/>
  <c r="AM85" i="20"/>
  <c r="AM35" i="20"/>
  <c r="AD74" i="20"/>
  <c r="AX18" i="20"/>
  <c r="BH44" i="20"/>
  <c r="AN18" i="20"/>
  <c r="AD18" i="20"/>
  <c r="AW44" i="20"/>
  <c r="AW15" i="20"/>
  <c r="BH18" i="20"/>
  <c r="AX44" i="20"/>
  <c r="BG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75" i="20"/>
  <c r="AC55" i="20"/>
  <c r="AC19" i="20"/>
  <c r="AC8" i="20"/>
  <c r="AM8" i="20"/>
  <c r="AN8" i="20"/>
  <c r="AM19" i="20"/>
  <c r="AD8" i="20"/>
  <c r="AM75" i="20"/>
  <c r="BG81" i="20"/>
  <c r="AX36" i="20"/>
  <c r="AM36" i="20"/>
  <c r="AN36" i="20"/>
  <c r="AD36" i="20"/>
  <c r="BH36" i="20"/>
  <c r="AW36" i="20"/>
  <c r="BG36" i="20"/>
  <c r="AW19" i="20"/>
  <c r="AW75" i="20"/>
  <c r="AW25" i="20"/>
  <c r="BG75" i="20"/>
  <c r="AM25" i="20"/>
  <c r="AX8" i="20"/>
  <c r="BG8" i="20"/>
  <c r="BG19" i="20"/>
  <c r="AW8" i="20"/>
  <c r="BG25" i="20"/>
  <c r="BH8" i="20"/>
  <c r="AW59" i="20"/>
  <c r="AW40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17" i="20"/>
  <c r="BH64" i="20"/>
  <c r="BH52" i="20"/>
  <c r="BH48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52" i="20"/>
  <c r="AW64" i="20"/>
  <c r="AN52" i="20"/>
  <c r="AM45" i="20"/>
  <c r="AW52" i="20"/>
  <c r="AX52" i="20"/>
  <c r="AM14" i="20"/>
  <c r="AW45" i="20"/>
  <c r="AN14" i="20"/>
  <c r="AW14" i="20"/>
  <c r="AD26" i="20"/>
  <c r="AX14" i="20"/>
  <c r="AD34" i="20"/>
  <c r="AW31" i="20"/>
  <c r="AX48" i="20"/>
  <c r="AX64" i="20"/>
  <c r="AD52" i="20"/>
  <c r="AN26" i="20"/>
  <c r="AM26" i="20"/>
  <c r="AM34" i="20"/>
  <c r="AW17" i="20"/>
  <c r="AN34" i="20"/>
  <c r="AM67" i="20"/>
  <c r="AW26" i="20"/>
  <c r="AW34" i="20"/>
  <c r="E11" i="20"/>
  <c r="AW5" i="20" s="1"/>
  <c r="AD20" i="20" l="1"/>
  <c r="AW20" i="20"/>
  <c r="AN20" i="20"/>
  <c r="AM20" i="20"/>
  <c r="BH20" i="20"/>
  <c r="BG37" i="20"/>
  <c r="AW37" i="20"/>
  <c r="AX20" i="20"/>
  <c r="AM37" i="20"/>
  <c r="AC56" i="20"/>
  <c r="AC20" i="20"/>
  <c r="AC5" i="20"/>
  <c r="AC37" i="20"/>
  <c r="AC24" i="20"/>
  <c r="AX24" i="20"/>
  <c r="AN24" i="20"/>
  <c r="AM5" i="20"/>
  <c r="AD24" i="20"/>
  <c r="AM24" i="20"/>
  <c r="BG5" i="20"/>
  <c r="AM80" i="20"/>
  <c r="AD80" i="20"/>
  <c r="AN80" i="20"/>
  <c r="BH80" i="20"/>
  <c r="AC80" i="20"/>
  <c r="AW80" i="20"/>
  <c r="AX80" i="20"/>
  <c r="BG80" i="20"/>
  <c r="BG20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21" i="20" l="1"/>
  <c r="AC57" i="20"/>
  <c r="AC39" i="20"/>
  <c r="AC4" i="20"/>
  <c r="AW57" i="20"/>
  <c r="AM57" i="20"/>
  <c r="BG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BG3" i="20"/>
  <c r="AW3" i="20"/>
  <c r="AM58" i="20"/>
  <c r="BH58" i="20"/>
  <c r="AD58" i="20"/>
  <c r="AX58" i="20"/>
  <c r="AN58" i="20"/>
  <c r="BH38" i="20"/>
  <c r="BG58" i="20"/>
  <c r="AX38" i="20"/>
  <c r="AW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12" i="20" l="1"/>
  <c r="AC29" i="20"/>
  <c r="AC48" i="20"/>
  <c r="AC69" i="20"/>
  <c r="AM12" i="20"/>
  <c r="AM48" i="20"/>
  <c r="AM69" i="20"/>
  <c r="AM29" i="20"/>
  <c r="BG48" i="20"/>
  <c r="AW48" i="20"/>
  <c r="AW69" i="20"/>
  <c r="BG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E16" i="20"/>
  <c r="BH47" i="20" s="1"/>
  <c r="AD83" i="20" l="1"/>
  <c r="M23" i="40"/>
  <c r="M21" i="40"/>
  <c r="M22" i="40"/>
  <c r="M25" i="40"/>
  <c r="M24" i="40"/>
  <c r="M23" i="37"/>
  <c r="M24" i="37"/>
  <c r="M22" i="37"/>
  <c r="M25" i="37"/>
  <c r="M21" i="37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O21" i="37" l="1" a="1"/>
  <c r="O21" i="37" s="1"/>
  <c r="I2" i="37" s="1"/>
  <c r="AD61" i="20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AN51" i="20"/>
  <c r="AD31" i="20"/>
  <c r="AN13" i="20"/>
  <c r="AN29" i="20"/>
  <c r="AN31" i="20"/>
  <c r="AD13" i="20"/>
  <c r="AD29" i="20"/>
  <c r="AD85" i="20"/>
  <c r="AD51" i="20"/>
  <c r="E19" i="20"/>
  <c r="BH33" i="20" s="1"/>
  <c r="AX62" i="20" l="1"/>
  <c r="AX47" i="20"/>
  <c r="AX70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AX49" i="20"/>
  <c r="E20" i="20"/>
  <c r="AX27" i="20" s="1"/>
  <c r="AX42" i="20" l="1"/>
  <c r="AD53" i="20"/>
  <c r="AN79" i="20"/>
  <c r="BH73" i="20"/>
  <c r="AN53" i="20"/>
  <c r="BH53" i="20"/>
  <c r="AD17" i="20"/>
  <c r="AN1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D73" i="20"/>
  <c r="AD97" i="20"/>
  <c r="AD9" i="20"/>
  <c r="AN9" i="20"/>
  <c r="AN73" i="20"/>
  <c r="AN97" i="20"/>
  <c r="AX9" i="20"/>
  <c r="AX73" i="20"/>
  <c r="AX89" i="20"/>
  <c r="AX97" i="20"/>
  <c r="E22" i="20"/>
  <c r="AX59" i="20" s="1"/>
  <c r="AX40" i="20" l="1"/>
  <c r="AD19" i="20"/>
  <c r="AN81" i="20"/>
  <c r="AN19" i="20"/>
  <c r="AD81" i="20"/>
  <c r="BH81" i="20"/>
  <c r="AX19" i="20"/>
  <c r="BH19" i="20"/>
  <c r="AX81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D5" i="20" l="1"/>
  <c r="AN5" i="20"/>
  <c r="BH5" i="20"/>
  <c r="AD37" i="20"/>
  <c r="AX37" i="20"/>
  <c r="BH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E24" i="20"/>
  <c r="AD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<sst xmlns="http://schemas.openxmlformats.org/spreadsheetml/2006/main" count="12319" uniqueCount="296">
  <si>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</si>
  <si>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</si>
  <si>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</si>
  <si>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</si>
  <si>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</si>
  <si>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</si>
  <si>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</si>
  <si>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</si>
  <si>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</si>
  <si>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</si>
  <si>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</si>
  <si>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</si>
  <si>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</si>
  <si>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</si>
  <si>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</si>
  <si>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</si>
  <si>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</si>
  <si>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</si>
  <si>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</si>
  <si>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</si>
  <si>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</si>
  <si>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</si>
  <si>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</si>
  <si>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</si>
  <si>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</si>
  <si>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</si>
  <si>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</si>
  <si>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</si>
  <si>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</si>
  <si>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</si>
  <si>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</si>
  <si>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</si>
  <si>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</si>
  <si>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</si>
  <si>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</si>
  <si>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</si>
  <si>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</si>
  <si>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</si>
  <si>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</si>
  <si>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</si>
  <si>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</si>
  <si>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</si>
  <si>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</si>
  <si>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</si>
  <si>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</si>
  <si>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</si>
  <si>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</si>
  <si>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</si>
  <si>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</si>
  <si>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</si>
  <si>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</si>
  <si>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</si>
  <si>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</si>
  <si>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</si>
  <si>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</si>
  <si>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</si>
  <si>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</si>
  <si>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</si>
  <si>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</si>
  <si>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</si>
  <si>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</si>
  <si>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</si>
  <si>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</si>
  <si>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</si>
  <si>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</si>
  <si>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</si>
  <si>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</si>
  <si>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</si>
  <si>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</si>
  <si>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</si>
  <si>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</si>
  <si>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</si>
  <si>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</si>
  <si>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</si>
  <si>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</si>
  <si>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</si>
  <si>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</si>
  <si>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</si>
  <si>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</si>
  <si>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</si>
  <si>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</si>
  <si>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</si>
  <si>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</si>
  <si>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</si>
  <si>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</si>
  <si>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</si>
  <si>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</si>
  <si>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</si>
  <si>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</si>
  <si>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</si>
  <si>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</si>
  <si>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</si>
  <si>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</si>
  <si>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</si>
  <si>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</si>
  <si>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</si>
  <si>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</si>
  <si>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</si>
  <si>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</si>
  <si>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</si>
  <si>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</si>
  <si>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</si>
  <si>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</si>
  <si>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</si>
  <si>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</si>
  <si>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</si>
  <si>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</si>
  <si>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</si>
  <si>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</si>
  <si>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</si>
  <si>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</si>
  <si>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</si>
  <si>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</si>
  <si>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</si>
  <si>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</si>
  <si>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</si>
  <si>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</si>
  <si>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</si>
  <si>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</si>
  <si>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</si>
  <si>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</si>
  <si>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</si>
  <si>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</si>
  <si>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</si>
  <si>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</si>
  <si>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</si>
  <si>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</si>
  <si>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</si>
  <si>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</si>
  <si>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</si>
  <si>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</si>
  <si>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</si>
  <si>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</si>
  <si>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</si>
  <si>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</si>
  <si>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</si>
  <si>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</si>
  <si>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</si>
  <si>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</si>
  <si>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</si>
  <si>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</si>
  <si>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</si>
  <si>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</si>
  <si>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</si>
  <si>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</si>
  <si>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</si>
  <si>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</si>
  <si>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</si>
  <si>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</si>
  <si>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</si>
  <si>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</si>
  <si>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</si>
  <si>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</si>
  <si>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</si>
  <si>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</si>
  <si>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</si>
  <si>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</si>
  <si>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</si>
  <si>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</si>
  <si>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</si>
  <si>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</si>
  <si>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</si>
  <si>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</si>
  <si>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</si>
  <si>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</si>
  <si>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</si>
  <si>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</si>
  <si>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</si>
  <si>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</si>
  <si>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</si>
  <si>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</si>
  <si>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</si>
  <si>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</si>
  <si>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</si>
  <si>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</si>
  <si>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</si>
  <si>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</si>
  <si>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</si>
  <si>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</si>
  <si>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</si>
  <si>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</si>
  <si>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</si>
  <si>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</si>
  <si>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</si>
  <si>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</si>
  <si>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</si>
  <si>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</si>
  <si>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</si>
  <si>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</si>
  <si>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</si>
  <si>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</si>
  <si>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</si>
  <si>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</si>
  <si>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</si>
  <si>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</si>
  <si>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</si>
  <si>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</si>
  <si>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</si>
  <si>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</si>
  <si>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</si>
  <si>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</si>
  <si>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</si>
  <si>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</si>
  <si>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</si>
  <si>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</si>
  <si>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</si>
  <si>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</si>
  <si>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</si>
  <si>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</si>
  <si>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</si>
  <si>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</si>
  <si>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</si>
  <si>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</si>
  <si>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</si>
  <si>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</si>
  <si>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</si>
  <si>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</si>
  <si>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</si>
  <si>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</si>
  <si>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</si>
  <si>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</si>
  <si>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</si>
  <si>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</si>
  <si>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</si>
  <si>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</si>
  <si>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</si>
  <si>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</si>
  <si>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</si>
  <si>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</si>
  <si>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</si>
  <si>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</si>
  <si>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</si>
  <si>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</si>
  <si>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</si>
  <si>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</si>
  <si>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</si>
  <si>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</si>
  <si>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</si>
  <si>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</si>
  <si>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</si>
  <si>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</si>
  <si>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</si>
  <si>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</si>
  <si>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</si>
  <si>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</si>
  <si>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</si>
  <si>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</si>
  <si>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</si>
  <si>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</si>
  <si>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</si>
  <si>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</si>
  <si>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</si>
  <si>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</si>
  <si>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</si>
  <si>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</si>
  <si>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</si>
  <si>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</si>
  <si>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</si>
  <si>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</si>
  <si>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</si>
  <si>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</si>
  <si>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</si>
  <si>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</si>
  <si>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</si>
  <si>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</si>
  <si>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</si>
  <si>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</si>
  <si>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</si>
  <si>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</si>
  <si>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</si>
  <si>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</si>
  <si>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</si>
  <si>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</si>
  <si>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</si>
  <si>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</si>
  <si>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</si>
  <si>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</si>
  <si>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</si>
  <si>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</si>
  <si>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</si>
  <si>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</si>
  <si>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</si>
  <si>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</si>
  <si>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</si>
  <si>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</si>
  <si>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</si>
  <si>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</si>
  <si>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</si>
  <si>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</si>
  <si>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</si>
  <si>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</si>
  <si>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</si>
  <si>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</si>
  <si>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</si>
  <si>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</si>
  <si>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2.1.0.0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</si>
</sst>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4">
    <dxf>
      <font>
        <color theme="0" tint="-0.2499465926084170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1.1579864E-2</c:v>
                </c:pt>
                <c:pt idx="1">
                  <c:v>1.6080908000000001E-2</c:v>
                </c:pt>
                <c:pt idx="2">
                  <c:v>1.1410382E-2</c:v>
                </c:pt>
                <c:pt idx="3">
                  <c:v>1.2132321E-2</c:v>
                </c:pt>
                <c:pt idx="4">
                  <c:v>9.8984959999999997E-3</c:v>
                </c:pt>
                <c:pt idx="5">
                  <c:v>7.9029960000000007E-3</c:v>
                </c:pt>
                <c:pt idx="6">
                  <c:v>1.9205610000000001E-3</c:v>
                </c:pt>
                <c:pt idx="7">
                  <c:v>8.2475680000000003E-3</c:v>
                </c:pt>
                <c:pt idx="8">
                  <c:v>3.0179809999999999E-3</c:v>
                </c:pt>
                <c:pt idx="9">
                  <c:v>6.0717380000000001E-3</c:v>
                </c:pt>
                <c:pt idx="10">
                  <c:v>9.6730960000000008E-3</c:v>
                </c:pt>
                <c:pt idx="11">
                  <c:v>5.7440570000000003E-3</c:v>
                </c:pt>
                <c:pt idx="12">
                  <c:v>2.4081789999999999E-3</c:v>
                </c:pt>
                <c:pt idx="13">
                  <c:v>2.0876839999999998E-3</c:v>
                </c:pt>
                <c:pt idx="14">
                  <c:v>3.9895700000000002E-4</c:v>
                </c:pt>
                <c:pt idx="15">
                  <c:v>9.3096900000000002E-4</c:v>
                </c:pt>
                <c:pt idx="16">
                  <c:v>2.1623700000000001E-4</c:v>
                </c:pt>
                <c:pt idx="17">
                  <c:v>1.081168E-3</c:v>
                </c:pt>
                <c:pt idx="18">
                  <c:v>4.2158700000000001E-4</c:v>
                </c:pt>
                <c:pt idx="19">
                  <c:v>4.3346999999999997E-5</c:v>
                </c:pt>
                <c:pt idx="20">
                  <c:v>1.8583099999999999E-4</c:v>
                </c:pt>
                <c:pt idx="21">
                  <c:v>7.1508999999999996E-5</c:v>
                </c:pt>
                <c:pt idx="22">
                  <c:v>1.3489E-4</c:v>
                </c:pt>
                <c:pt idx="23">
                  <c:v>8.5066000000000002E-5</c:v>
                </c:pt>
                <c:pt idx="24">
                  <c:v>2.0615000000000002E-5</c:v>
                </c:pt>
                <c:pt idx="25">
                  <c:v>1.3876999999999999E-5</c:v>
                </c:pt>
                <c:pt idx="26">
                  <c:v>1.2368000000000001E-5</c:v>
                </c:pt>
                <c:pt idx="27">
                  <c:v>5.4920000000000001E-6</c:v>
                </c:pt>
                <c:pt idx="28">
                  <c:v>5.8409999999999996E-6</c:v>
                </c:pt>
                <c:pt idx="29">
                  <c:v>6.8599999999999998E-7</c:v>
                </c:pt>
                <c:pt idx="30">
                  <c:v>3.4400000000000001E-7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6.5E-8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2.1400000000000001E-7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3.977764E-3</c:v>
                </c:pt>
                <c:pt idx="1">
                  <c:v>1.1526791E-2</c:v>
                </c:pt>
                <c:pt idx="2">
                  <c:v>5.9024660000000003E-3</c:v>
                </c:pt>
                <c:pt idx="3">
                  <c:v>1.0885353E-2</c:v>
                </c:pt>
                <c:pt idx="4">
                  <c:v>1.0159443000000001E-2</c:v>
                </c:pt>
                <c:pt idx="5">
                  <c:v>8.9765739999999993E-3</c:v>
                </c:pt>
                <c:pt idx="6">
                  <c:v>2.048715E-3</c:v>
                </c:pt>
                <c:pt idx="7">
                  <c:v>9.3394340000000006E-3</c:v>
                </c:pt>
                <c:pt idx="8">
                  <c:v>3.5268719999999999E-3</c:v>
                </c:pt>
                <c:pt idx="9">
                  <c:v>8.2050060000000008E-3</c:v>
                </c:pt>
                <c:pt idx="10">
                  <c:v>1.4314646E-2</c:v>
                </c:pt>
                <c:pt idx="11">
                  <c:v>9.0133490000000004E-3</c:v>
                </c:pt>
                <c:pt idx="12">
                  <c:v>5.0326909999999997E-3</c:v>
                </c:pt>
                <c:pt idx="13">
                  <c:v>3.354512E-3</c:v>
                </c:pt>
                <c:pt idx="14">
                  <c:v>6.02386E-4</c:v>
                </c:pt>
                <c:pt idx="15">
                  <c:v>2.022285E-3</c:v>
                </c:pt>
                <c:pt idx="16">
                  <c:v>6.9076700000000001E-4</c:v>
                </c:pt>
                <c:pt idx="17">
                  <c:v>1.008428E-3</c:v>
                </c:pt>
                <c:pt idx="18">
                  <c:v>9.7329199999999995E-4</c:v>
                </c:pt>
                <c:pt idx="19">
                  <c:v>1.1222699999999999E-4</c:v>
                </c:pt>
                <c:pt idx="20">
                  <c:v>3.7143199999999999E-4</c:v>
                </c:pt>
                <c:pt idx="21">
                  <c:v>2.1647699999999999E-4</c:v>
                </c:pt>
                <c:pt idx="22">
                  <c:v>3.6333300000000003E-4</c:v>
                </c:pt>
                <c:pt idx="23">
                  <c:v>1.86095E-4</c:v>
                </c:pt>
                <c:pt idx="24">
                  <c:v>4.2585E-5</c:v>
                </c:pt>
                <c:pt idx="25">
                  <c:v>1.37806E-4</c:v>
                </c:pt>
                <c:pt idx="26">
                  <c:v>3.3600999999999999E-5</c:v>
                </c:pt>
                <c:pt idx="27">
                  <c:v>4.1431999999999999E-5</c:v>
                </c:pt>
                <c:pt idx="28">
                  <c:v>5.7092000000000002E-5</c:v>
                </c:pt>
                <c:pt idx="29">
                  <c:v>2.2379E-5</c:v>
                </c:pt>
                <c:pt idx="30">
                  <c:v>2.2350000000000002E-6</c:v>
                </c:pt>
                <c:pt idx="31">
                  <c:v>1.116E-6</c:v>
                </c:pt>
                <c:pt idx="32">
                  <c:v>5.5879999999999997E-6</c:v>
                </c:pt>
                <c:pt idx="33">
                  <c:v>1.5647000000000001E-5</c:v>
                </c:pt>
                <c:pt idx="34">
                  <c:v>4.4680000000000003E-6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9.5999999999999991E-7</c:v>
                </c:pt>
                <c:pt idx="45">
                  <c:v>4.2800000000000002E-7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1.2223533E-2</c:v>
                      </c:pt>
                      <c:pt idx="1">
                        <c:v>1.9854235000000001E-2</c:v>
                      </c:pt>
                      <c:pt idx="2">
                        <c:v>1.4020917000000001E-2</c:v>
                      </c:pt>
                      <c:pt idx="3">
                        <c:v>1.8463165E-2</c:v>
                      </c:pt>
                      <c:pt idx="4">
                        <c:v>1.2601097E-2</c:v>
                      </c:pt>
                      <c:pt idx="5">
                        <c:v>1.2543731000000001E-2</c:v>
                      </c:pt>
                      <c:pt idx="6">
                        <c:v>3.159125E-3</c:v>
                      </c:pt>
                      <c:pt idx="7">
                        <c:v>1.3147608E-2</c:v>
                      </c:pt>
                      <c:pt idx="8">
                        <c:v>5.7602790000000001E-3</c:v>
                      </c:pt>
                      <c:pt idx="9">
                        <c:v>7.136369E-3</c:v>
                      </c:pt>
                      <c:pt idx="10">
                        <c:v>1.7909726000000001E-2</c:v>
                      </c:pt>
                      <c:pt idx="11">
                        <c:v>1.1269242E-2</c:v>
                      </c:pt>
                      <c:pt idx="12">
                        <c:v>6.2142739999999997E-3</c:v>
                      </c:pt>
                      <c:pt idx="13">
                        <c:v>4.3279119999999997E-3</c:v>
                      </c:pt>
                      <c:pt idx="14">
                        <c:v>2.1453470000000001E-3</c:v>
                      </c:pt>
                      <c:pt idx="15">
                        <c:v>3.7781479999999998E-3</c:v>
                      </c:pt>
                      <c:pt idx="16">
                        <c:v>1.647988E-3</c:v>
                      </c:pt>
                      <c:pt idx="17">
                        <c:v>2.03404E-3</c:v>
                      </c:pt>
                      <c:pt idx="18">
                        <c:v>3.238075E-3</c:v>
                      </c:pt>
                      <c:pt idx="19">
                        <c:v>1.97518E-3</c:v>
                      </c:pt>
                      <c:pt idx="20">
                        <c:v>2.5611539999999999E-3</c:v>
                      </c:pt>
                      <c:pt idx="21">
                        <c:v>1.688794E-3</c:v>
                      </c:pt>
                      <c:pt idx="22">
                        <c:v>1.6731820000000001E-3</c:v>
                      </c:pt>
                      <c:pt idx="23">
                        <c:v>2.8563320000000001E-3</c:v>
                      </c:pt>
                      <c:pt idx="24">
                        <c:v>1.9702949999999999E-3</c:v>
                      </c:pt>
                      <c:pt idx="25">
                        <c:v>1.8481459999999999E-3</c:v>
                      </c:pt>
                      <c:pt idx="26">
                        <c:v>1.424062E-3</c:v>
                      </c:pt>
                      <c:pt idx="27">
                        <c:v>1.293811E-3</c:v>
                      </c:pt>
                      <c:pt idx="28">
                        <c:v>2.5036030000000001E-3</c:v>
                      </c:pt>
                      <c:pt idx="29">
                        <c:v>1.740187E-3</c:v>
                      </c:pt>
                      <c:pt idx="30">
                        <c:v>1.196831E-3</c:v>
                      </c:pt>
                      <c:pt idx="31">
                        <c:v>1.011971E-3</c:v>
                      </c:pt>
                      <c:pt idx="32">
                        <c:v>7.7170799999999996E-4</c:v>
                      </c:pt>
                      <c:pt idx="33">
                        <c:v>6.6979500000000005E-4</c:v>
                      </c:pt>
                      <c:pt idx="34">
                        <c:v>6.3955299999999995E-4</c:v>
                      </c:pt>
                      <c:pt idx="35">
                        <c:v>4.9441100000000005E-4</c:v>
                      </c:pt>
                      <c:pt idx="36">
                        <c:v>3.6221499999999999E-4</c:v>
                      </c:pt>
                      <c:pt idx="37">
                        <c:v>3.0541599999999998E-4</c:v>
                      </c:pt>
                      <c:pt idx="38">
                        <c:v>2.6460500000000001E-4</c:v>
                      </c:pt>
                      <c:pt idx="39">
                        <c:v>2.9601300000000003E-4</c:v>
                      </c:pt>
                      <c:pt idx="40">
                        <c:v>3.1597299999999999E-4</c:v>
                      </c:pt>
                      <c:pt idx="41">
                        <c:v>2.5198199999999999E-4</c:v>
                      </c:pt>
                      <c:pt idx="42">
                        <c:v>1.7547400000000001E-4</c:v>
                      </c:pt>
                      <c:pt idx="43">
                        <c:v>2.2338499999999999E-4</c:v>
                      </c:pt>
                      <c:pt idx="44">
                        <c:v>2.4714609999999999E-3</c:v>
                      </c:pt>
                      <c:pt idx="45">
                        <c:v>1.1042770000000001E-3</c:v>
                      </c:pt>
                      <c:pt idx="46">
                        <c:v>5.21194E-4</c:v>
                      </c:pt>
                      <c:pt idx="47">
                        <c:v>3.10888E-4</c:v>
                      </c:pt>
                      <c:pt idx="48">
                        <c:v>1.5022399999999999E-4</c:v>
                      </c:pt>
                      <c:pt idx="49">
                        <c:v>1.01847E-4</c:v>
                      </c:pt>
                      <c:pt idx="50">
                        <c:v>5.3374000000000001E-5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3.3077751000000002E-2</c:v>
                      </c:pt>
                      <c:pt idx="8">
                        <c:v>0</c:v>
                      </c:pt>
                      <c:pt idx="9">
                        <c:v>2.4930126E-2</c:v>
                      </c:pt>
                      <c:pt idx="10">
                        <c:v>3.9802960000000004E-3</c:v>
                      </c:pt>
                      <c:pt idx="11">
                        <c:v>1.3676125000000001E-2</c:v>
                      </c:pt>
                      <c:pt idx="12">
                        <c:v>8.6169469999999998E-3</c:v>
                      </c:pt>
                      <c:pt idx="13">
                        <c:v>6.8364849999999998E-3</c:v>
                      </c:pt>
                      <c:pt idx="14">
                        <c:v>4.5760269999999999E-3</c:v>
                      </c:pt>
                      <c:pt idx="15">
                        <c:v>4.0101859999999998E-3</c:v>
                      </c:pt>
                      <c:pt idx="16">
                        <c:v>8.5196790000000005E-3</c:v>
                      </c:pt>
                      <c:pt idx="17">
                        <c:v>2.9049319999999998E-3</c:v>
                      </c:pt>
                      <c:pt idx="18">
                        <c:v>3.016529E-3</c:v>
                      </c:pt>
                      <c:pt idx="19">
                        <c:v>8.2580399999999997E-4</c:v>
                      </c:pt>
                      <c:pt idx="20">
                        <c:v>1.5428830000000001E-3</c:v>
                      </c:pt>
                      <c:pt idx="21">
                        <c:v>1.4498234E-2</c:v>
                      </c:pt>
                      <c:pt idx="22">
                        <c:v>2.1837269999999999E-3</c:v>
                      </c:pt>
                      <c:pt idx="23">
                        <c:v>5.99583E-4</c:v>
                      </c:pt>
                      <c:pt idx="24">
                        <c:v>8.5098000000000004E-5</c:v>
                      </c:pt>
                      <c:pt idx="25">
                        <c:v>1.4962100000000001E-4</c:v>
                      </c:pt>
                      <c:pt idx="26">
                        <c:v>4.9788560000000003E-3</c:v>
                      </c:pt>
                      <c:pt idx="27">
                        <c:v>7.9359999999999999E-5</c:v>
                      </c:pt>
                      <c:pt idx="28">
                        <c:v>3.0700000000000001E-5</c:v>
                      </c:pt>
                      <c:pt idx="29">
                        <c:v>2.1303110000000002E-3</c:v>
                      </c:pt>
                      <c:pt idx="30">
                        <c:v>6.3865000000000005E-4</c:v>
                      </c:pt>
                      <c:pt idx="31">
                        <c:v>0</c:v>
                      </c:pt>
                      <c:pt idx="32">
                        <c:v>8.2905000000000001E-4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2.8431300000000001E-4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9.5731999999999998E-5</c:v>
                      </c:pt>
                      <c:pt idx="46">
                        <c:v>0</c:v>
                      </c:pt>
                      <c:pt idx="47">
                        <c:v>6.0056999999999998E-5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9.0775138000000005E-2</c:v>
                      </c:pt>
                      <c:pt idx="19">
                        <c:v>7.1105009999999996E-2</c:v>
                      </c:pt>
                      <c:pt idx="20">
                        <c:v>6.1193340999999998E-2</c:v>
                      </c:pt>
                      <c:pt idx="21">
                        <c:v>7.4031791E-2</c:v>
                      </c:pt>
                      <c:pt idx="22">
                        <c:v>0.13645349400000001</c:v>
                      </c:pt>
                      <c:pt idx="23">
                        <c:v>0.15034878900000001</c:v>
                      </c:pt>
                      <c:pt idx="24">
                        <c:v>7.8930368000000001E-2</c:v>
                      </c:pt>
                      <c:pt idx="25">
                        <c:v>3.5891683000000001E-2</c:v>
                      </c:pt>
                      <c:pt idx="26">
                        <c:v>2.0412396999999999E-2</c:v>
                      </c:pt>
                      <c:pt idx="27">
                        <c:v>2.9873268000000001E-2</c:v>
                      </c:pt>
                      <c:pt idx="28">
                        <c:v>1.2615593E-2</c:v>
                      </c:pt>
                      <c:pt idx="29">
                        <c:v>7.2873706999999996E-2</c:v>
                      </c:pt>
                      <c:pt idx="30">
                        <c:v>1.0912349E-2</c:v>
                      </c:pt>
                      <c:pt idx="31">
                        <c:v>1.246042E-2</c:v>
                      </c:pt>
                      <c:pt idx="32">
                        <c:v>9.679712E-3</c:v>
                      </c:pt>
                      <c:pt idx="33">
                        <c:v>1.2013039999999999E-2</c:v>
                      </c:pt>
                      <c:pt idx="34">
                        <c:v>3.4555875E-2</c:v>
                      </c:pt>
                      <c:pt idx="35">
                        <c:v>1.816338E-2</c:v>
                      </c:pt>
                      <c:pt idx="36">
                        <c:v>1.197751E-2</c:v>
                      </c:pt>
                      <c:pt idx="37">
                        <c:v>5.6306409999999996E-3</c:v>
                      </c:pt>
                      <c:pt idx="38">
                        <c:v>4.7552970000000003E-3</c:v>
                      </c:pt>
                      <c:pt idx="39">
                        <c:v>7.810254E-3</c:v>
                      </c:pt>
                      <c:pt idx="40">
                        <c:v>4.3760479999999996E-3</c:v>
                      </c:pt>
                      <c:pt idx="41">
                        <c:v>4.248122E-3</c:v>
                      </c:pt>
                      <c:pt idx="42">
                        <c:v>3.2606610000000002E-3</c:v>
                      </c:pt>
                      <c:pt idx="43">
                        <c:v>5.9459539999999998E-3</c:v>
                      </c:pt>
                      <c:pt idx="44">
                        <c:v>1.4672806E-2</c:v>
                      </c:pt>
                      <c:pt idx="45">
                        <c:v>1.5052760000000001E-3</c:v>
                      </c:pt>
                      <c:pt idx="46">
                        <c:v>1.2085419999999999E-3</c:v>
                      </c:pt>
                      <c:pt idx="47">
                        <c:v>9.5571399999999998E-4</c:v>
                      </c:pt>
                      <c:pt idx="48">
                        <c:v>3.1576400000000001E-4</c:v>
                      </c:pt>
                      <c:pt idx="49">
                        <c:v>2.97375E-4</c:v>
                      </c:pt>
                      <c:pt idx="50">
                        <c:v>2.7636000000000002E-4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8.5066000000000002E-5</c:v>
                </c:pt>
                <c:pt idx="1">
                  <c:v>2.0615000000000002E-5</c:v>
                </c:pt>
                <c:pt idx="2">
                  <c:v>1.3876999999999999E-5</c:v>
                </c:pt>
                <c:pt idx="3">
                  <c:v>1.2368000000000001E-5</c:v>
                </c:pt>
                <c:pt idx="4">
                  <c:v>5.4920000000000001E-6</c:v>
                </c:pt>
                <c:pt idx="5">
                  <c:v>5.8409999999999996E-6</c:v>
                </c:pt>
                <c:pt idx="6">
                  <c:v>6.8599999999999998E-7</c:v>
                </c:pt>
                <c:pt idx="7">
                  <c:v>3.4400000000000001E-7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6.5E-8</c:v>
                </c:pt>
                <c:pt idx="12">
                  <c:v>2.1400000000000001E-7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2.8563320000000001E-3</c:v>
                      </c:pt>
                      <c:pt idx="1">
                        <c:v>1.9702949999999999E-3</c:v>
                      </c:pt>
                      <c:pt idx="2">
                        <c:v>1.8481459999999999E-3</c:v>
                      </c:pt>
                      <c:pt idx="3">
                        <c:v>1.424062E-3</c:v>
                      </c:pt>
                      <c:pt idx="4">
                        <c:v>1.293811E-3</c:v>
                      </c:pt>
                      <c:pt idx="5">
                        <c:v>2.5036030000000001E-3</c:v>
                      </c:pt>
                      <c:pt idx="6">
                        <c:v>1.740187E-3</c:v>
                      </c:pt>
                      <c:pt idx="7">
                        <c:v>1.196831E-3</c:v>
                      </c:pt>
                      <c:pt idx="8">
                        <c:v>1.011971E-3</c:v>
                      </c:pt>
                      <c:pt idx="9">
                        <c:v>7.7170799999999996E-4</c:v>
                      </c:pt>
                      <c:pt idx="10">
                        <c:v>6.6979500000000005E-4</c:v>
                      </c:pt>
                      <c:pt idx="11">
                        <c:v>6.3955299999999995E-4</c:v>
                      </c:pt>
                      <c:pt idx="12">
                        <c:v>2.4714609999999999E-3</c:v>
                      </c:pt>
                      <c:pt idx="13">
                        <c:v>1.1042770000000001E-3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1.86095E-4</c:v>
                      </c:pt>
                      <c:pt idx="1">
                        <c:v>4.2585E-5</c:v>
                      </c:pt>
                      <c:pt idx="2">
                        <c:v>1.37806E-4</c:v>
                      </c:pt>
                      <c:pt idx="3">
                        <c:v>3.3600999999999999E-5</c:v>
                      </c:pt>
                      <c:pt idx="4">
                        <c:v>4.1431999999999999E-5</c:v>
                      </c:pt>
                      <c:pt idx="5">
                        <c:v>5.7092000000000002E-5</c:v>
                      </c:pt>
                      <c:pt idx="6">
                        <c:v>2.2379E-5</c:v>
                      </c:pt>
                      <c:pt idx="7">
                        <c:v>2.2350000000000002E-6</c:v>
                      </c:pt>
                      <c:pt idx="8">
                        <c:v>1.116E-6</c:v>
                      </c:pt>
                      <c:pt idx="9">
                        <c:v>5.5879999999999997E-6</c:v>
                      </c:pt>
                      <c:pt idx="10">
                        <c:v>1.5647000000000001E-5</c:v>
                      </c:pt>
                      <c:pt idx="11">
                        <c:v>4.4680000000000003E-6</c:v>
                      </c:pt>
                      <c:pt idx="12">
                        <c:v>9.5999999999999991E-7</c:v>
                      </c:pt>
                      <c:pt idx="13">
                        <c:v>4.2800000000000002E-7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5.99583E-4</c:v>
                      </c:pt>
                      <c:pt idx="1">
                        <c:v>8.5098000000000004E-5</c:v>
                      </c:pt>
                      <c:pt idx="2">
                        <c:v>1.4962100000000001E-4</c:v>
                      </c:pt>
                      <c:pt idx="3">
                        <c:v>4.9788560000000003E-3</c:v>
                      </c:pt>
                      <c:pt idx="4">
                        <c:v>7.9359999999999999E-5</c:v>
                      </c:pt>
                      <c:pt idx="5">
                        <c:v>3.0700000000000001E-5</c:v>
                      </c:pt>
                      <c:pt idx="6">
                        <c:v>2.1303110000000002E-3</c:v>
                      </c:pt>
                      <c:pt idx="7">
                        <c:v>6.3865000000000005E-4</c:v>
                      </c:pt>
                      <c:pt idx="8">
                        <c:v>0</c:v>
                      </c:pt>
                      <c:pt idx="9">
                        <c:v>8.2905000000000001E-4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9.5731999999999998E-5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0.15034878900000001</c:v>
                      </c:pt>
                      <c:pt idx="1">
                        <c:v>7.8930368000000001E-2</c:v>
                      </c:pt>
                      <c:pt idx="2">
                        <c:v>3.5891683000000001E-2</c:v>
                      </c:pt>
                      <c:pt idx="3">
                        <c:v>2.0412396999999999E-2</c:v>
                      </c:pt>
                      <c:pt idx="4">
                        <c:v>2.9873268000000001E-2</c:v>
                      </c:pt>
                      <c:pt idx="5">
                        <c:v>1.2615593E-2</c:v>
                      </c:pt>
                      <c:pt idx="6">
                        <c:v>7.2873706999999996E-2</c:v>
                      </c:pt>
                      <c:pt idx="7">
                        <c:v>1.0912349E-2</c:v>
                      </c:pt>
                      <c:pt idx="8">
                        <c:v>1.246042E-2</c:v>
                      </c:pt>
                      <c:pt idx="9">
                        <c:v>9.679712E-3</c:v>
                      </c:pt>
                      <c:pt idx="10">
                        <c:v>1.2013039999999999E-2</c:v>
                      </c:pt>
                      <c:pt idx="11">
                        <c:v>3.4555875E-2</c:v>
                      </c:pt>
                      <c:pt idx="12">
                        <c:v>1.4672806E-2</c:v>
                      </c:pt>
                      <c:pt idx="13">
                        <c:v>1.5052760000000001E-3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5.5273529999999996E-3</c:v>
                </c:pt>
                <c:pt idx="1">
                  <c:v>8.9676449999999998E-3</c:v>
                </c:pt>
                <c:pt idx="2">
                  <c:v>6.3264669999999997E-3</c:v>
                </c:pt>
                <c:pt idx="3">
                  <c:v>8.3238199999999991E-3</c:v>
                </c:pt>
                <c:pt idx="4">
                  <c:v>5.6919020000000004E-3</c:v>
                </c:pt>
                <c:pt idx="5">
                  <c:v>5.6604589999999996E-3</c:v>
                </c:pt>
                <c:pt idx="6">
                  <c:v>1.4257989999999999E-3</c:v>
                </c:pt>
                <c:pt idx="7">
                  <c:v>1.4843510000000001E-2</c:v>
                </c:pt>
                <c:pt idx="8">
                  <c:v>3.2363679999999999E-3</c:v>
                </c:pt>
                <c:pt idx="9">
                  <c:v>4.0230810000000004E-3</c:v>
                </c:pt>
                <c:pt idx="10">
                  <c:v>2.0179465000000001E-2</c:v>
                </c:pt>
                <c:pt idx="11">
                  <c:v>5.0662420000000003E-3</c:v>
                </c:pt>
                <c:pt idx="12">
                  <c:v>7.0012959999999997E-3</c:v>
                </c:pt>
                <c:pt idx="13">
                  <c:v>2.4362559999999999E-3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9.9385110000000006E-3</c:v>
                </c:pt>
                <c:pt idx="1">
                  <c:v>1.6126272000000001E-2</c:v>
                </c:pt>
                <c:pt idx="2">
                  <c:v>1.1375532000000001E-2</c:v>
                </c:pt>
                <c:pt idx="3">
                  <c:v>1.2413074E-2</c:v>
                </c:pt>
                <c:pt idx="4">
                  <c:v>8.4878360000000003E-3</c:v>
                </c:pt>
                <c:pt idx="5">
                  <c:v>8.4408480000000008E-3</c:v>
                </c:pt>
                <c:pt idx="6">
                  <c:v>2.1261750000000001E-3</c:v>
                </c:pt>
                <c:pt idx="7">
                  <c:v>8.853807E-3</c:v>
                </c:pt>
                <c:pt idx="8">
                  <c:v>3.860792E-3</c:v>
                </c:pt>
                <c:pt idx="9">
                  <c:v>4.7992800000000004E-3</c:v>
                </c:pt>
                <c:pt idx="10">
                  <c:v>7.2565219999999996E-3</c:v>
                </c:pt>
                <c:pt idx="11">
                  <c:v>1.8217932999999999E-2</c:v>
                </c:pt>
                <c:pt idx="12">
                  <c:v>2.5176019999999999E-3</c:v>
                </c:pt>
                <c:pt idx="13">
                  <c:v>1.752095E-3</c:v>
                </c:pt>
                <c:pt idx="14">
                  <c:v>8.6656900000000002E-3</c:v>
                </c:pt>
                <c:pt idx="15">
                  <c:v>1.5223649999999999E-3</c:v>
                </c:pt>
                <c:pt idx="16">
                  <c:v>2.6720170000000001E-3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1.2223533E-2</c:v>
                      </c:pt>
                      <c:pt idx="1">
                        <c:v>1.9854235000000001E-2</c:v>
                      </c:pt>
                      <c:pt idx="2">
                        <c:v>1.4020917000000001E-2</c:v>
                      </c:pt>
                      <c:pt idx="3">
                        <c:v>1.8463165E-2</c:v>
                      </c:pt>
                      <c:pt idx="4">
                        <c:v>1.2601097E-2</c:v>
                      </c:pt>
                      <c:pt idx="5">
                        <c:v>1.2543731000000001E-2</c:v>
                      </c:pt>
                      <c:pt idx="6">
                        <c:v>3.159125E-3</c:v>
                      </c:pt>
                      <c:pt idx="7">
                        <c:v>1.3147608E-2</c:v>
                      </c:pt>
                      <c:pt idx="8">
                        <c:v>5.7602790000000001E-3</c:v>
                      </c:pt>
                      <c:pt idx="9">
                        <c:v>7.136369E-3</c:v>
                      </c:pt>
                      <c:pt idx="10">
                        <c:v>1.7909726000000001E-2</c:v>
                      </c:pt>
                      <c:pt idx="11">
                        <c:v>1.1269242E-2</c:v>
                      </c:pt>
                      <c:pt idx="12">
                        <c:v>6.2142739999999997E-3</c:v>
                      </c:pt>
                      <c:pt idx="13">
                        <c:v>4.3279119999999997E-3</c:v>
                      </c:pt>
                      <c:pt idx="14">
                        <c:v>2.1453470000000001E-3</c:v>
                      </c:pt>
                      <c:pt idx="15">
                        <c:v>3.7781479999999998E-3</c:v>
                      </c:pt>
                      <c:pt idx="16">
                        <c:v>1.647988E-3</c:v>
                      </c:pt>
                      <c:pt idx="17">
                        <c:v>2.03404E-3</c:v>
                      </c:pt>
                      <c:pt idx="18">
                        <c:v>3.238075E-3</c:v>
                      </c:pt>
                      <c:pt idx="19">
                        <c:v>1.97518E-3</c:v>
                      </c:pt>
                      <c:pt idx="20">
                        <c:v>2.5611539999999999E-3</c:v>
                      </c:pt>
                      <c:pt idx="21">
                        <c:v>1.688794E-3</c:v>
                      </c:pt>
                      <c:pt idx="22">
                        <c:v>1.6731820000000001E-3</c:v>
                      </c:pt>
                      <c:pt idx="23">
                        <c:v>2.8563320000000001E-3</c:v>
                      </c:pt>
                      <c:pt idx="24">
                        <c:v>1.9702949999999999E-3</c:v>
                      </c:pt>
                      <c:pt idx="25">
                        <c:v>1.8481459999999999E-3</c:v>
                      </c:pt>
                      <c:pt idx="26">
                        <c:v>1.424062E-3</c:v>
                      </c:pt>
                      <c:pt idx="27">
                        <c:v>1.293811E-3</c:v>
                      </c:pt>
                      <c:pt idx="28">
                        <c:v>2.5036030000000001E-3</c:v>
                      </c:pt>
                      <c:pt idx="29">
                        <c:v>1.740187E-3</c:v>
                      </c:pt>
                      <c:pt idx="30">
                        <c:v>1.196831E-3</c:v>
                      </c:pt>
                      <c:pt idx="31">
                        <c:v>1.011971E-3</c:v>
                      </c:pt>
                      <c:pt idx="32">
                        <c:v>7.7170799999999996E-4</c:v>
                      </c:pt>
                      <c:pt idx="33">
                        <c:v>6.6979500000000005E-4</c:v>
                      </c:pt>
                      <c:pt idx="34">
                        <c:v>6.3955299999999995E-4</c:v>
                      </c:pt>
                      <c:pt idx="35">
                        <c:v>4.9441100000000005E-4</c:v>
                      </c:pt>
                      <c:pt idx="36">
                        <c:v>3.6221499999999999E-4</c:v>
                      </c:pt>
                      <c:pt idx="37">
                        <c:v>3.0541599999999998E-4</c:v>
                      </c:pt>
                      <c:pt idx="38">
                        <c:v>2.6460500000000001E-4</c:v>
                      </c:pt>
                      <c:pt idx="39">
                        <c:v>2.9601300000000003E-4</c:v>
                      </c:pt>
                      <c:pt idx="40">
                        <c:v>3.1597299999999999E-4</c:v>
                      </c:pt>
                      <c:pt idx="41">
                        <c:v>2.5198199999999999E-4</c:v>
                      </c:pt>
                      <c:pt idx="42">
                        <c:v>1.7547400000000001E-4</c:v>
                      </c:pt>
                      <c:pt idx="43">
                        <c:v>2.2338499999999999E-4</c:v>
                      </c:pt>
                      <c:pt idx="44">
                        <c:v>2.4714609999999999E-3</c:v>
                      </c:pt>
                      <c:pt idx="45">
                        <c:v>1.1042770000000001E-3</c:v>
                      </c:pt>
                      <c:pt idx="46">
                        <c:v>5.21194E-4</c:v>
                      </c:pt>
                      <c:pt idx="47">
                        <c:v>3.10888E-4</c:v>
                      </c:pt>
                      <c:pt idx="48">
                        <c:v>1.5022399999999999E-4</c:v>
                      </c:pt>
                      <c:pt idx="49">
                        <c:v>1.01847E-4</c:v>
                      </c:pt>
                      <c:pt idx="50">
                        <c:v>5.3374000000000001E-5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3.2130936999999998E-2</c:v>
                      </c:pt>
                      <c:pt idx="8">
                        <c:v>0</c:v>
                      </c:pt>
                      <c:pt idx="9">
                        <c:v>4.8438300000000004E-3</c:v>
                      </c:pt>
                      <c:pt idx="10">
                        <c:v>3.8674170000000002E-3</c:v>
                      </c:pt>
                      <c:pt idx="11">
                        <c:v>1.3290160000000001E-2</c:v>
                      </c:pt>
                      <c:pt idx="12">
                        <c:v>8.3748120000000006E-3</c:v>
                      </c:pt>
                      <c:pt idx="13">
                        <c:v>6.6450520000000003E-3</c:v>
                      </c:pt>
                      <c:pt idx="14">
                        <c:v>4.4480479999999996E-3</c:v>
                      </c:pt>
                      <c:pt idx="15">
                        <c:v>3.1187300000000001E-3</c:v>
                      </c:pt>
                      <c:pt idx="16">
                        <c:v>3.3130870000000001E-3</c:v>
                      </c:pt>
                      <c:pt idx="17">
                        <c:v>2.2594160000000002E-3</c:v>
                      </c:pt>
                      <c:pt idx="18">
                        <c:v>2.3464269999999999E-3</c:v>
                      </c:pt>
                      <c:pt idx="19">
                        <c:v>6.4238999999999995E-4</c:v>
                      </c:pt>
                      <c:pt idx="20">
                        <c:v>3.0007530000000001E-3</c:v>
                      </c:pt>
                      <c:pt idx="21">
                        <c:v>1.4099624999999999E-2</c:v>
                      </c:pt>
                      <c:pt idx="22">
                        <c:v>2.4351659999999999E-3</c:v>
                      </c:pt>
                      <c:pt idx="23">
                        <c:v>1.952081E-3</c:v>
                      </c:pt>
                      <c:pt idx="24">
                        <c:v>7.05812E-4</c:v>
                      </c:pt>
                      <c:pt idx="25">
                        <c:v>2.3011110000000002E-3</c:v>
                      </c:pt>
                      <c:pt idx="26">
                        <c:v>6.458119E-3</c:v>
                      </c:pt>
                      <c:pt idx="27">
                        <c:v>2.3146859999999998E-3</c:v>
                      </c:pt>
                      <c:pt idx="28">
                        <c:v>6.4347659999999997E-3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2.8563320000000001E-3</c:v>
                      </c:pt>
                      <c:pt idx="1">
                        <c:v>1.9702949999999999E-3</c:v>
                      </c:pt>
                      <c:pt idx="2">
                        <c:v>1.8481459999999999E-3</c:v>
                      </c:pt>
                      <c:pt idx="3">
                        <c:v>1.424062E-3</c:v>
                      </c:pt>
                      <c:pt idx="4">
                        <c:v>1.293811E-3</c:v>
                      </c:pt>
                      <c:pt idx="5">
                        <c:v>2.5036030000000001E-3</c:v>
                      </c:pt>
                      <c:pt idx="6">
                        <c:v>1.740187E-3</c:v>
                      </c:pt>
                      <c:pt idx="7">
                        <c:v>1.196831E-3</c:v>
                      </c:pt>
                      <c:pt idx="8">
                        <c:v>1.011971E-3</c:v>
                      </c:pt>
                      <c:pt idx="9">
                        <c:v>7.7170799999999996E-4</c:v>
                      </c:pt>
                      <c:pt idx="10">
                        <c:v>6.6979500000000005E-4</c:v>
                      </c:pt>
                      <c:pt idx="11">
                        <c:v>6.3955299999999995E-4</c:v>
                      </c:pt>
                      <c:pt idx="12">
                        <c:v>2.4714609999999999E-3</c:v>
                      </c:pt>
                      <c:pt idx="13">
                        <c:v>1.1042770000000001E-3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1.952081E-3</c:v>
                      </c:pt>
                      <c:pt idx="1">
                        <c:v>7.05812E-4</c:v>
                      </c:pt>
                      <c:pt idx="2">
                        <c:v>2.3011110000000002E-3</c:v>
                      </c:pt>
                      <c:pt idx="3">
                        <c:v>6.458119E-3</c:v>
                      </c:pt>
                      <c:pt idx="4">
                        <c:v>2.3146859999999998E-3</c:v>
                      </c:pt>
                      <c:pt idx="5">
                        <c:v>6.4347659999999997E-3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H020192-2.1.0.0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0.11180489400000004</v>
      </c>
      <c r="H5" s="188">
        <f>SUM('Multiplier Weight'!$N$12:$N$61)-I5-J5</f>
        <v>1.7337286999999989E-2</v>
      </c>
      <c r="I5" s="188">
        <f>SUM('Multiplier Weight'!$N$15:$N$61)-J5</f>
        <v>1.9913015999999995E-2</v>
      </c>
      <c r="J5" s="189">
        <f>SUM('Multiplier Weight'!$N$19:$N$61)</f>
        <v>3.6290630000000005E-3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0.11317567500000003</v>
      </c>
      <c r="H6" s="188">
        <f>SUM('Multiplier Weight'!N79:N126)-I6-J6</f>
        <v>2.2519652000000001E-2</v>
      </c>
      <c r="I6" s="188">
        <f>SUM('Multiplier Weight'!N81:N126)-J6</f>
        <v>2.0715990000000004E-2</v>
      </c>
      <c r="J6" s="189">
        <f>SUM('Multiplier Weight'!N87:N126)</f>
        <v>3.5966209999999995E-3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0.14319699799999996</v>
      </c>
      <c r="H7" s="188">
        <f>SUM('Multiplier Weight'!N153:N191)-I7-J7</f>
        <v>5.3852159999999948E-3</v>
      </c>
      <c r="I7" s="188">
        <f>SUM('Multiplier Weight'!N156:N191)-J7</f>
        <v>2.2605179000000006E-2</v>
      </c>
      <c r="J7" s="189">
        <f>SUM('Multiplier Weight'!N164:N191)</f>
        <v>4.0780490000000003E-3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1.0396634201786966E-2</v>
      </c>
      <c r="D8" s="141">
        <f ca="1">'Pay Combo Super Feature Buy'!$I$2</f>
        <v>3.7430545754079523</v>
      </c>
      <c r="E8" s="142">
        <f ca="1">SUM('Pay Combo Super Feature Buy'!$J$23:$J$32)</f>
        <v>0.23861415611265741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100</v>
      </c>
      <c r="S3" s="100">
        <v>467</v>
      </c>
      <c r="T3" s="100">
        <v>100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447</v>
      </c>
      <c r="S4" s="101">
        <v>584</v>
      </c>
      <c r="T4" s="101">
        <v>677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373</v>
      </c>
      <c r="S5" s="101">
        <v>701</v>
      </c>
      <c r="T5" s="101">
        <v>564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298</v>
      </c>
      <c r="S6" s="101">
        <v>100</v>
      </c>
      <c r="T6" s="101">
        <v>451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373</v>
      </c>
      <c r="S7" s="101">
        <v>100</v>
      </c>
      <c r="T7" s="101">
        <v>564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447</v>
      </c>
      <c r="S8" s="101">
        <v>100</v>
      </c>
      <c r="T8" s="101">
        <v>677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100</v>
      </c>
      <c r="S9" s="101">
        <v>100</v>
      </c>
      <c r="T9" s="101">
        <v>100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100</v>
      </c>
      <c r="S10" s="101">
        <v>100</v>
      </c>
      <c r="T10" s="101">
        <v>100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100</v>
      </c>
      <c r="S11" s="101">
        <v>100</v>
      </c>
      <c r="T11" s="101">
        <v>100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100</v>
      </c>
      <c r="S12" s="101">
        <v>100</v>
      </c>
      <c r="T12" s="101">
        <v>100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100</v>
      </c>
      <c r="S13" s="101">
        <v>100</v>
      </c>
      <c r="T13" s="101">
        <v>100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100</v>
      </c>
      <c r="S14" s="101">
        <v>100</v>
      </c>
      <c r="T14" s="101">
        <v>100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100</v>
      </c>
      <c r="S15" s="101">
        <v>100</v>
      </c>
      <c r="T15" s="101">
        <v>100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100</v>
      </c>
      <c r="S16" s="101">
        <v>100</v>
      </c>
      <c r="T16" s="101">
        <v>100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100</v>
      </c>
      <c r="S17" s="101">
        <v>100</v>
      </c>
      <c r="T17" s="101">
        <v>100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100</v>
      </c>
      <c r="S18" s="101">
        <v>100</v>
      </c>
      <c r="T18" s="101">
        <v>100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100</v>
      </c>
      <c r="S19" s="101">
        <v>100</v>
      </c>
      <c r="T19" s="101">
        <v>100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100</v>
      </c>
      <c r="S20" s="101">
        <v>100</v>
      </c>
      <c r="T20" s="101">
        <v>100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100</v>
      </c>
      <c r="S21" s="101">
        <v>100</v>
      </c>
      <c r="T21" s="101">
        <v>100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100</v>
      </c>
      <c r="S22" s="101">
        <v>100</v>
      </c>
      <c r="T22" s="101">
        <v>100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100</v>
      </c>
      <c r="S23" s="101">
        <v>701</v>
      </c>
      <c r="T23" s="101">
        <v>100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100</v>
      </c>
      <c r="S24" s="101">
        <v>584</v>
      </c>
      <c r="T24" s="101">
        <v>100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100</v>
      </c>
      <c r="S25" s="101">
        <v>467</v>
      </c>
      <c r="T25" s="101">
        <v>100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100</v>
      </c>
      <c r="S26" s="101">
        <v>584</v>
      </c>
      <c r="T26" s="101">
        <v>100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100</v>
      </c>
      <c r="S27" s="101">
        <v>701</v>
      </c>
      <c r="T27" s="101">
        <v>100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100</v>
      </c>
      <c r="S28" s="101">
        <v>100</v>
      </c>
      <c r="T28" s="101">
        <v>100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100</v>
      </c>
      <c r="S29" s="101">
        <v>100</v>
      </c>
      <c r="T29" s="101">
        <v>100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100</v>
      </c>
      <c r="S30" s="101">
        <v>100</v>
      </c>
      <c r="T30" s="101">
        <v>100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100</v>
      </c>
      <c r="S31" s="101">
        <v>100</v>
      </c>
      <c r="T31" s="101">
        <v>100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100</v>
      </c>
      <c r="S32" s="101">
        <v>100</v>
      </c>
      <c r="T32" s="101">
        <v>677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100</v>
      </c>
      <c r="S33" s="101">
        <v>100</v>
      </c>
      <c r="T33" s="101">
        <v>564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100</v>
      </c>
      <c r="S34" s="101">
        <v>100</v>
      </c>
      <c r="T34" s="101">
        <v>451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100</v>
      </c>
      <c r="S35" s="101">
        <v>100</v>
      </c>
      <c r="T35" s="101">
        <v>564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100</v>
      </c>
      <c r="S36" s="101">
        <v>100</v>
      </c>
      <c r="T36" s="101">
        <v>677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100</v>
      </c>
      <c r="S37" s="101">
        <v>100</v>
      </c>
      <c r="T37" s="101">
        <v>100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100</v>
      </c>
      <c r="S38" s="101">
        <v>100</v>
      </c>
      <c r="T38" s="101">
        <v>100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100</v>
      </c>
      <c r="S39" s="101">
        <v>100</v>
      </c>
      <c r="T39" s="101">
        <v>100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100</v>
      </c>
      <c r="S40" s="101">
        <v>100</v>
      </c>
      <c r="T40" s="101">
        <v>100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100</v>
      </c>
      <c r="S41" s="101">
        <v>100</v>
      </c>
      <c r="T41" s="101">
        <v>100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100</v>
      </c>
      <c r="S42" s="101">
        <v>100</v>
      </c>
      <c r="T42" s="101">
        <v>100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100</v>
      </c>
      <c r="S43" s="101">
        <v>100</v>
      </c>
      <c r="T43" s="101">
        <v>100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100</v>
      </c>
      <c r="S44" s="101">
        <v>100</v>
      </c>
      <c r="T44" s="101">
        <v>100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100</v>
      </c>
      <c r="S45" s="101">
        <v>100</v>
      </c>
      <c r="T45" s="101">
        <v>100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100</v>
      </c>
      <c r="S46" s="101">
        <v>100</v>
      </c>
      <c r="T46" s="101">
        <v>100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100</v>
      </c>
      <c r="S47" s="101">
        <v>100</v>
      </c>
      <c r="T47" s="101">
        <v>100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100</v>
      </c>
      <c r="S48" s="101">
        <v>100</v>
      </c>
      <c r="T48" s="101">
        <v>100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100</v>
      </c>
      <c r="S49" s="101">
        <v>100</v>
      </c>
      <c r="T49" s="101">
        <v>100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100</v>
      </c>
      <c r="S50" s="101">
        <v>100</v>
      </c>
      <c r="T50" s="101">
        <v>100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447</v>
      </c>
      <c r="S51" s="101">
        <v>701</v>
      </c>
      <c r="T51" s="101">
        <v>100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373</v>
      </c>
      <c r="S52" s="101">
        <v>584</v>
      </c>
      <c r="T52" s="101">
        <v>100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298</v>
      </c>
      <c r="S53" s="101">
        <v>467</v>
      </c>
      <c r="T53" s="101">
        <v>100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373</v>
      </c>
      <c r="S54" s="101">
        <v>584</v>
      </c>
      <c r="T54" s="101">
        <v>100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447</v>
      </c>
      <c r="S55" s="101">
        <v>701</v>
      </c>
      <c r="T55" s="101">
        <v>100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100</v>
      </c>
      <c r="S56" s="101">
        <v>100</v>
      </c>
      <c r="T56" s="101">
        <v>100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100</v>
      </c>
      <c r="S57" s="101">
        <v>100</v>
      </c>
      <c r="T57" s="101">
        <v>100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100</v>
      </c>
      <c r="S58" s="101">
        <v>100</v>
      </c>
      <c r="T58" s="101">
        <v>100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100</v>
      </c>
      <c r="S59" s="101">
        <v>100</v>
      </c>
      <c r="T59" s="101">
        <v>100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100</v>
      </c>
      <c r="S60" s="101">
        <v>100</v>
      </c>
      <c r="T60" s="101">
        <v>100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100</v>
      </c>
      <c r="S61" s="101">
        <v>100</v>
      </c>
      <c r="T61" s="101">
        <v>100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100</v>
      </c>
      <c r="S62" s="101">
        <v>100</v>
      </c>
      <c r="T62" s="101">
        <v>100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100</v>
      </c>
      <c r="S63" s="101">
        <v>100</v>
      </c>
      <c r="T63" s="101">
        <v>100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100</v>
      </c>
      <c r="S64" s="101">
        <v>100</v>
      </c>
      <c r="T64" s="101">
        <v>100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100</v>
      </c>
      <c r="S65" s="101">
        <v>100</v>
      </c>
      <c r="T65" s="101">
        <v>100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100</v>
      </c>
      <c r="S66" s="101">
        <v>100</v>
      </c>
      <c r="T66" s="101">
        <v>100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100</v>
      </c>
      <c r="S67" s="101">
        <v>100</v>
      </c>
      <c r="T67" s="101">
        <v>100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100</v>
      </c>
      <c r="S68" s="101">
        <v>100</v>
      </c>
      <c r="T68" s="101">
        <v>100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100</v>
      </c>
      <c r="S69" s="101">
        <v>100</v>
      </c>
      <c r="T69" s="101">
        <v>100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100</v>
      </c>
      <c r="S70" s="101">
        <v>100</v>
      </c>
      <c r="T70" s="101">
        <v>100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100</v>
      </c>
      <c r="S71" s="101">
        <v>701</v>
      </c>
      <c r="T71" s="101">
        <v>100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100</v>
      </c>
      <c r="S72" s="101">
        <v>584</v>
      </c>
      <c r="T72" s="101">
        <v>100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100</v>
      </c>
      <c r="S73" s="101">
        <v>467</v>
      </c>
      <c r="T73" s="101">
        <v>100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100</v>
      </c>
      <c r="S74" s="101">
        <v>584</v>
      </c>
      <c r="T74" s="101">
        <v>100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100</v>
      </c>
      <c r="S75" s="101">
        <v>701</v>
      </c>
      <c r="T75" s="101">
        <v>100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100</v>
      </c>
      <c r="S76" s="101">
        <v>100</v>
      </c>
      <c r="T76" s="101">
        <v>100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100</v>
      </c>
      <c r="S77" s="101">
        <v>100</v>
      </c>
      <c r="T77" s="101">
        <v>100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100</v>
      </c>
      <c r="S78" s="101">
        <v>100</v>
      </c>
      <c r="T78" s="101">
        <v>100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100</v>
      </c>
      <c r="S79" s="101">
        <v>100</v>
      </c>
      <c r="T79" s="101">
        <v>100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100</v>
      </c>
      <c r="S80" s="101">
        <v>100</v>
      </c>
      <c r="T80" s="101">
        <v>100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100</v>
      </c>
      <c r="S81" s="101">
        <v>100</v>
      </c>
      <c r="T81" s="101">
        <v>100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100</v>
      </c>
      <c r="S82" s="101">
        <v>100</v>
      </c>
      <c r="T82" s="101">
        <v>100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100</v>
      </c>
      <c r="S83" s="101">
        <v>100</v>
      </c>
      <c r="T83" s="101">
        <v>100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100</v>
      </c>
      <c r="S84" s="101">
        <v>100</v>
      </c>
      <c r="T84" s="101">
        <v>100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100</v>
      </c>
      <c r="S85" s="101">
        <v>100</v>
      </c>
      <c r="T85" s="101">
        <v>100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100</v>
      </c>
      <c r="S86" s="101">
        <v>100</v>
      </c>
      <c r="T86" s="101">
        <v>100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100</v>
      </c>
      <c r="S87" s="101">
        <v>100</v>
      </c>
      <c r="T87" s="101">
        <v>100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100</v>
      </c>
      <c r="S88" s="101">
        <v>100</v>
      </c>
      <c r="T88" s="101">
        <v>100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100</v>
      </c>
      <c r="S89" s="101">
        <v>100</v>
      </c>
      <c r="T89" s="101">
        <v>100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100</v>
      </c>
      <c r="S90" s="101">
        <v>100</v>
      </c>
      <c r="T90" s="101">
        <v>100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100</v>
      </c>
      <c r="S91" s="101">
        <v>100</v>
      </c>
      <c r="T91" s="101">
        <v>100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100</v>
      </c>
      <c r="S92" s="101">
        <v>100</v>
      </c>
      <c r="T92" s="101">
        <v>100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100</v>
      </c>
      <c r="S93" s="101">
        <v>100</v>
      </c>
      <c r="T93" s="101">
        <v>100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100</v>
      </c>
      <c r="S94" s="101">
        <v>100</v>
      </c>
      <c r="T94" s="101">
        <v>100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100</v>
      </c>
      <c r="S95" s="101">
        <v>100</v>
      </c>
      <c r="T95" s="101">
        <v>100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100</v>
      </c>
      <c r="S96" s="101">
        <v>100</v>
      </c>
      <c r="T96" s="101">
        <v>100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100</v>
      </c>
      <c r="S97" s="101">
        <v>100</v>
      </c>
      <c r="T97" s="101">
        <v>100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100</v>
      </c>
      <c r="S98" s="101">
        <v>100</v>
      </c>
      <c r="T98" s="101">
        <v>100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100</v>
      </c>
      <c r="S99" s="101">
        <v>100</v>
      </c>
      <c r="T99" s="101">
        <v>100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100</v>
      </c>
      <c r="S100" s="101">
        <v>100</v>
      </c>
      <c r="T100" s="101">
        <v>100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100</v>
      </c>
      <c r="S101" s="101">
        <v>100</v>
      </c>
      <c r="T101" s="101">
        <v>100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100</v>
      </c>
      <c r="S102" s="101">
        <v>100</v>
      </c>
      <c r="T102" s="101">
        <v>100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100</v>
      </c>
      <c r="S103" s="101">
        <v>100</v>
      </c>
      <c r="T103" s="101">
        <v>100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100</v>
      </c>
      <c r="S104" s="101">
        <v>100</v>
      </c>
      <c r="T104" s="101">
        <v>100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100</v>
      </c>
      <c r="S105" s="101">
        <v>100</v>
      </c>
      <c r="T105" s="101">
        <v>100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100</v>
      </c>
      <c r="S106" s="101">
        <v>100</v>
      </c>
      <c r="T106" s="101">
        <v>100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100</v>
      </c>
      <c r="S107" s="101">
        <v>100</v>
      </c>
      <c r="T107" s="101">
        <v>100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100</v>
      </c>
      <c r="S108" s="101">
        <v>100</v>
      </c>
      <c r="T108" s="101">
        <v>100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100</v>
      </c>
      <c r="S109" s="101">
        <v>100</v>
      </c>
      <c r="T109" s="101">
        <v>100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100</v>
      </c>
      <c r="S110" s="101">
        <v>100</v>
      </c>
      <c r="T110" s="101">
        <v>100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100</v>
      </c>
      <c r="S111" s="101">
        <v>100</v>
      </c>
      <c r="T111" s="101">
        <v>100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100</v>
      </c>
      <c r="S112" s="101">
        <v>100</v>
      </c>
      <c r="T112" s="101">
        <v>100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100</v>
      </c>
      <c r="S113" s="101">
        <v>100</v>
      </c>
      <c r="T113" s="101">
        <v>100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100</v>
      </c>
      <c r="S114" s="101">
        <v>100</v>
      </c>
      <c r="T114" s="101">
        <v>100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100</v>
      </c>
      <c r="S115" s="101">
        <v>100</v>
      </c>
      <c r="T115" s="101">
        <v>100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100</v>
      </c>
      <c r="S116" s="101">
        <v>100</v>
      </c>
      <c r="T116" s="101">
        <v>100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100</v>
      </c>
      <c r="S117" s="101">
        <v>100</v>
      </c>
      <c r="T117" s="101">
        <v>100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100</v>
      </c>
      <c r="S118" s="101">
        <v>100</v>
      </c>
      <c r="T118" s="101">
        <v>100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100</v>
      </c>
      <c r="S119" s="101">
        <v>100</v>
      </c>
      <c r="T119" s="101">
        <v>100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447</v>
      </c>
      <c r="S120" s="101">
        <v>100</v>
      </c>
      <c r="T120" s="101">
        <v>100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373</v>
      </c>
      <c r="S121" s="101">
        <v>100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298</v>
      </c>
      <c r="S122" s="101">
        <v>100</v>
      </c>
      <c r="T122" s="101">
        <v>100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373</v>
      </c>
      <c r="S123" s="101">
        <v>100</v>
      </c>
      <c r="T123" s="101">
        <v>100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447</v>
      </c>
      <c r="S124" s="101">
        <v>100</v>
      </c>
      <c r="T124" s="101">
        <v>100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</v>
      </c>
      <c r="S125" s="101">
        <v>100</v>
      </c>
      <c r="T125" s="101">
        <v>100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100</v>
      </c>
      <c r="T126" s="101">
        <v>100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100</v>
      </c>
      <c r="T127" s="101">
        <v>100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100</v>
      </c>
      <c r="T128" s="101">
        <v>100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100</v>
      </c>
      <c r="T129" s="101">
        <v>100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100</v>
      </c>
      <c r="T130" s="101">
        <v>100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100</v>
      </c>
      <c r="T131" s="101">
        <v>677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100</v>
      </c>
      <c r="T132" s="101">
        <v>564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100</v>
      </c>
      <c r="T133" s="101">
        <v>451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100</v>
      </c>
      <c r="T134" s="101">
        <v>564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100</v>
      </c>
      <c r="T135" s="101">
        <v>677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100</v>
      </c>
      <c r="T136" s="101">
        <v>100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100</v>
      </c>
      <c r="T137" s="101">
        <v>100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100</v>
      </c>
      <c r="T138" s="101">
        <v>100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100</v>
      </c>
      <c r="T139" s="101">
        <v>100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100</v>
      </c>
      <c r="T140" s="101">
        <v>100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100</v>
      </c>
      <c r="T141" s="101">
        <v>100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701</v>
      </c>
      <c r="T142" s="101">
        <v>677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584</v>
      </c>
      <c r="T143" s="101">
        <v>564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467</v>
      </c>
      <c r="T144" s="101">
        <v>451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584</v>
      </c>
      <c r="T145" s="101">
        <v>564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7.8235294117647056E-2</v>
      </c>
      <c r="AJ145" s="103">
        <v>13300000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701</v>
      </c>
      <c r="T146" s="101">
        <v>677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9.4705882352941181E-2</v>
      </c>
      <c r="AJ146" s="103">
        <v>16100000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100</v>
      </c>
      <c r="T147" s="101">
        <v>100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0.11529411764705882</v>
      </c>
      <c r="AJ147" s="103">
        <v>19600000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100</v>
      </c>
      <c r="T148" s="101">
        <v>100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8.7647058823529411E-2</v>
      </c>
      <c r="AJ148" s="103">
        <v>14900000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100</v>
      </c>
      <c r="T149" s="101">
        <v>100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7.4705882352941178E-2</v>
      </c>
      <c r="AJ149" s="103">
        <v>12700000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100</v>
      </c>
      <c r="T150" s="101">
        <v>100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6.6470588235294115E-2</v>
      </c>
      <c r="AJ150" s="103">
        <v>11300000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100</v>
      </c>
      <c r="T151" s="101">
        <v>100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2.0588235294117647E-2</v>
      </c>
      <c r="AJ151" s="103">
        <v>3500000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100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1.5294117647058824E-2</v>
      </c>
      <c r="AJ152" s="103">
        <v>2600000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100</v>
      </c>
      <c r="T153" s="101">
        <v>100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1.1764705882352941E-2</v>
      </c>
      <c r="AJ153" s="103">
        <v>2000000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100</v>
      </c>
      <c r="T154" s="101">
        <v>100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5.8823529411764705E-3</v>
      </c>
      <c r="AJ154" s="103">
        <v>1000000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100</v>
      </c>
      <c r="T155" s="101">
        <v>100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100</v>
      </c>
      <c r="T156" s="101">
        <v>100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100</v>
      </c>
      <c r="T157" s="101">
        <v>677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100</v>
      </c>
      <c r="T158" s="101">
        <v>564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100</v>
      </c>
      <c r="T159" s="101">
        <v>451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100</v>
      </c>
      <c r="T160" s="101">
        <v>564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100</v>
      </c>
      <c r="T161" s="101">
        <v>677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100</v>
      </c>
      <c r="T162" s="101">
        <v>100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100</v>
      </c>
      <c r="T163" s="101">
        <v>100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100</v>
      </c>
      <c r="T164" s="101">
        <v>100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100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100</v>
      </c>
      <c r="T166" s="101">
        <v>100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100</v>
      </c>
      <c r="T167" s="101">
        <v>100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100</v>
      </c>
      <c r="T168" s="101">
        <v>100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100</v>
      </c>
      <c r="T169" s="101">
        <v>100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100</v>
      </c>
      <c r="T170" s="101">
        <v>100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100</v>
      </c>
      <c r="T171" s="101">
        <v>100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100</v>
      </c>
      <c r="T172" s="101">
        <v>100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100</v>
      </c>
      <c r="T173" s="101">
        <v>100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100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100</v>
      </c>
      <c r="T175" s="101">
        <v>100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100</v>
      </c>
      <c r="T176" s="101">
        <v>100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100</v>
      </c>
      <c r="T177" s="101">
        <v>100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105000000</v>
      </c>
      <c r="AK177" s="103">
        <v>105000000</v>
      </c>
      <c r="AL177" s="103">
        <v>100300000</v>
      </c>
      <c r="AM177" s="103">
        <v>100300000</v>
      </c>
      <c r="AN177" s="103">
        <v>100300000</v>
      </c>
      <c r="AO177" s="103">
        <v>100300000</v>
      </c>
      <c r="AP177" s="103">
        <v>100300000</v>
      </c>
      <c r="AQ177" s="103">
        <v>100300000</v>
      </c>
      <c r="AR177" s="103">
        <v>100300000</v>
      </c>
      <c r="AS177" s="103">
        <v>100300000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100</v>
      </c>
      <c r="T178" s="101">
        <v>100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167500000</v>
      </c>
      <c r="AK178" s="103">
        <v>167500000</v>
      </c>
      <c r="AL178" s="103">
        <v>159900000</v>
      </c>
      <c r="AM178" s="103">
        <v>159900000</v>
      </c>
      <c r="AN178" s="103">
        <v>159900000</v>
      </c>
      <c r="AO178" s="103">
        <v>159900000</v>
      </c>
      <c r="AP178" s="103">
        <v>159900000</v>
      </c>
      <c r="AQ178" s="103">
        <v>159900000</v>
      </c>
      <c r="AR178" s="103">
        <v>159900000</v>
      </c>
      <c r="AS178" s="103">
        <v>159900000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100</v>
      </c>
      <c r="T179" s="101">
        <v>100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155200000</v>
      </c>
      <c r="AJ179" s="103">
        <v>96200000</v>
      </c>
      <c r="AK179" s="103">
        <v>96200000</v>
      </c>
      <c r="AL179" s="103">
        <v>68900000</v>
      </c>
      <c r="AM179" s="103">
        <v>68900000</v>
      </c>
      <c r="AN179" s="103">
        <v>68900000</v>
      </c>
      <c r="AO179" s="103">
        <v>68900000</v>
      </c>
      <c r="AP179" s="103">
        <v>68900000</v>
      </c>
      <c r="AQ179" s="103">
        <v>68900000</v>
      </c>
      <c r="AR179" s="103">
        <v>68900000</v>
      </c>
      <c r="AS179" s="103">
        <v>68900000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100</v>
      </c>
      <c r="T180" s="101">
        <v>100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84100000</v>
      </c>
      <c r="AJ180" s="103">
        <v>52200000</v>
      </c>
      <c r="AK180" s="103">
        <v>52200000</v>
      </c>
      <c r="AL180" s="103">
        <v>27700000</v>
      </c>
      <c r="AM180" s="103">
        <v>27700000</v>
      </c>
      <c r="AN180" s="103">
        <v>27700000</v>
      </c>
      <c r="AO180" s="103">
        <v>27700000</v>
      </c>
      <c r="AP180" s="103">
        <v>27700000</v>
      </c>
      <c r="AQ180" s="103">
        <v>27700000</v>
      </c>
      <c r="AR180" s="103">
        <v>27700000</v>
      </c>
      <c r="AS180" s="103">
        <v>27700000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701</v>
      </c>
      <c r="T181" s="101">
        <v>100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15600000</v>
      </c>
      <c r="AJ181" s="103">
        <v>9700000</v>
      </c>
      <c r="AK181" s="103">
        <v>9700000</v>
      </c>
      <c r="AL181" s="103">
        <v>13200000</v>
      </c>
      <c r="AM181" s="103">
        <v>13200000</v>
      </c>
      <c r="AN181" s="103">
        <v>13200000</v>
      </c>
      <c r="AO181" s="103">
        <v>13200000</v>
      </c>
      <c r="AP181" s="103">
        <v>13200000</v>
      </c>
      <c r="AQ181" s="103">
        <v>13200000</v>
      </c>
      <c r="AR181" s="103">
        <v>13200000</v>
      </c>
      <c r="AS181" s="103">
        <v>13200000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584</v>
      </c>
      <c r="T182" s="101">
        <v>100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8400000</v>
      </c>
      <c r="AJ182" s="103">
        <v>5200000</v>
      </c>
      <c r="AK182" s="103">
        <v>5200000</v>
      </c>
      <c r="AL182" s="103">
        <v>5000000</v>
      </c>
      <c r="AM182" s="103">
        <v>5000000</v>
      </c>
      <c r="AN182" s="103">
        <v>5000000</v>
      </c>
      <c r="AO182" s="103">
        <v>5000000</v>
      </c>
      <c r="AP182" s="103">
        <v>5000000</v>
      </c>
      <c r="AQ182" s="103">
        <v>5000000</v>
      </c>
      <c r="AR182" s="103">
        <v>5000000</v>
      </c>
      <c r="AS182" s="103">
        <v>5000000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467</v>
      </c>
      <c r="T183" s="101">
        <v>100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4800000</v>
      </c>
      <c r="AJ183" s="103">
        <v>3000000</v>
      </c>
      <c r="AK183" s="103">
        <v>3000000</v>
      </c>
      <c r="AL183" s="103">
        <v>2900000</v>
      </c>
      <c r="AM183" s="103">
        <v>2900000</v>
      </c>
      <c r="AN183" s="103">
        <v>2900000</v>
      </c>
      <c r="AO183" s="103">
        <v>2900000</v>
      </c>
      <c r="AP183" s="103">
        <v>2900000</v>
      </c>
      <c r="AQ183" s="103">
        <v>2900000</v>
      </c>
      <c r="AR183" s="103">
        <v>2900000</v>
      </c>
      <c r="AS183" s="103">
        <v>2900000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584</v>
      </c>
      <c r="T184" s="101">
        <v>100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1700000</v>
      </c>
      <c r="AJ184" s="103">
        <v>1100000</v>
      </c>
      <c r="AK184" s="103">
        <v>1100000</v>
      </c>
      <c r="AL184" s="103">
        <v>1000000</v>
      </c>
      <c r="AM184" s="103">
        <v>1000000</v>
      </c>
      <c r="AN184" s="103">
        <v>1000000</v>
      </c>
      <c r="AO184" s="103">
        <v>1000000</v>
      </c>
      <c r="AP184" s="103">
        <v>1000000</v>
      </c>
      <c r="AQ184" s="103">
        <v>1000000</v>
      </c>
      <c r="AR184" s="103">
        <v>1000000</v>
      </c>
      <c r="AS184" s="103">
        <v>1000000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701</v>
      </c>
      <c r="T185" s="101">
        <v>100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200000</v>
      </c>
      <c r="AJ185" s="103">
        <v>100000</v>
      </c>
      <c r="AK185" s="103">
        <v>100000</v>
      </c>
      <c r="AL185" s="103">
        <v>100000</v>
      </c>
      <c r="AM185" s="103">
        <v>100000</v>
      </c>
      <c r="AN185" s="103">
        <v>100000</v>
      </c>
      <c r="AO185" s="103">
        <v>100000</v>
      </c>
      <c r="AP185" s="103">
        <v>100000</v>
      </c>
      <c r="AQ185" s="103">
        <v>100000</v>
      </c>
      <c r="AR185" s="103">
        <v>100000</v>
      </c>
      <c r="AS185" s="103">
        <v>100000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100</v>
      </c>
      <c r="T186" s="101">
        <v>100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100</v>
      </c>
      <c r="T187" s="101">
        <v>100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100</v>
      </c>
      <c r="T188" s="101">
        <v>100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100</v>
      </c>
      <c r="T189" s="101">
        <v>100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100</v>
      </c>
      <c r="T190" s="101">
        <v>100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100</v>
      </c>
      <c r="T191" s="101">
        <v>100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100</v>
      </c>
      <c r="T192" s="101">
        <v>677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100</v>
      </c>
      <c r="T193" s="101">
        <v>564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100</v>
      </c>
      <c r="T194" s="101">
        <v>451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100</v>
      </c>
      <c r="T195" s="101">
        <v>564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100</v>
      </c>
      <c r="T196" s="101">
        <v>677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100</v>
      </c>
      <c r="T197" s="101">
        <v>100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100</v>
      </c>
      <c r="T198" s="101">
        <v>677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100</v>
      </c>
      <c r="T199" s="101">
        <v>564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100</v>
      </c>
      <c r="T200" s="101">
        <v>451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701</v>
      </c>
      <c r="T201" s="101">
        <v>564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584</v>
      </c>
      <c r="T202" s="101">
        <v>677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467</v>
      </c>
      <c r="T203" s="101">
        <v>100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584</v>
      </c>
      <c r="T204" s="101">
        <v>100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701</v>
      </c>
      <c r="T205" s="101">
        <v>100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100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100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100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100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701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584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888195106</v>
      </c>
      <c r="D3" s="100">
        <v>886824325</v>
      </c>
      <c r="E3" s="100">
        <v>856803002</v>
      </c>
      <c r="F3" s="100">
        <v>0</v>
      </c>
      <c r="G3" s="261">
        <v>901290337</v>
      </c>
      <c r="H3" s="261">
        <v>870973649</v>
      </c>
      <c r="I3" s="261">
        <v>875017575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11579864</v>
      </c>
      <c r="D4" s="101">
        <v>3977764</v>
      </c>
      <c r="E4" s="101">
        <v>0</v>
      </c>
      <c r="F4" s="101">
        <v>0</v>
      </c>
      <c r="G4" s="262">
        <v>5527353</v>
      </c>
      <c r="H4" s="262">
        <v>9938511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16080908</v>
      </c>
      <c r="D5" s="101">
        <v>11526791</v>
      </c>
      <c r="E5" s="101">
        <v>0</v>
      </c>
      <c r="F5" s="101">
        <v>0</v>
      </c>
      <c r="G5" s="262">
        <v>8967645</v>
      </c>
      <c r="H5" s="262">
        <v>16126272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11410382</v>
      </c>
      <c r="D6" s="101">
        <v>5902466</v>
      </c>
      <c r="E6" s="101">
        <v>0</v>
      </c>
      <c r="F6" s="101">
        <v>0</v>
      </c>
      <c r="G6" s="262">
        <v>6326467</v>
      </c>
      <c r="H6" s="262">
        <v>11375532</v>
      </c>
      <c r="I6" s="262">
        <v>0</v>
      </c>
      <c r="J6" s="262"/>
    </row>
    <row r="7" spans="1:16">
      <c r="A7" s="8">
        <v>3</v>
      </c>
      <c r="B7" s="8">
        <v>4</v>
      </c>
      <c r="C7" s="101">
        <v>12132321</v>
      </c>
      <c r="D7" s="101">
        <v>10885353</v>
      </c>
      <c r="E7" s="101">
        <v>0</v>
      </c>
      <c r="F7" s="101">
        <v>0</v>
      </c>
      <c r="G7" s="262">
        <v>8323820</v>
      </c>
      <c r="H7" s="262">
        <v>12413074</v>
      </c>
      <c r="I7" s="262">
        <v>0</v>
      </c>
      <c r="J7" s="262"/>
    </row>
    <row r="8" spans="1:16">
      <c r="A8" s="8">
        <v>4</v>
      </c>
      <c r="B8" s="8">
        <v>5</v>
      </c>
      <c r="C8" s="101">
        <v>9898496</v>
      </c>
      <c r="D8" s="101">
        <v>10159443</v>
      </c>
      <c r="E8" s="101">
        <v>0</v>
      </c>
      <c r="F8" s="101">
        <v>0</v>
      </c>
      <c r="G8" s="262">
        <v>5691902</v>
      </c>
      <c r="H8" s="262">
        <v>8487836</v>
      </c>
      <c r="I8" s="262">
        <v>0</v>
      </c>
      <c r="J8" s="262"/>
    </row>
    <row r="9" spans="1:16">
      <c r="A9" s="8">
        <v>5</v>
      </c>
      <c r="B9" s="8">
        <v>6</v>
      </c>
      <c r="C9" s="101">
        <v>7902996</v>
      </c>
      <c r="D9" s="101">
        <v>8976574</v>
      </c>
      <c r="E9" s="101">
        <v>0</v>
      </c>
      <c r="F9" s="101">
        <v>0</v>
      </c>
      <c r="G9" s="262">
        <v>5660459</v>
      </c>
      <c r="H9" s="262">
        <v>8440848</v>
      </c>
      <c r="I9" s="262">
        <v>0</v>
      </c>
      <c r="J9" s="262"/>
    </row>
    <row r="10" spans="1:16">
      <c r="A10" s="8">
        <v>6</v>
      </c>
      <c r="B10" s="8">
        <v>7</v>
      </c>
      <c r="C10" s="101">
        <v>1920561</v>
      </c>
      <c r="D10" s="101">
        <v>2048715</v>
      </c>
      <c r="E10" s="101">
        <v>0</v>
      </c>
      <c r="F10" s="101">
        <v>0</v>
      </c>
      <c r="G10" s="262">
        <v>1425799</v>
      </c>
      <c r="H10" s="262">
        <v>2126175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8247568</v>
      </c>
      <c r="D11" s="101">
        <v>9339434</v>
      </c>
      <c r="E11" s="101">
        <v>33077751</v>
      </c>
      <c r="F11" s="101">
        <v>0</v>
      </c>
      <c r="G11" s="262">
        <v>14843510</v>
      </c>
      <c r="H11" s="262">
        <v>8853807</v>
      </c>
      <c r="I11" s="262">
        <v>32130937</v>
      </c>
      <c r="J11" s="262"/>
    </row>
    <row r="12" spans="1:16">
      <c r="A12" s="8">
        <v>8</v>
      </c>
      <c r="B12" s="8">
        <v>9</v>
      </c>
      <c r="C12" s="101">
        <v>3017981</v>
      </c>
      <c r="D12" s="101">
        <v>3526872</v>
      </c>
      <c r="E12" s="101">
        <v>0</v>
      </c>
      <c r="F12" s="101">
        <v>0</v>
      </c>
      <c r="G12" s="262">
        <v>3236368</v>
      </c>
      <c r="H12" s="262">
        <v>3860792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6071738</v>
      </c>
      <c r="D13" s="101">
        <v>8205006</v>
      </c>
      <c r="E13" s="101">
        <v>24930126</v>
      </c>
      <c r="F13" s="101">
        <v>0</v>
      </c>
      <c r="G13" s="262">
        <v>4023081</v>
      </c>
      <c r="H13" s="262">
        <v>4799280</v>
      </c>
      <c r="I13" s="262">
        <v>4843830</v>
      </c>
      <c r="J13" s="262"/>
    </row>
    <row r="14" spans="1:16">
      <c r="A14" s="8">
        <v>10</v>
      </c>
      <c r="B14" s="8">
        <v>15</v>
      </c>
      <c r="C14" s="101">
        <v>9673096</v>
      </c>
      <c r="D14" s="101">
        <v>14314646</v>
      </c>
      <c r="E14" s="101">
        <v>3980296</v>
      </c>
      <c r="F14" s="101">
        <v>0</v>
      </c>
      <c r="G14" s="262">
        <v>20179465</v>
      </c>
      <c r="H14" s="262">
        <v>7256522</v>
      </c>
      <c r="I14" s="262">
        <v>3867417</v>
      </c>
      <c r="J14" s="262"/>
    </row>
    <row r="15" spans="1:16">
      <c r="A15" s="8">
        <v>15</v>
      </c>
      <c r="B15" s="8">
        <v>20</v>
      </c>
      <c r="C15" s="101">
        <v>5744057</v>
      </c>
      <c r="D15" s="101">
        <v>9013349</v>
      </c>
      <c r="E15" s="101">
        <v>13676125</v>
      </c>
      <c r="F15" s="101">
        <v>0</v>
      </c>
      <c r="G15" s="262">
        <v>5066242</v>
      </c>
      <c r="H15" s="262">
        <v>18217933</v>
      </c>
      <c r="I15" s="262">
        <v>13290160</v>
      </c>
      <c r="J15" s="262"/>
    </row>
    <row r="16" spans="1:16">
      <c r="A16" s="8">
        <v>20</v>
      </c>
      <c r="B16" s="8">
        <v>25</v>
      </c>
      <c r="C16" s="101">
        <v>2408179</v>
      </c>
      <c r="D16" s="101">
        <v>5032691</v>
      </c>
      <c r="E16" s="101">
        <v>8616947</v>
      </c>
      <c r="F16" s="101">
        <v>0</v>
      </c>
      <c r="G16" s="262">
        <v>7001296</v>
      </c>
      <c r="H16" s="262">
        <v>2517602</v>
      </c>
      <c r="I16" s="262">
        <v>8374812</v>
      </c>
      <c r="J16" s="262"/>
    </row>
    <row r="17" spans="1:10">
      <c r="A17" s="8">
        <v>25</v>
      </c>
      <c r="B17" s="8">
        <v>30</v>
      </c>
      <c r="C17" s="101">
        <v>2087684</v>
      </c>
      <c r="D17" s="101">
        <v>3354512</v>
      </c>
      <c r="E17" s="101">
        <v>6836485</v>
      </c>
      <c r="F17" s="101">
        <v>0</v>
      </c>
      <c r="G17" s="262">
        <v>2436256</v>
      </c>
      <c r="H17" s="262">
        <v>1752095</v>
      </c>
      <c r="I17" s="262">
        <v>6645052</v>
      </c>
      <c r="J17" s="262"/>
    </row>
    <row r="18" spans="1:10">
      <c r="A18" s="8">
        <v>30</v>
      </c>
      <c r="B18" s="8">
        <v>35</v>
      </c>
      <c r="C18" s="101">
        <v>398957</v>
      </c>
      <c r="D18" s="101">
        <v>602386</v>
      </c>
      <c r="E18" s="101">
        <v>4576027</v>
      </c>
      <c r="F18" s="101">
        <v>0</v>
      </c>
      <c r="G18" s="262">
        <v>0</v>
      </c>
      <c r="H18" s="262">
        <v>8665690</v>
      </c>
      <c r="I18" s="262">
        <v>4448048</v>
      </c>
      <c r="J18" s="262"/>
    </row>
    <row r="19" spans="1:10">
      <c r="A19" s="8">
        <v>35</v>
      </c>
      <c r="B19" s="8">
        <v>40</v>
      </c>
      <c r="C19" s="101">
        <v>930969</v>
      </c>
      <c r="D19" s="101">
        <v>2022285</v>
      </c>
      <c r="E19" s="101">
        <v>4010186</v>
      </c>
      <c r="F19" s="101">
        <v>0</v>
      </c>
      <c r="G19" s="262">
        <v>0</v>
      </c>
      <c r="H19" s="262">
        <v>1522365</v>
      </c>
      <c r="I19" s="262">
        <v>3118730</v>
      </c>
      <c r="J19" s="262"/>
    </row>
    <row r="20" spans="1:10">
      <c r="A20" s="8">
        <v>40</v>
      </c>
      <c r="B20" s="8">
        <v>45</v>
      </c>
      <c r="C20" s="101">
        <v>216237</v>
      </c>
      <c r="D20" s="101">
        <v>690767</v>
      </c>
      <c r="E20" s="101">
        <v>8519679</v>
      </c>
      <c r="F20" s="101">
        <v>0</v>
      </c>
      <c r="G20" s="262">
        <v>0</v>
      </c>
      <c r="H20" s="262">
        <v>2672017</v>
      </c>
      <c r="I20" s="262">
        <v>3313087</v>
      </c>
      <c r="J20" s="262"/>
    </row>
    <row r="21" spans="1:10">
      <c r="A21" s="8">
        <v>45</v>
      </c>
      <c r="B21" s="8">
        <v>50</v>
      </c>
      <c r="C21" s="101">
        <v>1081168</v>
      </c>
      <c r="D21" s="101">
        <v>1008428</v>
      </c>
      <c r="E21" s="101">
        <v>2904932</v>
      </c>
      <c r="F21" s="101">
        <v>0</v>
      </c>
      <c r="G21" s="262">
        <v>0</v>
      </c>
      <c r="H21" s="262">
        <v>0</v>
      </c>
      <c r="I21" s="262">
        <v>2259416</v>
      </c>
      <c r="J21" s="262"/>
    </row>
    <row r="22" spans="1:10">
      <c r="A22" s="8">
        <v>50</v>
      </c>
      <c r="B22" s="8">
        <v>60</v>
      </c>
      <c r="C22" s="101">
        <v>421587</v>
      </c>
      <c r="D22" s="101">
        <v>973292</v>
      </c>
      <c r="E22" s="101">
        <v>3016529</v>
      </c>
      <c r="F22" s="101">
        <v>90775138</v>
      </c>
      <c r="G22" s="262">
        <v>0</v>
      </c>
      <c r="H22" s="262">
        <v>0</v>
      </c>
      <c r="I22" s="262">
        <v>2346427</v>
      </c>
      <c r="J22" s="262"/>
    </row>
    <row r="23" spans="1:10">
      <c r="A23" s="8">
        <v>60</v>
      </c>
      <c r="B23" s="8">
        <v>70</v>
      </c>
      <c r="C23" s="101">
        <v>43347</v>
      </c>
      <c r="D23" s="101">
        <v>112227</v>
      </c>
      <c r="E23" s="101">
        <v>825804</v>
      </c>
      <c r="F23" s="101">
        <v>71105010</v>
      </c>
      <c r="G23" s="262">
        <v>0</v>
      </c>
      <c r="H23" s="262">
        <v>0</v>
      </c>
      <c r="I23" s="262">
        <v>642390</v>
      </c>
      <c r="J23" s="262"/>
    </row>
    <row r="24" spans="1:10">
      <c r="A24" s="8">
        <v>70</v>
      </c>
      <c r="B24" s="8">
        <v>80</v>
      </c>
      <c r="C24" s="101">
        <v>185831</v>
      </c>
      <c r="D24" s="101">
        <v>371432</v>
      </c>
      <c r="E24" s="101">
        <v>1542883</v>
      </c>
      <c r="F24" s="101">
        <v>61193341</v>
      </c>
      <c r="G24" s="262">
        <v>0</v>
      </c>
      <c r="H24" s="262">
        <v>0</v>
      </c>
      <c r="I24" s="262">
        <v>3000753</v>
      </c>
      <c r="J24" s="262"/>
    </row>
    <row r="25" spans="1:10">
      <c r="A25" s="8">
        <v>80</v>
      </c>
      <c r="B25" s="8">
        <v>90</v>
      </c>
      <c r="C25" s="101">
        <v>71509</v>
      </c>
      <c r="D25" s="101">
        <v>216477</v>
      </c>
      <c r="E25" s="101">
        <v>14498234</v>
      </c>
      <c r="F25" s="101">
        <v>74031791</v>
      </c>
      <c r="G25" s="262">
        <v>0</v>
      </c>
      <c r="H25" s="262">
        <v>0</v>
      </c>
      <c r="I25" s="262">
        <v>14099625</v>
      </c>
      <c r="J25" s="262"/>
    </row>
    <row r="26" spans="1:10">
      <c r="A26" s="8">
        <v>90</v>
      </c>
      <c r="B26" s="8">
        <v>100</v>
      </c>
      <c r="C26" s="101">
        <v>134890</v>
      </c>
      <c r="D26" s="101">
        <v>363333</v>
      </c>
      <c r="E26" s="101">
        <v>2183727</v>
      </c>
      <c r="F26" s="101">
        <v>136453494</v>
      </c>
      <c r="G26" s="262">
        <v>0</v>
      </c>
      <c r="H26" s="262">
        <v>0</v>
      </c>
      <c r="I26" s="262">
        <v>2435166</v>
      </c>
      <c r="J26" s="262"/>
    </row>
    <row r="27" spans="1:10">
      <c r="A27" s="8">
        <v>100</v>
      </c>
      <c r="B27" s="8">
        <v>120</v>
      </c>
      <c r="C27" s="101">
        <v>85066</v>
      </c>
      <c r="D27" s="101">
        <v>186095</v>
      </c>
      <c r="E27" s="101">
        <v>599583</v>
      </c>
      <c r="F27" s="101">
        <v>150348789</v>
      </c>
      <c r="G27" s="262">
        <v>0</v>
      </c>
      <c r="H27" s="262">
        <v>0</v>
      </c>
      <c r="I27" s="262">
        <v>1952081</v>
      </c>
      <c r="J27" s="262"/>
    </row>
    <row r="28" spans="1:10">
      <c r="A28" s="8">
        <v>120</v>
      </c>
      <c r="B28" s="8">
        <v>140</v>
      </c>
      <c r="C28" s="101">
        <v>20615</v>
      </c>
      <c r="D28" s="101">
        <v>42585</v>
      </c>
      <c r="E28" s="101">
        <v>85098</v>
      </c>
      <c r="F28" s="101">
        <v>78930368</v>
      </c>
      <c r="G28" s="262">
        <v>0</v>
      </c>
      <c r="H28" s="262">
        <v>0</v>
      </c>
      <c r="I28" s="262">
        <v>705812</v>
      </c>
      <c r="J28" s="262"/>
    </row>
    <row r="29" spans="1:10">
      <c r="A29" s="8">
        <v>140</v>
      </c>
      <c r="B29" s="8">
        <v>160</v>
      </c>
      <c r="C29" s="101">
        <v>13877</v>
      </c>
      <c r="D29" s="101">
        <v>137806</v>
      </c>
      <c r="E29" s="101">
        <v>149621</v>
      </c>
      <c r="F29" s="101">
        <v>35891683</v>
      </c>
      <c r="G29" s="262">
        <v>0</v>
      </c>
      <c r="H29" s="262">
        <v>0</v>
      </c>
      <c r="I29" s="262">
        <v>2301111</v>
      </c>
      <c r="J29" s="262"/>
    </row>
    <row r="30" spans="1:10">
      <c r="A30" s="8">
        <v>160</v>
      </c>
      <c r="B30" s="8">
        <v>180</v>
      </c>
      <c r="C30" s="101">
        <v>12368</v>
      </c>
      <c r="D30" s="101">
        <v>33601</v>
      </c>
      <c r="E30" s="101">
        <v>4978856</v>
      </c>
      <c r="F30" s="101">
        <v>20412397</v>
      </c>
      <c r="G30" s="262">
        <v>0</v>
      </c>
      <c r="H30" s="262">
        <v>0</v>
      </c>
      <c r="I30" s="262">
        <v>6458119</v>
      </c>
      <c r="J30" s="262"/>
    </row>
    <row r="31" spans="1:10">
      <c r="A31" s="8">
        <v>180</v>
      </c>
      <c r="B31" s="8">
        <v>200</v>
      </c>
      <c r="C31" s="101">
        <v>5492</v>
      </c>
      <c r="D31" s="101">
        <v>41432</v>
      </c>
      <c r="E31" s="101">
        <v>79360</v>
      </c>
      <c r="F31" s="101">
        <v>29873268</v>
      </c>
      <c r="G31" s="262">
        <v>0</v>
      </c>
      <c r="H31" s="262">
        <v>0</v>
      </c>
      <c r="I31" s="262">
        <v>2314686</v>
      </c>
      <c r="J31" s="262"/>
    </row>
    <row r="32" spans="1:10">
      <c r="A32" s="8">
        <v>200</v>
      </c>
      <c r="B32" s="8">
        <v>250</v>
      </c>
      <c r="C32" s="101">
        <v>5841</v>
      </c>
      <c r="D32" s="101">
        <v>57092</v>
      </c>
      <c r="E32" s="101">
        <v>30700</v>
      </c>
      <c r="F32" s="101">
        <v>12615593</v>
      </c>
      <c r="G32" s="262">
        <v>0</v>
      </c>
      <c r="H32" s="262">
        <v>0</v>
      </c>
      <c r="I32" s="262">
        <v>6434766</v>
      </c>
      <c r="J32" s="262"/>
    </row>
    <row r="33" spans="1:10">
      <c r="A33" s="8">
        <v>250</v>
      </c>
      <c r="B33" s="8">
        <v>300</v>
      </c>
      <c r="C33" s="101">
        <v>686</v>
      </c>
      <c r="D33" s="101">
        <v>22379</v>
      </c>
      <c r="E33" s="101">
        <v>2130311</v>
      </c>
      <c r="F33" s="101">
        <v>72873707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344</v>
      </c>
      <c r="D34" s="101">
        <v>2235</v>
      </c>
      <c r="E34" s="101">
        <v>638650</v>
      </c>
      <c r="F34" s="101">
        <v>10912349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1116</v>
      </c>
      <c r="E35" s="101">
        <v>0</v>
      </c>
      <c r="F35" s="101">
        <v>12460420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5588</v>
      </c>
      <c r="E36" s="101">
        <v>829050</v>
      </c>
      <c r="F36" s="101">
        <v>9679712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15647</v>
      </c>
      <c r="E37" s="101">
        <v>0</v>
      </c>
      <c r="F37" s="101">
        <v>12013040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65</v>
      </c>
      <c r="D38" s="101">
        <v>4468</v>
      </c>
      <c r="E38" s="101">
        <v>0</v>
      </c>
      <c r="F38" s="101">
        <v>34555875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18163380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0</v>
      </c>
      <c r="E40" s="101">
        <v>0</v>
      </c>
      <c r="F40" s="101">
        <v>11977510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5630641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4755297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7810254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284313</v>
      </c>
      <c r="F44" s="101">
        <v>4376048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4248122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3260661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5945954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214</v>
      </c>
      <c r="D48" s="101">
        <v>960</v>
      </c>
      <c r="E48" s="101">
        <v>0</v>
      </c>
      <c r="F48" s="101">
        <v>14672806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428</v>
      </c>
      <c r="E49" s="101">
        <v>95732</v>
      </c>
      <c r="F49" s="101">
        <v>1505276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1208542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60057</v>
      </c>
      <c r="F51" s="101">
        <v>955714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315764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297375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276360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34130</v>
      </c>
      <c r="F55" s="101">
        <v>222030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70070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5806</v>
      </c>
      <c r="F57" s="101">
        <v>182221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0.89999818269139853</v>
      </c>
      <c r="P2" s="215">
        <v>0.92</v>
      </c>
      <c r="Q2" s="181">
        <f>P2-O2</f>
        <v>2.0001817308601511E-2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0.96564290919602347</v>
      </c>
      <c r="R3" s="216">
        <f>1-SUM(_xlfn.ANCHORARRAY(R4))</f>
        <v>4.7266861032537189E-2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795188919</v>
      </c>
      <c r="D4" s="166">
        <v>0</v>
      </c>
      <c r="E4" s="241">
        <f>IFERROR((D4/$E$1)/(C4),0)</f>
        <v>0</v>
      </c>
      <c r="F4" s="185" cm="1">
        <f t="array" ref="F4:F61">C4:C61/SUM(C4:C61)</f>
        <v>0.79518891899999999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1.1169611211596875</v>
      </c>
      <c r="L4" s="185" cm="1">
        <f t="array" ref="L4:L61">K4:K61*_xlfn.ANCHORARRAY(J4)*_xlfn.ANCHORARRAY(F4)</f>
        <v>0.88819510649999989</v>
      </c>
      <c r="M4" s="240" cm="1">
        <f t="array" ref="M4:M61">INT(_xlfn.ANCHORARRAY(L4)*$M$2)</f>
        <v>888195106</v>
      </c>
      <c r="N4" s="194" cm="1">
        <f t="array" ref="N4:N61">_xlfn.ANCHORARRAY(M4)/SUM(_xlfn.ANCHORARRAY(M4))</f>
        <v>0.88819510599999996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0.83870461855686262</v>
      </c>
      <c r="S4" s="182">
        <f>R4+R3</f>
        <v>0.88597147958939981</v>
      </c>
      <c r="T4" s="213" cm="1">
        <f t="array" ref="T4:T61">S4:S55/_xlfn.ANCHORARRAY(F4)</f>
        <v>1.1141647706856437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12223533</v>
      </c>
      <c r="D5" s="30">
        <v>917729700</v>
      </c>
      <c r="E5" s="187">
        <f t="shared" ref="E5:E61" si="0">IFERROR((D5/$E$1)/(C5),0)</f>
        <v>0.75078923581259194</v>
      </c>
      <c r="F5" s="188">
        <v>1.2223533E-2</v>
      </c>
      <c r="G5" s="189">
        <v>9.1772969999999992E-3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0.94734186098241813</v>
      </c>
      <c r="L5" s="188">
        <v>1.15798645E-2</v>
      </c>
      <c r="M5" s="233">
        <v>11579864</v>
      </c>
      <c r="N5" s="195">
        <v>1.1579864E-2</v>
      </c>
      <c r="O5" s="211">
        <v>8.6940372433737447E-3</v>
      </c>
      <c r="P5" s="198">
        <v>1.23573389287732E-2</v>
      </c>
      <c r="Q5" s="198">
        <v>9.2777570510108234E-3</v>
      </c>
      <c r="R5" s="1">
        <v>1.1773246306894915E-2</v>
      </c>
      <c r="S5" s="182" cm="1">
        <f t="array" ref="S5:S55">R5:R55</f>
        <v>1.1773246306894915E-2</v>
      </c>
      <c r="T5" s="1">
        <v>0.96316231214779846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19854235</v>
      </c>
      <c r="D6" s="30">
        <v>3409420460</v>
      </c>
      <c r="E6" s="187">
        <f t="shared" si="0"/>
        <v>1.7172258009437282</v>
      </c>
      <c r="F6" s="188">
        <v>1.9854235000000001E-2</v>
      </c>
      <c r="G6" s="189">
        <v>3.4094204600000004E-2</v>
      </c>
      <c r="H6" s="178"/>
      <c r="I6" s="214" t="str">
        <f t="shared" si="1"/>
        <v>(1, 2]</v>
      </c>
      <c r="J6" s="160">
        <v>1</v>
      </c>
      <c r="K6" s="234">
        <v>0.80994853239120013</v>
      </c>
      <c r="L6" s="188">
        <v>1.6080908500000001E-2</v>
      </c>
      <c r="M6" s="233">
        <v>16080908</v>
      </c>
      <c r="N6" s="195">
        <v>1.6080908000000001E-2</v>
      </c>
      <c r="O6" s="211">
        <v>2.7614550120202409E-2</v>
      </c>
      <c r="P6" s="198">
        <v>1.7178728121466199E-2</v>
      </c>
      <c r="Q6" s="198">
        <v>2.9499755157579341E-2</v>
      </c>
      <c r="R6" s="1">
        <v>1.6366743566633115E-2</v>
      </c>
      <c r="S6" s="182">
        <v>1.6366743566633115E-2</v>
      </c>
      <c r="T6" s="1">
        <v>0.82434521232538616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14020917</v>
      </c>
      <c r="D7" s="30">
        <v>3854712400</v>
      </c>
      <c r="E7" s="187">
        <f t="shared" si="0"/>
        <v>2.7492584115575323</v>
      </c>
      <c r="F7" s="188">
        <v>1.4020917000000001E-2</v>
      </c>
      <c r="G7" s="189">
        <v>3.8547124000000002E-2</v>
      </c>
      <c r="H7" s="178"/>
      <c r="I7" s="124" t="str">
        <f t="shared" si="1"/>
        <v>(2, 3]</v>
      </c>
      <c r="J7" s="160">
        <v>1</v>
      </c>
      <c r="K7" s="234">
        <v>0.81381142902422143</v>
      </c>
      <c r="L7" s="188">
        <v>1.14103825E-2</v>
      </c>
      <c r="M7" s="233">
        <v>11410382</v>
      </c>
      <c r="N7" s="195">
        <v>1.1410382E-2</v>
      </c>
      <c r="O7" s="211">
        <v>3.1370088692584661E-2</v>
      </c>
      <c r="P7" s="198">
        <v>1.2210324982495699E-2</v>
      </c>
      <c r="Q7" s="198">
        <v>3.3569338665977382E-2</v>
      </c>
      <c r="R7" s="1">
        <v>1.1633181248385957E-2</v>
      </c>
      <c r="S7" s="182">
        <v>1.1633181248385957E-2</v>
      </c>
      <c r="T7" s="1">
        <v>0.82970188386294252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18463165</v>
      </c>
      <c r="D8" s="30">
        <v>6828453200</v>
      </c>
      <c r="E8" s="187">
        <f t="shared" si="0"/>
        <v>3.6984196371532185</v>
      </c>
      <c r="F8" s="188">
        <v>1.8463165E-2</v>
      </c>
      <c r="G8" s="189">
        <v>6.8284532000000009E-2</v>
      </c>
      <c r="H8" s="178"/>
      <c r="I8" s="124" t="str">
        <f t="shared" si="1"/>
        <v>(3, 4]</v>
      </c>
      <c r="J8" s="160">
        <v>1</v>
      </c>
      <c r="K8" s="234">
        <v>0.65710952049662119</v>
      </c>
      <c r="L8" s="188">
        <v>1.2132321499999999E-2</v>
      </c>
      <c r="M8" s="233">
        <v>12132321</v>
      </c>
      <c r="N8" s="195">
        <v>1.2132321E-2</v>
      </c>
      <c r="O8" s="211">
        <v>4.4870414230646374E-2</v>
      </c>
      <c r="P8" s="198">
        <v>1.2996255599337999E-2</v>
      </c>
      <c r="Q8" s="198">
        <v>4.806560691805413E-2</v>
      </c>
      <c r="R8" s="1">
        <v>1.2381963391980756E-2</v>
      </c>
      <c r="S8" s="182">
        <v>1.2381963391980756E-2</v>
      </c>
      <c r="T8" s="1">
        <v>0.67063059838227934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12601097</v>
      </c>
      <c r="D9" s="30">
        <v>6055478580</v>
      </c>
      <c r="E9" s="187">
        <f t="shared" si="0"/>
        <v>4.8055169958615505</v>
      </c>
      <c r="F9" s="188">
        <v>1.2601097E-2</v>
      </c>
      <c r="G9" s="189">
        <v>6.0554785799999997E-2</v>
      </c>
      <c r="H9" s="178"/>
      <c r="I9" s="124" t="str">
        <f t="shared" si="1"/>
        <v>(4, 5]</v>
      </c>
      <c r="J9" s="160">
        <v>1</v>
      </c>
      <c r="K9" s="234">
        <v>0.7855265696311996</v>
      </c>
      <c r="L9" s="188">
        <v>9.8984965000000012E-3</v>
      </c>
      <c r="M9" s="233">
        <v>9898496</v>
      </c>
      <c r="N9" s="195">
        <v>9.8984959999999997E-3</v>
      </c>
      <c r="O9" s="211">
        <v>4.7567390761467571E-2</v>
      </c>
      <c r="P9" s="198">
        <v>1.05879741106956E-2</v>
      </c>
      <c r="Q9" s="198">
        <v>5.0880689540689791E-2</v>
      </c>
      <c r="R9" s="1">
        <v>1.0087513809789249E-2</v>
      </c>
      <c r="S9" s="182">
        <v>1.0087513809789249E-2</v>
      </c>
      <c r="T9" s="1">
        <v>0.80052663746571018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12543731</v>
      </c>
      <c r="D10" s="30">
        <v>7466041340</v>
      </c>
      <c r="E10" s="187">
        <f t="shared" si="0"/>
        <v>5.9520100837621603</v>
      </c>
      <c r="F10" s="188">
        <v>1.2543731000000001E-2</v>
      </c>
      <c r="G10" s="189">
        <v>7.4660413400000014E-2</v>
      </c>
      <c r="H10" s="178"/>
      <c r="I10" s="124" t="str">
        <f t="shared" si="1"/>
        <v>(5, 6]</v>
      </c>
      <c r="J10" s="160">
        <v>1</v>
      </c>
      <c r="K10" s="234">
        <v>0.63003555321777871</v>
      </c>
      <c r="L10" s="188">
        <v>7.9029965000000004E-3</v>
      </c>
      <c r="M10" s="233">
        <v>7902996</v>
      </c>
      <c r="N10" s="195">
        <v>7.9029960000000007E-3</v>
      </c>
      <c r="O10" s="211">
        <v>4.7038711883932022E-2</v>
      </c>
      <c r="P10" s="198">
        <v>8.37719620644619E-3</v>
      </c>
      <c r="Q10" s="198">
        <v>4.9861156294421838E-2</v>
      </c>
      <c r="R10" s="1">
        <v>7.9812324375137991E-3</v>
      </c>
      <c r="S10" s="182">
        <v>7.9812324375137991E-3</v>
      </c>
      <c r="T10" s="1">
        <v>0.63627260800744201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3159125</v>
      </c>
      <c r="D11" s="30">
        <v>2062217360</v>
      </c>
      <c r="E11" s="187">
        <f t="shared" si="0"/>
        <v>6.5278118466347488</v>
      </c>
      <c r="F11" s="188">
        <v>3.159125E-3</v>
      </c>
      <c r="G11" s="189">
        <v>2.0622173600000002E-2</v>
      </c>
      <c r="H11" s="178"/>
      <c r="I11" s="124" t="str">
        <f t="shared" si="1"/>
        <v>(6, 7]</v>
      </c>
      <c r="J11" s="160">
        <v>1</v>
      </c>
      <c r="K11" s="234">
        <v>0.6079409646658489</v>
      </c>
      <c r="L11" s="188">
        <v>1.9205614999999998E-3</v>
      </c>
      <c r="M11" s="233">
        <v>1920561</v>
      </c>
      <c r="N11" s="195">
        <v>1.9205610000000001E-3</v>
      </c>
      <c r="O11" s="211">
        <v>1.253706084798468E-2</v>
      </c>
      <c r="P11" s="198">
        <v>2.1346721997370101E-3</v>
      </c>
      <c r="Q11" s="198">
        <v>1.3934738474125113E-2</v>
      </c>
      <c r="R11" s="1">
        <v>2.0337729455220202E-3</v>
      </c>
      <c r="S11" s="182">
        <v>2.0337729455220202E-3</v>
      </c>
      <c r="T11" s="1">
        <v>0.64377729451098642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13147608</v>
      </c>
      <c r="D12" s="30">
        <v>10142167660</v>
      </c>
      <c r="E12" s="187">
        <f t="shared" si="0"/>
        <v>7.7140782262446521</v>
      </c>
      <c r="F12" s="188">
        <v>1.3147608E-2</v>
      </c>
      <c r="G12" s="189">
        <v>0.1014216766</v>
      </c>
      <c r="H12" s="178"/>
      <c r="I12" s="214" t="str">
        <f t="shared" si="1"/>
        <v>(7, 8]</v>
      </c>
      <c r="J12" s="160">
        <v>1</v>
      </c>
      <c r="K12" s="234">
        <v>0.62730562852193339</v>
      </c>
      <c r="L12" s="188">
        <v>8.2475685E-3</v>
      </c>
      <c r="M12" s="233">
        <v>8247568</v>
      </c>
      <c r="N12" s="195">
        <v>8.2475680000000003E-3</v>
      </c>
      <c r="O12" s="211">
        <v>6.3622384728272155E-2</v>
      </c>
      <c r="P12" s="198">
        <v>8.8375429069112096E-3</v>
      </c>
      <c r="Q12" s="198">
        <v>6.8173497311706632E-2</v>
      </c>
      <c r="R12" s="1">
        <v>8.4198199944611526E-3</v>
      </c>
      <c r="S12" s="182">
        <v>8.4198199944611526E-3</v>
      </c>
      <c r="T12" s="1">
        <v>0.64040698463638046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5760279</v>
      </c>
      <c r="D13" s="30">
        <v>5138867060</v>
      </c>
      <c r="E13" s="187">
        <f t="shared" si="0"/>
        <v>8.9212120801787549</v>
      </c>
      <c r="F13" s="188">
        <v>5.7602790000000001E-3</v>
      </c>
      <c r="G13" s="189">
        <v>5.1388670599999998E-2</v>
      </c>
      <c r="H13" s="178"/>
      <c r="I13" s="124" t="str">
        <f t="shared" si="1"/>
        <v>(8, 9]</v>
      </c>
      <c r="J13" s="160">
        <v>1</v>
      </c>
      <c r="K13" s="234">
        <v>0.52392974368081824</v>
      </c>
      <c r="L13" s="188">
        <v>3.0179815E-3</v>
      </c>
      <c r="M13" s="233">
        <v>3017981</v>
      </c>
      <c r="N13" s="195">
        <v>3.0179809999999999E-3</v>
      </c>
      <c r="O13" s="211">
        <v>2.6924048554949957E-2</v>
      </c>
      <c r="P13" s="198">
        <v>3.2443304962611699E-3</v>
      </c>
      <c r="Q13" s="198">
        <v>2.8943360415337484E-2</v>
      </c>
      <c r="R13" s="1">
        <v>3.0909811775507706E-3</v>
      </c>
      <c r="S13" s="182">
        <v>3.0909811775507706E-3</v>
      </c>
      <c r="T13" s="1">
        <v>0.53660268496556685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7136369</v>
      </c>
      <c r="D14" s="30">
        <v>6958218440</v>
      </c>
      <c r="E14" s="187">
        <f t="shared" si="0"/>
        <v>9.7503624602371328</v>
      </c>
      <c r="F14" s="188">
        <v>7.136369E-3</v>
      </c>
      <c r="G14" s="189">
        <v>6.9582184400000011E-2</v>
      </c>
      <c r="H14" s="178"/>
      <c r="I14" s="124" t="str">
        <f t="shared" si="1"/>
        <v>(9, 10]</v>
      </c>
      <c r="J14" s="160">
        <v>1</v>
      </c>
      <c r="K14" s="234">
        <v>0.85081622040564331</v>
      </c>
      <c r="L14" s="188">
        <v>6.0717385000000007E-3</v>
      </c>
      <c r="M14" s="233">
        <v>6071738</v>
      </c>
      <c r="N14" s="195">
        <v>6.0717380000000001E-3</v>
      </c>
      <c r="O14" s="211">
        <v>5.9201646263595288E-2</v>
      </c>
      <c r="P14" s="198">
        <v>6.4938584552695199E-3</v>
      </c>
      <c r="Q14" s="198">
        <v>6.3317473704353422E-2</v>
      </c>
      <c r="R14" s="1">
        <v>6.1869141500993288E-3</v>
      </c>
      <c r="S14" s="182">
        <v>6.1869141500993288E-3</v>
      </c>
      <c r="T14" s="1">
        <v>0.86695547134674911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17909726</v>
      </c>
      <c r="D15" s="30">
        <v>22799765820</v>
      </c>
      <c r="E15" s="187">
        <f t="shared" si="0"/>
        <v>12.730382262687883</v>
      </c>
      <c r="F15" s="188">
        <v>1.7909726000000001E-2</v>
      </c>
      <c r="G15" s="189">
        <v>0.22799765820000001</v>
      </c>
      <c r="H15" s="178"/>
      <c r="I15" s="214" t="str">
        <f t="shared" si="1"/>
        <v>(10, 15]</v>
      </c>
      <c r="J15" s="160">
        <v>1</v>
      </c>
      <c r="K15" s="234">
        <v>0.54010298650018429</v>
      </c>
      <c r="L15" s="188">
        <v>9.6730965000000006E-3</v>
      </c>
      <c r="M15" s="233">
        <v>9673096</v>
      </c>
      <c r="N15" s="195">
        <v>9.6730960000000008E-3</v>
      </c>
      <c r="O15" s="211">
        <v>0.12314220974367712</v>
      </c>
      <c r="P15" s="198">
        <v>1.0357800760463E-2</v>
      </c>
      <c r="Q15" s="198">
        <v>0.13185876308145325</v>
      </c>
      <c r="R15" s="1">
        <v>9.8682200313154854E-3</v>
      </c>
      <c r="S15" s="182">
        <v>9.8682200313154854E-3</v>
      </c>
      <c r="T15" s="1">
        <v>0.55099782270904007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11269242</v>
      </c>
      <c r="D16" s="30">
        <v>20112711300</v>
      </c>
      <c r="E16" s="187">
        <f t="shared" si="0"/>
        <v>17.847439339753286</v>
      </c>
      <c r="F16" s="188">
        <v>1.1269242E-2</v>
      </c>
      <c r="G16" s="189">
        <v>0.20112711300000002</v>
      </c>
      <c r="H16" s="178"/>
      <c r="I16" s="124" t="str">
        <f t="shared" si="1"/>
        <v>(15, 20]</v>
      </c>
      <c r="J16" s="160">
        <v>1</v>
      </c>
      <c r="K16" s="234">
        <v>0.50971107905926594</v>
      </c>
      <c r="L16" s="188">
        <v>5.7440575000000001E-3</v>
      </c>
      <c r="M16" s="233">
        <v>5744057</v>
      </c>
      <c r="N16" s="195">
        <v>5.7440570000000003E-3</v>
      </c>
      <c r="O16" s="211">
        <v>0.10251670887158525</v>
      </c>
      <c r="P16" s="198">
        <v>6.1690170335704101E-3</v>
      </c>
      <c r="Q16" s="198">
        <v>0.11010115729255265</v>
      </c>
      <c r="R16" s="1">
        <v>5.8774269627372821E-3</v>
      </c>
      <c r="S16" s="182">
        <v>5.8774269627372821E-3</v>
      </c>
      <c r="T16" s="1">
        <v>0.52154590013572177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6214274</v>
      </c>
      <c r="D17" s="30">
        <v>14443908240</v>
      </c>
      <c r="E17" s="187">
        <f t="shared" si="0"/>
        <v>23.243114545641212</v>
      </c>
      <c r="F17" s="188">
        <v>6.2142739999999997E-3</v>
      </c>
      <c r="G17" s="189">
        <v>0.1444390824</v>
      </c>
      <c r="H17" s="178"/>
      <c r="I17" s="124" t="str">
        <f t="shared" si="1"/>
        <v>(20, 25]</v>
      </c>
      <c r="J17" s="160">
        <v>1</v>
      </c>
      <c r="K17" s="234">
        <v>0.38752386843579795</v>
      </c>
      <c r="L17" s="188">
        <v>2.4081794999999996E-3</v>
      </c>
      <c r="M17" s="233">
        <v>2408179</v>
      </c>
      <c r="N17" s="195">
        <v>2.4081789999999999E-3</v>
      </c>
      <c r="O17" s="211">
        <v>5.5973580343407707E-2</v>
      </c>
      <c r="P17" s="198">
        <v>2.5816539959949798E-3</v>
      </c>
      <c r="Q17" s="198">
        <v>6.0005679546123673E-2</v>
      </c>
      <c r="R17" s="1">
        <v>2.4596273153321903E-3</v>
      </c>
      <c r="S17" s="182">
        <v>2.4596273153321903E-3</v>
      </c>
      <c r="T17" s="1">
        <v>0.39580284283122863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4327912</v>
      </c>
      <c r="D18" s="30">
        <v>12306435380</v>
      </c>
      <c r="E18" s="187">
        <f t="shared" si="0"/>
        <v>28.4350406847459</v>
      </c>
      <c r="F18" s="188">
        <v>4.3279119999999997E-3</v>
      </c>
      <c r="G18" s="189">
        <v>0.12306435379999998</v>
      </c>
      <c r="H18" s="178"/>
      <c r="I18" s="124" t="str">
        <f t="shared" si="1"/>
        <v>(25, 30]</v>
      </c>
      <c r="J18" s="160">
        <v>1</v>
      </c>
      <c r="K18" s="234">
        <v>0.48237683668244641</v>
      </c>
      <c r="L18" s="188">
        <v>2.0876845E-3</v>
      </c>
      <c r="M18" s="233">
        <v>2087684</v>
      </c>
      <c r="N18" s="195">
        <v>2.0876839999999998E-3</v>
      </c>
      <c r="O18" s="211">
        <v>5.9363379476893054E-2</v>
      </c>
      <c r="P18" s="198">
        <v>2.25050136953143E-3</v>
      </c>
      <c r="Q18" s="198">
        <v>6.3993098003702578E-2</v>
      </c>
      <c r="R18" s="1">
        <v>2.1441272340442532E-3</v>
      </c>
      <c r="S18" s="182">
        <v>2.1441272340442532E-3</v>
      </c>
      <c r="T18" s="1">
        <v>0.49541839899800488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2145347</v>
      </c>
      <c r="D19" s="30">
        <v>6990216720</v>
      </c>
      <c r="E19" s="187">
        <f t="shared" si="0"/>
        <v>32.583151909691068</v>
      </c>
      <c r="F19" s="188">
        <v>2.1453470000000001E-3</v>
      </c>
      <c r="G19" s="189">
        <v>6.9902167200000004E-2</v>
      </c>
      <c r="H19" s="178"/>
      <c r="I19" s="124" t="str">
        <f t="shared" si="1"/>
        <v>(30, 35]</v>
      </c>
      <c r="J19" s="160">
        <v>1</v>
      </c>
      <c r="K19" s="234">
        <v>0.18596408879309501</v>
      </c>
      <c r="L19" s="188">
        <v>3.9895750000000003E-4</v>
      </c>
      <c r="M19" s="233">
        <v>398957</v>
      </c>
      <c r="N19" s="195">
        <v>3.9895700000000002E-4</v>
      </c>
      <c r="O19" s="211">
        <v>1.299927653643462E-2</v>
      </c>
      <c r="P19" s="198">
        <v>4.2879067664282501E-4</v>
      </c>
      <c r="Q19" s="198">
        <v>1.397135175451239E-2</v>
      </c>
      <c r="R19" s="1">
        <v>4.08523087317901E-4</v>
      </c>
      <c r="S19" s="182">
        <v>4.08523087317901E-4</v>
      </c>
      <c r="T19" s="1">
        <v>0.19042284875961837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3778148</v>
      </c>
      <c r="D20" s="30">
        <v>14458614080</v>
      </c>
      <c r="E20" s="187">
        <f t="shared" si="0"/>
        <v>38.26905160941287</v>
      </c>
      <c r="F20" s="188">
        <v>3.7781479999999998E-3</v>
      </c>
      <c r="G20" s="189">
        <v>0.14458614080000001</v>
      </c>
      <c r="H20" s="178"/>
      <c r="I20" s="214" t="str">
        <f t="shared" si="1"/>
        <v>(35, 40]</v>
      </c>
      <c r="J20" s="160">
        <v>1</v>
      </c>
      <c r="K20" s="234">
        <v>0.24640895486359984</v>
      </c>
      <c r="L20" s="188">
        <v>9.3096949999999998E-4</v>
      </c>
      <c r="M20" s="233">
        <v>930969</v>
      </c>
      <c r="N20" s="195">
        <v>9.3096900000000002E-4</v>
      </c>
      <c r="O20" s="211">
        <v>3.5627300707763487E-2</v>
      </c>
      <c r="P20" s="198">
        <v>1.0049665469022799E-3</v>
      </c>
      <c r="Q20" s="198">
        <v>3.8459116649136788E-2</v>
      </c>
      <c r="R20" s="1">
        <v>9.5746493278750099E-4</v>
      </c>
      <c r="S20" s="182">
        <v>9.5746493278750099E-4</v>
      </c>
      <c r="T20" s="1">
        <v>0.25342176452259174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1647988</v>
      </c>
      <c r="D21" s="30">
        <v>7173008520</v>
      </c>
      <c r="E21" s="187">
        <f t="shared" si="0"/>
        <v>43.525854071752953</v>
      </c>
      <c r="F21" s="188">
        <v>1.647988E-3</v>
      </c>
      <c r="G21" s="189">
        <v>7.1730085200000002E-2</v>
      </c>
      <c r="H21" s="178"/>
      <c r="I21" s="124" t="str">
        <f t="shared" si="1"/>
        <v>(40, 45]</v>
      </c>
      <c r="J21" s="160">
        <v>1</v>
      </c>
      <c r="K21" s="234">
        <v>0.13121303067740783</v>
      </c>
      <c r="L21" s="188">
        <v>2.1623749999999996E-4</v>
      </c>
      <c r="M21" s="233">
        <v>216237</v>
      </c>
      <c r="N21" s="195">
        <v>2.1623700000000001E-4</v>
      </c>
      <c r="O21" s="211">
        <v>9.4119001069136437E-3</v>
      </c>
      <c r="P21" s="198">
        <v>2.3202958692793599E-4</v>
      </c>
      <c r="Q21" s="198">
        <v>1.0099285940954458E-2</v>
      </c>
      <c r="R21" s="1">
        <v>2.2106227668717621E-4</v>
      </c>
      <c r="S21" s="182">
        <v>2.2106227668717621E-4</v>
      </c>
      <c r="T21" s="1">
        <v>0.13414070775222647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2034040</v>
      </c>
      <c r="D22" s="30">
        <v>9788723540</v>
      </c>
      <c r="E22" s="187">
        <f t="shared" si="0"/>
        <v>48.124538062181671</v>
      </c>
      <c r="F22" s="188">
        <v>2.03404E-3</v>
      </c>
      <c r="G22" s="189">
        <v>9.7887235400000008E-2</v>
      </c>
      <c r="H22" s="178"/>
      <c r="I22" s="124" t="str">
        <f t="shared" si="1"/>
        <v>(45, 50]</v>
      </c>
      <c r="J22" s="160">
        <v>1</v>
      </c>
      <c r="K22" s="234">
        <v>0.53153748205541684</v>
      </c>
      <c r="L22" s="188">
        <v>1.0811685000000001E-3</v>
      </c>
      <c r="M22" s="233">
        <v>1081168</v>
      </c>
      <c r="N22" s="195">
        <v>1.081168E-3</v>
      </c>
      <c r="O22" s="211">
        <v>5.2030710567612833E-2</v>
      </c>
      <c r="P22" s="198">
        <v>1.16460290270869E-3</v>
      </c>
      <c r="Q22" s="198">
        <v>5.6045976718731606E-2</v>
      </c>
      <c r="R22" s="1">
        <v>1.1095557791482688E-3</v>
      </c>
      <c r="S22" s="182">
        <v>1.1095557791482688E-3</v>
      </c>
      <c r="T22" s="1">
        <v>0.54549358869455311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3238075</v>
      </c>
      <c r="D23" s="30">
        <v>18382953720</v>
      </c>
      <c r="E23" s="187">
        <f t="shared" si="0"/>
        <v>56.771241308493465</v>
      </c>
      <c r="F23" s="188">
        <v>3.238075E-3</v>
      </c>
      <c r="G23" s="189">
        <v>0.18382953719999998</v>
      </c>
      <c r="H23" s="178"/>
      <c r="I23" s="214" t="str">
        <f t="shared" si="1"/>
        <v>(50, 60]</v>
      </c>
      <c r="J23" s="160">
        <v>1</v>
      </c>
      <c r="K23" s="234">
        <v>0.13019695343684135</v>
      </c>
      <c r="L23" s="188">
        <v>4.2158750000000002E-4</v>
      </c>
      <c r="M23" s="233">
        <v>421587</v>
      </c>
      <c r="N23" s="195">
        <v>4.2158700000000001E-4</v>
      </c>
      <c r="O23" s="211">
        <v>2.3934017309523836E-2</v>
      </c>
      <c r="P23" s="198">
        <v>4.5292175368333E-4</v>
      </c>
      <c r="Q23" s="198">
        <v>2.5712930172222367E-2</v>
      </c>
      <c r="R23" s="1">
        <v>4.3151356409336697E-4</v>
      </c>
      <c r="S23" s="182">
        <v>4.3151356409336697E-4</v>
      </c>
      <c r="T23" s="1">
        <v>0.13326237474220548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1975180</v>
      </c>
      <c r="D24" s="30">
        <v>12940084160</v>
      </c>
      <c r="E24" s="187">
        <f t="shared" si="0"/>
        <v>65.513442622950819</v>
      </c>
      <c r="F24" s="188">
        <v>1.97518E-3</v>
      </c>
      <c r="G24" s="189">
        <v>0.12940084160000001</v>
      </c>
      <c r="H24" s="178"/>
      <c r="I24" s="124" t="str">
        <f t="shared" si="1"/>
        <v>(60, 70]</v>
      </c>
      <c r="J24" s="160">
        <v>1</v>
      </c>
      <c r="K24" s="234">
        <v>2.1946101114835102E-2</v>
      </c>
      <c r="L24" s="188">
        <v>4.3347499999999998E-5</v>
      </c>
      <c r="M24" s="233">
        <v>43347</v>
      </c>
      <c r="N24" s="195">
        <v>4.3346999999999997E-5</v>
      </c>
      <c r="O24" s="211">
        <v>2.839811197377049E-3</v>
      </c>
      <c r="P24" s="198">
        <v>4.6777164724671799E-5</v>
      </c>
      <c r="Q24" s="198">
        <v>3.0645330972541049E-3</v>
      </c>
      <c r="R24" s="1">
        <v>4.4566154980134628E-5</v>
      </c>
      <c r="S24" s="182">
        <v>4.4566154980134628E-5</v>
      </c>
      <c r="T24" s="1">
        <v>2.2563085379628502E-2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2561154</v>
      </c>
      <c r="D25" s="30">
        <v>19504057100</v>
      </c>
      <c r="E25" s="187">
        <f t="shared" si="0"/>
        <v>76.153394524499504</v>
      </c>
      <c r="F25" s="188">
        <v>2.5611539999999999E-3</v>
      </c>
      <c r="G25" s="189">
        <v>0.195040571</v>
      </c>
      <c r="H25" s="178"/>
      <c r="I25" s="214" t="str">
        <f t="shared" si="1"/>
        <v>(70, 80]</v>
      </c>
      <c r="J25" s="160">
        <v>1</v>
      </c>
      <c r="K25" s="234">
        <v>7.2557722026867583E-2</v>
      </c>
      <c r="L25" s="188">
        <v>1.8583150000000002E-4</v>
      </c>
      <c r="M25" s="233">
        <v>185831</v>
      </c>
      <c r="N25" s="195">
        <v>1.8583099999999999E-4</v>
      </c>
      <c r="O25" s="211">
        <v>1.4151661457882266E-2</v>
      </c>
      <c r="P25" s="198">
        <v>2.0010231576665199E-4</v>
      </c>
      <c r="Q25" s="198">
        <v>1.5238470597843827E-2</v>
      </c>
      <c r="R25" s="1">
        <v>1.9064410741502077E-4</v>
      </c>
      <c r="S25" s="182">
        <v>1.9064410741502077E-4</v>
      </c>
      <c r="T25" s="1">
        <v>7.4436799745357274E-2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1688794</v>
      </c>
      <c r="D26" s="30">
        <v>14572354840</v>
      </c>
      <c r="E26" s="187">
        <f t="shared" si="0"/>
        <v>86.288528026508857</v>
      </c>
      <c r="F26" s="188">
        <v>1.688794E-3</v>
      </c>
      <c r="G26" s="189">
        <v>0.14572354839999999</v>
      </c>
      <c r="H26" s="178"/>
      <c r="I26" s="124" t="str">
        <f t="shared" si="1"/>
        <v>(80, 90]</v>
      </c>
      <c r="J26" s="160">
        <v>1</v>
      </c>
      <c r="K26" s="234">
        <v>4.2343530353613289E-2</v>
      </c>
      <c r="L26" s="188">
        <v>7.1509500000000004E-5</v>
      </c>
      <c r="M26" s="233">
        <v>71509</v>
      </c>
      <c r="N26" s="195">
        <v>7.1508999999999996E-5</v>
      </c>
      <c r="O26" s="211">
        <v>6.1704063506476219E-3</v>
      </c>
      <c r="P26" s="198">
        <v>7.7219446529617E-5</v>
      </c>
      <c r="Q26" s="198">
        <v>6.6631523760623586E-3</v>
      </c>
      <c r="R26" s="1">
        <v>7.3569525681492151E-5</v>
      </c>
      <c r="S26" s="182">
        <v>7.3569525681492151E-5</v>
      </c>
      <c r="T26" s="1">
        <v>4.3563350936521653E-2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1673182</v>
      </c>
      <c r="D27" s="30">
        <v>16090695940</v>
      </c>
      <c r="E27" s="187">
        <f t="shared" si="0"/>
        <v>96.168234776611271</v>
      </c>
      <c r="F27" s="188">
        <v>1.6731820000000001E-3</v>
      </c>
      <c r="G27" s="189">
        <v>0.16090695939999999</v>
      </c>
      <c r="H27" s="178"/>
      <c r="I27" s="124" t="str">
        <f t="shared" si="1"/>
        <v>(90, 100]</v>
      </c>
      <c r="J27" s="160">
        <v>1</v>
      </c>
      <c r="K27" s="234">
        <v>8.0619143643668179E-2</v>
      </c>
      <c r="L27" s="188">
        <v>1.3489050000000001E-4</v>
      </c>
      <c r="M27" s="233">
        <v>134890</v>
      </c>
      <c r="N27" s="195">
        <v>1.3489E-4</v>
      </c>
      <c r="O27" s="211">
        <v>1.2972133189017096E-2</v>
      </c>
      <c r="P27" s="198">
        <v>1.45157709582117E-4</v>
      </c>
      <c r="Q27" s="198">
        <v>1.3959560694728184E-2</v>
      </c>
      <c r="R27" s="1">
        <v>1.3829656029549768E-4</v>
      </c>
      <c r="S27" s="182">
        <v>1.3829656029549768E-4</v>
      </c>
      <c r="T27" s="1">
        <v>8.2654821947342055E-2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2856332</v>
      </c>
      <c r="D28" s="30">
        <v>31917444000</v>
      </c>
      <c r="E28" s="187">
        <f t="shared" si="0"/>
        <v>111.74276659716027</v>
      </c>
      <c r="F28" s="188">
        <v>2.8563320000000001E-3</v>
      </c>
      <c r="G28" s="189">
        <v>0.31917444</v>
      </c>
      <c r="H28" s="178"/>
      <c r="I28" s="124" t="str">
        <f t="shared" si="1"/>
        <v>(100, 120]</v>
      </c>
      <c r="J28" s="160">
        <v>1</v>
      </c>
      <c r="K28" s="234">
        <v>2.9781727054137966E-2</v>
      </c>
      <c r="L28" s="188">
        <v>8.506650000000001E-5</v>
      </c>
      <c r="M28" s="233">
        <v>85066</v>
      </c>
      <c r="N28" s="195">
        <v>8.5066000000000002E-5</v>
      </c>
      <c r="O28" s="211">
        <v>9.5055101833540351E-3</v>
      </c>
      <c r="P28" s="198">
        <v>9.1698092753920201E-5</v>
      </c>
      <c r="Q28" s="198">
        <v>1.0246598576006058E-2</v>
      </c>
      <c r="R28" s="1">
        <v>8.7363811746771943E-5</v>
      </c>
      <c r="S28" s="182">
        <v>8.7363811746771943E-5</v>
      </c>
      <c r="T28" s="1">
        <v>3.0586014422263219E-2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1970295</v>
      </c>
      <c r="D29" s="30">
        <v>25808802160</v>
      </c>
      <c r="E29" s="187">
        <f t="shared" si="0"/>
        <v>130.98953283645344</v>
      </c>
      <c r="F29" s="188">
        <v>1.9702949999999999E-3</v>
      </c>
      <c r="G29" s="189">
        <v>0.25808802159999999</v>
      </c>
      <c r="H29" s="178"/>
      <c r="I29" s="124" t="str">
        <f t="shared" si="1"/>
        <v>(120, 140]</v>
      </c>
      <c r="J29" s="160">
        <v>1</v>
      </c>
      <c r="K29" s="234">
        <v>1.0463153994706376E-2</v>
      </c>
      <c r="L29" s="188">
        <v>2.0615499999999999E-5</v>
      </c>
      <c r="M29" s="233">
        <v>20615</v>
      </c>
      <c r="N29" s="195">
        <v>2.0615000000000002E-5</v>
      </c>
      <c r="O29" s="211">
        <v>2.700349219423488E-3</v>
      </c>
      <c r="P29" s="198">
        <v>2.22748403450818E-5</v>
      </c>
      <c r="Q29" s="198">
        <v>2.9177709308088502E-3</v>
      </c>
      <c r="R29" s="1">
        <v>2.1221978561968865E-5</v>
      </c>
      <c r="S29" s="182">
        <v>2.1221978561968865E-5</v>
      </c>
      <c r="T29" s="1">
        <v>1.077096503922959E-2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1848146</v>
      </c>
      <c r="D30" s="30">
        <v>27932335060</v>
      </c>
      <c r="E30" s="187">
        <f t="shared" si="0"/>
        <v>151.13705876050921</v>
      </c>
      <c r="F30" s="188">
        <v>1.8481459999999999E-3</v>
      </c>
      <c r="G30" s="189">
        <v>0.27932335060000002</v>
      </c>
      <c r="H30" s="178"/>
      <c r="I30" s="124" t="str">
        <f t="shared" si="1"/>
        <v>(140, 160]</v>
      </c>
      <c r="J30" s="160">
        <v>1</v>
      </c>
      <c r="K30" s="234">
        <v>7.5088764632231433E-3</v>
      </c>
      <c r="L30" s="188">
        <v>1.3877499999999999E-5</v>
      </c>
      <c r="M30" s="233">
        <v>13877</v>
      </c>
      <c r="N30" s="195">
        <v>1.3876999999999999E-5</v>
      </c>
      <c r="O30" s="211">
        <v>2.0973289644195862E-3</v>
      </c>
      <c r="P30" s="198">
        <v>1.4849893563387901E-5</v>
      </c>
      <c r="Q30" s="198">
        <v>2.2443692360770645E-3</v>
      </c>
      <c r="R30" s="1">
        <v>1.4147985707979275E-5</v>
      </c>
      <c r="S30" s="182">
        <v>1.4147985707979275E-5</v>
      </c>
      <c r="T30" s="1">
        <v>7.6552316256287521E-3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1424062</v>
      </c>
      <c r="D31" s="30">
        <v>24417907680</v>
      </c>
      <c r="E31" s="187">
        <f t="shared" si="0"/>
        <v>171.46660524611991</v>
      </c>
      <c r="F31" s="188">
        <v>1.424062E-3</v>
      </c>
      <c r="G31" s="189">
        <v>0.24417907680000001</v>
      </c>
      <c r="H31" s="178"/>
      <c r="I31" s="124" t="str">
        <f t="shared" si="1"/>
        <v>(160, 180]</v>
      </c>
      <c r="J31" s="160">
        <v>1</v>
      </c>
      <c r="K31" s="234">
        <v>8.6853662270322506E-3</v>
      </c>
      <c r="L31" s="188">
        <v>1.23685E-5</v>
      </c>
      <c r="M31" s="233">
        <v>12368</v>
      </c>
      <c r="N31" s="195">
        <v>1.2368000000000001E-5</v>
      </c>
      <c r="O31" s="211">
        <v>2.1206989736840113E-3</v>
      </c>
      <c r="P31" s="198">
        <v>1.33649042070491E-5</v>
      </c>
      <c r="Q31" s="198">
        <v>2.2916347538222952E-3</v>
      </c>
      <c r="R31" s="1">
        <v>1.2733187137181338E-5</v>
      </c>
      <c r="S31" s="182">
        <v>1.2733187137181338E-5</v>
      </c>
      <c r="T31" s="1">
        <v>8.9414555947573467E-3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1293811</v>
      </c>
      <c r="D32" s="30">
        <v>24853084560</v>
      </c>
      <c r="E32" s="187">
        <f t="shared" si="0"/>
        <v>192.09207960049807</v>
      </c>
      <c r="F32" s="188">
        <v>1.293811E-3</v>
      </c>
      <c r="G32" s="189">
        <v>0.24853084559999999</v>
      </c>
      <c r="H32" s="178"/>
      <c r="I32" s="124" t="str">
        <f t="shared" si="1"/>
        <v>(180, 200]</v>
      </c>
      <c r="J32" s="160">
        <v>1</v>
      </c>
      <c r="K32" s="234">
        <v>4.2452104673712E-3</v>
      </c>
      <c r="L32" s="188">
        <v>5.4924999999999995E-6</v>
      </c>
      <c r="M32" s="233">
        <v>5492</v>
      </c>
      <c r="N32" s="195">
        <v>5.4920000000000001E-6</v>
      </c>
      <c r="O32" s="211">
        <v>1.0549697011659354E-3</v>
      </c>
      <c r="P32" s="198">
        <v>5.9399574253551498E-6</v>
      </c>
      <c r="Q32" s="198">
        <v>1.1410187745748909E-3</v>
      </c>
      <c r="R32" s="1">
        <v>5.6591942831917002E-6</v>
      </c>
      <c r="S32" s="182">
        <v>5.6591942831917002E-6</v>
      </c>
      <c r="T32" s="1">
        <v>4.374050215365073E-3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2503603</v>
      </c>
      <c r="D33" s="30">
        <v>56144783160</v>
      </c>
      <c r="E33" s="187">
        <f t="shared" si="0"/>
        <v>224.25593498649746</v>
      </c>
      <c r="F33" s="188">
        <v>2.5036030000000001E-3</v>
      </c>
      <c r="G33" s="189">
        <v>0.5614478316</v>
      </c>
      <c r="H33" s="178"/>
      <c r="I33" s="124" t="str">
        <f t="shared" si="1"/>
        <v>(200, 250]</v>
      </c>
      <c r="J33" s="160">
        <v>1</v>
      </c>
      <c r="K33" s="234">
        <v>2.3332373383479731E-3</v>
      </c>
      <c r="L33" s="188">
        <v>5.8415000000000007E-6</v>
      </c>
      <c r="M33" s="233">
        <v>5841</v>
      </c>
      <c r="N33" s="195">
        <v>5.8409999999999996E-6</v>
      </c>
      <c r="O33" s="211">
        <v>1.3098789162561315E-3</v>
      </c>
      <c r="P33" s="198">
        <v>6.3112047644398504E-6</v>
      </c>
      <c r="Q33" s="198">
        <v>1.4153251253406962E-3</v>
      </c>
      <c r="R33" s="1">
        <v>6.0128939258911849E-6</v>
      </c>
      <c r="S33" s="182">
        <v>6.0128939258911849E-6</v>
      </c>
      <c r="T33" s="1">
        <v>2.4016962457271318E-3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1740187</v>
      </c>
      <c r="D34" s="30">
        <v>47899699340</v>
      </c>
      <c r="E34" s="187">
        <f t="shared" si="0"/>
        <v>275.25604627548648</v>
      </c>
      <c r="F34" s="188">
        <v>1.740187E-3</v>
      </c>
      <c r="G34" s="189">
        <v>0.47899699340000002</v>
      </c>
      <c r="H34" s="178"/>
      <c r="I34" s="124" t="str">
        <f t="shared" si="1"/>
        <v>(250, 300]</v>
      </c>
      <c r="J34" s="160">
        <v>1</v>
      </c>
      <c r="K34" s="234">
        <v>3.9449783270418637E-4</v>
      </c>
      <c r="L34" s="188">
        <v>6.8650000000000001E-7</v>
      </c>
      <c r="M34" s="233">
        <v>686</v>
      </c>
      <c r="N34" s="195">
        <v>6.8599999999999998E-7</v>
      </c>
      <c r="O34" s="211">
        <v>1.8882564774498373E-4</v>
      </c>
      <c r="P34" s="198">
        <v>7.4249467816939405E-7</v>
      </c>
      <c r="Q34" s="198">
        <v>2.0437614949349718E-4</v>
      </c>
      <c r="R34" s="1">
        <v>7.0739928539896273E-7</v>
      </c>
      <c r="S34" s="182">
        <v>7.0739928539896273E-7</v>
      </c>
      <c r="T34" s="1">
        <v>4.0650762555918574E-4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1196831</v>
      </c>
      <c r="D35" s="30">
        <v>38851996520</v>
      </c>
      <c r="E35" s="187">
        <f t="shared" si="0"/>
        <v>324.62391532304895</v>
      </c>
      <c r="F35" s="188">
        <v>1.196831E-3</v>
      </c>
      <c r="G35" s="189">
        <v>0.38851996519999998</v>
      </c>
      <c r="H35" s="178"/>
      <c r="I35" s="124" t="str">
        <f t="shared" si="1"/>
        <v>(300, 350]</v>
      </c>
      <c r="J35" s="160">
        <v>1</v>
      </c>
      <c r="K35" s="234">
        <v>2.8784347999007381E-4</v>
      </c>
      <c r="L35" s="188">
        <v>3.4450000000000005E-7</v>
      </c>
      <c r="M35" s="233">
        <v>344</v>
      </c>
      <c r="N35" s="195">
        <v>3.4400000000000001E-7</v>
      </c>
      <c r="O35" s="211">
        <v>1.1167062687112884E-4</v>
      </c>
      <c r="P35" s="198">
        <v>3.7124733908469702E-7</v>
      </c>
      <c r="Q35" s="198">
        <v>1.2051576476693792E-4</v>
      </c>
      <c r="R35" s="1">
        <v>3.5369964269948137E-7</v>
      </c>
      <c r="S35" s="182">
        <v>3.5369964269948137E-7</v>
      </c>
      <c r="T35" s="1">
        <v>2.9553014811571675E-4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1011971</v>
      </c>
      <c r="D36" s="30">
        <v>38072554780</v>
      </c>
      <c r="E36" s="187">
        <f t="shared" si="0"/>
        <v>376.22179667203903</v>
      </c>
      <c r="F36" s="188">
        <v>1.011971E-3</v>
      </c>
      <c r="G36" s="189">
        <v>0.38072554780000001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771708</v>
      </c>
      <c r="D37" s="30">
        <v>32822608040</v>
      </c>
      <c r="E37" s="187">
        <f t="shared" si="0"/>
        <v>425.32419049692368</v>
      </c>
      <c r="F37" s="188">
        <v>7.7170799999999996E-4</v>
      </c>
      <c r="G37" s="189">
        <v>0.32822608039999995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669795</v>
      </c>
      <c r="D38" s="30">
        <v>31972690140</v>
      </c>
      <c r="E38" s="187">
        <f t="shared" si="0"/>
        <v>477.35038541643337</v>
      </c>
      <c r="F38" s="188">
        <v>6.6979500000000005E-4</v>
      </c>
      <c r="G38" s="189">
        <v>0.31972690139999999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639553</v>
      </c>
      <c r="D39" s="30">
        <v>33561838540</v>
      </c>
      <c r="E39" s="187">
        <f t="shared" si="0"/>
        <v>524.77024640647448</v>
      </c>
      <c r="F39" s="188">
        <v>6.3955299999999995E-4</v>
      </c>
      <c r="G39" s="189">
        <v>0.33561838539999994</v>
      </c>
      <c r="H39" s="178"/>
      <c r="I39" s="124" t="str">
        <f t="shared" si="1"/>
        <v>(500, 550]</v>
      </c>
      <c r="J39" s="160">
        <v>1</v>
      </c>
      <c r="K39" s="234">
        <v>1.0241528067259476E-4</v>
      </c>
      <c r="L39" s="188">
        <v>6.5499999999999998E-8</v>
      </c>
      <c r="M39" s="233">
        <v>65</v>
      </c>
      <c r="N39" s="195">
        <v>6.5E-8</v>
      </c>
      <c r="O39" s="211">
        <v>3.4110066016420843E-5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494411</v>
      </c>
      <c r="D40" s="30">
        <v>28481302480</v>
      </c>
      <c r="E40" s="187">
        <f t="shared" si="0"/>
        <v>576.06530760844726</v>
      </c>
      <c r="F40" s="188">
        <v>4.9441100000000005E-4</v>
      </c>
      <c r="G40" s="189">
        <v>0.28481302480000004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362215</v>
      </c>
      <c r="D41" s="30">
        <v>22669344380</v>
      </c>
      <c r="E41" s="187">
        <f t="shared" si="0"/>
        <v>625.85327443645349</v>
      </c>
      <c r="F41" s="188">
        <v>3.6221499999999999E-4</v>
      </c>
      <c r="G41" s="189">
        <v>0.22669344380000001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305416</v>
      </c>
      <c r="D42" s="30">
        <v>20621962840</v>
      </c>
      <c r="E42" s="187">
        <f t="shared" si="0"/>
        <v>675.20898839615472</v>
      </c>
      <c r="F42" s="188">
        <v>3.0541599999999998E-4</v>
      </c>
      <c r="G42" s="189">
        <v>0.20621962839999997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264605</v>
      </c>
      <c r="D43" s="30">
        <v>19182810820</v>
      </c>
      <c r="E43" s="187">
        <f t="shared" si="0"/>
        <v>724.96025471929852</v>
      </c>
      <c r="F43" s="188">
        <v>2.6460500000000001E-4</v>
      </c>
      <c r="G43" s="189">
        <v>0.19182810819999999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296013</v>
      </c>
      <c r="D44" s="30">
        <v>23135180720</v>
      </c>
      <c r="E44" s="187">
        <f t="shared" si="0"/>
        <v>781.55961798975045</v>
      </c>
      <c r="F44" s="188">
        <v>2.9601300000000003E-4</v>
      </c>
      <c r="G44" s="189">
        <v>0.23135180720000001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315973</v>
      </c>
      <c r="D45" s="30">
        <v>26126987440</v>
      </c>
      <c r="E45" s="187">
        <f t="shared" si="0"/>
        <v>826.8740506309083</v>
      </c>
      <c r="F45" s="188">
        <v>3.1597299999999999E-4</v>
      </c>
      <c r="G45" s="189">
        <v>0.26126987439999999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251982</v>
      </c>
      <c r="D46" s="30">
        <v>22037131900</v>
      </c>
      <c r="E46" s="187">
        <f t="shared" si="0"/>
        <v>874.55182909890391</v>
      </c>
      <c r="F46" s="188">
        <v>2.5198199999999999E-4</v>
      </c>
      <c r="G46" s="189">
        <v>0.22037131899999998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175474</v>
      </c>
      <c r="D47" s="30">
        <v>16223611180</v>
      </c>
      <c r="E47" s="187">
        <f t="shared" si="0"/>
        <v>924.55926120108973</v>
      </c>
      <c r="F47" s="188">
        <v>1.7547400000000001E-4</v>
      </c>
      <c r="G47" s="189">
        <v>0.16223611180000003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223385</v>
      </c>
      <c r="D48" s="30">
        <v>21953588340</v>
      </c>
      <c r="E48" s="187">
        <f t="shared" si="0"/>
        <v>982.76913579694258</v>
      </c>
      <c r="F48" s="188">
        <v>2.2338499999999999E-4</v>
      </c>
      <c r="G48" s="189">
        <v>0.21953588340000002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3.648504265991822E-4</v>
      </c>
      <c r="R48" s="1">
        <v>3.5369964269948137E-7</v>
      </c>
      <c r="S48" s="182">
        <v>3.5369964269948137E-7</v>
      </c>
      <c r="T48" s="1">
        <v>1.5833634429325218E-3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2471461</v>
      </c>
      <c r="D49" s="30">
        <v>348096281480</v>
      </c>
      <c r="E49" s="187">
        <f t="shared" si="0"/>
        <v>1408.4635827957634</v>
      </c>
      <c r="F49" s="188">
        <v>2.4714609999999999E-3</v>
      </c>
      <c r="G49" s="189">
        <v>3.4809628147999998</v>
      </c>
      <c r="H49" s="178"/>
      <c r="I49" s="124" t="str">
        <f t="shared" si="1"/>
        <v>(1000, 2000]</v>
      </c>
      <c r="J49" s="160">
        <v>1</v>
      </c>
      <c r="K49" s="234">
        <v>8.6790768699162159E-5</v>
      </c>
      <c r="L49" s="188">
        <v>2.145E-7</v>
      </c>
      <c r="M49" s="233">
        <v>214</v>
      </c>
      <c r="N49" s="195">
        <v>2.1400000000000001E-7</v>
      </c>
      <c r="O49" s="211">
        <v>3.0141120671829338E-4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1104277</v>
      </c>
      <c r="D50" s="30">
        <v>266081568140</v>
      </c>
      <c r="E50" s="187">
        <f t="shared" si="0"/>
        <v>2409.5545604952381</v>
      </c>
      <c r="F50" s="188">
        <v>1.1042770000000001E-3</v>
      </c>
      <c r="G50" s="189">
        <v>2.6608156814000004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521194</v>
      </c>
      <c r="D51" s="30">
        <v>179130021260</v>
      </c>
      <c r="E51" s="187">
        <f t="shared" si="0"/>
        <v>3436.9164123148003</v>
      </c>
      <c r="F51" s="188">
        <v>5.21194E-4</v>
      </c>
      <c r="G51" s="189">
        <v>1.7913002125999999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310888</v>
      </c>
      <c r="D52" s="30">
        <v>138110346000</v>
      </c>
      <c r="E52" s="187">
        <f t="shared" si="0"/>
        <v>4442.4469905560845</v>
      </c>
      <c r="F52" s="188">
        <v>3.10888E-4</v>
      </c>
      <c r="G52" s="189">
        <v>1.3811034600000001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150224</v>
      </c>
      <c r="D53" s="30">
        <v>81973706960</v>
      </c>
      <c r="E53" s="187">
        <f t="shared" si="0"/>
        <v>5456.7650282245186</v>
      </c>
      <c r="F53" s="188">
        <v>1.5022399999999999E-4</v>
      </c>
      <c r="G53" s="189">
        <v>0.81973706960000003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101847</v>
      </c>
      <c r="D54" s="30">
        <v>65655424880</v>
      </c>
      <c r="E54" s="187">
        <f t="shared" si="0"/>
        <v>6446.4760748966582</v>
      </c>
      <c r="F54" s="188">
        <v>1.01847E-4</v>
      </c>
      <c r="G54" s="189">
        <v>0.65655424880000002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53374</v>
      </c>
      <c r="D55" s="30">
        <v>39854551540</v>
      </c>
      <c r="E55" s="187">
        <f t="shared" si="0"/>
        <v>7467.0347997152166</v>
      </c>
      <c r="F55" s="188">
        <v>5.3374000000000001E-5</v>
      </c>
      <c r="G55" s="189">
        <v>0.39854551539999999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36380</v>
      </c>
      <c r="D56" s="30">
        <v>30764883500</v>
      </c>
      <c r="E56" s="187">
        <f t="shared" si="0"/>
        <v>8456.5375206157223</v>
      </c>
      <c r="F56" s="188">
        <v>3.6380000000000001E-5</v>
      </c>
      <c r="G56" s="189">
        <v>0.30764883500000001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22179</v>
      </c>
      <c r="D57" s="30">
        <v>21034693900</v>
      </c>
      <c r="E57" s="187">
        <f t="shared" si="0"/>
        <v>9484.0587492673258</v>
      </c>
      <c r="F57" s="188">
        <v>2.2178999999999999E-5</v>
      </c>
      <c r="G57" s="189">
        <v>0.21034693900000001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47859</v>
      </c>
      <c r="D58" s="30">
        <v>59792915140</v>
      </c>
      <c r="E58" s="187">
        <f>IFERROR((D58/$E$1)/(C58),0)</f>
        <v>12493.557144946613</v>
      </c>
      <c r="F58" s="188">
        <v>4.7858999999999997E-5</v>
      </c>
      <c r="G58" s="189">
        <v>0.59792915139999991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2316</v>
      </c>
      <c r="D59" s="30">
        <v>5285570360</v>
      </c>
      <c r="E59" s="187">
        <f t="shared" si="0"/>
        <v>22821.979101899829</v>
      </c>
      <c r="F59" s="188">
        <v>2.3159999999999999E-6</v>
      </c>
      <c r="G59" s="189">
        <v>5.2855703600000005E-2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193</v>
      </c>
      <c r="D60" s="30">
        <v>672510880</v>
      </c>
      <c r="E60" s="187">
        <f t="shared" si="0"/>
        <v>34845.123316062178</v>
      </c>
      <c r="F60" s="188">
        <v>1.9299999999999999E-7</v>
      </c>
      <c r="G60" s="189">
        <v>6.7251087999999999E-3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1.9424753505654011E-2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1605136.4365971107</v>
      </c>
      <c r="O64" s="220" cm="1">
        <f t="array" ref="O64:O65">N66/N64:N65</f>
        <v>2.1804999999999999</v>
      </c>
    </row>
    <row r="65" spans="1:47" ht="16.8" thickBot="1">
      <c r="L65" s="180"/>
      <c r="M65" s="124" t="s">
        <v>179</v>
      </c>
      <c r="N65" s="253">
        <f>1/N49</f>
        <v>4672897.1962616816</v>
      </c>
      <c r="O65" s="220">
        <v>0.74900000000000011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0.89999621171996658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0.95615370270296507</v>
      </c>
      <c r="R68" s="216">
        <f>1-SUM(_xlfn.ANCHORARRAY(R69))</f>
        <v>3.7811601420108087E-2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795217879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0.79521787899999996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1.1151966636051953</v>
      </c>
      <c r="L69" s="185" cm="1">
        <f t="array" ref="L69:L126">K69:K126*_xlfn.ANCHORARRAY(J69)*_xlfn.ANCHORARRAY(F69)</f>
        <v>0.8868243254999999</v>
      </c>
      <c r="M69" s="240" cm="1">
        <f t="array" ref="M69:M126">INT(_xlfn.ANCHORARRAY(L69)*$M$2)</f>
        <v>886824325</v>
      </c>
      <c r="N69" s="194" cm="1">
        <f t="array" ref="N69:N126">_xlfn.ANCHORARRAY(M69)/SUM(_xlfn.ANCHORARRAY(M69))</f>
        <v>0.88682432499999997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0.84686224286319678</v>
      </c>
      <c r="S69" s="182">
        <f>R69+R68</f>
        <v>0.88467384428330487</v>
      </c>
      <c r="T69" s="213" cm="1">
        <f t="array" ref="T69:T120">S69:S120/F69:F120</f>
        <v>1.1124923969212026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4452589</v>
      </c>
      <c r="D70" s="30">
        <v>356207120</v>
      </c>
      <c r="E70" s="187">
        <f t="shared" ref="E70:E126" si="2">IFERROR((D70/$E$66)/(C70),0)</f>
        <v>0.53333333333333333</v>
      </c>
      <c r="F70" s="188">
        <v>4.4525889999999999E-3</v>
      </c>
      <c r="G70" s="189">
        <v>2.3747141333333331E-3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0.89335990813434607</v>
      </c>
      <c r="L70" s="188">
        <v>3.9777644999999997E-3</v>
      </c>
      <c r="M70" s="233">
        <v>3977764</v>
      </c>
      <c r="N70" s="195">
        <v>3.977764E-3</v>
      </c>
      <c r="O70" s="211">
        <v>2.1214741333333335E-3</v>
      </c>
      <c r="P70" s="183">
        <v>4.1935503124571009E-3</v>
      </c>
      <c r="Q70" s="183">
        <v>2.2365601666437872E-3</v>
      </c>
      <c r="R70" s="1">
        <v>4.0349854595073033E-3</v>
      </c>
      <c r="S70" s="182" cm="1">
        <f t="array" ref="S70:S120">R70:R120</f>
        <v>4.0349854595073033E-3</v>
      </c>
      <c r="T70" s="1">
        <v>0.90621107394086975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12633880</v>
      </c>
      <c r="D71" s="30">
        <v>2096846880</v>
      </c>
      <c r="E71" s="187">
        <f t="shared" si="2"/>
        <v>1.1064676251476189</v>
      </c>
      <c r="F71" s="188">
        <v>1.263388E-2</v>
      </c>
      <c r="G71" s="189">
        <v>1.39789792E-2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0.91237145674962883</v>
      </c>
      <c r="L71" s="188">
        <v>1.1526791500000001E-2</v>
      </c>
      <c r="M71" s="233">
        <v>11526791</v>
      </c>
      <c r="N71" s="195">
        <v>1.1526791E-2</v>
      </c>
      <c r="O71" s="211">
        <v>1.2754021063342946E-2</v>
      </c>
      <c r="P71" s="183">
        <v>1.217001008696275E-2</v>
      </c>
      <c r="Q71" s="183">
        <v>1.3465722158944241E-2</v>
      </c>
      <c r="R71" s="1">
        <v>1.1709842516275819E-2</v>
      </c>
      <c r="S71" s="1">
        <v>1.1709842516275819E-2</v>
      </c>
      <c r="T71" s="1">
        <v>0.92686035614362483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7640731</v>
      </c>
      <c r="D72" s="30">
        <v>2135906340</v>
      </c>
      <c r="E72" s="187">
        <f t="shared" si="2"/>
        <v>1.8636143060133905</v>
      </c>
      <c r="F72" s="188">
        <v>7.6407310000000004E-3</v>
      </c>
      <c r="G72" s="189">
        <v>1.42393756E-2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0.77250023590674766</v>
      </c>
      <c r="L72" s="188">
        <v>5.9024665E-3</v>
      </c>
      <c r="M72" s="233">
        <v>5902466</v>
      </c>
      <c r="N72" s="195">
        <v>5.9024660000000003E-3</v>
      </c>
      <c r="O72" s="211">
        <v>1.0999920078357634E-2</v>
      </c>
      <c r="P72" s="183">
        <v>6.2383985006834062E-3</v>
      </c>
      <c r="Q72" s="183">
        <v>1.1625968692486083E-2</v>
      </c>
      <c r="R72" s="1">
        <v>6.0025146630757649E-3</v>
      </c>
      <c r="S72" s="1">
        <v>6.0025146630757649E-3</v>
      </c>
      <c r="T72" s="1">
        <v>0.78559429236230993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14191574</v>
      </c>
      <c r="D73" s="30">
        <v>5179433520</v>
      </c>
      <c r="E73" s="187">
        <f t="shared" si="2"/>
        <v>2.433102684733913</v>
      </c>
      <c r="F73" s="188">
        <v>1.4191574E-2</v>
      </c>
      <c r="G73" s="189">
        <v>3.45295568E-2</v>
      </c>
      <c r="H73" s="178">
        <v>2</v>
      </c>
      <c r="I73" s="124" t="str">
        <f t="shared" si="3"/>
        <v>(3, 4]</v>
      </c>
      <c r="J73" s="160">
        <v>1</v>
      </c>
      <c r="K73" s="234">
        <v>0.76702933022087616</v>
      </c>
      <c r="L73" s="188">
        <v>1.08853535E-2</v>
      </c>
      <c r="M73" s="233">
        <v>10885353</v>
      </c>
      <c r="N73" s="195">
        <v>1.0885353E-2</v>
      </c>
      <c r="O73" s="211">
        <v>2.6485181608576356E-2</v>
      </c>
      <c r="P73" s="183">
        <v>1.1511074768865306E-2</v>
      </c>
      <c r="Q73" s="183">
        <v>2.8007626924298982E-2</v>
      </c>
      <c r="R73" s="1">
        <v>1.1075822597787909E-2</v>
      </c>
      <c r="S73" s="1">
        <v>1.1075822597787909E-2</v>
      </c>
      <c r="T73" s="1">
        <v>0.78045061088980749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12170676</v>
      </c>
      <c r="D74" s="30">
        <v>5868412120</v>
      </c>
      <c r="E74" s="187">
        <f t="shared" si="2"/>
        <v>3.2145089941320162</v>
      </c>
      <c r="F74" s="188">
        <v>1.2170676E-2</v>
      </c>
      <c r="G74" s="189">
        <v>3.912274746666667E-2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0.83474767547833828</v>
      </c>
      <c r="L74" s="188">
        <v>1.01594435E-2</v>
      </c>
      <c r="M74" s="233">
        <v>10159443</v>
      </c>
      <c r="N74" s="195">
        <v>1.0159443000000001E-2</v>
      </c>
      <c r="O74" s="211">
        <v>3.2657620898871552E-2</v>
      </c>
      <c r="P74" s="183">
        <v>1.0749479238165724E-2</v>
      </c>
      <c r="Q74" s="183">
        <v>3.4554297693319094E-2</v>
      </c>
      <c r="R74" s="1">
        <v>1.0343024213738476E-2</v>
      </c>
      <c r="S74" s="1">
        <v>1.0343024213738476E-2</v>
      </c>
      <c r="T74" s="1">
        <v>0.84983153061822336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12650702</v>
      </c>
      <c r="D75" s="30">
        <v>7564557540</v>
      </c>
      <c r="E75" s="187">
        <f t="shared" si="2"/>
        <v>3.9863703690119334</v>
      </c>
      <c r="F75" s="188">
        <v>1.2650702E-2</v>
      </c>
      <c r="G75" s="189">
        <v>5.0430383600000003E-2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0.70957125541333599</v>
      </c>
      <c r="L75" s="188">
        <v>8.9765745000000008E-3</v>
      </c>
      <c r="M75" s="233">
        <v>8976574</v>
      </c>
      <c r="N75" s="195">
        <v>8.9765739999999993E-3</v>
      </c>
      <c r="O75" s="211">
        <v>3.5783948608842923E-2</v>
      </c>
      <c r="P75" s="183">
        <v>9.5020382827095129E-3</v>
      </c>
      <c r="Q75" s="183">
        <v>3.7878643855410239E-2</v>
      </c>
      <c r="R75" s="1">
        <v>9.1427509984850931E-3</v>
      </c>
      <c r="S75" s="1">
        <v>9.1427509984850931E-3</v>
      </c>
      <c r="T75" s="1">
        <v>0.72270700855060011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2824698</v>
      </c>
      <c r="D76" s="30">
        <v>1830960080</v>
      </c>
      <c r="E76" s="187">
        <f t="shared" si="2"/>
        <v>4.3213117060065658</v>
      </c>
      <c r="F76" s="188">
        <v>2.8246980000000001E-3</v>
      </c>
      <c r="G76" s="189">
        <v>1.2206400533333335E-2</v>
      </c>
      <c r="H76" s="178">
        <v>4</v>
      </c>
      <c r="I76" s="124" t="str">
        <f t="shared" si="3"/>
        <v>(6, 7]</v>
      </c>
      <c r="J76" s="160">
        <v>1</v>
      </c>
      <c r="K76" s="234">
        <v>0.72528656160764793</v>
      </c>
      <c r="L76" s="188">
        <v>2.0487154999999997E-3</v>
      </c>
      <c r="M76" s="233">
        <v>2048715</v>
      </c>
      <c r="N76" s="195">
        <v>2.048715E-3</v>
      </c>
      <c r="O76" s="211">
        <v>8.8531361117712409E-3</v>
      </c>
      <c r="P76" s="183">
        <v>2.168995422070752E-3</v>
      </c>
      <c r="Q76" s="183">
        <v>9.3729053076689918E-3</v>
      </c>
      <c r="R76" s="1">
        <v>2.0869822316893737E-3</v>
      </c>
      <c r="S76" s="1">
        <v>2.0869822316893737E-3</v>
      </c>
      <c r="T76" s="1">
        <v>0.73883375556940023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14142278</v>
      </c>
      <c r="D77" s="30">
        <v>10892748240</v>
      </c>
      <c r="E77" s="187">
        <f t="shared" si="2"/>
        <v>5.1348390690665244</v>
      </c>
      <c r="F77" s="188">
        <v>1.4142277999999999E-2</v>
      </c>
      <c r="G77" s="189">
        <v>7.261832159999998E-2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0.66039109823749753</v>
      </c>
      <c r="L77" s="188">
        <v>9.3394345000000004E-3</v>
      </c>
      <c r="M77" s="233">
        <v>9339434</v>
      </c>
      <c r="N77" s="195">
        <v>9.3394340000000006E-3</v>
      </c>
      <c r="O77" s="211">
        <v>4.795649058616825E-2</v>
      </c>
      <c r="P77" s="183">
        <v>9.891192111875757E-3</v>
      </c>
      <c r="Q77" s="183">
        <v>5.0789679695702264E-2</v>
      </c>
      <c r="R77" s="1">
        <v>9.5171902981717928E-3</v>
      </c>
      <c r="S77" s="1">
        <v>9.5171902981717928E-3</v>
      </c>
      <c r="T77" s="1">
        <v>0.67296020472598495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6387851</v>
      </c>
      <c r="D78" s="30">
        <v>5707091100</v>
      </c>
      <c r="E78" s="187">
        <f t="shared" si="2"/>
        <v>5.9561930921682427</v>
      </c>
      <c r="F78" s="188">
        <v>6.3878509999999999E-3</v>
      </c>
      <c r="G78" s="189">
        <v>3.8047273999999999E-2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0.55212191079597817</v>
      </c>
      <c r="L78" s="188">
        <v>3.5268725000000001E-3</v>
      </c>
      <c r="M78" s="233">
        <v>3526872</v>
      </c>
      <c r="N78" s="195">
        <v>3.5268719999999999E-3</v>
      </c>
      <c r="O78" s="211">
        <v>2.1006730643361594E-2</v>
      </c>
      <c r="P78" s="183">
        <v>3.7363542493568814E-3</v>
      </c>
      <c r="Q78" s="183">
        <v>2.2254447369912916E-2</v>
      </c>
      <c r="R78" s="1">
        <v>3.595076711715872E-3</v>
      </c>
      <c r="S78" s="1">
        <v>3.595076711715872E-3</v>
      </c>
      <c r="T78" s="1">
        <v>0.56279908716027849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8534118</v>
      </c>
      <c r="D79" s="30">
        <v>8323686000</v>
      </c>
      <c r="E79" s="187">
        <f t="shared" si="2"/>
        <v>6.5022817823704804</v>
      </c>
      <c r="F79" s="188">
        <v>8.5341180000000003E-3</v>
      </c>
      <c r="G79" s="189">
        <v>5.5491240000000004E-2</v>
      </c>
      <c r="H79" s="178">
        <v>6</v>
      </c>
      <c r="I79" s="124" t="str">
        <f t="shared" si="3"/>
        <v>(9, 10]</v>
      </c>
      <c r="J79" s="160">
        <v>1</v>
      </c>
      <c r="K79" s="234">
        <v>0.96143579219317099</v>
      </c>
      <c r="L79" s="188">
        <v>8.2050065000000005E-3</v>
      </c>
      <c r="M79" s="233">
        <v>8205006</v>
      </c>
      <c r="N79" s="195">
        <v>8.2050060000000008E-3</v>
      </c>
      <c r="O79" s="211">
        <v>5.3351261038040491E-2</v>
      </c>
      <c r="P79" s="183">
        <v>8.6938875393182645E-3</v>
      </c>
      <c r="Q79" s="183">
        <v>5.6530106564886877E-2</v>
      </c>
      <c r="R79" s="1">
        <v>8.3651577288903177E-3</v>
      </c>
      <c r="S79" s="1">
        <v>8.3651577288903177E-3</v>
      </c>
      <c r="T79" s="1">
        <v>0.98020178873672914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21751151</v>
      </c>
      <c r="D80" s="30">
        <v>27771926600</v>
      </c>
      <c r="E80" s="187">
        <f t="shared" si="2"/>
        <v>8.5120174713206378</v>
      </c>
      <c r="F80" s="188">
        <v>2.1751151E-2</v>
      </c>
      <c r="G80" s="189">
        <v>0.18514617733333336</v>
      </c>
      <c r="H80" s="178">
        <v>6.666666666666667</v>
      </c>
      <c r="I80" s="214" t="str">
        <f t="shared" si="3"/>
        <v>(10, 15]</v>
      </c>
      <c r="J80" s="160">
        <v>1</v>
      </c>
      <c r="K80" s="234">
        <v>0.65810983979652382</v>
      </c>
      <c r="L80" s="188">
        <v>1.4314646499999998E-2</v>
      </c>
      <c r="M80" s="233">
        <v>14314646</v>
      </c>
      <c r="N80" s="195">
        <v>1.4314646E-2</v>
      </c>
      <c r="O80" s="211">
        <v>0.12184651684777008</v>
      </c>
      <c r="P80" s="183">
        <v>1.5175805614081161E-2</v>
      </c>
      <c r="Q80" s="183">
        <v>0.12917672252842466</v>
      </c>
      <c r="R80" s="1">
        <v>1.4601984100972486E-2</v>
      </c>
      <c r="S80" s="1">
        <v>1.4601984100972486E-2</v>
      </c>
      <c r="T80" s="1">
        <v>0.67132006490012808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14189980</v>
      </c>
      <c r="D81" s="30">
        <v>25358300600</v>
      </c>
      <c r="E81" s="187">
        <f t="shared" si="2"/>
        <v>11.913712164029361</v>
      </c>
      <c r="F81" s="188">
        <v>1.418998E-2</v>
      </c>
      <c r="G81" s="189">
        <v>0.16905533733333336</v>
      </c>
      <c r="H81" s="178">
        <v>10</v>
      </c>
      <c r="I81" s="124" t="str">
        <f t="shared" si="3"/>
        <v>(15, 20]</v>
      </c>
      <c r="J81" s="160">
        <v>1</v>
      </c>
      <c r="K81" s="234">
        <v>0.63519113487122603</v>
      </c>
      <c r="L81" s="188">
        <v>9.0133495000000001E-3</v>
      </c>
      <c r="M81" s="233">
        <v>9013349</v>
      </c>
      <c r="N81" s="195">
        <v>9.0133490000000004E-3</v>
      </c>
      <c r="O81" s="211">
        <v>0.10738244561994188</v>
      </c>
      <c r="P81" s="183">
        <v>9.5617244528270352E-3</v>
      </c>
      <c r="Q81" s="183">
        <v>0.11391563292274244</v>
      </c>
      <c r="R81" s="1">
        <v>9.2001803389278377E-3</v>
      </c>
      <c r="S81" s="1">
        <v>9.2001803389278377E-3</v>
      </c>
      <c r="T81" s="1">
        <v>0.64835752685541759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7956857</v>
      </c>
      <c r="D82" s="30">
        <v>18496587000</v>
      </c>
      <c r="E82" s="187">
        <f t="shared" si="2"/>
        <v>15.497398030403211</v>
      </c>
      <c r="F82" s="188">
        <v>7.9568569999999995E-3</v>
      </c>
      <c r="G82" s="189">
        <v>0.12331057999999999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0.63249741700774575</v>
      </c>
      <c r="L82" s="188">
        <v>5.0326915000000003E-3</v>
      </c>
      <c r="M82" s="233">
        <v>5032691</v>
      </c>
      <c r="N82" s="195">
        <v>5.0326909999999997E-3</v>
      </c>
      <c r="O82" s="211">
        <v>7.7993615591027965E-2</v>
      </c>
      <c r="P82" s="183">
        <v>5.3419122255182255E-3</v>
      </c>
      <c r="Q82" s="183">
        <v>8.2785740002332978E-2</v>
      </c>
      <c r="R82" s="1">
        <v>5.1399259696257278E-3</v>
      </c>
      <c r="S82" s="1">
        <v>5.1399259696257278E-3</v>
      </c>
      <c r="T82" s="1">
        <v>0.64597440542487172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5541813</v>
      </c>
      <c r="D83" s="30">
        <v>15759584660</v>
      </c>
      <c r="E83" s="187">
        <f t="shared" si="2"/>
        <v>18.958398223349171</v>
      </c>
      <c r="F83" s="188">
        <v>5.5418129999999996E-3</v>
      </c>
      <c r="G83" s="189">
        <v>0.10506389773333333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0.60530958009590008</v>
      </c>
      <c r="L83" s="188">
        <v>3.3545125000000002E-3</v>
      </c>
      <c r="M83" s="233">
        <v>3354512</v>
      </c>
      <c r="N83" s="195">
        <v>3.354512E-3</v>
      </c>
      <c r="O83" s="211">
        <v>6.3596174341003481E-2</v>
      </c>
      <c r="P83" s="183">
        <v>3.5620706326137171E-3</v>
      </c>
      <c r="Q83" s="183">
        <v>6.7531153552788159E-2</v>
      </c>
      <c r="R83" s="1">
        <v>3.4273830376230548E-3</v>
      </c>
      <c r="S83" s="1">
        <v>3.4273830376230548E-3</v>
      </c>
      <c r="T83" s="1">
        <v>0.6184588035762042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2717980</v>
      </c>
      <c r="D84" s="30">
        <v>8855811060</v>
      </c>
      <c r="E84" s="187">
        <f t="shared" si="2"/>
        <v>21.721550710454085</v>
      </c>
      <c r="F84" s="188">
        <v>2.71798E-3</v>
      </c>
      <c r="G84" s="189">
        <v>5.9038740399999998E-2</v>
      </c>
      <c r="H84" s="178">
        <v>20</v>
      </c>
      <c r="I84" s="124" t="str">
        <f t="shared" si="3"/>
        <v>(30, 35]</v>
      </c>
      <c r="J84" s="160">
        <v>1</v>
      </c>
      <c r="K84" s="234">
        <v>0.22163021802956606</v>
      </c>
      <c r="L84" s="188">
        <v>6.0238649999999996E-4</v>
      </c>
      <c r="M84" s="233">
        <v>602386</v>
      </c>
      <c r="N84" s="195">
        <v>6.02386E-4</v>
      </c>
      <c r="O84" s="211">
        <v>1.3084758046267594E-2</v>
      </c>
      <c r="P84" s="183">
        <v>6.3983574365983657E-4</v>
      </c>
      <c r="Q84" s="183">
        <v>1.3898224552268241E-2</v>
      </c>
      <c r="R84" s="1">
        <v>6.156425295462324E-4</v>
      </c>
      <c r="S84" s="1">
        <v>6.156425295462324E-4</v>
      </c>
      <c r="T84" s="1">
        <v>0.22650738031414228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4824714</v>
      </c>
      <c r="D85" s="30">
        <v>18466972780</v>
      </c>
      <c r="E85" s="187">
        <f t="shared" si="2"/>
        <v>25.517191664970536</v>
      </c>
      <c r="F85" s="188">
        <v>4.8247139999999999E-3</v>
      </c>
      <c r="G85" s="189">
        <v>0.12311315186666665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0.41915137353219278</v>
      </c>
      <c r="L85" s="188">
        <v>2.0222855000000001E-3</v>
      </c>
      <c r="M85" s="233">
        <v>2022285</v>
      </c>
      <c r="N85" s="195">
        <v>2.022285E-3</v>
      </c>
      <c r="O85" s="211">
        <v>5.1603033946194941E-2</v>
      </c>
      <c r="P85" s="183">
        <v>2.1487021242307947E-3</v>
      </c>
      <c r="Q85" s="183">
        <v>5.482884393492652E-2</v>
      </c>
      <c r="R85" s="1">
        <v>2.0674562559388405E-3</v>
      </c>
      <c r="S85" s="1">
        <v>2.0674562559388405E-3</v>
      </c>
      <c r="T85" s="1">
        <v>0.42851374318536611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2092535</v>
      </c>
      <c r="D86" s="30">
        <v>9109320400</v>
      </c>
      <c r="E86" s="187">
        <f t="shared" si="2"/>
        <v>29.021642489452585</v>
      </c>
      <c r="F86" s="188">
        <v>2.092535E-3</v>
      </c>
      <c r="G86" s="189">
        <v>6.0728802666666665E-2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0.33011036852430187</v>
      </c>
      <c r="L86" s="188">
        <v>6.9076749999999996E-4</v>
      </c>
      <c r="M86" s="233">
        <v>690767</v>
      </c>
      <c r="N86" s="195">
        <v>6.9076700000000001E-4</v>
      </c>
      <c r="O86" s="211">
        <v>2.0047192917511693E-2</v>
      </c>
      <c r="P86" s="183">
        <v>7.3413989244552143E-4</v>
      </c>
      <c r="Q86" s="183">
        <v>2.1305945495799096E-2</v>
      </c>
      <c r="R86" s="1">
        <v>7.0638088744577035E-4</v>
      </c>
      <c r="S86" s="1">
        <v>7.0638088744577035E-4</v>
      </c>
      <c r="T86" s="1">
        <v>0.33757183867690166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2589965</v>
      </c>
      <c r="D87" s="30">
        <v>12464788320</v>
      </c>
      <c r="E87" s="187">
        <f t="shared" si="2"/>
        <v>32.084830798871799</v>
      </c>
      <c r="F87" s="188">
        <v>2.5899650000000001E-3</v>
      </c>
      <c r="G87" s="189">
        <v>8.3098588799999998E-2</v>
      </c>
      <c r="H87" s="178">
        <v>30</v>
      </c>
      <c r="I87" s="124" t="str">
        <f t="shared" si="3"/>
        <v>(45, 50]</v>
      </c>
      <c r="J87" s="160">
        <v>1</v>
      </c>
      <c r="K87" s="234">
        <v>0.38935989482483352</v>
      </c>
      <c r="L87" s="188">
        <v>1.0084285E-3</v>
      </c>
      <c r="M87" s="233">
        <v>1008428</v>
      </c>
      <c r="N87" s="195">
        <v>1.008428E-3</v>
      </c>
      <c r="O87" s="211">
        <v>3.2355241752844689E-2</v>
      </c>
      <c r="P87" s="183">
        <v>1.0719636153106963E-3</v>
      </c>
      <c r="Q87" s="183">
        <v>3.4393771219790592E-2</v>
      </c>
      <c r="R87" s="1">
        <v>1.0314309543517101E-3</v>
      </c>
      <c r="S87" s="1">
        <v>1.0314309543517101E-3</v>
      </c>
      <c r="T87" s="1">
        <v>0.39824127134988702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4114058</v>
      </c>
      <c r="D88" s="30">
        <v>23362224820</v>
      </c>
      <c r="E88" s="187">
        <f t="shared" si="2"/>
        <v>37.857552194613362</v>
      </c>
      <c r="F88" s="188">
        <v>4.1140580000000003E-3</v>
      </c>
      <c r="G88" s="189">
        <v>0.15574816546666667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0.23657724319880757</v>
      </c>
      <c r="L88" s="188">
        <v>9.7329250000000001E-4</v>
      </c>
      <c r="M88" s="233">
        <v>973292</v>
      </c>
      <c r="N88" s="195">
        <v>9.7329199999999995E-4</v>
      </c>
      <c r="O88" s="211">
        <v>3.6846452690599628E-2</v>
      </c>
      <c r="P88" s="183">
        <v>1.0349581898378326E-3</v>
      </c>
      <c r="Q88" s="183">
        <v>3.9180983691028314E-2</v>
      </c>
      <c r="R88" s="1">
        <v>9.958247632772079E-4</v>
      </c>
      <c r="S88" s="1">
        <v>9.958247632772079E-4</v>
      </c>
      <c r="T88" s="1">
        <v>0.24205413809849249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2473364</v>
      </c>
      <c r="D89" s="30">
        <v>16200610080</v>
      </c>
      <c r="E89" s="187">
        <f t="shared" si="2"/>
        <v>43.666871192432659</v>
      </c>
      <c r="F89" s="188">
        <v>2.473364E-3</v>
      </c>
      <c r="G89" s="189">
        <v>0.10800406720000001</v>
      </c>
      <c r="H89" s="178">
        <v>40</v>
      </c>
      <c r="I89" s="124" t="str">
        <f t="shared" si="3"/>
        <v>(60, 70]</v>
      </c>
      <c r="J89" s="160">
        <v>1</v>
      </c>
      <c r="K89" s="234">
        <v>4.5374437405897396E-2</v>
      </c>
      <c r="L89" s="188">
        <v>1.122275E-4</v>
      </c>
      <c r="M89" s="233">
        <v>112227</v>
      </c>
      <c r="N89" s="195">
        <v>1.1222699999999999E-4</v>
      </c>
      <c r="O89" s="211">
        <v>4.9006019533131395E-3</v>
      </c>
      <c r="P89" s="183">
        <v>1.1937234023504414E-4</v>
      </c>
      <c r="Q89" s="183">
        <v>5.2126166049829186E-3</v>
      </c>
      <c r="R89" s="1">
        <v>1.1485868088549111E-4</v>
      </c>
      <c r="S89" s="1">
        <v>1.1485868088549111E-4</v>
      </c>
      <c r="T89" s="1">
        <v>4.6438243980866184E-2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3216093</v>
      </c>
      <c r="D90" s="30">
        <v>24497168740</v>
      </c>
      <c r="E90" s="187">
        <f t="shared" si="2"/>
        <v>50.780390450980953</v>
      </c>
      <c r="F90" s="188">
        <v>3.2160930000000002E-3</v>
      </c>
      <c r="G90" s="189">
        <v>0.16331445826666668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0.11549184056555578</v>
      </c>
      <c r="L90" s="188">
        <v>3.714325E-4</v>
      </c>
      <c r="M90" s="233">
        <v>371432</v>
      </c>
      <c r="N90" s="195">
        <v>3.7143199999999999E-4</v>
      </c>
      <c r="O90" s="211">
        <v>1.8861461985988755E-2</v>
      </c>
      <c r="P90" s="183">
        <v>4.0586595679915005E-4</v>
      </c>
      <c r="Q90" s="183">
        <v>2.0610031757021807E-2</v>
      </c>
      <c r="R90" s="1">
        <v>3.9051951501066978E-4</v>
      </c>
      <c r="S90" s="1">
        <v>3.9051951501066978E-4</v>
      </c>
      <c r="T90" s="1">
        <v>0.12142668604753337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2107490</v>
      </c>
      <c r="D91" s="30">
        <v>18191147520</v>
      </c>
      <c r="E91" s="187">
        <f t="shared" si="2"/>
        <v>57.544432856146408</v>
      </c>
      <c r="F91" s="188">
        <v>2.1074900000000001E-3</v>
      </c>
      <c r="G91" s="189">
        <v>0.12127431679999999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0.10271816236375973</v>
      </c>
      <c r="L91" s="188">
        <v>2.164775E-4</v>
      </c>
      <c r="M91" s="233">
        <v>216477</v>
      </c>
      <c r="N91" s="195">
        <v>2.1647699999999999E-4</v>
      </c>
      <c r="O91" s="211">
        <v>1.2457046191400006E-2</v>
      </c>
      <c r="P91" s="183">
        <v>2.3038861665363518E-4</v>
      </c>
      <c r="Q91" s="183">
        <v>1.3257582281845563E-2</v>
      </c>
      <c r="R91" s="1">
        <v>2.2167725410899785E-4</v>
      </c>
      <c r="S91" s="1">
        <v>2.2167725410899785E-4</v>
      </c>
      <c r="T91" s="1">
        <v>0.10518543580704907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2095097</v>
      </c>
      <c r="D92" s="30">
        <v>20151879480</v>
      </c>
      <c r="E92" s="187">
        <f t="shared" si="2"/>
        <v>64.123934691329325</v>
      </c>
      <c r="F92" s="188">
        <v>2.0950970000000002E-3</v>
      </c>
      <c r="G92" s="189">
        <v>0.1343458632</v>
      </c>
      <c r="H92" s="178">
        <v>60</v>
      </c>
      <c r="I92" s="124" t="str">
        <f t="shared" si="3"/>
        <v>(90, 100]</v>
      </c>
      <c r="J92" s="160">
        <v>1</v>
      </c>
      <c r="K92" s="234">
        <v>0.17342084877215708</v>
      </c>
      <c r="L92" s="188">
        <v>3.6333350000000003E-4</v>
      </c>
      <c r="M92" s="233">
        <v>363333</v>
      </c>
      <c r="N92" s="195">
        <v>3.6333300000000003E-4</v>
      </c>
      <c r="O92" s="211">
        <v>2.3298341563204761E-2</v>
      </c>
      <c r="P92" s="183">
        <v>3.8676638236154301E-4</v>
      </c>
      <c r="Q92" s="183">
        <v>2.4800982243353292E-2</v>
      </c>
      <c r="R92" s="1">
        <v>3.7214212606899124E-4</v>
      </c>
      <c r="S92" s="1">
        <v>3.7214212606899124E-4</v>
      </c>
      <c r="T92" s="1">
        <v>0.17762524888775613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3576814</v>
      </c>
      <c r="D93" s="30">
        <v>39980059880</v>
      </c>
      <c r="E93" s="187">
        <f t="shared" si="2"/>
        <v>74.517079315092516</v>
      </c>
      <c r="F93" s="188">
        <v>3.5768140000000002E-3</v>
      </c>
      <c r="G93" s="189">
        <v>0.26653373253333335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5.2028285507717202E-2</v>
      </c>
      <c r="L93" s="188">
        <v>1.8609550000000001E-4</v>
      </c>
      <c r="M93" s="233">
        <v>186095</v>
      </c>
      <c r="N93" s="195">
        <v>1.86095E-4</v>
      </c>
      <c r="O93" s="211">
        <v>1.3867255875142141E-2</v>
      </c>
      <c r="P93" s="183">
        <v>1.9815808479017326E-4</v>
      </c>
      <c r="Q93" s="183">
        <v>1.476616172123617E-2</v>
      </c>
      <c r="R93" s="1">
        <v>1.9066541026991525E-4</v>
      </c>
      <c r="S93" s="1">
        <v>1.9066541026991525E-4</v>
      </c>
      <c r="T93" s="1">
        <v>5.3305933791892794E-2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2464538</v>
      </c>
      <c r="D94" s="30">
        <v>32284132780</v>
      </c>
      <c r="E94" s="187">
        <f t="shared" si="2"/>
        <v>87.329776155476878</v>
      </c>
      <c r="F94" s="188">
        <v>2.4645380000000001E-3</v>
      </c>
      <c r="G94" s="189">
        <v>0.21522755186666667</v>
      </c>
      <c r="H94" s="178">
        <v>80</v>
      </c>
      <c r="I94" s="124" t="str">
        <f t="shared" si="3"/>
        <v>(120, 140]</v>
      </c>
      <c r="J94" s="160">
        <v>1</v>
      </c>
      <c r="K94" s="234">
        <v>1.7279303463772926E-2</v>
      </c>
      <c r="L94" s="188">
        <v>4.2585500000000001E-5</v>
      </c>
      <c r="M94" s="233">
        <v>42585</v>
      </c>
      <c r="N94" s="195">
        <v>4.2585E-5</v>
      </c>
      <c r="O94" s="211">
        <v>3.718938517580983E-3</v>
      </c>
      <c r="P94" s="183">
        <v>4.5361489289316774E-5</v>
      </c>
      <c r="Q94" s="183">
        <v>3.9614087057150962E-3</v>
      </c>
      <c r="R94" s="1">
        <v>4.3646298736486627E-5</v>
      </c>
      <c r="S94" s="1">
        <v>4.3646298736486627E-5</v>
      </c>
      <c r="T94" s="1">
        <v>1.7709728450722457E-2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2333116</v>
      </c>
      <c r="D95" s="30">
        <v>35265624880</v>
      </c>
      <c r="E95" s="187">
        <f t="shared" si="2"/>
        <v>100.76831407725406</v>
      </c>
      <c r="F95" s="188">
        <v>2.3331160000000001E-3</v>
      </c>
      <c r="G95" s="189">
        <v>0.23510416586666669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5.9065430094345929E-2</v>
      </c>
      <c r="L95" s="188">
        <v>1.3780650000000001E-4</v>
      </c>
      <c r="M95" s="233">
        <v>137806</v>
      </c>
      <c r="N95" s="195">
        <v>1.37806E-4</v>
      </c>
      <c r="O95" s="211">
        <v>1.3886478289730074E-2</v>
      </c>
      <c r="P95" s="183">
        <v>1.4682797848910429E-4</v>
      </c>
      <c r="Q95" s="183">
        <v>1.4795607851718363E-2</v>
      </c>
      <c r="R95" s="1">
        <v>1.4127617748915406E-4</v>
      </c>
      <c r="S95" s="1">
        <v>1.4127617748915406E-4</v>
      </c>
      <c r="T95" s="1">
        <v>6.0552573249317246E-2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1791620</v>
      </c>
      <c r="D96" s="30">
        <v>30722366440</v>
      </c>
      <c r="E96" s="187">
        <f t="shared" si="2"/>
        <v>114.31875970722959</v>
      </c>
      <c r="F96" s="188">
        <v>1.7916200000000001E-3</v>
      </c>
      <c r="G96" s="189">
        <v>0.20481577626666669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1.8754814078878333E-2</v>
      </c>
      <c r="L96" s="188">
        <v>3.36015E-5</v>
      </c>
      <c r="M96" s="233">
        <v>33601</v>
      </c>
      <c r="N96" s="195">
        <v>3.3600999999999999E-5</v>
      </c>
      <c r="O96" s="211">
        <v>3.8412246449226212E-3</v>
      </c>
      <c r="P96" s="183">
        <v>3.5811702070513243E-5</v>
      </c>
      <c r="Q96" s="183">
        <v>4.0939493637059E-3</v>
      </c>
      <c r="R96" s="1">
        <v>3.4457604265647338E-5</v>
      </c>
      <c r="S96" s="1">
        <v>3.4457604265647338E-5</v>
      </c>
      <c r="T96" s="1">
        <v>1.9232652161533883E-2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1634196</v>
      </c>
      <c r="D97" s="30">
        <v>31397260220</v>
      </c>
      <c r="E97" s="187">
        <f t="shared" si="2"/>
        <v>128.08443303822389</v>
      </c>
      <c r="F97" s="188">
        <v>1.6341960000000001E-3</v>
      </c>
      <c r="G97" s="189">
        <v>0.20931506813333334</v>
      </c>
      <c r="H97" s="178">
        <v>120</v>
      </c>
      <c r="I97" s="124" t="str">
        <f t="shared" si="3"/>
        <v>(180, 200]</v>
      </c>
      <c r="J97" s="160">
        <v>1</v>
      </c>
      <c r="K97" s="234">
        <v>2.5353445975880493E-2</v>
      </c>
      <c r="L97" s="188">
        <v>4.14325E-5</v>
      </c>
      <c r="M97" s="233">
        <v>41432</v>
      </c>
      <c r="N97" s="195">
        <v>4.1431999999999999E-5</v>
      </c>
      <c r="O97" s="211">
        <v>5.3067942296396919E-3</v>
      </c>
      <c r="P97" s="183">
        <v>4.4167765886966334E-5</v>
      </c>
      <c r="Q97" s="183">
        <v>5.6572032521970891E-3</v>
      </c>
      <c r="R97" s="1">
        <v>4.2497711927631718E-5</v>
      </c>
      <c r="S97" s="1">
        <v>4.2497711927631718E-5</v>
      </c>
      <c r="T97" s="1">
        <v>2.6005272273112719E-2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3164800</v>
      </c>
      <c r="D98" s="30">
        <v>70996941800</v>
      </c>
      <c r="E98" s="187">
        <f t="shared" si="2"/>
        <v>149.5554048702393</v>
      </c>
      <c r="F98" s="188">
        <v>3.1648000000000002E-3</v>
      </c>
      <c r="G98" s="189">
        <v>0.47331294533333335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1.8039844539939332E-2</v>
      </c>
      <c r="L98" s="188">
        <v>5.7092500000000003E-5</v>
      </c>
      <c r="M98" s="233">
        <v>57092</v>
      </c>
      <c r="N98" s="195">
        <v>5.7092000000000002E-5</v>
      </c>
      <c r="O98" s="211">
        <v>8.5384171748517021E-3</v>
      </c>
      <c r="P98" s="183">
        <v>6.087989351987251E-5</v>
      </c>
      <c r="Q98" s="183">
        <v>9.1049171238215907E-3</v>
      </c>
      <c r="R98" s="1">
        <v>5.8577927251600465E-5</v>
      </c>
      <c r="S98" s="1">
        <v>5.8577927251600465E-5</v>
      </c>
      <c r="T98" s="1">
        <v>1.8509203504676587E-2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2186646</v>
      </c>
      <c r="D99" s="30">
        <v>60173226980</v>
      </c>
      <c r="E99" s="187">
        <f t="shared" si="2"/>
        <v>183.45669419436587</v>
      </c>
      <c r="F99" s="188">
        <v>2.186646E-3</v>
      </c>
      <c r="G99" s="189">
        <v>0.40115484653333333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1.0234624168704033E-2</v>
      </c>
      <c r="L99" s="188">
        <v>2.2379499999999998E-5</v>
      </c>
      <c r="M99" s="233">
        <v>22379</v>
      </c>
      <c r="N99" s="195">
        <v>2.2379E-5</v>
      </c>
      <c r="O99" s="211">
        <v>4.1055773593757141E-3</v>
      </c>
      <c r="P99" s="183">
        <v>2.3874468047008827E-5</v>
      </c>
      <c r="Q99" s="183">
        <v>4.3799309835532577E-3</v>
      </c>
      <c r="R99" s="1">
        <v>2.2971736177098222E-5</v>
      </c>
      <c r="S99" s="1">
        <v>2.2971736177098222E-5</v>
      </c>
      <c r="T99" s="1">
        <v>1.0505466443630209E-2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1532786</v>
      </c>
      <c r="D100" s="30">
        <v>49779243740</v>
      </c>
      <c r="E100" s="187">
        <f t="shared" si="2"/>
        <v>216.50877874232498</v>
      </c>
      <c r="F100" s="188">
        <v>1.532786E-3</v>
      </c>
      <c r="G100" s="189">
        <v>0.33186162493333332</v>
      </c>
      <c r="H100" s="178">
        <v>200</v>
      </c>
      <c r="I100" s="124" t="str">
        <f t="shared" si="3"/>
        <v>(300, 350]</v>
      </c>
      <c r="J100" s="160">
        <v>1</v>
      </c>
      <c r="K100" s="234">
        <v>1.458455387771026E-3</v>
      </c>
      <c r="L100" s="188">
        <v>2.2354999999999996E-6</v>
      </c>
      <c r="M100" s="233">
        <v>2235</v>
      </c>
      <c r="N100" s="195">
        <v>2.2350000000000002E-6</v>
      </c>
      <c r="O100" s="211">
        <v>4.8389712048909635E-4</v>
      </c>
      <c r="P100" s="183">
        <v>2.3874468047008827E-6</v>
      </c>
      <c r="Q100" s="183">
        <v>5.1690319199805415E-4</v>
      </c>
      <c r="R100" s="1">
        <v>2.2971736177098222E-6</v>
      </c>
      <c r="S100" s="1">
        <v>2.2971736177098222E-6</v>
      </c>
      <c r="T100" s="1">
        <v>1.4986916749695144E-3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1321982</v>
      </c>
      <c r="D101" s="30">
        <v>49728819760</v>
      </c>
      <c r="E101" s="187">
        <f t="shared" si="2"/>
        <v>250.77910672510419</v>
      </c>
      <c r="F101" s="188">
        <v>1.321982E-3</v>
      </c>
      <c r="G101" s="189">
        <v>0.33152546506666669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8.4456520588026165E-4</v>
      </c>
      <c r="L101" s="188">
        <v>1.1165E-6</v>
      </c>
      <c r="M101" s="233">
        <v>1116</v>
      </c>
      <c r="N101" s="195">
        <v>1.116E-6</v>
      </c>
      <c r="O101" s="211">
        <v>2.7986948310521629E-4</v>
      </c>
      <c r="P101" s="183">
        <v>1.1937234023504413E-6</v>
      </c>
      <c r="Q101" s="183">
        <v>2.9936088851829581E-4</v>
      </c>
      <c r="R101" s="1">
        <v>1.1485868088549111E-6</v>
      </c>
      <c r="S101" s="1">
        <v>1.1485868088549111E-6</v>
      </c>
      <c r="T101" s="1">
        <v>8.688369500151372E-4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1006647</v>
      </c>
      <c r="D102" s="30">
        <v>42818989640</v>
      </c>
      <c r="E102" s="187">
        <f t="shared" si="2"/>
        <v>283.57500785611376</v>
      </c>
      <c r="F102" s="188">
        <v>1.0066470000000001E-3</v>
      </c>
      <c r="G102" s="189">
        <v>0.28545993093333338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5.5515985246069374E-3</v>
      </c>
      <c r="L102" s="188">
        <v>5.5884999999999999E-6</v>
      </c>
      <c r="M102" s="233">
        <v>5588</v>
      </c>
      <c r="N102" s="195">
        <v>5.5879999999999997E-6</v>
      </c>
      <c r="O102" s="211">
        <v>1.5846171438999635E-3</v>
      </c>
      <c r="P102" s="183">
        <v>5.9686170117522067E-6</v>
      </c>
      <c r="Q102" s="183">
        <v>1.6925506159977662E-3</v>
      </c>
      <c r="R102" s="1">
        <v>5.7429340442745555E-6</v>
      </c>
      <c r="S102" s="1">
        <v>5.7429340442745555E-6</v>
      </c>
      <c r="T102" s="1">
        <v>5.7050128240332069E-3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866131</v>
      </c>
      <c r="D103" s="30">
        <v>41344379840</v>
      </c>
      <c r="E103" s="187">
        <f t="shared" si="2"/>
        <v>318.23038193221731</v>
      </c>
      <c r="F103" s="188">
        <v>8.6613100000000002E-4</v>
      </c>
      <c r="G103" s="189">
        <v>0.27562919893333332</v>
      </c>
      <c r="H103" s="178">
        <v>300</v>
      </c>
      <c r="I103" s="124" t="str">
        <f t="shared" si="3"/>
        <v>(450, 500]</v>
      </c>
      <c r="J103" s="160">
        <v>1</v>
      </c>
      <c r="K103" s="234">
        <v>1.8065973853839661E-2</v>
      </c>
      <c r="L103" s="188">
        <v>1.5647499999999999E-5</v>
      </c>
      <c r="M103" s="233">
        <v>15647</v>
      </c>
      <c r="N103" s="195">
        <v>1.5647000000000001E-5</v>
      </c>
      <c r="O103" s="211">
        <v>4.9793507860934044E-3</v>
      </c>
      <c r="P103" s="183">
        <v>1.6712127632906179E-5</v>
      </c>
      <c r="Q103" s="183">
        <v>5.3183067595196963E-3</v>
      </c>
      <c r="R103" s="1">
        <v>1.6080215323968754E-5</v>
      </c>
      <c r="S103" s="1">
        <v>1.6080215323968754E-5</v>
      </c>
      <c r="T103" s="1">
        <v>1.8565569554684861E-2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824251</v>
      </c>
      <c r="D104" s="30">
        <v>43257771340</v>
      </c>
      <c r="E104" s="187">
        <f t="shared" si="2"/>
        <v>349.87539264940733</v>
      </c>
      <c r="F104" s="188">
        <v>8.2425100000000002E-4</v>
      </c>
      <c r="G104" s="189">
        <v>0.28838514226666667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5.4212855064780024E-3</v>
      </c>
      <c r="L104" s="188">
        <v>4.4684999999999997E-6</v>
      </c>
      <c r="M104" s="233">
        <v>4468</v>
      </c>
      <c r="N104" s="195">
        <v>4.4680000000000003E-6</v>
      </c>
      <c r="O104" s="211">
        <v>1.5632432543575521E-3</v>
      </c>
      <c r="P104" s="183">
        <v>4.7748936094017653E-6</v>
      </c>
      <c r="Q104" s="183">
        <v>1.6706177764485885E-3</v>
      </c>
      <c r="R104" s="1">
        <v>4.5943472354196444E-6</v>
      </c>
      <c r="S104" s="1">
        <v>4.5943472354196444E-6</v>
      </c>
      <c r="T104" s="1">
        <v>5.5739662256031773E-3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641727</v>
      </c>
      <c r="D105" s="30">
        <v>36969935840</v>
      </c>
      <c r="E105" s="187">
        <f t="shared" si="2"/>
        <v>384.06711722170542</v>
      </c>
      <c r="F105" s="188">
        <v>6.4172700000000003E-4</v>
      </c>
      <c r="G105" s="189">
        <v>0.24646623893333336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487130</v>
      </c>
      <c r="D106" s="30">
        <v>30486413740</v>
      </c>
      <c r="E106" s="187">
        <f t="shared" si="2"/>
        <v>417.22488507516817</v>
      </c>
      <c r="F106" s="188">
        <v>4.8713000000000001E-4</v>
      </c>
      <c r="G106" s="189">
        <v>0.20324275826666668</v>
      </c>
      <c r="H106" s="178">
        <v>400</v>
      </c>
      <c r="I106" s="124" t="str">
        <f t="shared" si="3"/>
        <v>(600, 650]</v>
      </c>
      <c r="J106" s="160">
        <v>1</v>
      </c>
      <c r="K106" s="234">
        <v>0</v>
      </c>
      <c r="L106" s="188">
        <v>0</v>
      </c>
      <c r="M106" s="233">
        <v>0</v>
      </c>
      <c r="N106" s="195">
        <v>0</v>
      </c>
      <c r="O106" s="211">
        <v>0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398856</v>
      </c>
      <c r="D107" s="30">
        <v>26925018060</v>
      </c>
      <c r="E107" s="187">
        <f t="shared" si="2"/>
        <v>450.03740798684237</v>
      </c>
      <c r="F107" s="188">
        <v>3.98856E-4</v>
      </c>
      <c r="G107" s="189">
        <v>0.17950012039999999</v>
      </c>
      <c r="H107" s="178">
        <v>433.33333333333331</v>
      </c>
      <c r="I107" s="124" t="str">
        <f t="shared" si="3"/>
        <v>(650, 700]</v>
      </c>
      <c r="J107" s="160">
        <v>1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344325</v>
      </c>
      <c r="D108" s="30">
        <v>24963717040</v>
      </c>
      <c r="E108" s="187">
        <f t="shared" si="2"/>
        <v>483.33632546770252</v>
      </c>
      <c r="F108" s="188">
        <v>3.4432499999999998E-4</v>
      </c>
      <c r="G108" s="189">
        <v>0.16642478026666666</v>
      </c>
      <c r="H108" s="178">
        <v>466.66666666666669</v>
      </c>
      <c r="I108" s="124" t="str">
        <f t="shared" si="3"/>
        <v>(700, 750]</v>
      </c>
      <c r="J108" s="160">
        <v>1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1.1539397658337322E-3</v>
      </c>
      <c r="R108" s="1">
        <v>2.2971736177098222E-6</v>
      </c>
      <c r="S108" s="1">
        <v>2.2971736177098222E-6</v>
      </c>
      <c r="T108" s="1">
        <v>6.6715272423141575E-3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392768</v>
      </c>
      <c r="D109" s="30">
        <v>30691991300</v>
      </c>
      <c r="E109" s="187">
        <f t="shared" si="2"/>
        <v>520.95200050241704</v>
      </c>
      <c r="F109" s="188">
        <v>3.9276799999999999E-4</v>
      </c>
      <c r="G109" s="189">
        <v>0.20461327533333332</v>
      </c>
      <c r="H109" s="178">
        <v>500</v>
      </c>
      <c r="I109" s="124" t="str">
        <f t="shared" si="3"/>
        <v>(750, 800]</v>
      </c>
      <c r="J109" s="160">
        <v>1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418753</v>
      </c>
      <c r="D110" s="30">
        <v>34621708880</v>
      </c>
      <c r="E110" s="187">
        <f t="shared" si="2"/>
        <v>551.18743634871475</v>
      </c>
      <c r="F110" s="188">
        <v>4.1875300000000001E-4</v>
      </c>
      <c r="G110" s="189">
        <v>0.23081139253333335</v>
      </c>
      <c r="H110" s="178">
        <v>533.33333333333337</v>
      </c>
      <c r="I110" s="124" t="str">
        <f t="shared" si="3"/>
        <v>(800, 850]</v>
      </c>
      <c r="J110" s="160">
        <v>1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346215</v>
      </c>
      <c r="D111" s="30">
        <v>30283473840</v>
      </c>
      <c r="E111" s="187">
        <f t="shared" si="2"/>
        <v>583.13425357075801</v>
      </c>
      <c r="F111" s="188">
        <v>3.4621499999999998E-4</v>
      </c>
      <c r="G111" s="189">
        <v>0.20188982559999996</v>
      </c>
      <c r="H111" s="178">
        <v>566.66666666666663</v>
      </c>
      <c r="I111" s="124" t="str">
        <f t="shared" si="3"/>
        <v>(850, 900]</v>
      </c>
      <c r="J111" s="160">
        <v>1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245051</v>
      </c>
      <c r="D112" s="30">
        <v>22661715420</v>
      </c>
      <c r="E112" s="187">
        <f t="shared" si="2"/>
        <v>616.51698136306322</v>
      </c>
      <c r="F112" s="188">
        <v>2.4505099999999998E-4</v>
      </c>
      <c r="G112" s="189">
        <v>0.1510781028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314926</v>
      </c>
      <c r="D113" s="30">
        <v>30927721160</v>
      </c>
      <c r="E113" s="187">
        <f t="shared" si="2"/>
        <v>654.70874978037159</v>
      </c>
      <c r="F113" s="188">
        <v>3.1492599999999999E-4</v>
      </c>
      <c r="G113" s="189">
        <v>0.20618480773333328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3471462</v>
      </c>
      <c r="D114" s="30">
        <v>492335740020</v>
      </c>
      <c r="E114" s="187">
        <f t="shared" si="2"/>
        <v>945.49163055796089</v>
      </c>
      <c r="F114" s="188">
        <v>3.4714619999999998E-3</v>
      </c>
      <c r="G114" s="189">
        <v>3.2822382667999999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2.7668457842833943E-4</v>
      </c>
      <c r="L114" s="188">
        <v>9.6049999999999995E-7</v>
      </c>
      <c r="M114" s="233">
        <v>960</v>
      </c>
      <c r="N114" s="195">
        <v>9.5999999999999991E-7</v>
      </c>
      <c r="O114" s="211">
        <v>9.0767196533564235E-4</v>
      </c>
      <c r="P114" s="183">
        <v>1.1937234023504413E-6</v>
      </c>
      <c r="Q114" s="183">
        <v>1.1286554861235157E-3</v>
      </c>
      <c r="R114" s="1">
        <v>1.1485868088549111E-6</v>
      </c>
      <c r="S114" s="1">
        <v>1.1485868088549111E-6</v>
      </c>
      <c r="T114" s="1">
        <v>3.3086544195353747E-4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1625948</v>
      </c>
      <c r="D115" s="30">
        <v>393309028260</v>
      </c>
      <c r="E115" s="187">
        <f t="shared" si="2"/>
        <v>1612.6347142713053</v>
      </c>
      <c r="F115" s="188">
        <v>1.6259480000000001E-3</v>
      </c>
      <c r="G115" s="189">
        <v>2.6220601884000003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2.6353856334888941E-4</v>
      </c>
      <c r="L115" s="188">
        <v>4.2850000000000006E-7</v>
      </c>
      <c r="M115" s="233">
        <v>428</v>
      </c>
      <c r="N115" s="195">
        <v>4.2800000000000002E-7</v>
      </c>
      <c r="O115" s="211">
        <v>6.9020765770811874E-4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822190</v>
      </c>
      <c r="D116" s="30">
        <v>283434237380</v>
      </c>
      <c r="E116" s="187">
        <f t="shared" si="2"/>
        <v>2298.2055030264701</v>
      </c>
      <c r="F116" s="188">
        <v>8.2218999999999999E-4</v>
      </c>
      <c r="G116" s="189">
        <v>1.8895615825333334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495097</v>
      </c>
      <c r="D117" s="30">
        <v>219795593180</v>
      </c>
      <c r="E117" s="187">
        <f t="shared" si="2"/>
        <v>2959.6300412511755</v>
      </c>
      <c r="F117" s="188">
        <v>4.9509700000000001E-4</v>
      </c>
      <c r="G117" s="189">
        <v>1.4653039545333333</v>
      </c>
      <c r="H117" s="178">
        <v>2666.6666666666665</v>
      </c>
      <c r="I117" s="124" t="str">
        <f t="shared" si="3"/>
        <v>(4000, 5000]</v>
      </c>
      <c r="J117" s="160">
        <v>1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263613</v>
      </c>
      <c r="D118" s="30">
        <v>144034384720</v>
      </c>
      <c r="E118" s="187">
        <f t="shared" si="2"/>
        <v>3642.571616220242</v>
      </c>
      <c r="F118" s="188">
        <v>2.63613E-4</v>
      </c>
      <c r="G118" s="189">
        <v>0.96022923146666661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171410</v>
      </c>
      <c r="D119" s="30">
        <v>110646987040</v>
      </c>
      <c r="E119" s="187">
        <f t="shared" si="2"/>
        <v>4303.404587052486</v>
      </c>
      <c r="F119" s="188">
        <v>1.7140999999999999E-4</v>
      </c>
      <c r="G119" s="189">
        <v>0.73764658026666652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106095</v>
      </c>
      <c r="D120" s="30">
        <v>79308066020</v>
      </c>
      <c r="E120" s="187">
        <f t="shared" si="2"/>
        <v>4983.4623698886217</v>
      </c>
      <c r="F120" s="188">
        <v>1.0609500000000001E-4</v>
      </c>
      <c r="G120" s="189">
        <v>0.5287204401333333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70205</v>
      </c>
      <c r="D121" s="30">
        <v>59386972540</v>
      </c>
      <c r="E121" s="187">
        <f t="shared" si="2"/>
        <v>5639.3867996106637</v>
      </c>
      <c r="F121" s="188">
        <v>7.0204999999999996E-5</v>
      </c>
      <c r="G121" s="189">
        <v>0.39591315026666662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43227</v>
      </c>
      <c r="D122" s="30">
        <v>40922277040</v>
      </c>
      <c r="E122" s="187">
        <f t="shared" si="2"/>
        <v>6311.2216963163455</v>
      </c>
      <c r="F122" s="188">
        <v>4.3226999999999998E-5</v>
      </c>
      <c r="G122" s="189">
        <v>0.27281518026666668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111376</v>
      </c>
      <c r="D123" s="30">
        <v>141282726820</v>
      </c>
      <c r="E123" s="187">
        <f t="shared" si="2"/>
        <v>8456.8025918210988</v>
      </c>
      <c r="F123" s="188">
        <v>1.11376E-4</v>
      </c>
      <c r="G123" s="189">
        <v>0.94188484546666673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7220</v>
      </c>
      <c r="D124" s="30">
        <v>16717845320</v>
      </c>
      <c r="E124" s="187">
        <f t="shared" si="2"/>
        <v>15436.606943674979</v>
      </c>
      <c r="F124" s="188">
        <v>7.2200000000000003E-6</v>
      </c>
      <c r="G124" s="189">
        <v>0.11145230213333335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806</v>
      </c>
      <c r="D125" s="30">
        <v>2823396900</v>
      </c>
      <c r="E125" s="187">
        <f t="shared" si="2"/>
        <v>23353.158808933003</v>
      </c>
      <c r="F125" s="188">
        <v>8.0599999999999999E-7</v>
      </c>
      <c r="G125" s="189">
        <v>1.8822646000000002E-2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3.228087081977872E-2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46505.138817839368</v>
      </c>
      <c r="O129" s="220" cm="1">
        <f t="array" ref="O129:O130">N131/N129:N130</f>
        <v>75.260500000000008</v>
      </c>
    </row>
    <row r="130" spans="1:55" ht="16.8" thickBot="1">
      <c r="M130" s="124" t="s">
        <v>179</v>
      </c>
      <c r="N130" s="218">
        <f>1/SUM(N115:N120)</f>
        <v>2336448.5981308408</v>
      </c>
      <c r="O130" s="220">
        <v>1.4980000000000002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0.89999822010668273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795198269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0.79519826900000001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1.0774709099624562</v>
      </c>
      <c r="L134" s="185" cm="1">
        <f t="array" ref="L134:L191">K134:K191*_xlfn.ANCHORARRAY(J134)*_xlfn.ANCHORARRAY(F134)</f>
        <v>0.85680300250000008</v>
      </c>
      <c r="M134" s="240" cm="1">
        <f t="array" ref="M134:M191">INT(_xlfn.ANCHORARRAY(L134)*$M$2)</f>
        <v>856803002</v>
      </c>
      <c r="N134" s="194" cm="1">
        <f t="array" ref="N134:N191">_xlfn.ANCHORARRAY(M134)/SUM(_xlfn.ANCHORARRAY(M134))</f>
        <v>0.85680300200000004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1.1152241643020981</v>
      </c>
      <c r="Q134" s="1" cm="1">
        <f t="array" ref="Q134:Q191">IFERROR(_xlfn.ANCHORARRAY(N4)/(_xlfn.ANCHORARRAY(J69)*_xlfn.ANCHORARRAY(F69)),0)</f>
        <v>1.1169204433845481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2.6007035457348526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1.2728400143107266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1.4933626115092913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1537010</v>
      </c>
      <c r="D138" s="30">
        <v>614804000</v>
      </c>
      <c r="E138" s="187">
        <f t="shared" si="4"/>
        <v>0.5</v>
      </c>
      <c r="F138" s="188">
        <v>1.5370099999999999E-3</v>
      </c>
      <c r="G138" s="189">
        <v>7.6850499999999995E-4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7.0821614693463291</v>
      </c>
      <c r="Q138" s="1">
        <v>0.85489608129443562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0.81330700118875887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1535472</v>
      </c>
      <c r="D140" s="30">
        <v>921283200</v>
      </c>
      <c r="E140" s="187">
        <f t="shared" si="4"/>
        <v>0.75</v>
      </c>
      <c r="F140" s="188">
        <v>1.535472E-3</v>
      </c>
      <c r="G140" s="189">
        <v>1.1516040000000001E-3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5.8461333062406862</v>
      </c>
      <c r="Q140" s="1">
        <v>0.62470809920271619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0.67991728673295337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2173876</v>
      </c>
      <c r="D142" s="30">
        <v>1739100800</v>
      </c>
      <c r="E142" s="187">
        <f t="shared" si="4"/>
        <v>1</v>
      </c>
      <c r="F142" s="188">
        <v>2.1738759999999999E-3</v>
      </c>
      <c r="G142" s="189">
        <v>2.1738759999999999E-3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15.216024971065506</v>
      </c>
      <c r="L142" s="188">
        <v>3.3077751499999995E-2</v>
      </c>
      <c r="M142" s="233">
        <v>33077751</v>
      </c>
      <c r="N142" s="195">
        <v>3.3077751000000002E-2</v>
      </c>
      <c r="O142" s="211">
        <v>3.3077751000000002E-2</v>
      </c>
      <c r="P142" s="1">
        <v>4.2962128474669212</v>
      </c>
      <c r="Q142" s="1">
        <v>0.58318525487902306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0.47245638634965026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3268307</v>
      </c>
      <c r="D144" s="30">
        <v>3268307000</v>
      </c>
      <c r="E144" s="187">
        <f t="shared" si="4"/>
        <v>1.25</v>
      </c>
      <c r="F144" s="188">
        <v>3.2683069999999998E-3</v>
      </c>
      <c r="G144" s="189">
        <v>4.0853837499999993E-3</v>
      </c>
      <c r="H144" s="232">
        <v>1.125</v>
      </c>
      <c r="I144" s="124" t="str">
        <f t="shared" si="5"/>
        <v>(9, 10]</v>
      </c>
      <c r="J144" s="160">
        <v>1</v>
      </c>
      <c r="K144" s="234">
        <v>7.6278411116213993</v>
      </c>
      <c r="L144" s="188">
        <v>2.49301265E-2</v>
      </c>
      <c r="M144" s="233">
        <v>24930126</v>
      </c>
      <c r="N144" s="195">
        <v>2.4930126E-2</v>
      </c>
      <c r="O144" s="211">
        <v>3.11626575E-2</v>
      </c>
      <c r="P144" s="1">
        <v>2.5104759130644707</v>
      </c>
      <c r="Q144" s="1">
        <v>0.71146637531845702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2634762</v>
      </c>
      <c r="D145" s="30">
        <v>3682764300</v>
      </c>
      <c r="E145" s="187">
        <f t="shared" si="4"/>
        <v>1.7471996996313139</v>
      </c>
      <c r="F145" s="188">
        <v>2.6347620000000001E-3</v>
      </c>
      <c r="G145" s="189">
        <v>4.603455375E-3</v>
      </c>
      <c r="H145" s="232">
        <v>1.25</v>
      </c>
      <c r="I145" s="214" t="str">
        <f t="shared" si="5"/>
        <v>(10, 15]</v>
      </c>
      <c r="J145" s="160">
        <v>1</v>
      </c>
      <c r="K145" s="234">
        <v>1.5106854053610914</v>
      </c>
      <c r="L145" s="188">
        <v>3.9802965000000001E-3</v>
      </c>
      <c r="M145" s="233">
        <v>3980296</v>
      </c>
      <c r="N145" s="195">
        <v>3.9802960000000004E-3</v>
      </c>
      <c r="O145" s="211">
        <v>6.9543719756437212E-3</v>
      </c>
      <c r="P145" s="1">
        <v>5.4329939478404503</v>
      </c>
      <c r="Q145" s="1">
        <v>0.44471651178367533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9016244</v>
      </c>
      <c r="D146" s="30">
        <v>16921585600</v>
      </c>
      <c r="E146" s="187">
        <f t="shared" si="4"/>
        <v>2.3459859781966861</v>
      </c>
      <c r="F146" s="188">
        <v>9.0162439999999996E-3</v>
      </c>
      <c r="G146" s="189">
        <v>2.1151982E-2</v>
      </c>
      <c r="H146" s="232">
        <v>1.875</v>
      </c>
      <c r="I146" s="124" t="str">
        <f t="shared" si="5"/>
        <v>(15, 20]</v>
      </c>
      <c r="J146" s="160">
        <v>1</v>
      </c>
      <c r="K146" s="234">
        <v>1.5168317871610395</v>
      </c>
      <c r="L146" s="188">
        <v>1.3676125499999999E-2</v>
      </c>
      <c r="M146" s="233">
        <v>13676125</v>
      </c>
      <c r="N146" s="195">
        <v>1.3676125000000001E-2</v>
      </c>
      <c r="O146" s="211">
        <v>3.2083997486065156E-2</v>
      </c>
      <c r="P146" s="1">
        <v>0.99967891285994481</v>
      </c>
      <c r="Q146" s="1">
        <v>0.40479669456898465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5676427</v>
      </c>
      <c r="D147" s="30">
        <v>13793512000</v>
      </c>
      <c r="E147" s="187">
        <f t="shared" si="4"/>
        <v>3.0374547228388562</v>
      </c>
      <c r="F147" s="188">
        <v>5.6764270000000004E-3</v>
      </c>
      <c r="G147" s="189">
        <v>1.7241890000000003E-2</v>
      </c>
      <c r="H147" s="232">
        <v>2.5</v>
      </c>
      <c r="I147" s="124" t="str">
        <f t="shared" si="5"/>
        <v>(20, 25]</v>
      </c>
      <c r="J147" s="160">
        <v>1</v>
      </c>
      <c r="K147" s="234">
        <v>1.5180231332139038</v>
      </c>
      <c r="L147" s="188">
        <v>8.6169475000000013E-3</v>
      </c>
      <c r="M147" s="233">
        <v>8616947</v>
      </c>
      <c r="N147" s="195">
        <v>8.6169469999999998E-3</v>
      </c>
      <c r="O147" s="211">
        <v>2.6173586361602112E-2</v>
      </c>
      <c r="P147" s="1">
        <v>0.88659485975949293</v>
      </c>
      <c r="Q147" s="1">
        <v>0.30265455317344525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4496806</v>
      </c>
      <c r="D148" s="30">
        <v>13439030300</v>
      </c>
      <c r="E148" s="187">
        <f t="shared" si="4"/>
        <v>3.7357155000682707</v>
      </c>
      <c r="F148" s="188">
        <v>4.4968059999999999E-3</v>
      </c>
      <c r="G148" s="189">
        <v>1.6798787874999999E-2</v>
      </c>
      <c r="H148" s="232">
        <v>3.125</v>
      </c>
      <c r="I148" s="124" t="str">
        <f t="shared" si="5"/>
        <v>(25, 30]</v>
      </c>
      <c r="J148" s="160">
        <v>1</v>
      </c>
      <c r="K148" s="234">
        <v>1.5202980737883733</v>
      </c>
      <c r="L148" s="188">
        <v>6.8364854999999995E-3</v>
      </c>
      <c r="M148" s="233">
        <v>6836485</v>
      </c>
      <c r="N148" s="195">
        <v>6.8364849999999998E-3</v>
      </c>
      <c r="O148" s="211">
        <v>2.5539162980484229E-2</v>
      </c>
      <c r="P148" s="1">
        <v>0.74597658871652461</v>
      </c>
      <c r="Q148" s="1">
        <v>0.37671498478927384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3013307</v>
      </c>
      <c r="D149" s="30">
        <v>9688028000</v>
      </c>
      <c r="E149" s="187">
        <f t="shared" si="4"/>
        <v>4.0188520452778294</v>
      </c>
      <c r="F149" s="188">
        <v>3.0133069999999998E-3</v>
      </c>
      <c r="G149" s="189">
        <v>1.2110035E-2</v>
      </c>
      <c r="H149" s="232">
        <v>3.75</v>
      </c>
      <c r="I149" s="124" t="str">
        <f t="shared" si="5"/>
        <v>(30, 35]</v>
      </c>
      <c r="J149" s="160">
        <v>1</v>
      </c>
      <c r="K149" s="234">
        <v>1.5186064679105049</v>
      </c>
      <c r="L149" s="188">
        <v>4.5760274999999996E-3</v>
      </c>
      <c r="M149" s="233">
        <v>4576027</v>
      </c>
      <c r="N149" s="195">
        <v>4.5760269999999999E-3</v>
      </c>
      <c r="O149" s="211">
        <v>1.8390375468196569E-2</v>
      </c>
      <c r="P149" s="1">
        <v>0.1999086053959985</v>
      </c>
      <c r="Q149" s="1">
        <v>0.14678437663264632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10566689</v>
      </c>
      <c r="D150" s="30">
        <v>41532351200</v>
      </c>
      <c r="E150" s="187">
        <f t="shared" si="4"/>
        <v>4.913122644188733</v>
      </c>
      <c r="F150" s="188">
        <v>1.0566689000000001E-2</v>
      </c>
      <c r="G150" s="189">
        <v>5.1915439000000001E-2</v>
      </c>
      <c r="H150" s="232">
        <v>4.375</v>
      </c>
      <c r="I150" s="214" t="str">
        <f t="shared" si="5"/>
        <v>(35, 40]</v>
      </c>
      <c r="J150" s="160">
        <v>1</v>
      </c>
      <c r="K150" s="234">
        <v>0.37951211585767308</v>
      </c>
      <c r="L150" s="188">
        <v>4.0101865000000004E-3</v>
      </c>
      <c r="M150" s="233">
        <v>4010186</v>
      </c>
      <c r="N150" s="195">
        <v>4.0101859999999998E-3</v>
      </c>
      <c r="O150" s="211">
        <v>1.9702535644008638E-2</v>
      </c>
      <c r="P150" s="1">
        <v>0.19138303398538556</v>
      </c>
      <c r="Q150" s="1">
        <v>0.19295838053820394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2254117</v>
      </c>
      <c r="D151" s="30">
        <v>10061161100</v>
      </c>
      <c r="E151" s="187">
        <f t="shared" si="4"/>
        <v>5.5793250195087474</v>
      </c>
      <c r="F151" s="188">
        <v>2.2541169999999999E-3</v>
      </c>
      <c r="G151" s="189">
        <v>1.2576451374999999E-2</v>
      </c>
      <c r="H151" s="232">
        <v>5</v>
      </c>
      <c r="I151" s="124" t="str">
        <f t="shared" si="5"/>
        <v>(40, 45]</v>
      </c>
      <c r="J151" s="160">
        <v>1</v>
      </c>
      <c r="K151" s="234">
        <v>3.7796083788019876</v>
      </c>
      <c r="L151" s="188">
        <v>8.5196795000000002E-3</v>
      </c>
      <c r="M151" s="233">
        <v>8519679</v>
      </c>
      <c r="N151" s="195">
        <v>8.5196790000000005E-3</v>
      </c>
      <c r="O151" s="211">
        <v>4.753405820288327E-2</v>
      </c>
      <c r="P151" s="1">
        <v>0.30644682596333733</v>
      </c>
      <c r="Q151" s="1">
        <v>0.10333733963828563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7651966</v>
      </c>
      <c r="D152" s="30">
        <v>37555374200</v>
      </c>
      <c r="E152" s="187">
        <f t="shared" si="4"/>
        <v>6.1349224173238612</v>
      </c>
      <c r="F152" s="188">
        <v>7.6519659999999996E-3</v>
      </c>
      <c r="G152" s="189">
        <v>4.6944217749999996E-2</v>
      </c>
      <c r="H152" s="232">
        <v>5.625</v>
      </c>
      <c r="I152" s="124" t="str">
        <f t="shared" si="5"/>
        <v>(45, 50]</v>
      </c>
      <c r="J152" s="160">
        <v>1</v>
      </c>
      <c r="K152" s="234">
        <v>0.37963217557422496</v>
      </c>
      <c r="L152" s="188">
        <v>2.9049324999999996E-3</v>
      </c>
      <c r="M152" s="233">
        <v>2904932</v>
      </c>
      <c r="N152" s="195">
        <v>2.9049319999999998E-3</v>
      </c>
      <c r="O152" s="211">
        <v>1.7821532447601436E-2</v>
      </c>
      <c r="P152" s="1">
        <v>0.13178678525231294</v>
      </c>
      <c r="Q152" s="1">
        <v>0.41744502338834694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7953155</v>
      </c>
      <c r="D153" s="30">
        <v>47114923000</v>
      </c>
      <c r="E153" s="187">
        <f t="shared" si="4"/>
        <v>7.4050680201756407</v>
      </c>
      <c r="F153" s="188">
        <v>7.9531549999999999E-3</v>
      </c>
      <c r="G153" s="189">
        <v>5.8893653749999997E-2</v>
      </c>
      <c r="H153" s="232">
        <v>6.25</v>
      </c>
      <c r="I153" s="214" t="str">
        <f t="shared" si="5"/>
        <v>(50, 60]</v>
      </c>
      <c r="J153" s="160">
        <v>1</v>
      </c>
      <c r="K153" s="234">
        <v>0.37928715082253522</v>
      </c>
      <c r="L153" s="188">
        <v>3.0165295000000002E-3</v>
      </c>
      <c r="M153" s="233">
        <v>3016529</v>
      </c>
      <c r="N153" s="195">
        <v>3.016529E-3</v>
      </c>
      <c r="O153" s="211">
        <v>2.2337602429832404E-2</v>
      </c>
      <c r="P153" s="1">
        <v>0.12237810026335461</v>
      </c>
      <c r="Q153" s="1">
        <v>0.10247473419188548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2181495</v>
      </c>
      <c r="D154" s="30">
        <v>14354464700</v>
      </c>
      <c r="E154" s="187">
        <f t="shared" si="4"/>
        <v>8.225130415151078</v>
      </c>
      <c r="F154" s="188">
        <v>2.1814949999999999E-3</v>
      </c>
      <c r="G154" s="189">
        <v>1.7943080875E-2</v>
      </c>
      <c r="H154" s="232">
        <v>7.5</v>
      </c>
      <c r="I154" s="124" t="str">
        <f t="shared" si="5"/>
        <v>(60, 70]</v>
      </c>
      <c r="J154" s="160">
        <v>1</v>
      </c>
      <c r="K154" s="234">
        <v>0.37854980185606657</v>
      </c>
      <c r="L154" s="188">
        <v>8.2580449999999992E-4</v>
      </c>
      <c r="M154" s="233">
        <v>825804</v>
      </c>
      <c r="N154" s="195">
        <v>8.2580399999999997E-4</v>
      </c>
      <c r="O154" s="211">
        <v>6.7923455973534202E-3</v>
      </c>
      <c r="P154" s="1">
        <v>5.1444995289927319E-2</v>
      </c>
      <c r="Q154" s="1">
        <v>1.752552394229074E-2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10192453</v>
      </c>
      <c r="D155" s="30">
        <v>79324067200</v>
      </c>
      <c r="E155" s="187">
        <f t="shared" si="4"/>
        <v>9.7282846435494967</v>
      </c>
      <c r="F155" s="188">
        <v>1.0192453000000001E-2</v>
      </c>
      <c r="G155" s="189">
        <v>9.9155084000000004E-2</v>
      </c>
      <c r="H155" s="232">
        <v>8.75</v>
      </c>
      <c r="I155" s="214" t="str">
        <f t="shared" si="5"/>
        <v>(70, 80]</v>
      </c>
      <c r="J155" s="160">
        <v>1</v>
      </c>
      <c r="K155" s="234">
        <v>0.15137509096191074</v>
      </c>
      <c r="L155" s="188">
        <v>1.5428835000000001E-3</v>
      </c>
      <c r="M155" s="233">
        <v>1542883</v>
      </c>
      <c r="N155" s="195">
        <v>1.5428830000000001E-3</v>
      </c>
      <c r="O155" s="211">
        <v>1.5009604995693579E-2</v>
      </c>
      <c r="P155" s="1">
        <v>3.6441865368425044E-2</v>
      </c>
      <c r="Q155" s="1">
        <v>5.7781600221137874E-2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2391271</v>
      </c>
      <c r="D156" s="30">
        <v>21008215200</v>
      </c>
      <c r="E156" s="187">
        <f t="shared" si="4"/>
        <v>10.981720181443258</v>
      </c>
      <c r="F156" s="188">
        <v>2.3912709999999999E-3</v>
      </c>
      <c r="G156" s="189">
        <v>2.6260268999999999E-2</v>
      </c>
      <c r="H156" s="178">
        <v>10</v>
      </c>
      <c r="I156" s="124" t="str">
        <f t="shared" si="5"/>
        <v>(80, 90]</v>
      </c>
      <c r="J156" s="160">
        <v>1</v>
      </c>
      <c r="K156" s="234">
        <v>6.0629826146848265</v>
      </c>
      <c r="L156" s="188">
        <v>1.4498234499999998E-2</v>
      </c>
      <c r="M156" s="233">
        <v>14498234</v>
      </c>
      <c r="N156" s="195">
        <v>1.4498234E-2</v>
      </c>
      <c r="O156" s="211">
        <v>0.15921554891308681</v>
      </c>
      <c r="P156" s="1">
        <v>9.0528007908764835E-2</v>
      </c>
      <c r="Q156" s="1">
        <v>3.3930884606807148E-2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8276896</v>
      </c>
      <c r="D157" s="30">
        <v>82033451100</v>
      </c>
      <c r="E157" s="187">
        <f t="shared" si="4"/>
        <v>12.388921387317177</v>
      </c>
      <c r="F157" s="188">
        <v>8.2768960000000006E-3</v>
      </c>
      <c r="G157" s="189">
        <v>0.102541813875</v>
      </c>
      <c r="H157" s="178">
        <v>11.25</v>
      </c>
      <c r="I157" s="124" t="str">
        <f t="shared" si="5"/>
        <v>(90, 100]</v>
      </c>
      <c r="J157" s="160">
        <v>1</v>
      </c>
      <c r="K157" s="234">
        <v>0.2638341112417022</v>
      </c>
      <c r="L157" s="188">
        <v>2.1837275000000001E-3</v>
      </c>
      <c r="M157" s="233">
        <v>2183727</v>
      </c>
      <c r="N157" s="195">
        <v>2.1837269999999999E-3</v>
      </c>
      <c r="O157" s="211">
        <v>2.7054022134361977E-2</v>
      </c>
      <c r="P157" s="1">
        <v>4.3897253269824826E-2</v>
      </c>
      <c r="Q157" s="1">
        <v>6.4383653835598062E-2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6630816</v>
      </c>
      <c r="D158" s="30">
        <v>77449465800</v>
      </c>
      <c r="E158" s="187">
        <f t="shared" si="4"/>
        <v>14.600289353527529</v>
      </c>
      <c r="F158" s="188">
        <v>6.6308160000000003E-3</v>
      </c>
      <c r="G158" s="189">
        <v>9.6811832250000007E-2</v>
      </c>
      <c r="H158" s="178">
        <v>12.5</v>
      </c>
      <c r="I158" s="124" t="str">
        <f t="shared" si="5"/>
        <v>(100, 120]</v>
      </c>
      <c r="J158" s="160">
        <v>1</v>
      </c>
      <c r="K158" s="234">
        <v>9.042378796214523E-2</v>
      </c>
      <c r="L158" s="188">
        <v>5.9958350000000006E-4</v>
      </c>
      <c r="M158" s="233">
        <v>599583</v>
      </c>
      <c r="N158" s="195">
        <v>5.99583E-4</v>
      </c>
      <c r="O158" s="211">
        <v>8.7540852914560971E-3</v>
      </c>
      <c r="P158" s="1">
        <v>2.8065173275807983E-2</v>
      </c>
      <c r="Q158" s="1">
        <v>2.3782617715095052E-2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2395438</v>
      </c>
      <c r="D159" s="30">
        <v>31722982300</v>
      </c>
      <c r="E159" s="187">
        <f t="shared" si="4"/>
        <v>16.553852729646938</v>
      </c>
      <c r="F159" s="188">
        <v>2.3954380000000002E-3</v>
      </c>
      <c r="G159" s="189">
        <v>3.9653727875000003E-2</v>
      </c>
      <c r="H159" s="178">
        <v>15</v>
      </c>
      <c r="I159" s="124" t="str">
        <f t="shared" si="5"/>
        <v>(120, 140]</v>
      </c>
      <c r="J159" s="160">
        <v>1</v>
      </c>
      <c r="K159" s="234">
        <v>3.552523588587974E-2</v>
      </c>
      <c r="L159" s="188">
        <v>8.5098499999999998E-5</v>
      </c>
      <c r="M159" s="233">
        <v>85098</v>
      </c>
      <c r="N159" s="195">
        <v>8.5098000000000004E-5</v>
      </c>
      <c r="O159" s="211">
        <v>1.4086997595874951E-3</v>
      </c>
      <c r="P159" s="1">
        <v>1.7777542144693369E-2</v>
      </c>
      <c r="Q159" s="1">
        <v>8.364650900087563E-3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7805986</v>
      </c>
      <c r="D160" s="30">
        <v>120765802000</v>
      </c>
      <c r="E160" s="187">
        <f t="shared" si="4"/>
        <v>19.338652733940339</v>
      </c>
      <c r="F160" s="188">
        <v>7.805986E-3</v>
      </c>
      <c r="G160" s="189">
        <v>0.15095725250000003</v>
      </c>
      <c r="H160" s="178">
        <v>17.5</v>
      </c>
      <c r="I160" s="124" t="str">
        <f t="shared" si="5"/>
        <v>(140, 160]</v>
      </c>
      <c r="J160" s="160">
        <v>1</v>
      </c>
      <c r="K160" s="234">
        <v>1.9167533736289048E-2</v>
      </c>
      <c r="L160" s="188">
        <v>1.4962149999999999E-4</v>
      </c>
      <c r="M160" s="233">
        <v>149621</v>
      </c>
      <c r="N160" s="195">
        <v>1.4962100000000001E-4</v>
      </c>
      <c r="O160" s="211">
        <v>2.8934685607048876E-3</v>
      </c>
      <c r="P160" s="1">
        <v>1.7653887670308403E-2</v>
      </c>
      <c r="Q160" s="1">
        <v>5.9478397130704169E-3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2193558</v>
      </c>
      <c r="D161" s="30">
        <v>38317143000</v>
      </c>
      <c r="E161" s="187">
        <f t="shared" si="4"/>
        <v>21.835040947173496</v>
      </c>
      <c r="F161" s="188">
        <v>2.193558E-3</v>
      </c>
      <c r="G161" s="189">
        <v>4.7896428749999997E-2</v>
      </c>
      <c r="H161" s="178">
        <v>20</v>
      </c>
      <c r="I161" s="124" t="str">
        <f t="shared" si="5"/>
        <v>(160, 180]</v>
      </c>
      <c r="J161" s="160">
        <v>1</v>
      </c>
      <c r="K161" s="234">
        <v>2.2697628692744845</v>
      </c>
      <c r="L161" s="188">
        <v>4.9788564999999991E-3</v>
      </c>
      <c r="M161" s="233">
        <v>4978856</v>
      </c>
      <c r="N161" s="195">
        <v>4.9788560000000003E-3</v>
      </c>
      <c r="O161" s="211">
        <v>0.10871352463008045</v>
      </c>
      <c r="P161" s="1">
        <v>1.5318035812137176E-2</v>
      </c>
      <c r="Q161" s="1">
        <v>6.9032495730121345E-3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7872162</v>
      </c>
      <c r="D162" s="30">
        <v>156525461500</v>
      </c>
      <c r="E162" s="187">
        <f t="shared" si="4"/>
        <v>24.854268354106534</v>
      </c>
      <c r="F162" s="188">
        <v>7.8721620000000003E-3</v>
      </c>
      <c r="G162" s="189">
        <v>0.195656826875</v>
      </c>
      <c r="H162" s="178">
        <v>22.5</v>
      </c>
      <c r="I162" s="124" t="str">
        <f t="shared" si="5"/>
        <v>(180, 200]</v>
      </c>
      <c r="J162" s="160">
        <v>1</v>
      </c>
      <c r="K162" s="234">
        <v>1.0081156866436437E-2</v>
      </c>
      <c r="L162" s="188">
        <v>7.9360499999999993E-5</v>
      </c>
      <c r="M162" s="233">
        <v>79360</v>
      </c>
      <c r="N162" s="195">
        <v>7.9359999999999999E-5</v>
      </c>
      <c r="O162" s="211">
        <v>1.9724347365818943E-3</v>
      </c>
      <c r="P162" s="1">
        <v>5.2631030713036642E-3</v>
      </c>
      <c r="Q162" s="1">
        <v>3.3606739950409865E-3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6377502</v>
      </c>
      <c r="D163" s="30">
        <v>149049300800</v>
      </c>
      <c r="E163" s="187">
        <f t="shared" si="4"/>
        <v>29.213887506424928</v>
      </c>
      <c r="F163" s="188">
        <v>6.3775020000000002E-3</v>
      </c>
      <c r="G163" s="189">
        <v>0.18631162600000001</v>
      </c>
      <c r="H163" s="178">
        <v>25</v>
      </c>
      <c r="I163" s="124" t="str">
        <f t="shared" si="5"/>
        <v>(200, 250]</v>
      </c>
      <c r="J163" s="160">
        <v>1</v>
      </c>
      <c r="K163" s="234">
        <v>4.813875401371885E-3</v>
      </c>
      <c r="L163" s="188">
        <v>3.0700500000000002E-5</v>
      </c>
      <c r="M163" s="233">
        <v>30700</v>
      </c>
      <c r="N163" s="195">
        <v>3.0700000000000001E-5</v>
      </c>
      <c r="O163" s="211">
        <v>8.9686634644724531E-4</v>
      </c>
      <c r="P163" s="1">
        <v>8.9520944093784676E-3</v>
      </c>
      <c r="Q163" s="1">
        <v>1.8456142568250757E-3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6273332</v>
      </c>
      <c r="D164" s="30">
        <v>180153699500</v>
      </c>
      <c r="E164" s="187">
        <f t="shared" si="4"/>
        <v>35.896733087775367</v>
      </c>
      <c r="F164" s="188">
        <v>6.2733320000000004E-3</v>
      </c>
      <c r="G164" s="189">
        <v>0.22519212437500002</v>
      </c>
      <c r="H164" s="178">
        <v>31.25</v>
      </c>
      <c r="I164" s="124" t="str">
        <f t="shared" si="5"/>
        <v>(250, 300]</v>
      </c>
      <c r="J164" s="160">
        <v>1</v>
      </c>
      <c r="K164" s="234">
        <v>0.33958213912479046</v>
      </c>
      <c r="L164" s="188">
        <v>2.1303114999999999E-3</v>
      </c>
      <c r="M164" s="233">
        <v>2130311</v>
      </c>
      <c r="N164" s="195">
        <v>2.1303110000000002E-3</v>
      </c>
      <c r="O164" s="211">
        <v>7.6471205360951838E-2</v>
      </c>
      <c r="P164" s="1">
        <v>3.5673227560728492E-3</v>
      </c>
      <c r="Q164" s="1">
        <v>3.1372247725512041E-4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3639555</v>
      </c>
      <c r="D165" s="30">
        <v>118724005300</v>
      </c>
      <c r="E165" s="187">
        <f t="shared" si="4"/>
        <v>40.775591143697511</v>
      </c>
      <c r="F165" s="188">
        <v>3.639555E-3</v>
      </c>
      <c r="G165" s="189">
        <v>0.148405006625</v>
      </c>
      <c r="H165" s="178">
        <v>37.5</v>
      </c>
      <c r="I165" s="124" t="str">
        <f t="shared" si="5"/>
        <v>(300, 350]</v>
      </c>
      <c r="J165" s="160">
        <v>1</v>
      </c>
      <c r="K165" s="234">
        <v>0.17547488635286457</v>
      </c>
      <c r="L165" s="188">
        <v>6.386505E-4</v>
      </c>
      <c r="M165" s="233">
        <v>638650</v>
      </c>
      <c r="N165" s="195">
        <v>6.3865000000000005E-4</v>
      </c>
      <c r="O165" s="211">
        <v>2.6041331283922418E-2</v>
      </c>
      <c r="P165" s="1">
        <v>6.1408606271920615E-4</v>
      </c>
      <c r="Q165" s="1">
        <v>2.2442793710276583E-4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6060287</v>
      </c>
      <c r="D166" s="30">
        <v>236200276700</v>
      </c>
      <c r="E166" s="187">
        <f t="shared" si="4"/>
        <v>48.718871874384824</v>
      </c>
      <c r="F166" s="188">
        <v>6.0602870000000001E-3</v>
      </c>
      <c r="G166" s="189">
        <v>0.29525034587499999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1.8414969456067014E-4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2438675</v>
      </c>
      <c r="D167" s="30">
        <v>105176842800</v>
      </c>
      <c r="E167" s="187">
        <f t="shared" si="4"/>
        <v>53.910854664930753</v>
      </c>
      <c r="F167" s="188">
        <v>2.438675E-3</v>
      </c>
      <c r="G167" s="189">
        <v>0.13147105349999999</v>
      </c>
      <c r="H167" s="178">
        <v>50</v>
      </c>
      <c r="I167" s="124" t="str">
        <f t="shared" si="5"/>
        <v>(400, 450]</v>
      </c>
      <c r="J167" s="160">
        <v>1</v>
      </c>
      <c r="K167" s="234">
        <v>0.33995940418464943</v>
      </c>
      <c r="L167" s="188">
        <v>8.2905049999999997E-4</v>
      </c>
      <c r="M167" s="233">
        <v>829050</v>
      </c>
      <c r="N167" s="195">
        <v>8.2905000000000001E-4</v>
      </c>
      <c r="O167" s="211">
        <v>4.4694794059960838E-2</v>
      </c>
      <c r="P167" s="1">
        <v>2.2914082442309861E-3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4943761</v>
      </c>
      <c r="D168" s="30">
        <v>240787337900</v>
      </c>
      <c r="E168" s="187">
        <f t="shared" si="4"/>
        <v>60.881618746335029</v>
      </c>
      <c r="F168" s="188">
        <v>4.9437609999999996E-3</v>
      </c>
      <c r="G168" s="189">
        <v>0.30098417237499997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3.1649992788890893E-3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1805371</v>
      </c>
      <c r="D169" s="30">
        <v>95003605200</v>
      </c>
      <c r="E169" s="187">
        <f t="shared" si="4"/>
        <v>65.778450246514424</v>
      </c>
      <c r="F169" s="188">
        <v>1.8053710000000001E-3</v>
      </c>
      <c r="G169" s="189">
        <v>0.1187545065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2.4748375818599059E-3</v>
      </c>
      <c r="Q169" s="1">
        <v>7.8859473631211845E-5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3484162</v>
      </c>
      <c r="D170" s="30">
        <v>203829811900</v>
      </c>
      <c r="E170" s="187">
        <f t="shared" si="4"/>
        <v>73.127272748798703</v>
      </c>
      <c r="F170" s="188">
        <v>3.4841619999999998E-3</v>
      </c>
      <c r="G170" s="189">
        <v>0.25478726487499997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1806937</v>
      </c>
      <c r="D171" s="30">
        <v>113897184400</v>
      </c>
      <c r="E171" s="187">
        <f t="shared" si="4"/>
        <v>78.791612823247291</v>
      </c>
      <c r="F171" s="188">
        <v>1.806937E-3</v>
      </c>
      <c r="G171" s="189">
        <v>0.14237148049999998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0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1739433</v>
      </c>
      <c r="D172" s="30">
        <v>118149569000</v>
      </c>
      <c r="E172" s="187">
        <f t="shared" si="4"/>
        <v>84.905231331129173</v>
      </c>
      <c r="F172" s="188">
        <v>1.7394330000000001E-3</v>
      </c>
      <c r="G172" s="189">
        <v>0.14768696125000003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1613476</v>
      </c>
      <c r="D173" s="30">
        <v>117206766500</v>
      </c>
      <c r="E173" s="187">
        <f t="shared" si="4"/>
        <v>90.802998076822959</v>
      </c>
      <c r="F173" s="188">
        <v>1.613476E-3</v>
      </c>
      <c r="G173" s="189">
        <v>0.14650845812499999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4037756</v>
      </c>
      <c r="D174" s="30">
        <v>319977787400</v>
      </c>
      <c r="E174" s="187">
        <f t="shared" si="4"/>
        <v>99.058049632023327</v>
      </c>
      <c r="F174" s="188">
        <v>4.037756E-3</v>
      </c>
      <c r="G174" s="189">
        <v>0.39997223425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1073590</v>
      </c>
      <c r="D175" s="30">
        <v>88882963800</v>
      </c>
      <c r="E175" s="187">
        <f t="shared" si="4"/>
        <v>103.4880212651012</v>
      </c>
      <c r="F175" s="188">
        <v>1.0735899999999999E-3</v>
      </c>
      <c r="G175" s="189">
        <v>0.11110370474999999</v>
      </c>
      <c r="H175" s="178">
        <v>100</v>
      </c>
      <c r="I175" s="124" t="str">
        <f t="shared" si="5"/>
        <v>(800, 850]</v>
      </c>
      <c r="J175" s="160">
        <v>1</v>
      </c>
      <c r="K175" s="234">
        <v>0.2648250263135834</v>
      </c>
      <c r="L175" s="188">
        <v>2.8431349999999997E-4</v>
      </c>
      <c r="M175" s="233">
        <v>284313</v>
      </c>
      <c r="N175" s="195">
        <v>2.8431300000000001E-4</v>
      </c>
      <c r="O175" s="211">
        <v>2.9422989789944717E-2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1404569</v>
      </c>
      <c r="D176" s="30">
        <v>123880308000</v>
      </c>
      <c r="E176" s="187">
        <f t="shared" si="4"/>
        <v>110.24761688461015</v>
      </c>
      <c r="F176" s="188">
        <v>1.404569E-3</v>
      </c>
      <c r="G176" s="189">
        <v>0.15485038500000001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932958</v>
      </c>
      <c r="D177" s="30">
        <v>86554923000</v>
      </c>
      <c r="E177" s="187">
        <f t="shared" si="4"/>
        <v>115.9684077418276</v>
      </c>
      <c r="F177" s="188">
        <v>9.3295800000000001E-4</v>
      </c>
      <c r="G177" s="189">
        <v>0.10819365374999999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3382931</v>
      </c>
      <c r="D178" s="30">
        <v>335662253800</v>
      </c>
      <c r="E178" s="187">
        <f t="shared" si="4"/>
        <v>124.02789688882216</v>
      </c>
      <c r="F178" s="188">
        <v>3.382931E-3</v>
      </c>
      <c r="G178" s="189">
        <v>0.41957781725000004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19711760</v>
      </c>
      <c r="D179" s="30">
        <v>2928553346700</v>
      </c>
      <c r="E179" s="187">
        <f t="shared" si="4"/>
        <v>185.71105184798313</v>
      </c>
      <c r="F179" s="188">
        <v>1.9711759999999998E-2</v>
      </c>
      <c r="G179" s="189">
        <v>3.6606916833749996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4.8701891662641997E-5</v>
      </c>
      <c r="Q179" s="1">
        <v>6.1645496911675839E-5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8484953</v>
      </c>
      <c r="D180" s="30">
        <v>2130326733300</v>
      </c>
      <c r="E180" s="187">
        <f t="shared" si="4"/>
        <v>313.83891185077869</v>
      </c>
      <c r="F180" s="188">
        <v>8.4849529999999999E-3</v>
      </c>
      <c r="G180" s="189">
        <v>2.6629084166250001</v>
      </c>
      <c r="H180" s="178">
        <v>250</v>
      </c>
      <c r="I180" s="124" t="str">
        <f t="shared" si="5"/>
        <v>(2000, 3000]</v>
      </c>
      <c r="J180" s="160">
        <v>1</v>
      </c>
      <c r="K180" s="234">
        <v>1.1282619950870676E-2</v>
      </c>
      <c r="L180" s="188">
        <v>9.5732499999999992E-5</v>
      </c>
      <c r="M180" s="233">
        <v>95732</v>
      </c>
      <c r="N180" s="195">
        <v>9.5731999999999998E-5</v>
      </c>
      <c r="O180" s="211">
        <v>3.0044426709298744E-2</v>
      </c>
      <c r="P180" s="1">
        <v>5.0442235802602565E-5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4565674</v>
      </c>
      <c r="D181" s="30">
        <v>1614756926700</v>
      </c>
      <c r="E181" s="187">
        <f t="shared" si="4"/>
        <v>442.091607586306</v>
      </c>
      <c r="F181" s="188">
        <v>4.5656739999999996E-3</v>
      </c>
      <c r="G181" s="189">
        <v>2.0184461583749997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2661686</v>
      </c>
      <c r="D182" s="30">
        <v>1200209255000</v>
      </c>
      <c r="E182" s="187">
        <f t="shared" si="4"/>
        <v>563.65084715101636</v>
      </c>
      <c r="F182" s="188">
        <v>2.6616859999999999E-3</v>
      </c>
      <c r="G182" s="189">
        <v>1.5002615687500001</v>
      </c>
      <c r="H182" s="178">
        <v>500</v>
      </c>
      <c r="I182" s="124" t="str">
        <f t="shared" si="5"/>
        <v>(4000, 5000]</v>
      </c>
      <c r="J182" s="160">
        <v>1</v>
      </c>
      <c r="K182" s="234">
        <v>2.2563705861623047E-2</v>
      </c>
      <c r="L182" s="188">
        <v>6.0057499999999999E-5</v>
      </c>
      <c r="M182" s="233">
        <v>60057</v>
      </c>
      <c r="N182" s="195">
        <v>6.0056999999999998E-5</v>
      </c>
      <c r="O182" s="211">
        <v>3.3851178927348589E-2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1769466</v>
      </c>
      <c r="D183" s="30">
        <v>979407619600</v>
      </c>
      <c r="E183" s="187">
        <f t="shared" si="4"/>
        <v>691.88078465480544</v>
      </c>
      <c r="F183" s="188">
        <v>1.7694659999999999E-3</v>
      </c>
      <c r="G183" s="189">
        <v>1.2242595244999999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1108896</v>
      </c>
      <c r="D184" s="30">
        <v>718738961300</v>
      </c>
      <c r="E184" s="187">
        <f t="shared" si="4"/>
        <v>810.19653928321497</v>
      </c>
      <c r="F184" s="188">
        <v>1.1088960000000001E-3</v>
      </c>
      <c r="G184" s="189">
        <v>0.89842370162499996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807723</v>
      </c>
      <c r="D185" s="30">
        <v>606952896100</v>
      </c>
      <c r="E185" s="187">
        <f t="shared" si="4"/>
        <v>939.29616975745398</v>
      </c>
      <c r="F185" s="188">
        <v>8.0772299999999999E-4</v>
      </c>
      <c r="G185" s="189">
        <v>0.75869112012499995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576360</v>
      </c>
      <c r="D186" s="30">
        <v>489372414400</v>
      </c>
      <c r="E186" s="187">
        <f t="shared" si="4"/>
        <v>1061.3427684086334</v>
      </c>
      <c r="F186" s="188">
        <v>5.7636000000000005E-4</v>
      </c>
      <c r="G186" s="189">
        <v>0.61171551800000001</v>
      </c>
      <c r="H186" s="178">
        <v>1000</v>
      </c>
      <c r="I186" s="124" t="str">
        <f t="shared" si="5"/>
        <v>(8000, 9000]</v>
      </c>
      <c r="J186" s="160">
        <v>1</v>
      </c>
      <c r="K186" s="234">
        <v>5.9217329446873482E-2</v>
      </c>
      <c r="L186" s="188">
        <v>3.4130500000000001E-5</v>
      </c>
      <c r="M186" s="233">
        <v>34130</v>
      </c>
      <c r="N186" s="195">
        <v>3.413E-5</v>
      </c>
      <c r="O186" s="211">
        <v>3.6223628685786657E-2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462675</v>
      </c>
      <c r="D187" s="30">
        <v>439780988800</v>
      </c>
      <c r="E187" s="187">
        <f t="shared" si="4"/>
        <v>1188.1476976279246</v>
      </c>
      <c r="F187" s="188">
        <v>4.6267500000000001E-4</v>
      </c>
      <c r="G187" s="189">
        <v>0.54972623600000003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1545607</v>
      </c>
      <c r="D188" s="30">
        <v>2078648749800</v>
      </c>
      <c r="E188" s="187">
        <f t="shared" si="4"/>
        <v>1681.0941832238079</v>
      </c>
      <c r="F188" s="188">
        <v>1.5456070000000001E-3</v>
      </c>
      <c r="G188" s="189">
        <v>2.5983109372500004</v>
      </c>
      <c r="H188" s="178">
        <v>1250</v>
      </c>
      <c r="I188" s="124" t="str">
        <f t="shared" si="5"/>
        <v>(10000, 20000]</v>
      </c>
      <c r="J188" s="160">
        <v>1</v>
      </c>
      <c r="K188" s="234">
        <v>3.7567764638747106E-3</v>
      </c>
      <c r="L188" s="188">
        <v>5.8065000000000002E-6</v>
      </c>
      <c r="M188" s="233">
        <v>5806</v>
      </c>
      <c r="N188" s="195">
        <v>5.806E-6</v>
      </c>
      <c r="O188" s="211">
        <v>9.760432827797429E-3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280887</v>
      </c>
      <c r="D189" s="30">
        <v>668925003000</v>
      </c>
      <c r="E189" s="187">
        <f t="shared" si="4"/>
        <v>2976.8421242350128</v>
      </c>
      <c r="F189" s="188">
        <v>2.8088700000000001E-4</v>
      </c>
      <c r="G189" s="189">
        <v>0.83615625375000002</v>
      </c>
      <c r="H189" s="178">
        <v>2500</v>
      </c>
      <c r="I189" s="124" t="str">
        <f t="shared" si="5"/>
        <v>(20000, 30000]</v>
      </c>
      <c r="J189" s="160">
        <v>0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93523</v>
      </c>
      <c r="D190" s="30">
        <v>354341167100</v>
      </c>
      <c r="E190" s="187">
        <f t="shared" si="4"/>
        <v>4736.0163689680612</v>
      </c>
      <c r="F190" s="188">
        <v>9.3523000000000006E-5</v>
      </c>
      <c r="G190" s="189">
        <v>0.44292645887500004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13</v>
      </c>
      <c r="D191" s="167">
        <v>136044800</v>
      </c>
      <c r="E191" s="190">
        <f t="shared" si="4"/>
        <v>13081.23076923077</v>
      </c>
      <c r="F191" s="191">
        <v>1.3000000000000001E-8</v>
      </c>
      <c r="G191" s="192">
        <v>1.70056E-4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29299.73630237328</v>
      </c>
      <c r="O192" s="10">
        <f>SUM(O175:O185)</f>
        <v>9.3318595426592044E-2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16650.84836072398</v>
      </c>
      <c r="O194" s="220" cm="1">
        <f t="array" ref="O194:O195">N196/N194:N195</f>
        <v>210.1995</v>
      </c>
    </row>
    <row r="195" spans="1:20" ht="16.8" thickBot="1">
      <c r="M195" s="124" t="s">
        <v>179</v>
      </c>
      <c r="N195" s="218">
        <f>1/SUM(N192)</f>
        <v>3.413E-5</v>
      </c>
      <c r="O195" s="220">
        <v>102549077058.30647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0.89999988848202872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15110792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1.5110792E-2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402891</v>
      </c>
      <c r="D200" s="30">
        <v>322312.8</v>
      </c>
      <c r="E200" s="187">
        <f t="shared" ref="E200:E256" si="6">IFERROR((D200/$E$196)/(C200),0)</f>
        <v>3.1999999999999997E-3</v>
      </c>
      <c r="F200" s="188">
        <v>4.02891E-4</v>
      </c>
      <c r="G200" s="189">
        <v>1.2892511999999999E-6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1666895</v>
      </c>
      <c r="D201" s="30">
        <v>2885989.2</v>
      </c>
      <c r="E201" s="187">
        <f t="shared" si="6"/>
        <v>6.925425296734347E-3</v>
      </c>
      <c r="F201" s="188">
        <v>1.6668950000000001E-3</v>
      </c>
      <c r="G201" s="189">
        <v>1.1543956799999999E-5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811562</v>
      </c>
      <c r="D202" s="30">
        <v>2276998.6</v>
      </c>
      <c r="E202" s="187">
        <f t="shared" si="6"/>
        <v>1.1222795547351895E-2</v>
      </c>
      <c r="F202" s="188">
        <v>8.1156200000000005E-4</v>
      </c>
      <c r="G202" s="189">
        <v>9.1079943999999999E-6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1927195</v>
      </c>
      <c r="D203" s="30">
        <v>7238136.7999999998</v>
      </c>
      <c r="E203" s="187">
        <f t="shared" si="6"/>
        <v>1.5023153962105547E-2</v>
      </c>
      <c r="F203" s="188">
        <v>1.927195E-3</v>
      </c>
      <c r="G203" s="189">
        <v>2.8952547199999999E-5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1832630</v>
      </c>
      <c r="D204" s="30">
        <v>8902385</v>
      </c>
      <c r="E204" s="187">
        <f t="shared" si="6"/>
        <v>1.9430839831280727E-2</v>
      </c>
      <c r="F204" s="188">
        <v>1.83263E-3</v>
      </c>
      <c r="G204" s="189">
        <v>3.5609540000000001E-5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2016840</v>
      </c>
      <c r="D205" s="30">
        <v>11978441.6</v>
      </c>
      <c r="E205" s="187">
        <f t="shared" si="6"/>
        <v>2.3756850518633108E-2</v>
      </c>
      <c r="F205" s="188">
        <v>2.0168400000000002E-3</v>
      </c>
      <c r="G205" s="189">
        <v>4.7913766400000002E-5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467346</v>
      </c>
      <c r="D206" s="30">
        <v>3080156.4</v>
      </c>
      <c r="E206" s="187">
        <f t="shared" si="6"/>
        <v>2.6362963628660564E-2</v>
      </c>
      <c r="F206" s="188">
        <v>4.6734599999999999E-4</v>
      </c>
      <c r="G206" s="189">
        <v>1.23206256E-5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3003508</v>
      </c>
      <c r="D207" s="30">
        <v>23382478.800000001</v>
      </c>
      <c r="E207" s="187">
        <f t="shared" si="6"/>
        <v>3.1140225096786826E-2</v>
      </c>
      <c r="F207" s="188">
        <v>3.0035079999999998E-3</v>
      </c>
      <c r="G207" s="189">
        <v>9.3529915200000005E-5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1150951</v>
      </c>
      <c r="D208" s="30">
        <v>10171967.4</v>
      </c>
      <c r="E208" s="187">
        <f t="shared" si="6"/>
        <v>3.5351522002239885E-2</v>
      </c>
      <c r="F208" s="188">
        <v>1.1509510000000001E-3</v>
      </c>
      <c r="G208" s="189">
        <v>4.0687869599999999E-5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2601490</v>
      </c>
      <c r="D209" s="30">
        <v>25658936.199999999</v>
      </c>
      <c r="E209" s="187">
        <f t="shared" si="6"/>
        <v>3.9452677042771646E-2</v>
      </c>
      <c r="F209" s="188">
        <v>2.6014900000000001E-3</v>
      </c>
      <c r="G209" s="189">
        <v>1.0263574480000002E-4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7604578</v>
      </c>
      <c r="D210" s="30">
        <v>98941832.799999997</v>
      </c>
      <c r="E210" s="187">
        <f t="shared" si="6"/>
        <v>5.20432996018977E-2</v>
      </c>
      <c r="F210" s="188">
        <v>7.6045779999999999E-3</v>
      </c>
      <c r="G210" s="189">
        <v>3.9576733119999998E-4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8546802</v>
      </c>
      <c r="D211" s="30">
        <v>154823080.59999999</v>
      </c>
      <c r="E211" s="187">
        <f t="shared" si="6"/>
        <v>7.2458952763852488E-2</v>
      </c>
      <c r="F211" s="188">
        <v>8.5468019999999992E-3</v>
      </c>
      <c r="G211" s="189">
        <v>6.1929232239999995E-4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6920327</v>
      </c>
      <c r="D212" s="30">
        <v>159811398.80000001</v>
      </c>
      <c r="E212" s="187">
        <f t="shared" si="6"/>
        <v>9.2372166112959703E-2</v>
      </c>
      <c r="F212" s="188">
        <v>6.9203270000000004E-3</v>
      </c>
      <c r="G212" s="189">
        <v>6.3924559520000016E-4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8.6453561019490408</v>
      </c>
      <c r="S212" s="182"/>
    </row>
    <row r="213" spans="1:24" ht="15.6">
      <c r="A213" s="257">
        <v>25</v>
      </c>
      <c r="B213" s="258">
        <v>30</v>
      </c>
      <c r="C213" s="160">
        <v>7078934</v>
      </c>
      <c r="D213" s="30">
        <v>199820858.59999999</v>
      </c>
      <c r="E213" s="187">
        <f t="shared" si="6"/>
        <v>0.112910140764132</v>
      </c>
      <c r="F213" s="188">
        <v>7.0789340000000003E-3</v>
      </c>
      <c r="G213" s="189">
        <v>7.9928343440000005E-4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8.1562449902039518</v>
      </c>
      <c r="S213" s="182"/>
    </row>
    <row r="214" spans="1:24" ht="15.6">
      <c r="A214" s="257">
        <v>30</v>
      </c>
      <c r="B214" s="258">
        <v>35</v>
      </c>
      <c r="C214" s="160">
        <v>5885108</v>
      </c>
      <c r="D214" s="30">
        <v>192666090.19999999</v>
      </c>
      <c r="E214" s="187">
        <f t="shared" si="6"/>
        <v>0.13095160884048346</v>
      </c>
      <c r="F214" s="188">
        <v>5.885108E-3</v>
      </c>
      <c r="G214" s="189">
        <v>7.7066436079999991E-4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6.7442846681866548</v>
      </c>
    </row>
    <row r="215" spans="1:24" ht="15.6">
      <c r="A215" s="257">
        <v>35</v>
      </c>
      <c r="B215" s="258">
        <v>40</v>
      </c>
      <c r="C215" s="160">
        <v>7787029</v>
      </c>
      <c r="D215" s="30">
        <v>297088533.60000002</v>
      </c>
      <c r="E215" s="187">
        <f t="shared" si="6"/>
        <v>0.15260687155524913</v>
      </c>
      <c r="F215" s="188">
        <v>7.787029E-3</v>
      </c>
      <c r="G215" s="189">
        <v>1.1883541344E-3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18.721609703286742</v>
      </c>
    </row>
    <row r="216" spans="1:24" ht="15.6">
      <c r="A216" s="257">
        <v>40</v>
      </c>
      <c r="B216" s="258">
        <v>45</v>
      </c>
      <c r="C216" s="160">
        <v>5819120</v>
      </c>
      <c r="D216" s="30">
        <v>250840203</v>
      </c>
      <c r="E216" s="187">
        <f t="shared" si="6"/>
        <v>0.17242483605768572</v>
      </c>
      <c r="F216" s="188">
        <v>5.8191199999999997E-3</v>
      </c>
      <c r="G216" s="189">
        <v>1.003360812E-3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8.4295425228393697</v>
      </c>
    </row>
    <row r="217" spans="1:24" ht="15.6">
      <c r="A217" s="257">
        <v>45</v>
      </c>
      <c r="B217" s="258">
        <v>50</v>
      </c>
      <c r="C217" s="160">
        <v>6609475</v>
      </c>
      <c r="D217" s="30">
        <v>317388480</v>
      </c>
      <c r="E217" s="187">
        <f t="shared" si="6"/>
        <v>0.19208090203836159</v>
      </c>
      <c r="F217" s="188">
        <v>6.6094750000000001E-3</v>
      </c>
      <c r="G217" s="189">
        <v>1.2695539199999999E-3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14.75558697522488</v>
      </c>
    </row>
    <row r="218" spans="1:24" ht="15.6">
      <c r="A218" s="257">
        <v>50</v>
      </c>
      <c r="B218" s="258">
        <v>60</v>
      </c>
      <c r="C218" s="160">
        <v>12595243</v>
      </c>
      <c r="D218" s="30">
        <v>704780394.79999995</v>
      </c>
      <c r="E218" s="187">
        <f t="shared" si="6"/>
        <v>0.22382431043212109</v>
      </c>
      <c r="F218" s="188">
        <v>1.2595243000000001E-2</v>
      </c>
      <c r="G218" s="189">
        <v>2.8191215792000004E-3</v>
      </c>
      <c r="H218" s="232">
        <v>0.2</v>
      </c>
      <c r="I218" s="274" t="str">
        <f t="shared" si="7"/>
        <v>(50, 60]</v>
      </c>
      <c r="J218" s="160">
        <v>1</v>
      </c>
      <c r="K218" s="234">
        <v>7.2070970365557852</v>
      </c>
      <c r="L218" s="188">
        <v>9.0775138500000005E-2</v>
      </c>
      <c r="M218" s="233">
        <v>90775138</v>
      </c>
      <c r="N218" s="195">
        <v>9.0775138000000005E-2</v>
      </c>
      <c r="O218" s="211">
        <v>2.0317682667230632E-2</v>
      </c>
      <c r="Q218" s="1">
        <v>0.11195442178961326</v>
      </c>
      <c r="R218" s="1">
        <v>8.8886273801635465</v>
      </c>
    </row>
    <row r="219" spans="1:24" ht="15.6">
      <c r="A219" s="257">
        <v>60</v>
      </c>
      <c r="B219" s="258">
        <v>70</v>
      </c>
      <c r="C219" s="160">
        <v>11076442</v>
      </c>
      <c r="D219" s="30">
        <v>725550381.39999998</v>
      </c>
      <c r="E219" s="187">
        <f t="shared" si="6"/>
        <v>0.26201568388115964</v>
      </c>
      <c r="F219" s="188">
        <v>1.1076442000000001E-2</v>
      </c>
      <c r="G219" s="189">
        <v>2.9022015255999998E-3</v>
      </c>
      <c r="H219" s="232">
        <v>0.24</v>
      </c>
      <c r="I219" s="274" t="str">
        <f t="shared" si="7"/>
        <v>(60, 70]</v>
      </c>
      <c r="J219" s="160">
        <v>1</v>
      </c>
      <c r="K219" s="234">
        <v>6.4194811384377761</v>
      </c>
      <c r="L219" s="188">
        <v>7.1105010499999996E-2</v>
      </c>
      <c r="M219" s="233">
        <v>71105010</v>
      </c>
      <c r="N219" s="195">
        <v>7.1105009999999996E-2</v>
      </c>
      <c r="O219" s="211">
        <v>1.8630627822526693E-2</v>
      </c>
      <c r="Q219" s="1">
        <v>4.2150854631160924E-2</v>
      </c>
      <c r="R219" s="1">
        <v>3.8054507603760235</v>
      </c>
    </row>
    <row r="220" spans="1:24" ht="15.6">
      <c r="A220" s="257">
        <v>70</v>
      </c>
      <c r="B220" s="258">
        <v>80</v>
      </c>
      <c r="C220" s="160">
        <v>12242682</v>
      </c>
      <c r="D220" s="30">
        <v>927266696.20000005</v>
      </c>
      <c r="E220" s="187">
        <f t="shared" si="6"/>
        <v>0.30296194778235686</v>
      </c>
      <c r="F220" s="188">
        <v>1.2242682E-2</v>
      </c>
      <c r="G220" s="189">
        <v>3.7090667848000002E-3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4.9983607758496058</v>
      </c>
      <c r="L220" s="188">
        <v>6.1193341499999998E-2</v>
      </c>
      <c r="M220" s="233">
        <v>61193341</v>
      </c>
      <c r="N220" s="195">
        <v>6.1193340999999998E-2</v>
      </c>
      <c r="O220" s="211">
        <v>1.8539253780669958E-2</v>
      </c>
      <c r="Q220" s="1">
        <v>3.6385840192037056E-2</v>
      </c>
      <c r="R220" s="1">
        <v>2.9720481339004849</v>
      </c>
    </row>
    <row r="221" spans="1:24" thickBot="1">
      <c r="A221" s="257">
        <v>80</v>
      </c>
      <c r="B221" s="258">
        <v>90</v>
      </c>
      <c r="C221" s="160">
        <v>10865580</v>
      </c>
      <c r="D221" s="30">
        <v>930938257.39999998</v>
      </c>
      <c r="E221" s="187">
        <f t="shared" si="6"/>
        <v>0.34271093025867005</v>
      </c>
      <c r="F221" s="188">
        <v>1.086558E-2</v>
      </c>
      <c r="G221" s="189">
        <v>3.7237530296000002E-3</v>
      </c>
      <c r="H221" s="232">
        <v>0.32</v>
      </c>
      <c r="I221" s="274" t="str">
        <f t="shared" si="7"/>
        <v>(80, 90]</v>
      </c>
      <c r="J221" s="160">
        <v>1</v>
      </c>
      <c r="K221" s="276">
        <v>6.8134228913688917</v>
      </c>
      <c r="L221" s="188">
        <v>7.4031791499999999E-2</v>
      </c>
      <c r="M221" s="233">
        <v>74031791</v>
      </c>
      <c r="N221" s="195">
        <v>7.4031791E-2</v>
      </c>
      <c r="O221" s="211">
        <v>2.5371503962325438E-2</v>
      </c>
      <c r="Q221" s="1">
        <v>4.4133565457011449E-2</v>
      </c>
      <c r="R221" s="1">
        <v>4.0617772320494119</v>
      </c>
    </row>
    <row r="222" spans="1:24" ht="16.8" thickBot="1">
      <c r="A222" s="257">
        <v>90</v>
      </c>
      <c r="B222" s="258">
        <v>100</v>
      </c>
      <c r="C222" s="160">
        <v>11239365</v>
      </c>
      <c r="D222" s="30">
        <v>1075784281.4000001</v>
      </c>
      <c r="E222" s="187">
        <f t="shared" si="6"/>
        <v>0.38286301099750747</v>
      </c>
      <c r="F222" s="188">
        <v>1.1239364999999999E-2</v>
      </c>
      <c r="G222" s="189">
        <v>4.3031371256000003E-3</v>
      </c>
      <c r="H222" s="232">
        <v>0.36</v>
      </c>
      <c r="I222" s="274" t="str">
        <f t="shared" si="7"/>
        <v>(90, 100]</v>
      </c>
      <c r="J222" s="160">
        <v>1</v>
      </c>
      <c r="K222" s="276">
        <v>12.140676497293219</v>
      </c>
      <c r="L222" s="188">
        <v>0.13645349449999999</v>
      </c>
      <c r="M222" s="233">
        <v>136453494</v>
      </c>
      <c r="N222" s="195">
        <v>0.13645349400000001</v>
      </c>
      <c r="O222" s="211">
        <v>5.2242995573970323E-2</v>
      </c>
      <c r="Q222" s="1">
        <v>8.1534868779438843E-2</v>
      </c>
      <c r="R222" s="1">
        <v>7.2544017192642869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21487497</v>
      </c>
      <c r="D223" s="30">
        <v>2379865576.4000001</v>
      </c>
      <c r="E223" s="187">
        <f t="shared" si="6"/>
        <v>0.44302332214868956</v>
      </c>
      <c r="F223" s="188">
        <v>2.1487497000000001E-2</v>
      </c>
      <c r="G223" s="189">
        <v>9.5194623056000013E-3</v>
      </c>
      <c r="H223" s="232">
        <v>0.4</v>
      </c>
      <c r="I223" s="274" t="str">
        <f t="shared" si="7"/>
        <v>(100, 120]</v>
      </c>
      <c r="J223" s="160">
        <v>1</v>
      </c>
      <c r="K223" s="276">
        <v>6.9970359739898971</v>
      </c>
      <c r="L223" s="188">
        <v>0.1503487895</v>
      </c>
      <c r="M223" s="233">
        <v>150348789</v>
      </c>
      <c r="N223" s="195">
        <v>0.15034878900000001</v>
      </c>
      <c r="O223" s="211">
        <v>6.6608019983812355E-2</v>
      </c>
      <c r="Q223" s="1">
        <v>9.0112979805137619E-2</v>
      </c>
      <c r="R223" s="1">
        <v>4.1937401925006723</v>
      </c>
      <c r="U223" s="128" t="s">
        <v>271</v>
      </c>
      <c r="V223" s="185">
        <f>SUM(N199:N228)</f>
        <v>0.76163087200000001</v>
      </c>
      <c r="W223" s="296" cm="1">
        <f t="array" ref="W223:W228">1/V223:V228</f>
        <v>1.3129719878266699</v>
      </c>
      <c r="X223" s="302"/>
    </row>
    <row r="224" spans="1:24" ht="15.6">
      <c r="A224" s="257">
        <v>120</v>
      </c>
      <c r="B224" s="258">
        <v>140</v>
      </c>
      <c r="C224" s="160">
        <v>20319575</v>
      </c>
      <c r="D224" s="30">
        <v>2653516966</v>
      </c>
      <c r="E224" s="187">
        <f t="shared" si="6"/>
        <v>0.52235678472605851</v>
      </c>
      <c r="F224" s="188">
        <v>2.0319574999999999E-2</v>
      </c>
      <c r="G224" s="189">
        <v>1.0614067864E-2</v>
      </c>
      <c r="H224" s="232">
        <v>0.48</v>
      </c>
      <c r="I224" s="274" t="str">
        <f t="shared" si="7"/>
        <v>(120, 140]</v>
      </c>
      <c r="J224" s="160">
        <v>1</v>
      </c>
      <c r="K224" s="276">
        <v>3.8844497731866929</v>
      </c>
      <c r="L224" s="188">
        <v>7.89303685E-2</v>
      </c>
      <c r="M224" s="233">
        <v>78930368</v>
      </c>
      <c r="N224" s="195">
        <v>7.8930368000000001E-2</v>
      </c>
      <c r="O224" s="211">
        <v>4.1229813245724577E-2</v>
      </c>
      <c r="Q224" s="1">
        <v>4.747126106777233E-2</v>
      </c>
      <c r="R224" s="272">
        <v>2.3362329708063445</v>
      </c>
      <c r="U224" s="124" t="s">
        <v>275</v>
      </c>
      <c r="V224" s="188">
        <f>SUM(N229:N256)</f>
        <v>0.23836912800000001</v>
      </c>
      <c r="W224" s="297">
        <v>4.1951741334557386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20082979</v>
      </c>
      <c r="D225" s="30">
        <v>3024516101</v>
      </c>
      <c r="E225" s="187">
        <f t="shared" si="6"/>
        <v>0.6024038766360309</v>
      </c>
      <c r="F225" s="188">
        <v>2.0082979000000001E-2</v>
      </c>
      <c r="G225" s="189">
        <v>1.2098064404000001E-2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1.7871692989371746</v>
      </c>
      <c r="L225" s="188">
        <v>3.58916835E-2</v>
      </c>
      <c r="M225" s="233">
        <v>35891683</v>
      </c>
      <c r="N225" s="195">
        <v>3.5891683000000001E-2</v>
      </c>
      <c r="O225" s="211">
        <v>2.1621288978191527E-2</v>
      </c>
      <c r="Q225" s="1">
        <v>2.1651011757170088E-2</v>
      </c>
      <c r="R225" s="272">
        <v>1.0780776973958937</v>
      </c>
      <c r="U225" s="124" t="s">
        <v>272</v>
      </c>
      <c r="V225" s="188">
        <f>SUM(N234:N256)</f>
        <v>0.12042989999999999</v>
      </c>
      <c r="W225" s="297">
        <v>8.3035857374289943</v>
      </c>
      <c r="X225" s="303">
        <v>5000</v>
      </c>
    </row>
    <row r="226" spans="1:24" ht="15.6">
      <c r="A226" s="257">
        <v>160</v>
      </c>
      <c r="B226" s="258">
        <v>180</v>
      </c>
      <c r="C226" s="160">
        <v>19271714</v>
      </c>
      <c r="D226" s="30">
        <v>3287359850.1999998</v>
      </c>
      <c r="E226" s="187">
        <f t="shared" si="6"/>
        <v>0.68231810625666189</v>
      </c>
      <c r="F226" s="188">
        <v>1.9271713999999999E-2</v>
      </c>
      <c r="G226" s="189">
        <v>1.3149439400799998E-2</v>
      </c>
      <c r="H226" s="232">
        <v>0.64</v>
      </c>
      <c r="I226" s="124" t="str">
        <f t="shared" si="7"/>
        <v>(160, 180]</v>
      </c>
      <c r="J226" s="160">
        <v>1</v>
      </c>
      <c r="K226" s="276">
        <v>1.0591895199357981</v>
      </c>
      <c r="L226" s="188">
        <v>2.0412397499999999E-2</v>
      </c>
      <c r="M226" s="233">
        <v>20412397</v>
      </c>
      <c r="N226" s="195">
        <v>2.0412396999999999E-2</v>
      </c>
      <c r="O226" s="211">
        <v>1.3927748065199166E-2</v>
      </c>
      <c r="Q226" s="1">
        <v>1.2345605360363113E-2</v>
      </c>
      <c r="R226" s="272">
        <v>0.64060754328147018</v>
      </c>
      <c r="U226" s="124" t="s">
        <v>287</v>
      </c>
      <c r="V226" s="188">
        <f>SUM(N245:N256)</f>
        <v>5.0333519999999988E-3</v>
      </c>
      <c r="W226" s="297">
        <v>198.67475988168525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18790619</v>
      </c>
      <c r="D227" s="30">
        <v>3582627649.8000002</v>
      </c>
      <c r="E227" s="187">
        <f t="shared" si="6"/>
        <v>0.76264175220624719</v>
      </c>
      <c r="F227" s="188">
        <v>1.8790619000000001E-2</v>
      </c>
      <c r="G227" s="189">
        <v>1.4330510599200002E-2</v>
      </c>
      <c r="H227" s="232">
        <v>0.72</v>
      </c>
      <c r="I227" s="124" t="str">
        <f t="shared" si="7"/>
        <v>(180, 200]</v>
      </c>
      <c r="J227" s="160">
        <v>1</v>
      </c>
      <c r="K227" s="276">
        <v>1.5897969353750401</v>
      </c>
      <c r="L227" s="188">
        <v>2.9873268500000001E-2</v>
      </c>
      <c r="M227" s="233">
        <v>29873268</v>
      </c>
      <c r="N227" s="195">
        <v>2.9873268000000001E-2</v>
      </c>
      <c r="O227" s="211">
        <v>2.2782601451646813E-2</v>
      </c>
      <c r="Q227" s="1">
        <v>1.8109825476012021E-2</v>
      </c>
      <c r="R227" s="272">
        <v>0.96376949987714722</v>
      </c>
      <c r="U227" s="124" t="s">
        <v>288</v>
      </c>
      <c r="V227" s="188">
        <f>SUM(N246:N256)</f>
        <v>3.5280759999999998E-3</v>
      </c>
      <c r="W227" s="297">
        <v>283.44060615474274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44299128</v>
      </c>
      <c r="D228" s="30">
        <v>9977298221.6000004</v>
      </c>
      <c r="E228" s="187">
        <f t="shared" si="6"/>
        <v>0.90090244860801771</v>
      </c>
      <c r="F228" s="188">
        <v>4.4299128E-2</v>
      </c>
      <c r="G228" s="189">
        <v>3.9909192886399998E-2</v>
      </c>
      <c r="H228" s="232">
        <v>0.8</v>
      </c>
      <c r="I228" s="124" t="str">
        <f t="shared" si="7"/>
        <v>(200, 250]</v>
      </c>
      <c r="J228" s="160">
        <v>1</v>
      </c>
      <c r="K228" s="276">
        <v>0.28478198261600091</v>
      </c>
      <c r="L228" s="188">
        <v>1.2615593499999999E-2</v>
      </c>
      <c r="M228" s="233">
        <v>12615593</v>
      </c>
      <c r="N228" s="195">
        <v>1.2615593E-2</v>
      </c>
      <c r="O228" s="211">
        <v>1.1365418624342167E-2</v>
      </c>
      <c r="Q228" s="1">
        <v>7.674595432961279E-3</v>
      </c>
      <c r="R228" s="272">
        <v>0.17324484204206636</v>
      </c>
      <c r="U228" s="125" t="s">
        <v>273</v>
      </c>
      <c r="V228" s="191">
        <f>SUM(N253)</f>
        <v>1.8222099999999999E-4</v>
      </c>
      <c r="W228" s="298">
        <v>5487.8416867430215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41452331</v>
      </c>
      <c r="D229" s="30">
        <v>11406990263.200001</v>
      </c>
      <c r="E229" s="187">
        <f t="shared" si="6"/>
        <v>1.1007332989983121</v>
      </c>
      <c r="F229" s="188">
        <v>4.1452331000000002E-2</v>
      </c>
      <c r="G229" s="189">
        <v>4.5627961052800002E-2</v>
      </c>
      <c r="H229" s="232">
        <v>1</v>
      </c>
      <c r="I229" s="275" t="str">
        <f t="shared" si="7"/>
        <v>(250, 300]</v>
      </c>
      <c r="J229" s="160">
        <v>1</v>
      </c>
      <c r="K229" s="276">
        <v>1.7580122936874165</v>
      </c>
      <c r="L229" s="188">
        <v>7.287370750000001E-2</v>
      </c>
      <c r="M229" s="233">
        <v>72873707</v>
      </c>
      <c r="N229" s="195">
        <v>7.2873706999999996E-2</v>
      </c>
      <c r="O229" s="211">
        <v>8.0214515916346388E-2</v>
      </c>
      <c r="P229" s="1" cm="1">
        <f t="array" ref="P229:P256">2*K229:K256</f>
        <v>3.516024587374833</v>
      </c>
      <c r="Q229" s="1">
        <v>1.1129664251999793E-2</v>
      </c>
      <c r="R229" s="272">
        <v>0.26849308551549955</v>
      </c>
    </row>
    <row r="230" spans="1:24" ht="15.6">
      <c r="A230" s="257">
        <v>300</v>
      </c>
      <c r="B230" s="258">
        <v>350</v>
      </c>
      <c r="C230" s="160">
        <v>38417261</v>
      </c>
      <c r="D230" s="30">
        <v>12489682119.799999</v>
      </c>
      <c r="E230" s="187">
        <f t="shared" si="6"/>
        <v>1.3004240067817432</v>
      </c>
      <c r="F230" s="188">
        <v>3.8417261000000001E-2</v>
      </c>
      <c r="G230" s="189">
        <v>4.99587284792E-2</v>
      </c>
      <c r="H230" s="232">
        <v>1.2</v>
      </c>
      <c r="I230" s="124" t="str">
        <f t="shared" si="7"/>
        <v>(300, 350]</v>
      </c>
      <c r="J230" s="160">
        <v>1</v>
      </c>
      <c r="K230" s="276">
        <v>0.28404808713458257</v>
      </c>
      <c r="L230" s="188">
        <v>1.0912349500000001E-2</v>
      </c>
      <c r="M230" s="233">
        <v>10912349</v>
      </c>
      <c r="N230" s="195">
        <v>1.0912349E-2</v>
      </c>
      <c r="O230" s="211">
        <v>1.4190680609980749E-2</v>
      </c>
      <c r="P230" s="1">
        <v>0.56809617426916514</v>
      </c>
      <c r="Q230" s="1">
        <v>1.6724255706989108E-3</v>
      </c>
      <c r="R230" s="272">
        <v>4.3533180845425463E-2</v>
      </c>
    </row>
    <row r="231" spans="1:24" ht="15.6">
      <c r="A231" s="257">
        <v>350</v>
      </c>
      <c r="B231" s="258">
        <v>400</v>
      </c>
      <c r="C231" s="160">
        <v>36097070</v>
      </c>
      <c r="D231" s="30">
        <v>13542176268.200001</v>
      </c>
      <c r="E231" s="187">
        <f t="shared" si="6"/>
        <v>1.5006399431532809</v>
      </c>
      <c r="F231" s="188">
        <v>3.6097070000000002E-2</v>
      </c>
      <c r="G231" s="189">
        <v>5.41687050728E-2</v>
      </c>
      <c r="H231" s="232">
        <v>1.4</v>
      </c>
      <c r="I231" s="124" t="str">
        <f t="shared" si="7"/>
        <v>(350, 400]</v>
      </c>
      <c r="J231" s="160">
        <v>1</v>
      </c>
      <c r="K231" s="276">
        <v>0.34519201974010633</v>
      </c>
      <c r="L231" s="188">
        <v>1.2460420500000001E-2</v>
      </c>
      <c r="M231" s="233">
        <v>12460420</v>
      </c>
      <c r="N231" s="195">
        <v>1.246042E-2</v>
      </c>
      <c r="O231" s="211">
        <v>1.8698603960466003E-2</v>
      </c>
      <c r="P231" s="1">
        <v>0.69038403948021265</v>
      </c>
      <c r="Q231" s="1">
        <v>1.915424125577387E-3</v>
      </c>
      <c r="R231" s="272">
        <v>5.3063146830958495E-2</v>
      </c>
    </row>
    <row r="232" spans="1:24" ht="15.6">
      <c r="A232" s="257">
        <v>400</v>
      </c>
      <c r="B232" s="258">
        <v>450</v>
      </c>
      <c r="C232" s="160">
        <v>33574935</v>
      </c>
      <c r="D232" s="30">
        <v>14273155322</v>
      </c>
      <c r="E232" s="187">
        <f t="shared" si="6"/>
        <v>1.7004536654501343</v>
      </c>
      <c r="F232" s="188">
        <v>3.3574935E-2</v>
      </c>
      <c r="G232" s="189">
        <v>5.7092621288000009E-2</v>
      </c>
      <c r="H232" s="232">
        <v>1.6</v>
      </c>
      <c r="I232" s="124" t="str">
        <f t="shared" si="7"/>
        <v>(400, 450]</v>
      </c>
      <c r="J232" s="160">
        <v>1</v>
      </c>
      <c r="K232" s="276">
        <v>0.28830174950450388</v>
      </c>
      <c r="L232" s="188">
        <v>9.6797124999999998E-3</v>
      </c>
      <c r="M232" s="233">
        <v>9679712</v>
      </c>
      <c r="N232" s="195">
        <v>9.679712E-3</v>
      </c>
      <c r="O232" s="211">
        <v>1.6459901750901652E-2</v>
      </c>
      <c r="P232" s="1">
        <v>0.57660349900900776</v>
      </c>
      <c r="Q232" s="1">
        <v>1.4918749622586027E-3</v>
      </c>
      <c r="R232" s="272">
        <v>4.4434187653932991E-2</v>
      </c>
    </row>
    <row r="233" spans="1:24" ht="15.6">
      <c r="A233" s="257">
        <v>450</v>
      </c>
      <c r="B233" s="258">
        <v>500</v>
      </c>
      <c r="C233" s="160">
        <v>31501058</v>
      </c>
      <c r="D233" s="30">
        <v>14967072917</v>
      </c>
      <c r="E233" s="187">
        <f t="shared" si="6"/>
        <v>1.9005168546402473</v>
      </c>
      <c r="F233" s="188">
        <v>3.1501057999999998E-2</v>
      </c>
      <c r="G233" s="189">
        <v>5.9868291668E-2</v>
      </c>
      <c r="H233" s="232">
        <v>1.8</v>
      </c>
      <c r="I233" s="124" t="str">
        <f t="shared" si="7"/>
        <v>(450, 500]</v>
      </c>
      <c r="J233" s="160">
        <v>1</v>
      </c>
      <c r="K233" s="276">
        <v>0.38135355644245345</v>
      </c>
      <c r="L233" s="188">
        <v>1.2013040499999999E-2</v>
      </c>
      <c r="M233" s="233">
        <v>12013040</v>
      </c>
      <c r="N233" s="195">
        <v>1.2013039999999999E-2</v>
      </c>
      <c r="O233" s="211">
        <v>2.2830984995467474E-2</v>
      </c>
      <c r="P233" s="1">
        <v>0.76270711288490689</v>
      </c>
      <c r="Q233" s="1">
        <v>1.8558185333071217E-3</v>
      </c>
      <c r="R233" s="272">
        <v>5.8912895348058526E-2</v>
      </c>
    </row>
    <row r="234" spans="1:24" ht="15.6">
      <c r="A234" s="257">
        <v>500</v>
      </c>
      <c r="B234" s="258">
        <v>550</v>
      </c>
      <c r="C234" s="160">
        <v>29413304</v>
      </c>
      <c r="D234" s="30">
        <v>15442781243.799999</v>
      </c>
      <c r="E234" s="187">
        <f t="shared" si="6"/>
        <v>2.1001083378868284</v>
      </c>
      <c r="F234" s="188">
        <v>2.9413304000000001E-2</v>
      </c>
      <c r="G234" s="189">
        <v>6.1771124975200001E-2</v>
      </c>
      <c r="H234" s="232">
        <v>2</v>
      </c>
      <c r="I234" s="275" t="str">
        <f t="shared" si="7"/>
        <v>(500, 550]</v>
      </c>
      <c r="J234" s="160">
        <v>1</v>
      </c>
      <c r="K234" s="276">
        <v>1.1748382806637432</v>
      </c>
      <c r="L234" s="188">
        <v>3.45558755E-2</v>
      </c>
      <c r="M234" s="233">
        <v>34555875</v>
      </c>
      <c r="N234" s="195">
        <v>3.4555875E-2</v>
      </c>
      <c r="O234" s="211">
        <v>7.2571081210475008E-2</v>
      </c>
      <c r="P234" s="1">
        <v>2.3496765613274864</v>
      </c>
      <c r="Q234" s="1">
        <v>5.3495038293716922E-3</v>
      </c>
      <c r="R234" s="272">
        <v>0.18187361166129762</v>
      </c>
    </row>
    <row r="235" spans="1:24" ht="15.6">
      <c r="A235" s="257">
        <v>550</v>
      </c>
      <c r="B235" s="258">
        <v>600</v>
      </c>
      <c r="C235" s="160">
        <v>27695602</v>
      </c>
      <c r="D235" s="30">
        <v>15927312930</v>
      </c>
      <c r="E235" s="187">
        <f t="shared" si="6"/>
        <v>2.3003382168764555</v>
      </c>
      <c r="F235" s="188">
        <v>2.7695602E-2</v>
      </c>
      <c r="G235" s="189">
        <v>6.3709251719999999E-2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0.65582183409481409</v>
      </c>
      <c r="L235" s="188">
        <v>1.81633805E-2</v>
      </c>
      <c r="M235" s="233">
        <v>18163380</v>
      </c>
      <c r="N235" s="195">
        <v>1.816338E-2</v>
      </c>
      <c r="O235" s="211">
        <v>4.1781917161649473E-2</v>
      </c>
      <c r="P235" s="1">
        <v>1.3116436681896282</v>
      </c>
      <c r="Q235" s="1">
        <v>2.8171970608689904E-3</v>
      </c>
      <c r="R235" s="272">
        <v>0.10172001536088619</v>
      </c>
    </row>
    <row r="236" spans="1:24" ht="15.6">
      <c r="A236" s="257">
        <v>600</v>
      </c>
      <c r="B236" s="258">
        <v>650</v>
      </c>
      <c r="C236" s="160">
        <v>25856019</v>
      </c>
      <c r="D236" s="30">
        <v>16161953803.200001</v>
      </c>
      <c r="E236" s="187">
        <f t="shared" si="6"/>
        <v>2.5003004218398819</v>
      </c>
      <c r="F236" s="188">
        <v>2.5856019000000001E-2</v>
      </c>
      <c r="G236" s="189">
        <v>6.4647815212799997E-2</v>
      </c>
      <c r="H236" s="232">
        <v>2.4</v>
      </c>
      <c r="I236" s="124" t="str">
        <f t="shared" si="7"/>
        <v>(600, 650]</v>
      </c>
      <c r="J236" s="160">
        <v>1</v>
      </c>
      <c r="K236" s="276">
        <v>0.46323877237249866</v>
      </c>
      <c r="L236" s="188">
        <v>1.1977510500000002E-2</v>
      </c>
      <c r="M236" s="233">
        <v>11977510</v>
      </c>
      <c r="N236" s="195">
        <v>1.197751E-2</v>
      </c>
      <c r="O236" s="211">
        <v>2.9947373305591406E-2</v>
      </c>
      <c r="P236" s="1">
        <v>0.92647754474499733</v>
      </c>
      <c r="Q236" s="1">
        <v>1.8609975223638686E-3</v>
      </c>
      <c r="R236" s="272">
        <v>7.1975408215931014E-2</v>
      </c>
    </row>
    <row r="237" spans="1:24" ht="15.6">
      <c r="A237" s="257">
        <v>650</v>
      </c>
      <c r="B237" s="258">
        <v>700</v>
      </c>
      <c r="C237" s="160">
        <v>24290959</v>
      </c>
      <c r="D237" s="30">
        <v>16397447364.4</v>
      </c>
      <c r="E237" s="187">
        <f t="shared" si="6"/>
        <v>2.7001729103243721</v>
      </c>
      <c r="F237" s="188">
        <v>2.4290959000000001E-2</v>
      </c>
      <c r="G237" s="189">
        <v>6.5589789457600009E-2</v>
      </c>
      <c r="H237" s="232">
        <v>2.6</v>
      </c>
      <c r="I237" s="124" t="str">
        <f t="shared" si="7"/>
        <v>(650, 700]</v>
      </c>
      <c r="J237" s="160">
        <v>1</v>
      </c>
      <c r="K237" s="276">
        <v>0.23179988488721257</v>
      </c>
      <c r="L237" s="188">
        <v>5.6306415000000002E-3</v>
      </c>
      <c r="M237" s="233">
        <v>5630641</v>
      </c>
      <c r="N237" s="195">
        <v>5.6306409999999996E-3</v>
      </c>
      <c r="O237" s="211">
        <v>1.5203704295961733E-2</v>
      </c>
      <c r="P237" s="1">
        <v>0.46359976977442513</v>
      </c>
      <c r="Q237" s="1">
        <v>8.762685323830589E-4</v>
      </c>
      <c r="R237" s="272">
        <v>3.607385498378466E-2</v>
      </c>
    </row>
    <row r="238" spans="1:24" ht="15.6">
      <c r="A238" s="257">
        <v>700</v>
      </c>
      <c r="B238" s="258">
        <v>750</v>
      </c>
      <c r="C238" s="160">
        <v>22772654</v>
      </c>
      <c r="D238" s="30">
        <v>16510470569.4</v>
      </c>
      <c r="E238" s="187">
        <f t="shared" si="6"/>
        <v>2.9000520658505593</v>
      </c>
      <c r="F238" s="188">
        <v>2.2772654E-2</v>
      </c>
      <c r="G238" s="189">
        <v>6.6041882277600009E-2</v>
      </c>
      <c r="H238" s="232">
        <v>2.8</v>
      </c>
      <c r="I238" s="124" t="str">
        <f t="shared" si="7"/>
        <v>(700, 750]</v>
      </c>
      <c r="J238" s="160">
        <v>1</v>
      </c>
      <c r="K238" s="276">
        <v>0.20881613096128365</v>
      </c>
      <c r="L238" s="188">
        <v>4.7552975000000001E-3</v>
      </c>
      <c r="M238" s="233">
        <v>4755297</v>
      </c>
      <c r="N238" s="195">
        <v>4.7552970000000003E-3</v>
      </c>
      <c r="O238" s="211">
        <v>1.3790608888582969E-2</v>
      </c>
      <c r="P238" s="1">
        <v>0.4176322619225673</v>
      </c>
      <c r="Q238" s="1">
        <v>7.4115146154725073E-4</v>
      </c>
      <c r="R238" s="272">
        <v>3.2545677879585344E-2</v>
      </c>
    </row>
    <row r="239" spans="1:24" ht="15.6">
      <c r="A239" s="257">
        <v>750</v>
      </c>
      <c r="B239" s="258">
        <v>800</v>
      </c>
      <c r="C239" s="160">
        <v>21478091</v>
      </c>
      <c r="D239" s="30">
        <v>16647691716.799999</v>
      </c>
      <c r="E239" s="187">
        <f t="shared" si="6"/>
        <v>3.1004043547073152</v>
      </c>
      <c r="F239" s="188">
        <v>2.1478091000000001E-2</v>
      </c>
      <c r="G239" s="189">
        <v>6.6590766867200002E-2</v>
      </c>
      <c r="H239" s="232">
        <v>3</v>
      </c>
      <c r="I239" s="124" t="str">
        <f t="shared" si="7"/>
        <v>(750, 800]</v>
      </c>
      <c r="J239" s="160">
        <v>1</v>
      </c>
      <c r="K239" s="276">
        <v>0.36363820695237764</v>
      </c>
      <c r="L239" s="188">
        <v>7.8102544999999997E-3</v>
      </c>
      <c r="M239" s="233">
        <v>7810254</v>
      </c>
      <c r="N239" s="195">
        <v>7.810254E-3</v>
      </c>
      <c r="O239" s="211">
        <v>2.4214945512970227E-2</v>
      </c>
      <c r="P239" s="1">
        <v>0.72727641390475528</v>
      </c>
      <c r="Q239" s="1">
        <v>1.2189966059970045E-3</v>
      </c>
      <c r="R239" s="272">
        <v>5.6755351581153302E-2</v>
      </c>
    </row>
    <row r="240" spans="1:24" ht="15.6">
      <c r="A240" s="257">
        <v>800</v>
      </c>
      <c r="B240" s="258">
        <v>850</v>
      </c>
      <c r="C240" s="160">
        <v>20101606</v>
      </c>
      <c r="D240" s="30">
        <v>16584103182.4</v>
      </c>
      <c r="E240" s="187">
        <f t="shared" si="6"/>
        <v>3.300055365208133</v>
      </c>
      <c r="F240" s="188">
        <v>2.0101606000000001E-2</v>
      </c>
      <c r="G240" s="189">
        <v>6.6336412729600003E-2</v>
      </c>
      <c r="H240" s="232">
        <v>3.2</v>
      </c>
      <c r="I240" s="124" t="str">
        <f t="shared" si="7"/>
        <v>(800, 850]</v>
      </c>
      <c r="J240" s="160">
        <v>1</v>
      </c>
      <c r="K240" s="276">
        <v>0.21769646166579923</v>
      </c>
      <c r="L240" s="188">
        <v>4.3760485000000002E-3</v>
      </c>
      <c r="M240" s="233">
        <v>4376048</v>
      </c>
      <c r="N240" s="195">
        <v>4.3760479999999996E-3</v>
      </c>
      <c r="O240" s="211">
        <v>1.4441200680808319E-2</v>
      </c>
      <c r="P240" s="1">
        <v>0.43539292333159846</v>
      </c>
      <c r="Q240" s="1">
        <v>6.8389177127303735E-4</v>
      </c>
      <c r="R240" s="272">
        <v>3.4021747877907731E-2</v>
      </c>
    </row>
    <row r="241" spans="1:19" ht="15.6">
      <c r="A241" s="257">
        <v>850</v>
      </c>
      <c r="B241" s="258">
        <v>900</v>
      </c>
      <c r="C241" s="160">
        <v>18942867</v>
      </c>
      <c r="D241" s="30">
        <v>16575648170.200001</v>
      </c>
      <c r="E241" s="187">
        <f t="shared" si="6"/>
        <v>3.5001350471816122</v>
      </c>
      <c r="F241" s="188">
        <v>1.8942866999999999E-2</v>
      </c>
      <c r="G241" s="189">
        <v>6.6302592680799993E-2</v>
      </c>
      <c r="H241" s="232">
        <v>3.4</v>
      </c>
      <c r="I241" s="124" t="str">
        <f t="shared" si="7"/>
        <v>(850, 900]</v>
      </c>
      <c r="J241" s="160">
        <v>1</v>
      </c>
      <c r="K241" s="276">
        <v>0.22425974378640784</v>
      </c>
      <c r="L241" s="188">
        <v>4.2481224999999997E-3</v>
      </c>
      <c r="M241" s="233">
        <v>4248122</v>
      </c>
      <c r="N241" s="195">
        <v>4.248122E-3</v>
      </c>
      <c r="O241" s="211">
        <v>1.4869000696903245E-2</v>
      </c>
      <c r="P241" s="1">
        <v>0.44851948757281568</v>
      </c>
      <c r="Q241" s="1">
        <v>6.6471945033239174E-4</v>
      </c>
      <c r="R241" s="272">
        <v>3.5090752119644394E-2</v>
      </c>
    </row>
    <row r="242" spans="1:19" ht="15.6">
      <c r="A242" s="257">
        <v>900</v>
      </c>
      <c r="B242" s="258">
        <v>950</v>
      </c>
      <c r="C242" s="160">
        <v>17747649</v>
      </c>
      <c r="D242" s="30">
        <v>16416620302.6</v>
      </c>
      <c r="E242" s="187">
        <f t="shared" si="6"/>
        <v>3.7000101371398544</v>
      </c>
      <c r="F242" s="188">
        <v>1.7747649000000001E-2</v>
      </c>
      <c r="G242" s="189">
        <v>6.5666481210400002E-2</v>
      </c>
      <c r="H242" s="232">
        <v>3.6</v>
      </c>
      <c r="I242" s="124" t="str">
        <f t="shared" si="7"/>
        <v>(900, 950]</v>
      </c>
      <c r="J242" s="160">
        <v>1</v>
      </c>
      <c r="K242" s="276">
        <v>0.18372357375334614</v>
      </c>
      <c r="L242" s="188">
        <v>3.2606614999999999E-3</v>
      </c>
      <c r="M242" s="233">
        <v>3260661</v>
      </c>
      <c r="N242" s="195">
        <v>3.2606610000000002E-3</v>
      </c>
      <c r="O242" s="211">
        <v>1.2064478753776576E-2</v>
      </c>
      <c r="P242" s="1">
        <v>0.36744714750669227</v>
      </c>
      <c r="Q242" s="1">
        <v>5.1080162542589203E-4</v>
      </c>
      <c r="R242" s="272">
        <v>2.8781368474545106E-2</v>
      </c>
    </row>
    <row r="243" spans="1:19" ht="15.6">
      <c r="A243" s="257">
        <v>950</v>
      </c>
      <c r="B243" s="258">
        <v>1000</v>
      </c>
      <c r="C243" s="160">
        <v>16769457</v>
      </c>
      <c r="D243" s="30">
        <v>16351530875.200001</v>
      </c>
      <c r="E243" s="187">
        <f t="shared" si="6"/>
        <v>3.900312544455077</v>
      </c>
      <c r="F243" s="188">
        <v>1.6769457000000002E-2</v>
      </c>
      <c r="G243" s="189">
        <v>6.5406123500800009E-2</v>
      </c>
      <c r="H243" s="232">
        <v>3.8</v>
      </c>
      <c r="I243" s="124" t="str">
        <f t="shared" si="7"/>
        <v>(950, 1000]</v>
      </c>
      <c r="J243" s="160">
        <v>1</v>
      </c>
      <c r="K243" s="276">
        <v>0.35457048490001791</v>
      </c>
      <c r="L243" s="188">
        <v>5.9459545000000004E-3</v>
      </c>
      <c r="M243" s="233">
        <v>5945954</v>
      </c>
      <c r="N243" s="195">
        <v>5.9459539999999998E-3</v>
      </c>
      <c r="O243" s="211">
        <v>2.3191078974952841E-2</v>
      </c>
      <c r="P243" s="1">
        <v>0.70914096980003583</v>
      </c>
      <c r="Q243" s="1">
        <v>9.3249869117555866E-4</v>
      </c>
      <c r="R243" s="272">
        <v>5.5606969932035281E-2</v>
      </c>
    </row>
    <row r="244" spans="1:19" ht="15.6">
      <c r="A244" s="257">
        <v>1000</v>
      </c>
      <c r="B244" s="258">
        <v>2000</v>
      </c>
      <c r="C244" s="160">
        <v>190682659</v>
      </c>
      <c r="D244" s="30">
        <v>268034574372.39999</v>
      </c>
      <c r="E244" s="187">
        <f t="shared" si="6"/>
        <v>5.6226313557416878</v>
      </c>
      <c r="F244" s="188">
        <v>0.190682659</v>
      </c>
      <c r="G244" s="189">
        <v>1.0721382974895999</v>
      </c>
      <c r="H244" s="232">
        <v>4</v>
      </c>
      <c r="I244" s="275" t="str">
        <f t="shared" si="7"/>
        <v>(1000, 2000]</v>
      </c>
      <c r="J244" s="160">
        <v>1</v>
      </c>
      <c r="K244" s="276">
        <v>7.6948824696219498E-2</v>
      </c>
      <c r="L244" s="188">
        <v>1.4672806500000002E-2</v>
      </c>
      <c r="M244" s="233">
        <v>14672806</v>
      </c>
      <c r="N244" s="195">
        <v>1.4672806E-2</v>
      </c>
      <c r="O244" s="211">
        <v>8.2499779092314776E-2</v>
      </c>
      <c r="P244" s="1">
        <v>0.153897649392439</v>
      </c>
      <c r="Q244" s="1">
        <v>2.3188292455711568E-3</v>
      </c>
      <c r="R244" s="272">
        <v>1.2160671860418922E-2</v>
      </c>
    </row>
    <row r="245" spans="1:19" ht="15.6">
      <c r="A245" s="257">
        <v>2000</v>
      </c>
      <c r="B245" s="258">
        <v>3000</v>
      </c>
      <c r="C245" s="160">
        <v>63337089</v>
      </c>
      <c r="D245" s="30">
        <v>152985868823.79999</v>
      </c>
      <c r="E245" s="187">
        <f t="shared" si="6"/>
        <v>9.6616924610349546</v>
      </c>
      <c r="F245" s="188">
        <v>6.3337088999999999E-2</v>
      </c>
      <c r="G245" s="189">
        <v>0.61194347529519999</v>
      </c>
      <c r="H245" s="232">
        <v>8</v>
      </c>
      <c r="I245" s="124" t="str">
        <f t="shared" si="7"/>
        <v>(2000, 3000]</v>
      </c>
      <c r="J245" s="160">
        <v>1</v>
      </c>
      <c r="K245" s="276">
        <v>2.3766114353629356E-2</v>
      </c>
      <c r="L245" s="188">
        <v>1.5052765E-3</v>
      </c>
      <c r="M245" s="233">
        <v>1505276</v>
      </c>
      <c r="N245" s="195">
        <v>1.5052760000000001E-3</v>
      </c>
      <c r="O245" s="211">
        <v>1.4543513780976854E-2</v>
      </c>
      <c r="P245" s="1">
        <v>4.7532228707258713E-2</v>
      </c>
      <c r="Q245" s="1">
        <v>2.4060234572901006E-4</v>
      </c>
      <c r="R245" s="272">
        <v>3.7987591398305352E-3</v>
      </c>
    </row>
    <row r="246" spans="1:19" ht="15.6">
      <c r="A246" s="257">
        <v>3000</v>
      </c>
      <c r="B246" s="258">
        <v>4000</v>
      </c>
      <c r="C246" s="160">
        <v>23980137</v>
      </c>
      <c r="D246" s="30">
        <v>82158975145.399994</v>
      </c>
      <c r="E246" s="187">
        <f t="shared" si="6"/>
        <v>13.70450471494804</v>
      </c>
      <c r="F246" s="188">
        <v>2.3980136999999999E-2</v>
      </c>
      <c r="G246" s="189">
        <v>0.32863590058159992</v>
      </c>
      <c r="H246" s="232">
        <v>12</v>
      </c>
      <c r="I246" s="124" t="str">
        <f t="shared" si="7"/>
        <v>(3000, 4000]</v>
      </c>
      <c r="J246" s="160">
        <v>1</v>
      </c>
      <c r="K246" s="276">
        <v>5.039764785330459E-2</v>
      </c>
      <c r="L246" s="188">
        <v>1.2085424999999999E-3</v>
      </c>
      <c r="M246" s="233">
        <v>1208542</v>
      </c>
      <c r="N246" s="195">
        <v>1.2085419999999999E-3</v>
      </c>
      <c r="O246" s="211">
        <v>1.6562469537212732E-2</v>
      </c>
      <c r="P246" s="1">
        <v>0.10079529570660918</v>
      </c>
      <c r="Q246" s="1">
        <v>1.9459292360516313E-4</v>
      </c>
      <c r="R246" s="272">
        <v>8.1147544572061098E-3</v>
      </c>
    </row>
    <row r="247" spans="1:19" ht="15.6">
      <c r="A247" s="257">
        <v>4000</v>
      </c>
      <c r="B247" s="258">
        <v>5000</v>
      </c>
      <c r="C247" s="160">
        <v>10483743</v>
      </c>
      <c r="D247" s="30">
        <v>46525247928.199997</v>
      </c>
      <c r="E247" s="187">
        <f t="shared" si="6"/>
        <v>17.751388193396195</v>
      </c>
      <c r="F247" s="188">
        <v>1.0483743E-2</v>
      </c>
      <c r="G247" s="189">
        <v>0.18610099171280001</v>
      </c>
      <c r="H247" s="232">
        <v>16</v>
      </c>
      <c r="I247" s="124" t="str">
        <f t="shared" si="7"/>
        <v>(4000, 5000]</v>
      </c>
      <c r="J247" s="160">
        <v>1</v>
      </c>
      <c r="K247" s="276">
        <v>9.1161572732181631E-2</v>
      </c>
      <c r="L247" s="188">
        <v>9.5571450000000004E-4</v>
      </c>
      <c r="M247" s="233">
        <v>955714</v>
      </c>
      <c r="N247" s="195">
        <v>9.5571399999999998E-4</v>
      </c>
      <c r="O247" s="211">
        <v>1.696525021586345E-2</v>
      </c>
      <c r="P247" s="1">
        <v>0.18232314546436326</v>
      </c>
      <c r="Q247" s="1">
        <v>1.5472097419784935E-4</v>
      </c>
      <c r="R247" s="272">
        <v>1.4758180756419664E-2</v>
      </c>
    </row>
    <row r="248" spans="1:19" ht="15.6">
      <c r="A248" s="257">
        <v>5000</v>
      </c>
      <c r="B248" s="258">
        <v>6000</v>
      </c>
      <c r="C248" s="160">
        <v>5307516</v>
      </c>
      <c r="D248" s="30">
        <v>28923266193</v>
      </c>
      <c r="E248" s="187">
        <f t="shared" si="6"/>
        <v>21.797968159116241</v>
      </c>
      <c r="F248" s="188">
        <v>5.307516E-3</v>
      </c>
      <c r="G248" s="189">
        <v>0.11569306477199999</v>
      </c>
      <c r="H248" s="232">
        <v>20</v>
      </c>
      <c r="I248" s="124" t="str">
        <f t="shared" si="7"/>
        <v>(5000, 6000]</v>
      </c>
      <c r="J248" s="160">
        <v>1</v>
      </c>
      <c r="K248" s="276">
        <v>5.949383854895586E-2</v>
      </c>
      <c r="L248" s="188">
        <v>3.1576450000000002E-4</v>
      </c>
      <c r="M248" s="233">
        <v>315764</v>
      </c>
      <c r="N248" s="195">
        <v>3.1576400000000001E-4</v>
      </c>
      <c r="O248" s="211">
        <v>6.8830136177951808E-3</v>
      </c>
      <c r="P248" s="1">
        <v>0.11898767709791172</v>
      </c>
      <c r="Q248" s="1">
        <v>5.1339773931655664E-5</v>
      </c>
      <c r="R248" s="272">
        <v>9.6730323435022456E-3</v>
      </c>
    </row>
    <row r="249" spans="1:19" ht="15.6">
      <c r="A249" s="257">
        <v>6000</v>
      </c>
      <c r="B249" s="258">
        <v>7000</v>
      </c>
      <c r="C249" s="160">
        <v>3110842</v>
      </c>
      <c r="D249" s="30">
        <v>20096818659.599998</v>
      </c>
      <c r="E249" s="187">
        <f t="shared" si="6"/>
        <v>25.841002094738332</v>
      </c>
      <c r="F249" s="188">
        <v>3.1108419999999999E-3</v>
      </c>
      <c r="G249" s="189">
        <v>8.038727463839998E-2</v>
      </c>
      <c r="H249" s="232">
        <v>24</v>
      </c>
      <c r="I249" s="124" t="str">
        <f t="shared" si="7"/>
        <v>(6000, 7000]</v>
      </c>
      <c r="J249" s="160">
        <v>1</v>
      </c>
      <c r="K249" s="276">
        <v>9.5593250959065096E-2</v>
      </c>
      <c r="L249" s="188">
        <v>2.9737549999999996E-4</v>
      </c>
      <c r="M249" s="233">
        <v>297375</v>
      </c>
      <c r="N249" s="195">
        <v>2.97375E-4</v>
      </c>
      <c r="O249" s="211">
        <v>7.6844679979228116E-3</v>
      </c>
      <c r="P249" s="1">
        <v>0.19118650191813019</v>
      </c>
      <c r="Q249" s="1">
        <v>4.8522573340460124E-5</v>
      </c>
      <c r="R249" s="272">
        <v>1.559789064840327E-2</v>
      </c>
    </row>
    <row r="250" spans="1:19" ht="15.6">
      <c r="A250" s="257">
        <v>7000</v>
      </c>
      <c r="B250" s="258">
        <v>8000</v>
      </c>
      <c r="C250" s="160">
        <v>2027752</v>
      </c>
      <c r="D250" s="30">
        <v>15143669069</v>
      </c>
      <c r="E250" s="187">
        <f t="shared" si="6"/>
        <v>29.872822848158947</v>
      </c>
      <c r="F250" s="188">
        <v>2.0277519999999999E-3</v>
      </c>
      <c r="G250" s="189">
        <v>6.0574676275999995E-2</v>
      </c>
      <c r="H250" s="232">
        <v>28</v>
      </c>
      <c r="I250" s="124" t="str">
        <f t="shared" si="7"/>
        <v>(7000, 8000]</v>
      </c>
      <c r="J250" s="160">
        <v>1</v>
      </c>
      <c r="K250" s="276">
        <v>0.13628910241489098</v>
      </c>
      <c r="L250" s="188">
        <v>2.7636049999999997E-4</v>
      </c>
      <c r="M250" s="233">
        <v>276360</v>
      </c>
      <c r="N250" s="195">
        <v>2.7636000000000002E-4</v>
      </c>
      <c r="O250" s="211">
        <v>8.2556533223172076E-3</v>
      </c>
      <c r="P250" s="1">
        <v>0.27257820482978196</v>
      </c>
      <c r="Q250" s="1">
        <v>4.5230985118384998E-5</v>
      </c>
      <c r="R250" s="272">
        <v>2.230597485214415E-2</v>
      </c>
    </row>
    <row r="251" spans="1:19" ht="15.6">
      <c r="A251" s="257">
        <v>8000</v>
      </c>
      <c r="B251" s="258">
        <v>9000</v>
      </c>
      <c r="C251" s="160">
        <v>1429878</v>
      </c>
      <c r="D251" s="30">
        <v>12114614288</v>
      </c>
      <c r="E251" s="187">
        <f t="shared" si="6"/>
        <v>33.889924281652</v>
      </c>
      <c r="F251" s="188">
        <v>1.4298780000000001E-3</v>
      </c>
      <c r="G251" s="189">
        <v>4.8458457151999999E-2</v>
      </c>
      <c r="H251" s="232">
        <v>32</v>
      </c>
      <c r="I251" s="124" t="str">
        <f t="shared" si="7"/>
        <v>(8000, 9000]</v>
      </c>
      <c r="J251" s="160">
        <v>1</v>
      </c>
      <c r="K251" s="276">
        <v>0.15527933152338871</v>
      </c>
      <c r="L251" s="188">
        <v>2.2203050000000002E-4</v>
      </c>
      <c r="M251" s="233">
        <v>222030</v>
      </c>
      <c r="N251" s="195">
        <v>2.2202999999999999E-4</v>
      </c>
      <c r="O251" s="211">
        <v>7.5245798882551933E-3</v>
      </c>
      <c r="P251" s="198">
        <v>0.31055866304677743</v>
      </c>
      <c r="Q251" s="198">
        <v>3.6435176505648529E-5</v>
      </c>
      <c r="R251" s="272">
        <v>2.548131834020002E-2</v>
      </c>
      <c r="S251" s="182"/>
    </row>
    <row r="252" spans="1:19" ht="15.6">
      <c r="A252" s="257">
        <v>9000</v>
      </c>
      <c r="B252" s="258">
        <v>10000</v>
      </c>
      <c r="C252" s="160">
        <v>1042499</v>
      </c>
      <c r="D252" s="30">
        <v>9877166657.3999996</v>
      </c>
      <c r="E252" s="187">
        <f t="shared" si="6"/>
        <v>37.898037916199435</v>
      </c>
      <c r="F252" s="188">
        <v>1.0424989999999999E-3</v>
      </c>
      <c r="G252" s="189">
        <v>3.9508666629599988E-2</v>
      </c>
      <c r="H252" s="232">
        <v>36</v>
      </c>
      <c r="I252" s="124" t="str">
        <f t="shared" si="7"/>
        <v>(9000, 10000]</v>
      </c>
      <c r="J252" s="160">
        <v>1</v>
      </c>
      <c r="K252" s="276">
        <v>6.7213973346737024E-2</v>
      </c>
      <c r="L252" s="188">
        <v>7.0070499999999993E-5</v>
      </c>
      <c r="M252" s="233">
        <v>70070</v>
      </c>
      <c r="N252" s="195">
        <v>7.0069999999999998E-5</v>
      </c>
      <c r="O252" s="211">
        <v>2.6555155167880943E-3</v>
      </c>
      <c r="P252" s="198">
        <v>0.13442794669347405</v>
      </c>
      <c r="Q252" s="198">
        <v>1.1525633621686288E-5</v>
      </c>
      <c r="R252" s="272">
        <v>1.1055774270945382E-2</v>
      </c>
      <c r="S252" s="182"/>
    </row>
    <row r="253" spans="1:19" ht="15.6">
      <c r="A253" s="257">
        <v>10000</v>
      </c>
      <c r="B253" s="258">
        <v>20000</v>
      </c>
      <c r="C253" s="160">
        <v>2854249</v>
      </c>
      <c r="D253" s="30">
        <v>36490918340.400002</v>
      </c>
      <c r="E253" s="187">
        <f t="shared" si="6"/>
        <v>51.139081895658023</v>
      </c>
      <c r="F253" s="188">
        <v>2.8542490000000001E-3</v>
      </c>
      <c r="G253" s="189">
        <v>0.14596367336160002</v>
      </c>
      <c r="H253" s="232">
        <v>40</v>
      </c>
      <c r="I253" s="275" t="str">
        <f t="shared" si="7"/>
        <v>(10000, 20000]</v>
      </c>
      <c r="J253" s="160">
        <v>1</v>
      </c>
      <c r="K253" s="276">
        <v>6.3842187559669805E-2</v>
      </c>
      <c r="L253" s="188">
        <v>1.822215E-4</v>
      </c>
      <c r="M253" s="233">
        <v>182221</v>
      </c>
      <c r="N253" s="195">
        <v>1.8222099999999999E-4</v>
      </c>
      <c r="O253" s="211">
        <v>9.3186146421087006E-3</v>
      </c>
      <c r="P253" s="198">
        <v>0.12768437511933961</v>
      </c>
      <c r="Q253" s="198">
        <v>3.0161344925913713E-5</v>
      </c>
      <c r="R253" s="272">
        <v>1.0567173685937601E-2</v>
      </c>
      <c r="S253" s="182"/>
    </row>
    <row r="254" spans="1:19" ht="15.6">
      <c r="A254" s="257">
        <v>20000</v>
      </c>
      <c r="B254" s="258">
        <v>30000</v>
      </c>
      <c r="C254" s="160">
        <v>113860</v>
      </c>
      <c r="D254" s="30">
        <v>2572864813</v>
      </c>
      <c r="E254" s="187">
        <f t="shared" si="6"/>
        <v>90.386959880555068</v>
      </c>
      <c r="F254" s="188">
        <v>1.1386E-4</v>
      </c>
      <c r="G254" s="189">
        <v>1.0291459252E-2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4616</v>
      </c>
      <c r="D255" s="30">
        <v>154809664</v>
      </c>
      <c r="E255" s="187">
        <f t="shared" si="6"/>
        <v>134.15048873483533</v>
      </c>
      <c r="F255" s="188">
        <v>4.6160000000000004E-6</v>
      </c>
      <c r="G255" s="189">
        <v>6.1923865599999991E-4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4503.8958699274872</v>
      </c>
      <c r="O257" s="10">
        <f>SUM(O240:O250)</f>
        <v>0.21795990667084397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50.745558824809997</v>
      </c>
      <c r="O259" s="220" cm="1">
        <f t="array" ref="O259:O260">N261/N259:N260</f>
        <v>275.88621199999994</v>
      </c>
    </row>
    <row r="260" spans="13:15" ht="16.8" thickBot="1">
      <c r="M260" s="124" t="s">
        <v>179</v>
      </c>
      <c r="N260" s="218">
        <f>1/SUM(N257)</f>
        <v>2.2203000000000001E-4</v>
      </c>
      <c r="O260" s="220">
        <v>63054542.178984821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3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2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1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90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9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258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0.89999994291446017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795188919</v>
      </c>
      <c r="D4" s="166">
        <v>0</v>
      </c>
      <c r="E4" s="241">
        <f>IFERROR((D4/$E$1)/(C4),0)</f>
        <v>0</v>
      </c>
      <c r="F4" s="185" cm="1">
        <f t="array" ref="F4:F61">C4:C61/SUM(C4:C61)</f>
        <v>0.79518891899999999</v>
      </c>
      <c r="G4" s="186" cm="1">
        <f t="array" ref="G4:G61">E4:E61*_xlfn.ANCHORARRAY(F4)</f>
        <v>0</v>
      </c>
      <c r="H4" s="178" cm="1">
        <f t="array" ref="H4:H18">18*(K4:K18/SUM(K4:K18))</f>
        <v>2.0788254953713383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1.1334291964649472</v>
      </c>
      <c r="L4" s="185" cm="1">
        <f t="array" ref="L4:L61">K4:K61*_xlfn.ANCHORARRAY(J4)*_xlfn.ANCHORARRAY(F4)</f>
        <v>0.90129033749999998</v>
      </c>
      <c r="M4" s="240" cm="1">
        <f t="array" ref="M4:M61">INT(_xlfn.ANCHORARRAY(L4)*$M$2)</f>
        <v>901290337</v>
      </c>
      <c r="N4" s="194" cm="1">
        <f t="array" ref="N4:N61">_xlfn.ANCHORARRAY(M4)/SUM(_xlfn.ANCHORARRAY(M4))</f>
        <v>0.90129033700000005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12223533</v>
      </c>
      <c r="D5" s="30">
        <v>917729700</v>
      </c>
      <c r="E5" s="187">
        <f t="shared" ref="E5:E61" si="0">IFERROR((D5/$E$1)/(C5),0)</f>
        <v>0.75078923581259194</v>
      </c>
      <c r="F5" s="188">
        <v>1.2223533E-2</v>
      </c>
      <c r="G5" s="189">
        <v>9.1772969999999992E-3</v>
      </c>
      <c r="H5" s="178">
        <v>0.82936199495355412</v>
      </c>
      <c r="I5" s="124" t="str">
        <f t="shared" ref="I5:I61" si="1">"("&amp;$A5&amp;", "&amp;$B5&amp;"]"</f>
        <v>(0, 1]</v>
      </c>
      <c r="J5" s="160">
        <v>1</v>
      </c>
      <c r="K5" s="234">
        <v>0.4521895183659258</v>
      </c>
      <c r="L5" s="188">
        <v>5.5273535000000002E-3</v>
      </c>
      <c r="M5" s="233">
        <v>5527353</v>
      </c>
      <c r="N5" s="195">
        <v>5.5273529999999996E-3</v>
      </c>
      <c r="O5" s="211">
        <v>4.1498771349364368E-3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19854235</v>
      </c>
      <c r="D6" s="30">
        <v>3409420460</v>
      </c>
      <c r="E6" s="187">
        <f t="shared" si="0"/>
        <v>1.7172258009437282</v>
      </c>
      <c r="F6" s="188">
        <v>1.9854235000000001E-2</v>
      </c>
      <c r="G6" s="189">
        <v>3.4094204600000004E-2</v>
      </c>
      <c r="H6" s="178">
        <v>0.82841682875049805</v>
      </c>
      <c r="I6" s="214" t="str">
        <f t="shared" si="1"/>
        <v>(1, 2]</v>
      </c>
      <c r="J6" s="160">
        <v>1</v>
      </c>
      <c r="K6" s="234">
        <v>0.45167418941097454</v>
      </c>
      <c r="L6" s="188">
        <v>8.9676455000000013E-3</v>
      </c>
      <c r="M6" s="233">
        <v>8967645</v>
      </c>
      <c r="N6" s="195">
        <v>8.9676449999999998E-3</v>
      </c>
      <c r="O6" s="211">
        <v>1.539947136770402E-2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14020917</v>
      </c>
      <c r="D7" s="30">
        <v>3854712400</v>
      </c>
      <c r="E7" s="187">
        <f t="shared" si="0"/>
        <v>2.7492584115575323</v>
      </c>
      <c r="F7" s="188">
        <v>1.4020917000000001E-2</v>
      </c>
      <c r="G7" s="189">
        <v>3.8547124000000002E-2</v>
      </c>
      <c r="H7" s="178">
        <v>0.82757717067356373</v>
      </c>
      <c r="I7" s="124" t="str">
        <f t="shared" si="1"/>
        <v>(2, 3]</v>
      </c>
      <c r="J7" s="160">
        <v>1</v>
      </c>
      <c r="K7" s="234">
        <v>0.45121638620355575</v>
      </c>
      <c r="L7" s="188">
        <v>6.3264675000000003E-3</v>
      </c>
      <c r="M7" s="233">
        <v>6326467</v>
      </c>
      <c r="N7" s="195">
        <v>6.3264669999999997E-3</v>
      </c>
      <c r="O7" s="211">
        <v>1.7393092615191147E-2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18463165</v>
      </c>
      <c r="D8" s="30">
        <v>6828453200</v>
      </c>
      <c r="E8" s="187">
        <f t="shared" si="0"/>
        <v>3.6984196371532185</v>
      </c>
      <c r="F8" s="188">
        <v>1.8463165E-2</v>
      </c>
      <c r="G8" s="189">
        <v>6.8284532000000009E-2</v>
      </c>
      <c r="H8" s="178">
        <v>0.82687563350507731</v>
      </c>
      <c r="I8" s="124" t="str">
        <f t="shared" si="1"/>
        <v>(3, 4]</v>
      </c>
      <c r="J8" s="160">
        <v>1</v>
      </c>
      <c r="K8" s="234">
        <v>0.45083389007247676</v>
      </c>
      <c r="L8" s="188">
        <v>8.3238205000000006E-3</v>
      </c>
      <c r="M8" s="233">
        <v>8323820</v>
      </c>
      <c r="N8" s="195">
        <v>8.3238199999999991E-3</v>
      </c>
      <c r="O8" s="211">
        <v>3.0784979344128702E-2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12601097</v>
      </c>
      <c r="D9" s="30">
        <v>6055478580</v>
      </c>
      <c r="E9" s="187">
        <f t="shared" si="0"/>
        <v>4.8055169958615505</v>
      </c>
      <c r="F9" s="188">
        <v>1.2601097E-2</v>
      </c>
      <c r="G9" s="189">
        <v>6.0554785799999997E-2</v>
      </c>
      <c r="H9" s="178">
        <v>0.82846227368818037</v>
      </c>
      <c r="I9" s="124" t="str">
        <f t="shared" si="1"/>
        <v>(4, 5]</v>
      </c>
      <c r="J9" s="160">
        <v>1</v>
      </c>
      <c r="K9" s="234">
        <v>0.45169896716135111</v>
      </c>
      <c r="L9" s="188">
        <v>5.6919025000000002E-3</v>
      </c>
      <c r="M9" s="233">
        <v>5691902</v>
      </c>
      <c r="N9" s="195">
        <v>5.6919020000000004E-3</v>
      </c>
      <c r="O9" s="211">
        <v>2.7352531799778354E-2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12543731</v>
      </c>
      <c r="D10" s="30">
        <v>7466041340</v>
      </c>
      <c r="E10" s="187">
        <f t="shared" si="0"/>
        <v>5.9520100837621603</v>
      </c>
      <c r="F10" s="188">
        <v>1.2543731000000001E-2</v>
      </c>
      <c r="G10" s="189">
        <v>7.4660413400000014E-2</v>
      </c>
      <c r="H10" s="178">
        <v>0.82765357307890963</v>
      </c>
      <c r="I10" s="124" t="str">
        <f t="shared" si="1"/>
        <v>(5, 6]</v>
      </c>
      <c r="J10" s="160">
        <v>1</v>
      </c>
      <c r="K10" s="234">
        <v>0.45125804276255604</v>
      </c>
      <c r="L10" s="188">
        <v>5.6604595000000002E-3</v>
      </c>
      <c r="M10" s="233">
        <v>5660459</v>
      </c>
      <c r="N10" s="195">
        <v>5.6604589999999996E-3</v>
      </c>
      <c r="O10" s="211">
        <v>3.3691109046722269E-2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3159125</v>
      </c>
      <c r="D11" s="30">
        <v>2062217360</v>
      </c>
      <c r="E11" s="187">
        <f t="shared" si="0"/>
        <v>6.5278118466347488</v>
      </c>
      <c r="F11" s="188">
        <v>3.159125E-3</v>
      </c>
      <c r="G11" s="189">
        <v>2.0622173600000002E-2</v>
      </c>
      <c r="H11" s="178">
        <v>0.82778068120870285</v>
      </c>
      <c r="I11" s="124" t="str">
        <f t="shared" si="1"/>
        <v>(6, 7]</v>
      </c>
      <c r="J11" s="160">
        <v>1</v>
      </c>
      <c r="K11" s="234">
        <v>0.45132734538835911</v>
      </c>
      <c r="L11" s="188">
        <v>1.4257994999999999E-3</v>
      </c>
      <c r="M11" s="233">
        <v>1425799</v>
      </c>
      <c r="N11" s="195">
        <v>1.4257989999999999E-3</v>
      </c>
      <c r="O11" s="211">
        <v>9.3073476031199781E-3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13147608</v>
      </c>
      <c r="D12" s="30">
        <v>10142167660</v>
      </c>
      <c r="E12" s="187">
        <f t="shared" si="0"/>
        <v>7.7140782262446521</v>
      </c>
      <c r="F12" s="188">
        <v>1.3147608E-2</v>
      </c>
      <c r="G12" s="189">
        <v>0.1014216766</v>
      </c>
      <c r="H12" s="178">
        <v>2.0706825132538609</v>
      </c>
      <c r="I12" s="214" t="str">
        <f t="shared" si="1"/>
        <v>(7, 8]</v>
      </c>
      <c r="J12" s="160">
        <v>1</v>
      </c>
      <c r="K12" s="234">
        <v>1.1289894329067309</v>
      </c>
      <c r="L12" s="188">
        <v>1.4843510499999999E-2</v>
      </c>
      <c r="M12" s="233">
        <v>14843510</v>
      </c>
      <c r="N12" s="195">
        <v>1.4843510000000001E-2</v>
      </c>
      <c r="O12" s="211">
        <v>0.11450399729204476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5760279</v>
      </c>
      <c r="D13" s="30">
        <v>5138867060</v>
      </c>
      <c r="E13" s="187">
        <f t="shared" si="0"/>
        <v>8.9212120801787549</v>
      </c>
      <c r="F13" s="188">
        <v>5.7602790000000001E-3</v>
      </c>
      <c r="G13" s="189">
        <v>5.1388670599999998E-2</v>
      </c>
      <c r="H13" s="178">
        <v>1.0304764837781133</v>
      </c>
      <c r="I13" s="124" t="str">
        <f t="shared" si="1"/>
        <v>(8, 9]</v>
      </c>
      <c r="J13" s="160">
        <v>1</v>
      </c>
      <c r="K13" s="234">
        <v>0.56184231701276965</v>
      </c>
      <c r="L13" s="188">
        <v>3.2363684999999996E-3</v>
      </c>
      <c r="M13" s="233">
        <v>3236368</v>
      </c>
      <c r="N13" s="195">
        <v>3.2363679999999999E-3</v>
      </c>
      <c r="O13" s="211">
        <v>2.8872325297503956E-2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7136369</v>
      </c>
      <c r="D14" s="30">
        <v>6958218440</v>
      </c>
      <c r="E14" s="187">
        <f t="shared" si="0"/>
        <v>9.7503624602371328</v>
      </c>
      <c r="F14" s="188">
        <v>7.136369E-3</v>
      </c>
      <c r="G14" s="189">
        <v>6.9582184400000011E-2</v>
      </c>
      <c r="H14" s="178">
        <v>1.033963413236991</v>
      </c>
      <c r="I14" s="124" t="str">
        <f t="shared" si="1"/>
        <v>(9, 10]</v>
      </c>
      <c r="J14" s="160">
        <v>1</v>
      </c>
      <c r="K14" s="234">
        <v>0.56374348075330749</v>
      </c>
      <c r="L14" s="188">
        <v>4.0230815000000001E-3</v>
      </c>
      <c r="M14" s="233">
        <v>4023081</v>
      </c>
      <c r="N14" s="195">
        <v>4.0230810000000004E-3</v>
      </c>
      <c r="O14" s="211">
        <v>3.9226497956893265E-2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17909726</v>
      </c>
      <c r="D15" s="30">
        <v>22799765820</v>
      </c>
      <c r="E15" s="187">
        <f t="shared" si="0"/>
        <v>12.730382262687883</v>
      </c>
      <c r="F15" s="188">
        <v>1.7909726000000001E-2</v>
      </c>
      <c r="G15" s="189">
        <v>0.22799765820000001</v>
      </c>
      <c r="H15" s="178">
        <v>2.0665425699137412</v>
      </c>
      <c r="I15" s="214" t="str">
        <f t="shared" si="1"/>
        <v>(10, 15]</v>
      </c>
      <c r="J15" s="160">
        <v>1</v>
      </c>
      <c r="K15" s="234">
        <v>1.126732229180949</v>
      </c>
      <c r="L15" s="188">
        <v>2.01794655E-2</v>
      </c>
      <c r="M15" s="233">
        <v>20179465</v>
      </c>
      <c r="N15" s="195">
        <v>2.0179465000000001E-2</v>
      </c>
      <c r="O15" s="211">
        <v>0.25689230330653096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11269242</v>
      </c>
      <c r="D16" s="30">
        <v>20112711300</v>
      </c>
      <c r="E16" s="187">
        <f t="shared" si="0"/>
        <v>17.847439339753286</v>
      </c>
      <c r="F16" s="188">
        <v>1.1269242E-2</v>
      </c>
      <c r="G16" s="189">
        <v>0.20112711300000002</v>
      </c>
      <c r="H16" s="178">
        <v>0.82454603478920874</v>
      </c>
      <c r="I16" s="124" t="str">
        <f t="shared" si="1"/>
        <v>(15, 20]</v>
      </c>
      <c r="J16" s="160">
        <v>1</v>
      </c>
      <c r="K16" s="234">
        <v>0.44956373285798634</v>
      </c>
      <c r="L16" s="188">
        <v>5.0662425000000001E-3</v>
      </c>
      <c r="M16" s="233">
        <v>5066242</v>
      </c>
      <c r="N16" s="195">
        <v>5.0662420000000003E-3</v>
      </c>
      <c r="O16" s="211">
        <v>9.0419446775510379E-2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6214274</v>
      </c>
      <c r="D17" s="30">
        <v>14443908240</v>
      </c>
      <c r="E17" s="187">
        <f t="shared" si="0"/>
        <v>23.243114545641212</v>
      </c>
      <c r="F17" s="188">
        <v>6.2142739999999997E-3</v>
      </c>
      <c r="G17" s="189">
        <v>0.1444390824</v>
      </c>
      <c r="H17" s="178">
        <v>2.0663872368393368</v>
      </c>
      <c r="I17" s="124" t="str">
        <f t="shared" si="1"/>
        <v>(20, 25]</v>
      </c>
      <c r="J17" s="160">
        <v>1</v>
      </c>
      <c r="K17" s="234">
        <v>1.1266475375884617</v>
      </c>
      <c r="L17" s="188">
        <v>7.0012964999999995E-3</v>
      </c>
      <c r="M17" s="233">
        <v>7001296</v>
      </c>
      <c r="N17" s="195">
        <v>7.0012959999999997E-3</v>
      </c>
      <c r="O17" s="211">
        <v>0.16273192489593963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4327912</v>
      </c>
      <c r="D18" s="30">
        <v>12306435380</v>
      </c>
      <c r="E18" s="187">
        <f t="shared" si="0"/>
        <v>28.4350406847459</v>
      </c>
      <c r="F18" s="188">
        <v>4.3279119999999997E-3</v>
      </c>
      <c r="G18" s="189">
        <v>0.12306435379999998</v>
      </c>
      <c r="H18" s="178">
        <v>1.0324480969589254</v>
      </c>
      <c r="I18" s="124" t="str">
        <f t="shared" si="1"/>
        <v>(25, 30]</v>
      </c>
      <c r="J18" s="160">
        <v>1</v>
      </c>
      <c r="K18" s="234">
        <v>0.5629172912942777</v>
      </c>
      <c r="L18" s="188">
        <v>2.4362564999999997E-3</v>
      </c>
      <c r="M18" s="233">
        <v>2436256</v>
      </c>
      <c r="N18" s="195">
        <v>2.4362559999999999E-3</v>
      </c>
      <c r="O18" s="211">
        <v>6.9275038478456299E-2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2145347</v>
      </c>
      <c r="D19" s="30">
        <v>6990216720</v>
      </c>
      <c r="E19" s="187">
        <f t="shared" si="0"/>
        <v>32.583151909691068</v>
      </c>
      <c r="F19" s="188">
        <v>2.1453470000000001E-3</v>
      </c>
      <c r="G19" s="189">
        <v>6.9902167200000004E-2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3778148</v>
      </c>
      <c r="D20" s="30">
        <v>14458614080</v>
      </c>
      <c r="E20" s="187">
        <f t="shared" si="0"/>
        <v>38.26905160941287</v>
      </c>
      <c r="F20" s="188">
        <v>3.7781479999999998E-3</v>
      </c>
      <c r="G20" s="189">
        <v>0.14458614080000001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1647988</v>
      </c>
      <c r="D21" s="30">
        <v>7173008520</v>
      </c>
      <c r="E21" s="187">
        <f t="shared" si="0"/>
        <v>43.525854071752953</v>
      </c>
      <c r="F21" s="188">
        <v>1.647988E-3</v>
      </c>
      <c r="G21" s="189">
        <v>7.1730085200000002E-2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2034040</v>
      </c>
      <c r="D22" s="30">
        <v>9788723540</v>
      </c>
      <c r="E22" s="187">
        <f t="shared" si="0"/>
        <v>48.124538062181671</v>
      </c>
      <c r="F22" s="188">
        <v>2.03404E-3</v>
      </c>
      <c r="G22" s="189">
        <v>9.7887235400000008E-2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3238075</v>
      </c>
      <c r="D23" s="30">
        <v>18382953720</v>
      </c>
      <c r="E23" s="187">
        <f t="shared" si="0"/>
        <v>56.771241308493465</v>
      </c>
      <c r="F23" s="188">
        <v>3.238075E-3</v>
      </c>
      <c r="G23" s="189">
        <v>0.18382953719999998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1975180</v>
      </c>
      <c r="D24" s="30">
        <v>12940084160</v>
      </c>
      <c r="E24" s="187">
        <f t="shared" si="0"/>
        <v>65.513442622950819</v>
      </c>
      <c r="F24" s="188">
        <v>1.97518E-3</v>
      </c>
      <c r="G24" s="189">
        <v>0.12940084160000001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2561154</v>
      </c>
      <c r="D25" s="30">
        <v>19504057100</v>
      </c>
      <c r="E25" s="187">
        <f t="shared" si="0"/>
        <v>76.153394524499504</v>
      </c>
      <c r="F25" s="188">
        <v>2.5611539999999999E-3</v>
      </c>
      <c r="G25" s="189">
        <v>0.195040571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1688794</v>
      </c>
      <c r="D26" s="30">
        <v>14572354840</v>
      </c>
      <c r="E26" s="187">
        <f t="shared" si="0"/>
        <v>86.288528026508857</v>
      </c>
      <c r="F26" s="188">
        <v>1.688794E-3</v>
      </c>
      <c r="G26" s="189">
        <v>0.14572354839999999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1673182</v>
      </c>
      <c r="D27" s="30">
        <v>16090695940</v>
      </c>
      <c r="E27" s="187">
        <f t="shared" si="0"/>
        <v>96.168234776611271</v>
      </c>
      <c r="F27" s="188">
        <v>1.6731820000000001E-3</v>
      </c>
      <c r="G27" s="189">
        <v>0.16090695939999999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2856332</v>
      </c>
      <c r="D28" s="30">
        <v>31917444000</v>
      </c>
      <c r="E28" s="187">
        <f t="shared" si="0"/>
        <v>111.74276659716027</v>
      </c>
      <c r="F28" s="188">
        <v>2.8563320000000001E-3</v>
      </c>
      <c r="G28" s="189">
        <v>0.31917444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1970295</v>
      </c>
      <c r="D29" s="30">
        <v>25808802160</v>
      </c>
      <c r="E29" s="187">
        <f t="shared" si="0"/>
        <v>130.98953283645344</v>
      </c>
      <c r="F29" s="188">
        <v>1.9702949999999999E-3</v>
      </c>
      <c r="G29" s="189">
        <v>0.25808802159999999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1848146</v>
      </c>
      <c r="D30" s="30">
        <v>27932335060</v>
      </c>
      <c r="E30" s="187">
        <f t="shared" si="0"/>
        <v>151.13705876050921</v>
      </c>
      <c r="F30" s="188">
        <v>1.8481459999999999E-3</v>
      </c>
      <c r="G30" s="189">
        <v>0.27932335060000002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1424062</v>
      </c>
      <c r="D31" s="30">
        <v>24417907680</v>
      </c>
      <c r="E31" s="187">
        <f t="shared" si="0"/>
        <v>171.46660524611991</v>
      </c>
      <c r="F31" s="188">
        <v>1.424062E-3</v>
      </c>
      <c r="G31" s="189">
        <v>0.24417907680000001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1293811</v>
      </c>
      <c r="D32" s="30">
        <v>24853084560</v>
      </c>
      <c r="E32" s="187">
        <f t="shared" si="0"/>
        <v>192.09207960049807</v>
      </c>
      <c r="F32" s="188">
        <v>1.293811E-3</v>
      </c>
      <c r="G32" s="189">
        <v>0.24853084559999999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2503603</v>
      </c>
      <c r="D33" s="30">
        <v>56144783160</v>
      </c>
      <c r="E33" s="187">
        <f t="shared" si="0"/>
        <v>224.25593498649746</v>
      </c>
      <c r="F33" s="188">
        <v>2.5036030000000001E-3</v>
      </c>
      <c r="G33" s="189">
        <v>0.5614478316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1740187</v>
      </c>
      <c r="D34" s="30">
        <v>47899699340</v>
      </c>
      <c r="E34" s="187">
        <f t="shared" si="0"/>
        <v>275.25604627548648</v>
      </c>
      <c r="F34" s="188">
        <v>1.740187E-3</v>
      </c>
      <c r="G34" s="189">
        <v>0.47899699340000002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1196831</v>
      </c>
      <c r="D35" s="30">
        <v>38851996520</v>
      </c>
      <c r="E35" s="187">
        <f t="shared" si="0"/>
        <v>324.62391532304895</v>
      </c>
      <c r="F35" s="188">
        <v>1.196831E-3</v>
      </c>
      <c r="G35" s="189">
        <v>0.38851996519999998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1011971</v>
      </c>
      <c r="D36" s="30">
        <v>38072554780</v>
      </c>
      <c r="E36" s="187">
        <f t="shared" si="0"/>
        <v>376.22179667203903</v>
      </c>
      <c r="F36" s="188">
        <v>1.011971E-3</v>
      </c>
      <c r="G36" s="189">
        <v>0.38072554780000001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771708</v>
      </c>
      <c r="D37" s="30">
        <v>32822608040</v>
      </c>
      <c r="E37" s="187">
        <f t="shared" si="0"/>
        <v>425.32419049692368</v>
      </c>
      <c r="F37" s="188">
        <v>7.7170799999999996E-4</v>
      </c>
      <c r="G37" s="189">
        <v>0.32822608039999995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669795</v>
      </c>
      <c r="D38" s="30">
        <v>31972690140</v>
      </c>
      <c r="E38" s="187">
        <f t="shared" si="0"/>
        <v>477.35038541643337</v>
      </c>
      <c r="F38" s="188">
        <v>6.6979500000000005E-4</v>
      </c>
      <c r="G38" s="189">
        <v>0.31972690139999999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639553</v>
      </c>
      <c r="D39" s="30">
        <v>33561838540</v>
      </c>
      <c r="E39" s="187">
        <f t="shared" si="0"/>
        <v>524.77024640647448</v>
      </c>
      <c r="F39" s="188">
        <v>6.3955299999999995E-4</v>
      </c>
      <c r="G39" s="189">
        <v>0.33561838539999994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494411</v>
      </c>
      <c r="D40" s="30">
        <v>28481302480</v>
      </c>
      <c r="E40" s="187">
        <f t="shared" si="0"/>
        <v>576.06530760844726</v>
      </c>
      <c r="F40" s="188">
        <v>4.9441100000000005E-4</v>
      </c>
      <c r="G40" s="189">
        <v>0.28481302480000004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362215</v>
      </c>
      <c r="D41" s="30">
        <v>22669344380</v>
      </c>
      <c r="E41" s="187">
        <f t="shared" si="0"/>
        <v>625.85327443645349</v>
      </c>
      <c r="F41" s="188">
        <v>3.6221499999999999E-4</v>
      </c>
      <c r="G41" s="189">
        <v>0.22669344380000001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305416</v>
      </c>
      <c r="D42" s="30">
        <v>20621962840</v>
      </c>
      <c r="E42" s="187">
        <f t="shared" si="0"/>
        <v>675.20898839615472</v>
      </c>
      <c r="F42" s="188">
        <v>3.0541599999999998E-4</v>
      </c>
      <c r="G42" s="189">
        <v>0.20621962839999997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264605</v>
      </c>
      <c r="D43" s="30">
        <v>19182810820</v>
      </c>
      <c r="E43" s="187">
        <f t="shared" si="0"/>
        <v>724.96025471929852</v>
      </c>
      <c r="F43" s="188">
        <v>2.6460500000000001E-4</v>
      </c>
      <c r="G43" s="189">
        <v>0.19182810819999999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296013</v>
      </c>
      <c r="D44" s="30">
        <v>23135180720</v>
      </c>
      <c r="E44" s="187">
        <f t="shared" si="0"/>
        <v>781.55961798975045</v>
      </c>
      <c r="F44" s="188">
        <v>2.9601300000000003E-4</v>
      </c>
      <c r="G44" s="189">
        <v>0.23135180720000001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315973</v>
      </c>
      <c r="D45" s="30">
        <v>26126987440</v>
      </c>
      <c r="E45" s="187">
        <f t="shared" si="0"/>
        <v>826.8740506309083</v>
      </c>
      <c r="F45" s="188">
        <v>3.1597299999999999E-4</v>
      </c>
      <c r="G45" s="189">
        <v>0.26126987439999999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251982</v>
      </c>
      <c r="D46" s="30">
        <v>22037131900</v>
      </c>
      <c r="E46" s="187">
        <f t="shared" si="0"/>
        <v>874.55182909890391</v>
      </c>
      <c r="F46" s="188">
        <v>2.5198199999999999E-4</v>
      </c>
      <c r="G46" s="189">
        <v>0.22037131899999998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175474</v>
      </c>
      <c r="D47" s="30">
        <v>16223611180</v>
      </c>
      <c r="E47" s="187">
        <f t="shared" si="0"/>
        <v>924.55926120108973</v>
      </c>
      <c r="F47" s="188">
        <v>1.7547400000000001E-4</v>
      </c>
      <c r="G47" s="189">
        <v>0.16223611180000003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223385</v>
      </c>
      <c r="D48" s="30">
        <v>21953588340</v>
      </c>
      <c r="E48" s="187">
        <f t="shared" si="0"/>
        <v>982.76913579694258</v>
      </c>
      <c r="F48" s="188">
        <v>2.2338499999999999E-4</v>
      </c>
      <c r="G48" s="189">
        <v>0.21953588340000002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2471461</v>
      </c>
      <c r="D49" s="30">
        <v>348096281480</v>
      </c>
      <c r="E49" s="187">
        <f t="shared" si="0"/>
        <v>1408.4635827957634</v>
      </c>
      <c r="F49" s="188">
        <v>2.4714609999999999E-3</v>
      </c>
      <c r="G49" s="189">
        <v>3.4809628147999998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1104277</v>
      </c>
      <c r="D50" s="30">
        <v>266081568140</v>
      </c>
      <c r="E50" s="187">
        <f t="shared" si="0"/>
        <v>2409.5545604952381</v>
      </c>
      <c r="F50" s="188">
        <v>1.1042770000000001E-3</v>
      </c>
      <c r="G50" s="189">
        <v>2.6608156814000004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521194</v>
      </c>
      <c r="D51" s="30">
        <v>179130021260</v>
      </c>
      <c r="E51" s="187">
        <f t="shared" si="0"/>
        <v>3436.9164123148003</v>
      </c>
      <c r="F51" s="188">
        <v>5.21194E-4</v>
      </c>
      <c r="G51" s="189">
        <v>1.7913002125999999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310888</v>
      </c>
      <c r="D52" s="30">
        <v>138110346000</v>
      </c>
      <c r="E52" s="187">
        <f t="shared" si="0"/>
        <v>4442.4469905560845</v>
      </c>
      <c r="F52" s="188">
        <v>3.10888E-4</v>
      </c>
      <c r="G52" s="189">
        <v>1.3811034600000001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150224</v>
      </c>
      <c r="D53" s="30">
        <v>81973706960</v>
      </c>
      <c r="E53" s="187">
        <f t="shared" si="0"/>
        <v>5456.7650282245186</v>
      </c>
      <c r="F53" s="188">
        <v>1.5022399999999999E-4</v>
      </c>
      <c r="G53" s="189">
        <v>0.81973706960000003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101847</v>
      </c>
      <c r="D54" s="30">
        <v>65655424880</v>
      </c>
      <c r="E54" s="187">
        <f t="shared" si="0"/>
        <v>6446.4760748966582</v>
      </c>
      <c r="F54" s="188">
        <v>1.01847E-4</v>
      </c>
      <c r="G54" s="189">
        <v>0.65655424880000002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53374</v>
      </c>
      <c r="D55" s="30">
        <v>39854551540</v>
      </c>
      <c r="E55" s="187">
        <f t="shared" si="0"/>
        <v>7467.0347997152166</v>
      </c>
      <c r="F55" s="188">
        <v>5.3374000000000001E-5</v>
      </c>
      <c r="G55" s="189">
        <v>0.39854551539999999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36380</v>
      </c>
      <c r="D56" s="30">
        <v>30764883500</v>
      </c>
      <c r="E56" s="187">
        <f t="shared" si="0"/>
        <v>8456.5375206157223</v>
      </c>
      <c r="F56" s="188">
        <v>3.6380000000000001E-5</v>
      </c>
      <c r="G56" s="189">
        <v>0.30764883500000001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22179</v>
      </c>
      <c r="D57" s="30">
        <v>21034693900</v>
      </c>
      <c r="E57" s="187">
        <f t="shared" si="0"/>
        <v>9484.0587492673258</v>
      </c>
      <c r="F57" s="188">
        <v>2.2178999999999999E-5</v>
      </c>
      <c r="G57" s="189">
        <v>0.21034693900000001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47859</v>
      </c>
      <c r="D58" s="30">
        <v>59792915140</v>
      </c>
      <c r="E58" s="187">
        <f>IFERROR((D58/$E$1)/(C58),0)</f>
        <v>12493.557144946613</v>
      </c>
      <c r="F58" s="188">
        <v>4.7858999999999997E-5</v>
      </c>
      <c r="G58" s="189">
        <v>0.59792915139999991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2316</v>
      </c>
      <c r="D59" s="30">
        <v>5285570360</v>
      </c>
      <c r="E59" s="187">
        <f t="shared" si="0"/>
        <v>22821.979101899829</v>
      </c>
      <c r="F59" s="188">
        <v>2.3159999999999999E-6</v>
      </c>
      <c r="G59" s="189">
        <v>5.2855703600000005E-2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193</v>
      </c>
      <c r="D60" s="30">
        <v>672510880</v>
      </c>
      <c r="E60" s="187">
        <f t="shared" si="0"/>
        <v>34845.123316062178</v>
      </c>
      <c r="F60" s="188">
        <v>1.9299999999999999E-7</v>
      </c>
      <c r="G60" s="189">
        <v>6.7251087999999999E-3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0.89999990242050631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795217879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0.79521787899999996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1.095264169104528</v>
      </c>
      <c r="L69" s="185" cm="1">
        <f t="array" ref="L69:L126">K69:K126*_xlfn.ANCHORARRAY(J69)*_xlfn.ANCHORARRAY(F69)</f>
        <v>0.8709736495</v>
      </c>
      <c r="M69" s="207" cm="1">
        <f t="array" ref="M69:M126">INT(_xlfn.ANCHORARRAY(L69)*$M$2)</f>
        <v>870973649</v>
      </c>
      <c r="N69" s="194" cm="1">
        <f t="array" ref="N69:N126">_xlfn.ANCHORARRAY(M69)/SUM(_xlfn.ANCHORARRAY(M69))</f>
        <v>0.87097364899999996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4452589</v>
      </c>
      <c r="D70" s="30">
        <v>356207120</v>
      </c>
      <c r="E70" s="187">
        <f t="shared" ref="E70:E126" si="2">IFERROR((D70/$E$66)/(C70),0)</f>
        <v>0.53333333333333333</v>
      </c>
      <c r="F70" s="188">
        <v>4.4525889999999999E-3</v>
      </c>
      <c r="G70" s="189">
        <v>2.3747141333333331E-3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2.232074754710125</v>
      </c>
      <c r="L70" s="188">
        <v>9.9385115000000003E-3</v>
      </c>
      <c r="M70" s="208">
        <v>9938511</v>
      </c>
      <c r="N70" s="195">
        <v>9.9385110000000006E-3</v>
      </c>
      <c r="O70" s="211">
        <v>5.3005392E-3</v>
      </c>
      <c r="Q70" s="183"/>
      <c r="S70" s="182"/>
    </row>
    <row r="71" spans="1:20" ht="15.6">
      <c r="A71" s="201">
        <v>1</v>
      </c>
      <c r="B71" s="202">
        <v>2</v>
      </c>
      <c r="C71" s="160">
        <v>12633880</v>
      </c>
      <c r="D71" s="30">
        <v>2096846880</v>
      </c>
      <c r="E71" s="187">
        <f t="shared" si="2"/>
        <v>1.1064676251476189</v>
      </c>
      <c r="F71" s="188">
        <v>1.263388E-2</v>
      </c>
      <c r="G71" s="189">
        <v>1.39789792E-2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1.2764307164544859</v>
      </c>
      <c r="L71" s="188">
        <v>1.61262725E-2</v>
      </c>
      <c r="M71" s="208">
        <v>16126272</v>
      </c>
      <c r="N71" s="195">
        <v>1.6126272000000001E-2</v>
      </c>
      <c r="O71" s="211">
        <v>1.7843197882324541E-2</v>
      </c>
      <c r="Q71" s="183"/>
    </row>
    <row r="72" spans="1:20" ht="15.6">
      <c r="A72" s="201">
        <v>2</v>
      </c>
      <c r="B72" s="202">
        <v>3</v>
      </c>
      <c r="C72" s="160">
        <v>7640731</v>
      </c>
      <c r="D72" s="30">
        <v>2135906340</v>
      </c>
      <c r="E72" s="187">
        <f t="shared" si="2"/>
        <v>1.8636143060133905</v>
      </c>
      <c r="F72" s="188">
        <v>7.6407310000000004E-3</v>
      </c>
      <c r="G72" s="189">
        <v>1.42393756E-2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1.4888015950306326</v>
      </c>
      <c r="L72" s="188">
        <v>1.13755325E-2</v>
      </c>
      <c r="M72" s="208">
        <v>11375532</v>
      </c>
      <c r="N72" s="195">
        <v>1.1375532000000001E-2</v>
      </c>
      <c r="O72" s="211">
        <v>2.1199604173713117E-2</v>
      </c>
      <c r="Q72" s="183"/>
    </row>
    <row r="73" spans="1:20" ht="15.6">
      <c r="A73" s="201">
        <v>3</v>
      </c>
      <c r="B73" s="202">
        <v>4</v>
      </c>
      <c r="C73" s="160">
        <v>14191574</v>
      </c>
      <c r="D73" s="30">
        <v>5179433520</v>
      </c>
      <c r="E73" s="187">
        <f t="shared" si="2"/>
        <v>2.433102684733913</v>
      </c>
      <c r="F73" s="188">
        <v>1.4191574E-2</v>
      </c>
      <c r="G73" s="189">
        <v>3.45295568E-2</v>
      </c>
      <c r="H73" s="232">
        <v>2</v>
      </c>
      <c r="I73" s="124" t="str">
        <f t="shared" si="3"/>
        <v>(3, 4]</v>
      </c>
      <c r="J73" s="160">
        <v>1</v>
      </c>
      <c r="K73" s="205">
        <v>0.87467919344253142</v>
      </c>
      <c r="L73" s="188">
        <v>1.2413074499999999E-2</v>
      </c>
      <c r="M73" s="208">
        <v>12413074</v>
      </c>
      <c r="N73" s="195">
        <v>1.2413074E-2</v>
      </c>
      <c r="O73" s="211">
        <v>3.0202283675200732E-2</v>
      </c>
      <c r="Q73" s="183"/>
    </row>
    <row r="74" spans="1:20" ht="15.6">
      <c r="A74" s="201">
        <v>4</v>
      </c>
      <c r="B74" s="202">
        <v>5</v>
      </c>
      <c r="C74" s="160">
        <v>12170676</v>
      </c>
      <c r="D74" s="30">
        <v>5868412120</v>
      </c>
      <c r="E74" s="187">
        <f t="shared" si="2"/>
        <v>3.2145089941320162</v>
      </c>
      <c r="F74" s="188">
        <v>1.2170676E-2</v>
      </c>
      <c r="G74" s="189">
        <v>3.912274746666667E-2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0.69740057988562021</v>
      </c>
      <c r="L74" s="188">
        <v>8.4878365000000001E-3</v>
      </c>
      <c r="M74" s="208">
        <v>8487836</v>
      </c>
      <c r="N74" s="195">
        <v>8.4878360000000003E-3</v>
      </c>
      <c r="O74" s="211">
        <v>2.7284225162717515E-2</v>
      </c>
      <c r="Q74" s="183"/>
    </row>
    <row r="75" spans="1:20" ht="15.6">
      <c r="A75" s="201">
        <v>5</v>
      </c>
      <c r="B75" s="202">
        <v>6</v>
      </c>
      <c r="C75" s="160">
        <v>12650702</v>
      </c>
      <c r="D75" s="30">
        <v>7564557540</v>
      </c>
      <c r="E75" s="187">
        <f t="shared" si="2"/>
        <v>3.9863703690119334</v>
      </c>
      <c r="F75" s="188">
        <v>1.2650702E-2</v>
      </c>
      <c r="G75" s="189">
        <v>5.0430383600000003E-2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0.66722372402733066</v>
      </c>
      <c r="L75" s="188">
        <v>8.4408485000000005E-3</v>
      </c>
      <c r="M75" s="208">
        <v>8440848</v>
      </c>
      <c r="N75" s="195">
        <v>8.4408480000000008E-3</v>
      </c>
      <c r="O75" s="211">
        <v>3.3648346356533645E-2</v>
      </c>
      <c r="Q75" s="183"/>
    </row>
    <row r="76" spans="1:20" ht="15.6">
      <c r="A76" s="201">
        <v>6</v>
      </c>
      <c r="B76" s="202">
        <v>7</v>
      </c>
      <c r="C76" s="160">
        <v>2824698</v>
      </c>
      <c r="D76" s="30">
        <v>1830960080</v>
      </c>
      <c r="E76" s="187">
        <f t="shared" si="2"/>
        <v>4.3213117060065658</v>
      </c>
      <c r="F76" s="188">
        <v>2.8246980000000001E-3</v>
      </c>
      <c r="G76" s="189">
        <v>1.2206400533333335E-2</v>
      </c>
      <c r="H76" s="232">
        <v>4</v>
      </c>
      <c r="I76" s="124" t="str">
        <f t="shared" si="3"/>
        <v>(6, 7]</v>
      </c>
      <c r="J76" s="160">
        <v>1</v>
      </c>
      <c r="K76" s="205">
        <v>0.75270896216161864</v>
      </c>
      <c r="L76" s="188">
        <v>2.1261754999999999E-3</v>
      </c>
      <c r="M76" s="208">
        <v>2126175</v>
      </c>
      <c r="N76" s="195">
        <v>2.1261750000000001E-3</v>
      </c>
      <c r="O76" s="211">
        <v>9.1878649165185108E-3</v>
      </c>
      <c r="Q76" s="183"/>
    </row>
    <row r="77" spans="1:20" ht="15.6">
      <c r="A77" s="201">
        <v>7</v>
      </c>
      <c r="B77" s="202">
        <v>8</v>
      </c>
      <c r="C77" s="160">
        <v>14142278</v>
      </c>
      <c r="D77" s="30">
        <v>10892748240</v>
      </c>
      <c r="E77" s="187">
        <f t="shared" si="2"/>
        <v>5.1348390690665244</v>
      </c>
      <c r="F77" s="188">
        <v>1.4142277999999999E-2</v>
      </c>
      <c r="G77" s="189">
        <v>7.261832159999998E-2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0.62605242946009121</v>
      </c>
      <c r="L77" s="188">
        <v>8.8538074999999997E-3</v>
      </c>
      <c r="M77" s="208">
        <v>8853807</v>
      </c>
      <c r="N77" s="195">
        <v>8.853807E-3</v>
      </c>
      <c r="O77" s="211">
        <v>4.5462874093574676E-2</v>
      </c>
      <c r="Q77" s="183"/>
    </row>
    <row r="78" spans="1:20" ht="15.6">
      <c r="A78" s="201">
        <v>8</v>
      </c>
      <c r="B78" s="202">
        <v>9</v>
      </c>
      <c r="C78" s="160">
        <v>6387851</v>
      </c>
      <c r="D78" s="30">
        <v>5707091100</v>
      </c>
      <c r="E78" s="187">
        <f t="shared" si="2"/>
        <v>5.9561930921682427</v>
      </c>
      <c r="F78" s="188">
        <v>6.3878509999999999E-3</v>
      </c>
      <c r="G78" s="189">
        <v>3.8047273999999999E-2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0.6043961419889099</v>
      </c>
      <c r="L78" s="188">
        <v>3.8607925000000002E-3</v>
      </c>
      <c r="M78" s="208">
        <v>3860792</v>
      </c>
      <c r="N78" s="195">
        <v>3.860792E-3</v>
      </c>
      <c r="O78" s="211">
        <v>2.2995622640698415E-2</v>
      </c>
      <c r="Q78" s="183"/>
    </row>
    <row r="79" spans="1:20" ht="15.6">
      <c r="A79" s="201">
        <v>9</v>
      </c>
      <c r="B79" s="202">
        <v>10</v>
      </c>
      <c r="C79" s="160">
        <v>8534118</v>
      </c>
      <c r="D79" s="30">
        <v>8323686000</v>
      </c>
      <c r="E79" s="187">
        <f t="shared" si="2"/>
        <v>6.5022817823704804</v>
      </c>
      <c r="F79" s="188">
        <v>8.5341180000000003E-3</v>
      </c>
      <c r="G79" s="189">
        <v>5.5491240000000004E-2</v>
      </c>
      <c r="H79" s="232">
        <v>6</v>
      </c>
      <c r="I79" s="124" t="str">
        <f t="shared" si="3"/>
        <v>(9, 10]</v>
      </c>
      <c r="J79" s="160">
        <v>1</v>
      </c>
      <c r="K79" s="205">
        <v>0.56236397246909409</v>
      </c>
      <c r="L79" s="188">
        <v>4.7992805000000001E-3</v>
      </c>
      <c r="M79" s="208">
        <v>4799280</v>
      </c>
      <c r="N79" s="195">
        <v>4.7992800000000004E-3</v>
      </c>
      <c r="O79" s="211">
        <v>3.1206270912495001E-2</v>
      </c>
      <c r="Q79" s="183"/>
    </row>
    <row r="80" spans="1:20" ht="15.6">
      <c r="A80" s="201">
        <v>10</v>
      </c>
      <c r="B80" s="202">
        <v>15</v>
      </c>
      <c r="C80" s="160">
        <v>21751151</v>
      </c>
      <c r="D80" s="30">
        <v>27771926600</v>
      </c>
      <c r="E80" s="187">
        <f t="shared" si="2"/>
        <v>8.5120174713206378</v>
      </c>
      <c r="F80" s="188">
        <v>2.1751151E-2</v>
      </c>
      <c r="G80" s="189">
        <v>0.18514617733333336</v>
      </c>
      <c r="H80" s="232">
        <v>6.666666666666667</v>
      </c>
      <c r="I80" s="214" t="str">
        <f t="shared" si="3"/>
        <v>(10, 15]</v>
      </c>
      <c r="J80" s="160">
        <v>1</v>
      </c>
      <c r="K80" s="205">
        <v>0.33361556360856492</v>
      </c>
      <c r="L80" s="188">
        <v>7.2565225000000002E-3</v>
      </c>
      <c r="M80" s="208">
        <v>7256522</v>
      </c>
      <c r="N80" s="195">
        <v>7.2565219999999996E-3</v>
      </c>
      <c r="O80" s="211">
        <v>6.1767642045022574E-2</v>
      </c>
      <c r="Q80" s="183"/>
    </row>
    <row r="81" spans="1:17" ht="15.6">
      <c r="A81" s="201">
        <v>15</v>
      </c>
      <c r="B81" s="202">
        <v>20</v>
      </c>
      <c r="C81" s="160">
        <v>14189980</v>
      </c>
      <c r="D81" s="30">
        <v>25358300600</v>
      </c>
      <c r="E81" s="187">
        <f t="shared" si="2"/>
        <v>11.913712164029361</v>
      </c>
      <c r="F81" s="188">
        <v>1.418998E-2</v>
      </c>
      <c r="G81" s="189">
        <v>0.16905533733333336</v>
      </c>
      <c r="H81" s="232">
        <v>10</v>
      </c>
      <c r="I81" s="124" t="str">
        <f t="shared" si="3"/>
        <v>(15, 20]</v>
      </c>
      <c r="J81" s="160">
        <v>1</v>
      </c>
      <c r="K81" s="205">
        <v>1.2838589976871004</v>
      </c>
      <c r="L81" s="188">
        <v>1.8217933500000002E-2</v>
      </c>
      <c r="M81" s="208">
        <v>18217933</v>
      </c>
      <c r="N81" s="195">
        <v>1.8217932999999999E-2</v>
      </c>
      <c r="O81" s="211">
        <v>0.21704320998557189</v>
      </c>
      <c r="Q81" s="183"/>
    </row>
    <row r="82" spans="1:17" ht="15.6">
      <c r="A82" s="201">
        <v>20</v>
      </c>
      <c r="B82" s="202">
        <v>25</v>
      </c>
      <c r="C82" s="160">
        <v>7956857</v>
      </c>
      <c r="D82" s="30">
        <v>18496587000</v>
      </c>
      <c r="E82" s="187">
        <f t="shared" si="2"/>
        <v>15.497398030403211</v>
      </c>
      <c r="F82" s="188">
        <v>7.9568569999999995E-3</v>
      </c>
      <c r="G82" s="189">
        <v>0.12331057999999999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0.31640665403437568</v>
      </c>
      <c r="L82" s="188">
        <v>2.5176025E-3</v>
      </c>
      <c r="M82" s="208">
        <v>2517602</v>
      </c>
      <c r="N82" s="195">
        <v>2.5176019999999999E-3</v>
      </c>
      <c r="O82" s="211">
        <v>3.9016280276139181E-2</v>
      </c>
      <c r="Q82" s="183"/>
    </row>
    <row r="83" spans="1:17" ht="15.6">
      <c r="A83" s="201">
        <v>25</v>
      </c>
      <c r="B83" s="202">
        <v>30</v>
      </c>
      <c r="C83" s="160">
        <v>5541813</v>
      </c>
      <c r="D83" s="30">
        <v>15759584660</v>
      </c>
      <c r="E83" s="187">
        <f t="shared" si="2"/>
        <v>18.958398223349171</v>
      </c>
      <c r="F83" s="188">
        <v>5.5418129999999996E-3</v>
      </c>
      <c r="G83" s="189">
        <v>0.10506389773333333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0.31615926051636895</v>
      </c>
      <c r="L83" s="188">
        <v>1.7520954999999999E-3</v>
      </c>
      <c r="M83" s="208">
        <v>1752095</v>
      </c>
      <c r="N83" s="195">
        <v>1.752095E-3</v>
      </c>
      <c r="O83" s="211">
        <v>3.3216914735138964E-2</v>
      </c>
      <c r="Q83" s="183"/>
    </row>
    <row r="84" spans="1:17" ht="15.6">
      <c r="A84" s="201">
        <v>30</v>
      </c>
      <c r="B84" s="202">
        <v>35</v>
      </c>
      <c r="C84" s="160">
        <v>2717980</v>
      </c>
      <c r="D84" s="30">
        <v>8855811060</v>
      </c>
      <c r="E84" s="187">
        <f t="shared" si="2"/>
        <v>21.721550710454085</v>
      </c>
      <c r="F84" s="188">
        <v>2.71798E-3</v>
      </c>
      <c r="G84" s="189">
        <v>5.9038740399999998E-2</v>
      </c>
      <c r="H84" s="232">
        <v>20</v>
      </c>
      <c r="I84" s="124" t="str">
        <f t="shared" si="3"/>
        <v>(30, 35]</v>
      </c>
      <c r="J84" s="160">
        <v>1</v>
      </c>
      <c r="K84" s="205">
        <v>3.1882833942854618</v>
      </c>
      <c r="L84" s="188">
        <v>8.6656904999999999E-3</v>
      </c>
      <c r="M84" s="208">
        <v>8665690</v>
      </c>
      <c r="N84" s="195">
        <v>8.6656900000000002E-3</v>
      </c>
      <c r="O84" s="211">
        <v>0.18823222477607487</v>
      </c>
      <c r="Q84" s="183"/>
    </row>
    <row r="85" spans="1:17" ht="15.6">
      <c r="A85" s="201">
        <v>35</v>
      </c>
      <c r="B85" s="202">
        <v>40</v>
      </c>
      <c r="C85" s="160">
        <v>4824714</v>
      </c>
      <c r="D85" s="30">
        <v>18466972780</v>
      </c>
      <c r="E85" s="187">
        <f t="shared" si="2"/>
        <v>25.517191664970536</v>
      </c>
      <c r="F85" s="188">
        <v>4.8247139999999999E-3</v>
      </c>
      <c r="G85" s="189">
        <v>0.12311315186666665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0.31553486900985217</v>
      </c>
      <c r="L85" s="188">
        <v>1.5223654999999999E-3</v>
      </c>
      <c r="M85" s="208">
        <v>1522365</v>
      </c>
      <c r="N85" s="195">
        <v>1.5223649999999999E-3</v>
      </c>
      <c r="O85" s="211">
        <v>3.8846479489042865E-2</v>
      </c>
      <c r="Q85" s="183"/>
    </row>
    <row r="86" spans="1:17" ht="15.6">
      <c r="A86" s="201">
        <v>40</v>
      </c>
      <c r="B86" s="202">
        <v>45</v>
      </c>
      <c r="C86" s="160">
        <v>2092535</v>
      </c>
      <c r="D86" s="30">
        <v>9109320400</v>
      </c>
      <c r="E86" s="187">
        <f t="shared" si="2"/>
        <v>29.021642489452585</v>
      </c>
      <c r="F86" s="188">
        <v>2.092535E-3</v>
      </c>
      <c r="G86" s="189">
        <v>6.0728802666666665E-2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1.2769284623674155</v>
      </c>
      <c r="L86" s="188">
        <v>2.6720174999999998E-3</v>
      </c>
      <c r="M86" s="208">
        <v>2672017</v>
      </c>
      <c r="N86" s="195">
        <v>2.6720170000000001E-3</v>
      </c>
      <c r="O86" s="211">
        <v>7.7546322099739634E-2</v>
      </c>
      <c r="Q86" s="183"/>
    </row>
    <row r="87" spans="1:17" ht="15.6">
      <c r="A87" s="201">
        <v>45</v>
      </c>
      <c r="B87" s="202">
        <v>50</v>
      </c>
      <c r="C87" s="160">
        <v>2589965</v>
      </c>
      <c r="D87" s="30">
        <v>12464788320</v>
      </c>
      <c r="E87" s="187">
        <f t="shared" si="2"/>
        <v>32.084830798871799</v>
      </c>
      <c r="F87" s="188">
        <v>2.5899650000000001E-3</v>
      </c>
      <c r="G87" s="189">
        <v>8.3098588799999998E-2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4114058</v>
      </c>
      <c r="D88" s="30">
        <v>23362224820</v>
      </c>
      <c r="E88" s="187">
        <f t="shared" si="2"/>
        <v>37.857552194613362</v>
      </c>
      <c r="F88" s="188">
        <v>4.1140580000000003E-3</v>
      </c>
      <c r="G88" s="189">
        <v>0.15574816546666667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2473364</v>
      </c>
      <c r="D89" s="30">
        <v>16200610080</v>
      </c>
      <c r="E89" s="187">
        <f t="shared" si="2"/>
        <v>43.666871192432659</v>
      </c>
      <c r="F89" s="188">
        <v>2.473364E-3</v>
      </c>
      <c r="G89" s="189">
        <v>0.10800406720000001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3216093</v>
      </c>
      <c r="D90" s="30">
        <v>24497168740</v>
      </c>
      <c r="E90" s="187">
        <f t="shared" si="2"/>
        <v>50.780390450980953</v>
      </c>
      <c r="F90" s="188">
        <v>3.2160930000000002E-3</v>
      </c>
      <c r="G90" s="189">
        <v>0.16331445826666668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2107490</v>
      </c>
      <c r="D91" s="30">
        <v>18191147520</v>
      </c>
      <c r="E91" s="187">
        <f t="shared" si="2"/>
        <v>57.544432856146408</v>
      </c>
      <c r="F91" s="188">
        <v>2.1074900000000001E-3</v>
      </c>
      <c r="G91" s="189">
        <v>0.12127431679999999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2095097</v>
      </c>
      <c r="D92" s="30">
        <v>20151879480</v>
      </c>
      <c r="E92" s="187">
        <f t="shared" si="2"/>
        <v>64.123934691329325</v>
      </c>
      <c r="F92" s="188">
        <v>2.0950970000000002E-3</v>
      </c>
      <c r="G92" s="189">
        <v>0.1343458632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3576814</v>
      </c>
      <c r="D93" s="30">
        <v>39980059880</v>
      </c>
      <c r="E93" s="187">
        <f t="shared" si="2"/>
        <v>74.517079315092516</v>
      </c>
      <c r="F93" s="188">
        <v>3.5768140000000002E-3</v>
      </c>
      <c r="G93" s="189">
        <v>0.26653373253333335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2464538</v>
      </c>
      <c r="D94" s="30">
        <v>32284132780</v>
      </c>
      <c r="E94" s="187">
        <f t="shared" si="2"/>
        <v>87.329776155476878</v>
      </c>
      <c r="F94" s="188">
        <v>2.4645380000000001E-3</v>
      </c>
      <c r="G94" s="189">
        <v>0.21522755186666667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2333116</v>
      </c>
      <c r="D95" s="30">
        <v>35265624880</v>
      </c>
      <c r="E95" s="187">
        <f t="shared" si="2"/>
        <v>100.76831407725406</v>
      </c>
      <c r="F95" s="188">
        <v>2.3331160000000001E-3</v>
      </c>
      <c r="G95" s="189">
        <v>0.23510416586666669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1791620</v>
      </c>
      <c r="D96" s="30">
        <v>30722366440</v>
      </c>
      <c r="E96" s="187">
        <f t="shared" si="2"/>
        <v>114.31875970722959</v>
      </c>
      <c r="F96" s="188">
        <v>1.7916200000000001E-3</v>
      </c>
      <c r="G96" s="189">
        <v>0.20481577626666669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1634196</v>
      </c>
      <c r="D97" s="30">
        <v>31397260220</v>
      </c>
      <c r="E97" s="187">
        <f t="shared" si="2"/>
        <v>128.08443303822389</v>
      </c>
      <c r="F97" s="188">
        <v>1.6341960000000001E-3</v>
      </c>
      <c r="G97" s="189">
        <v>0.20931506813333334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3164800</v>
      </c>
      <c r="D98" s="30">
        <v>70996941800</v>
      </c>
      <c r="E98" s="187">
        <f t="shared" si="2"/>
        <v>149.5554048702393</v>
      </c>
      <c r="F98" s="188">
        <v>3.1648000000000002E-3</v>
      </c>
      <c r="G98" s="189">
        <v>0.47331294533333335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2186646</v>
      </c>
      <c r="D99" s="30">
        <v>60173226980</v>
      </c>
      <c r="E99" s="187">
        <f t="shared" si="2"/>
        <v>183.45669419436587</v>
      </c>
      <c r="F99" s="188">
        <v>2.186646E-3</v>
      </c>
      <c r="G99" s="189">
        <v>0.40115484653333333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1532786</v>
      </c>
      <c r="D100" s="30">
        <v>49779243740</v>
      </c>
      <c r="E100" s="187">
        <f t="shared" si="2"/>
        <v>216.50877874232498</v>
      </c>
      <c r="F100" s="188">
        <v>1.532786E-3</v>
      </c>
      <c r="G100" s="189">
        <v>0.33186162493333332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1321982</v>
      </c>
      <c r="D101" s="30">
        <v>49728819760</v>
      </c>
      <c r="E101" s="187">
        <f t="shared" si="2"/>
        <v>250.77910672510419</v>
      </c>
      <c r="F101" s="188">
        <v>1.321982E-3</v>
      </c>
      <c r="G101" s="189">
        <v>0.33152546506666669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1006647</v>
      </c>
      <c r="D102" s="30">
        <v>42818989640</v>
      </c>
      <c r="E102" s="187">
        <f t="shared" si="2"/>
        <v>283.57500785611376</v>
      </c>
      <c r="F102" s="188">
        <v>1.0066470000000001E-3</v>
      </c>
      <c r="G102" s="189">
        <v>0.28545993093333338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866131</v>
      </c>
      <c r="D103" s="30">
        <v>41344379840</v>
      </c>
      <c r="E103" s="187">
        <f t="shared" si="2"/>
        <v>318.23038193221731</v>
      </c>
      <c r="F103" s="188">
        <v>8.6613100000000002E-4</v>
      </c>
      <c r="G103" s="189">
        <v>0.27562919893333332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824251</v>
      </c>
      <c r="D104" s="30">
        <v>43257771340</v>
      </c>
      <c r="E104" s="187">
        <f t="shared" si="2"/>
        <v>349.87539264940733</v>
      </c>
      <c r="F104" s="188">
        <v>8.2425100000000002E-4</v>
      </c>
      <c r="G104" s="189">
        <v>0.28838514226666667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641727</v>
      </c>
      <c r="D105" s="30">
        <v>36969935840</v>
      </c>
      <c r="E105" s="187">
        <f t="shared" si="2"/>
        <v>384.06711722170542</v>
      </c>
      <c r="F105" s="188">
        <v>6.4172700000000003E-4</v>
      </c>
      <c r="G105" s="189">
        <v>0.24646623893333336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487130</v>
      </c>
      <c r="D106" s="30">
        <v>30486413740</v>
      </c>
      <c r="E106" s="187">
        <f t="shared" si="2"/>
        <v>417.22488507516817</v>
      </c>
      <c r="F106" s="188">
        <v>4.8713000000000001E-4</v>
      </c>
      <c r="G106" s="189">
        <v>0.20324275826666668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398856</v>
      </c>
      <c r="D107" s="30">
        <v>26925018060</v>
      </c>
      <c r="E107" s="187">
        <f t="shared" si="2"/>
        <v>450.03740798684237</v>
      </c>
      <c r="F107" s="188">
        <v>3.98856E-4</v>
      </c>
      <c r="G107" s="189">
        <v>0.17950012039999999</v>
      </c>
      <c r="H107" s="232">
        <v>433.33333333333331</v>
      </c>
      <c r="I107" s="124" t="str">
        <f t="shared" si="3"/>
        <v>(650, 700]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344325</v>
      </c>
      <c r="D108" s="30">
        <v>24963717040</v>
      </c>
      <c r="E108" s="187">
        <f t="shared" si="2"/>
        <v>483.33632546770252</v>
      </c>
      <c r="F108" s="188">
        <v>3.4432499999999998E-4</v>
      </c>
      <c r="G108" s="189">
        <v>0.16642478026666666</v>
      </c>
      <c r="H108" s="232">
        <v>466.66666666666669</v>
      </c>
      <c r="I108" s="124" t="str">
        <f t="shared" si="3"/>
        <v>(700, 750]</v>
      </c>
      <c r="J108" s="160">
        <v>1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392768</v>
      </c>
      <c r="D109" s="30">
        <v>30691991300</v>
      </c>
      <c r="E109" s="187">
        <f t="shared" si="2"/>
        <v>520.95200050241704</v>
      </c>
      <c r="F109" s="188">
        <v>3.9276799999999999E-4</v>
      </c>
      <c r="G109" s="189">
        <v>0.20461327533333332</v>
      </c>
      <c r="H109" s="232">
        <v>500</v>
      </c>
      <c r="I109" s="124" t="str">
        <f t="shared" si="3"/>
        <v>(750, 800]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418753</v>
      </c>
      <c r="D110" s="30">
        <v>34621708880</v>
      </c>
      <c r="E110" s="187">
        <f t="shared" si="2"/>
        <v>551.18743634871475</v>
      </c>
      <c r="F110" s="188">
        <v>4.1875300000000001E-4</v>
      </c>
      <c r="G110" s="189">
        <v>0.23081139253333335</v>
      </c>
      <c r="H110" s="232">
        <v>533.33333333333337</v>
      </c>
      <c r="I110" s="124" t="str">
        <f t="shared" si="3"/>
        <v>(800, 850]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346215</v>
      </c>
      <c r="D111" s="30">
        <v>30283473840</v>
      </c>
      <c r="E111" s="187">
        <f t="shared" si="2"/>
        <v>583.13425357075801</v>
      </c>
      <c r="F111" s="188">
        <v>3.4621499999999998E-4</v>
      </c>
      <c r="G111" s="189">
        <v>0.20188982559999996</v>
      </c>
      <c r="H111" s="232">
        <v>566.66666666666663</v>
      </c>
      <c r="I111" s="124" t="str">
        <f t="shared" si="3"/>
        <v>(850, 900]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245051</v>
      </c>
      <c r="D112" s="30">
        <v>22661715420</v>
      </c>
      <c r="E112" s="187">
        <f t="shared" si="2"/>
        <v>616.51698136306322</v>
      </c>
      <c r="F112" s="188">
        <v>2.4505099999999998E-4</v>
      </c>
      <c r="G112" s="189">
        <v>0.1510781028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314926</v>
      </c>
      <c r="D113" s="30">
        <v>30927721160</v>
      </c>
      <c r="E113" s="187">
        <f t="shared" si="2"/>
        <v>654.70874978037159</v>
      </c>
      <c r="F113" s="188">
        <v>3.1492599999999999E-4</v>
      </c>
      <c r="G113" s="189">
        <v>0.20618480773333328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3471462</v>
      </c>
      <c r="D114" s="30">
        <v>492335740020</v>
      </c>
      <c r="E114" s="187">
        <f t="shared" si="2"/>
        <v>945.49163055796089</v>
      </c>
      <c r="F114" s="188">
        <v>3.4714619999999998E-3</v>
      </c>
      <c r="G114" s="189">
        <v>3.2822382667999999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1625948</v>
      </c>
      <c r="D115" s="30">
        <v>393309028260</v>
      </c>
      <c r="E115" s="187">
        <f t="shared" si="2"/>
        <v>1612.6347142713053</v>
      </c>
      <c r="F115" s="188">
        <v>1.6259480000000001E-3</v>
      </c>
      <c r="G115" s="189">
        <v>2.6220601884000003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822190</v>
      </c>
      <c r="D116" s="30">
        <v>283434237380</v>
      </c>
      <c r="E116" s="187">
        <f t="shared" si="2"/>
        <v>2298.2055030264701</v>
      </c>
      <c r="F116" s="188">
        <v>8.2218999999999999E-4</v>
      </c>
      <c r="G116" s="189">
        <v>1.8895615825333334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495097</v>
      </c>
      <c r="D117" s="30">
        <v>219795593180</v>
      </c>
      <c r="E117" s="187">
        <f t="shared" si="2"/>
        <v>2959.6300412511755</v>
      </c>
      <c r="F117" s="188">
        <v>4.9509700000000001E-4</v>
      </c>
      <c r="G117" s="189">
        <v>1.4653039545333333</v>
      </c>
      <c r="H117" s="232">
        <v>2666.6666666666665</v>
      </c>
      <c r="I117" s="124" t="str">
        <f t="shared" si="3"/>
        <v>(4000, 5000]</v>
      </c>
      <c r="J117" s="160">
        <v>1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263613</v>
      </c>
      <c r="D118" s="30">
        <v>144034384720</v>
      </c>
      <c r="E118" s="187">
        <f t="shared" si="2"/>
        <v>3642.571616220242</v>
      </c>
      <c r="F118" s="188">
        <v>2.63613E-4</v>
      </c>
      <c r="G118" s="189">
        <v>0.96022923146666661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171410</v>
      </c>
      <c r="D119" s="30">
        <v>110646987040</v>
      </c>
      <c r="E119" s="187">
        <f t="shared" si="2"/>
        <v>4303.404587052486</v>
      </c>
      <c r="F119" s="188">
        <v>1.7140999999999999E-4</v>
      </c>
      <c r="G119" s="189">
        <v>0.73764658026666652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106095</v>
      </c>
      <c r="D120" s="167">
        <v>79308066020</v>
      </c>
      <c r="E120" s="190">
        <f t="shared" si="2"/>
        <v>4983.4623698886217</v>
      </c>
      <c r="F120" s="191">
        <v>1.0609500000000001E-4</v>
      </c>
      <c r="G120" s="192">
        <v>0.5287204401333333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70205</v>
      </c>
      <c r="D121" s="30">
        <v>59386972540</v>
      </c>
      <c r="E121" s="187">
        <f t="shared" si="2"/>
        <v>5639.3867996106637</v>
      </c>
      <c r="F121" s="188">
        <v>7.0204999999999996E-5</v>
      </c>
      <c r="G121" s="189">
        <v>0.39591315026666662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43227</v>
      </c>
      <c r="D122" s="30">
        <v>40922277040</v>
      </c>
      <c r="E122" s="187">
        <f t="shared" si="2"/>
        <v>6311.2216963163455</v>
      </c>
      <c r="F122" s="188">
        <v>4.3226999999999998E-5</v>
      </c>
      <c r="G122" s="189">
        <v>0.27281518026666668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111376</v>
      </c>
      <c r="D123" s="30">
        <v>141282726820</v>
      </c>
      <c r="E123" s="187">
        <f t="shared" si="2"/>
        <v>8456.8025918210988</v>
      </c>
      <c r="F123" s="188">
        <v>1.11376E-4</v>
      </c>
      <c r="G123" s="189">
        <v>0.94188484546666673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7220</v>
      </c>
      <c r="D124" s="30">
        <v>16717845320</v>
      </c>
      <c r="E124" s="187">
        <f t="shared" si="2"/>
        <v>15436.606943674979</v>
      </c>
      <c r="F124" s="188">
        <v>7.2200000000000003E-6</v>
      </c>
      <c r="G124" s="189">
        <v>0.11145230213333335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806</v>
      </c>
      <c r="D125" s="30">
        <v>2823396900</v>
      </c>
      <c r="E125" s="187">
        <f t="shared" si="2"/>
        <v>23353.158808933003</v>
      </c>
      <c r="F125" s="188">
        <v>8.0599999999999999E-7</v>
      </c>
      <c r="G125" s="189">
        <v>1.8822646000000002E-2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0.89999990087603254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795198269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0.79519826900000001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1.1003766099747383</v>
      </c>
      <c r="L134" s="185" cm="1">
        <f t="array" ref="L134:L191">K134:K191*_xlfn.ANCHORARRAY(J134)*_xlfn.ANCHORARRAY(F134)</f>
        <v>0.87501757550000003</v>
      </c>
      <c r="M134" s="207" cm="1">
        <f t="array" ref="M134:M191">INT(_xlfn.ANCHORARRAY(L134)*$M$2)</f>
        <v>875017575</v>
      </c>
      <c r="N134" s="194" cm="1">
        <f t="array" ref="N134:N191">_xlfn.ANCHORARRAY(M134)/SUM(_xlfn.ANCHORARRAY(M134))</f>
        <v>0.87501757499999999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1537010</v>
      </c>
      <c r="D138" s="30">
        <v>614804000</v>
      </c>
      <c r="E138" s="187">
        <f t="shared" si="4"/>
        <v>0.5</v>
      </c>
      <c r="F138" s="188">
        <v>1.5370099999999999E-3</v>
      </c>
      <c r="G138" s="189">
        <v>7.6850499999999995E-4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1535472</v>
      </c>
      <c r="D140" s="30">
        <v>921283200</v>
      </c>
      <c r="E140" s="187">
        <f t="shared" si="4"/>
        <v>0.75</v>
      </c>
      <c r="F140" s="188">
        <v>1.535472E-3</v>
      </c>
      <c r="G140" s="189">
        <v>1.1516040000000001E-3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2173876</v>
      </c>
      <c r="D142" s="30">
        <v>1739100800</v>
      </c>
      <c r="E142" s="187">
        <f t="shared" si="4"/>
        <v>1</v>
      </c>
      <c r="F142" s="188">
        <v>2.1738759999999999E-3</v>
      </c>
      <c r="G142" s="189">
        <v>2.1738759999999999E-3</v>
      </c>
      <c r="H142" s="93">
        <v>0.875</v>
      </c>
      <c r="I142" s="214" t="str">
        <f t="shared" si="5"/>
        <v>(7, 8]</v>
      </c>
      <c r="J142" s="160">
        <v>1</v>
      </c>
      <c r="K142" s="205">
        <v>14.780483109432184</v>
      </c>
      <c r="L142" s="188">
        <v>3.2130937499999998E-2</v>
      </c>
      <c r="M142" s="208">
        <v>32130937</v>
      </c>
      <c r="N142" s="195">
        <v>3.2130936999999998E-2</v>
      </c>
      <c r="O142" s="211">
        <v>3.2130936999999998E-2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3268307</v>
      </c>
      <c r="D144" s="30">
        <v>3268307000</v>
      </c>
      <c r="E144" s="187">
        <f t="shared" si="4"/>
        <v>1.25</v>
      </c>
      <c r="F144" s="188">
        <v>3.2683069999999998E-3</v>
      </c>
      <c r="G144" s="189">
        <v>4.0853837499999993E-3</v>
      </c>
      <c r="H144" s="93">
        <v>1.125</v>
      </c>
      <c r="I144" s="124" t="str">
        <f t="shared" si="5"/>
        <v>(9, 10]</v>
      </c>
      <c r="J144" s="160">
        <v>1</v>
      </c>
      <c r="K144" s="205">
        <v>1.4820610487325701</v>
      </c>
      <c r="L144" s="188">
        <v>4.8438304999999992E-3</v>
      </c>
      <c r="M144" s="208">
        <v>4843830</v>
      </c>
      <c r="N144" s="195">
        <v>4.8438300000000004E-3</v>
      </c>
      <c r="O144" s="211">
        <v>6.0547875000000004E-3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2634762</v>
      </c>
      <c r="D145" s="30">
        <v>3682764300</v>
      </c>
      <c r="E145" s="187">
        <f t="shared" si="4"/>
        <v>1.7471996996313139</v>
      </c>
      <c r="F145" s="188">
        <v>2.6347620000000001E-3</v>
      </c>
      <c r="G145" s="189">
        <v>4.603455375E-3</v>
      </c>
      <c r="H145" s="93">
        <v>1.25</v>
      </c>
      <c r="I145" s="214" t="str">
        <f t="shared" si="5"/>
        <v>(10, 15]</v>
      </c>
      <c r="J145" s="160">
        <v>1</v>
      </c>
      <c r="K145" s="205">
        <v>1.4678432055722681</v>
      </c>
      <c r="L145" s="188">
        <v>3.8674175000000003E-3</v>
      </c>
      <c r="M145" s="208">
        <v>3867417</v>
      </c>
      <c r="N145" s="195">
        <v>3.8674170000000002E-3</v>
      </c>
      <c r="O145" s="211">
        <v>6.7571498207490378E-3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9016244</v>
      </c>
      <c r="D146" s="30">
        <v>16921585600</v>
      </c>
      <c r="E146" s="187">
        <f t="shared" si="4"/>
        <v>2.3459859781966861</v>
      </c>
      <c r="F146" s="188">
        <v>9.0162439999999996E-3</v>
      </c>
      <c r="G146" s="189">
        <v>2.1151982E-2</v>
      </c>
      <c r="H146" s="93">
        <v>1.875</v>
      </c>
      <c r="I146" s="124" t="str">
        <f t="shared" si="5"/>
        <v>(15, 20]</v>
      </c>
      <c r="J146" s="160">
        <v>1</v>
      </c>
      <c r="K146" s="205">
        <v>1.474024050369533</v>
      </c>
      <c r="L146" s="188">
        <v>1.3290160499999999E-2</v>
      </c>
      <c r="M146" s="208">
        <v>13290160</v>
      </c>
      <c r="N146" s="195">
        <v>1.3290160000000001E-2</v>
      </c>
      <c r="O146" s="211">
        <v>3.1178529007990469E-2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5676427</v>
      </c>
      <c r="D147" s="30">
        <v>13793512000</v>
      </c>
      <c r="E147" s="187">
        <f t="shared" si="4"/>
        <v>3.0374547228388562</v>
      </c>
      <c r="F147" s="188">
        <v>5.6764270000000004E-3</v>
      </c>
      <c r="G147" s="189">
        <v>1.7241890000000003E-2</v>
      </c>
      <c r="H147" s="93">
        <v>2.5</v>
      </c>
      <c r="I147" s="124" t="str">
        <f t="shared" si="5"/>
        <v>(20, 25]</v>
      </c>
      <c r="J147" s="160">
        <v>1</v>
      </c>
      <c r="K147" s="205">
        <v>1.4753668989313171</v>
      </c>
      <c r="L147" s="188">
        <v>8.3748125000000003E-3</v>
      </c>
      <c r="M147" s="208">
        <v>8374812</v>
      </c>
      <c r="N147" s="195">
        <v>8.3748120000000006E-3</v>
      </c>
      <c r="O147" s="211">
        <v>2.5438112262287527E-2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4496806</v>
      </c>
      <c r="D148" s="30">
        <v>13439030300</v>
      </c>
      <c r="E148" s="187">
        <f t="shared" si="4"/>
        <v>3.7357155000682707</v>
      </c>
      <c r="F148" s="188">
        <v>4.4968059999999999E-3</v>
      </c>
      <c r="G148" s="189">
        <v>1.6798787874999999E-2</v>
      </c>
      <c r="H148" s="93">
        <v>3.125</v>
      </c>
      <c r="I148" s="124" t="str">
        <f t="shared" si="5"/>
        <v>(25, 30]</v>
      </c>
      <c r="J148" s="160">
        <v>1</v>
      </c>
      <c r="K148" s="205">
        <v>1.4777271912553043</v>
      </c>
      <c r="L148" s="188">
        <v>6.6450525E-3</v>
      </c>
      <c r="M148" s="208">
        <v>6645052</v>
      </c>
      <c r="N148" s="195">
        <v>6.6450520000000003E-3</v>
      </c>
      <c r="O148" s="211">
        <v>2.4824023755159665E-2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3013307</v>
      </c>
      <c r="D149" s="30">
        <v>9688028000</v>
      </c>
      <c r="E149" s="187">
        <f t="shared" si="4"/>
        <v>4.0188520452778294</v>
      </c>
      <c r="F149" s="188">
        <v>3.0133069999999998E-3</v>
      </c>
      <c r="G149" s="189">
        <v>1.2110035E-2</v>
      </c>
      <c r="H149" s="93">
        <v>3.75</v>
      </c>
      <c r="I149" s="124" t="str">
        <f t="shared" si="5"/>
        <v>(30, 35]</v>
      </c>
      <c r="J149" s="160">
        <v>1</v>
      </c>
      <c r="K149" s="205">
        <v>1.4761351896769894</v>
      </c>
      <c r="L149" s="188">
        <v>4.4480484999999993E-3</v>
      </c>
      <c r="M149" s="208">
        <v>4448048</v>
      </c>
      <c r="N149" s="195">
        <v>4.4480479999999996E-3</v>
      </c>
      <c r="O149" s="211">
        <v>1.7876046802293957E-2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10566689</v>
      </c>
      <c r="D150" s="30">
        <v>41532351200</v>
      </c>
      <c r="E150" s="187">
        <f t="shared" si="4"/>
        <v>4.913122644188733</v>
      </c>
      <c r="F150" s="188">
        <v>1.0566689000000001E-2</v>
      </c>
      <c r="G150" s="189">
        <v>5.1915439000000001E-2</v>
      </c>
      <c r="H150" s="93">
        <v>4.375</v>
      </c>
      <c r="I150" s="214" t="str">
        <f t="shared" si="5"/>
        <v>(35, 40]</v>
      </c>
      <c r="J150" s="160">
        <v>1</v>
      </c>
      <c r="K150" s="205">
        <v>0.29514737303236616</v>
      </c>
      <c r="L150" s="188">
        <v>3.1187305000000003E-3</v>
      </c>
      <c r="M150" s="208">
        <v>3118730</v>
      </c>
      <c r="N150" s="195">
        <v>3.1187300000000001E-3</v>
      </c>
      <c r="O150" s="211">
        <v>1.5322702984110727E-2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2254117</v>
      </c>
      <c r="D151" s="30">
        <v>10061161100</v>
      </c>
      <c r="E151" s="187">
        <f t="shared" si="4"/>
        <v>5.5793250195087474</v>
      </c>
      <c r="F151" s="188">
        <v>2.2541169999999999E-3</v>
      </c>
      <c r="G151" s="189">
        <v>1.2576451374999999E-2</v>
      </c>
      <c r="H151" s="93">
        <v>5</v>
      </c>
      <c r="I151" s="124" t="str">
        <f t="shared" si="5"/>
        <v>(40, 45]</v>
      </c>
      <c r="J151" s="160">
        <v>1</v>
      </c>
      <c r="K151" s="205">
        <v>1.4697939370494078</v>
      </c>
      <c r="L151" s="188">
        <v>3.3130874999999999E-3</v>
      </c>
      <c r="M151" s="208">
        <v>3313087</v>
      </c>
      <c r="N151" s="195">
        <v>3.3130870000000001E-3</v>
      </c>
      <c r="O151" s="211">
        <v>1.8484789190909179E-2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7651966</v>
      </c>
      <c r="D152" s="30">
        <v>37555374200</v>
      </c>
      <c r="E152" s="187">
        <f t="shared" si="4"/>
        <v>6.1349224173238612</v>
      </c>
      <c r="F152" s="188">
        <v>7.6519659999999996E-3</v>
      </c>
      <c r="G152" s="189">
        <v>4.6944217749999996E-2</v>
      </c>
      <c r="H152" s="93">
        <v>5.625</v>
      </c>
      <c r="I152" s="124" t="str">
        <f t="shared" si="5"/>
        <v>(45, 50]</v>
      </c>
      <c r="J152" s="160">
        <v>1</v>
      </c>
      <c r="K152" s="205">
        <v>0.29527267894290171</v>
      </c>
      <c r="L152" s="188">
        <v>2.2594164999999999E-3</v>
      </c>
      <c r="M152" s="208">
        <v>2259416</v>
      </c>
      <c r="N152" s="195">
        <v>2.2594160000000002E-3</v>
      </c>
      <c r="O152" s="211">
        <v>1.3861341868460211E-2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7953155</v>
      </c>
      <c r="D153" s="30">
        <v>47114923000</v>
      </c>
      <c r="E153" s="187">
        <f t="shared" si="4"/>
        <v>7.4050680201756407</v>
      </c>
      <c r="F153" s="188">
        <v>7.9531549999999999E-3</v>
      </c>
      <c r="G153" s="189">
        <v>5.8893653749999997E-2</v>
      </c>
      <c r="H153" s="93">
        <v>6.25</v>
      </c>
      <c r="I153" s="214" t="str">
        <f t="shared" si="5"/>
        <v>(50, 60]</v>
      </c>
      <c r="J153" s="160">
        <v>1</v>
      </c>
      <c r="K153" s="205">
        <v>0.29503102856665059</v>
      </c>
      <c r="L153" s="188">
        <v>2.3464275000000001E-3</v>
      </c>
      <c r="M153" s="208">
        <v>2346427</v>
      </c>
      <c r="N153" s="195">
        <v>2.3464269999999999E-3</v>
      </c>
      <c r="O153" s="211">
        <v>1.7375451539376668E-2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2181495</v>
      </c>
      <c r="D154" s="30">
        <v>14354464700</v>
      </c>
      <c r="E154" s="187">
        <f t="shared" si="4"/>
        <v>8.225130415151078</v>
      </c>
      <c r="F154" s="188">
        <v>2.1814949999999999E-3</v>
      </c>
      <c r="G154" s="189">
        <v>1.7943080875E-2</v>
      </c>
      <c r="H154" s="93">
        <v>7.5</v>
      </c>
      <c r="I154" s="124" t="str">
        <f t="shared" si="5"/>
        <v>(60, 70]</v>
      </c>
      <c r="J154" s="160">
        <v>1</v>
      </c>
      <c r="K154" s="205">
        <v>0.29447259792023361</v>
      </c>
      <c r="L154" s="188">
        <v>6.4239050000000002E-4</v>
      </c>
      <c r="M154" s="208">
        <v>642390</v>
      </c>
      <c r="N154" s="195">
        <v>6.4238999999999995E-4</v>
      </c>
      <c r="O154" s="211">
        <v>5.2837415273889006E-3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10192453</v>
      </c>
      <c r="D155" s="30">
        <v>79324067200</v>
      </c>
      <c r="E155" s="187">
        <f t="shared" si="4"/>
        <v>9.7282846435494967</v>
      </c>
      <c r="F155" s="188">
        <v>1.0192453000000001E-2</v>
      </c>
      <c r="G155" s="189">
        <v>9.9155084000000004E-2</v>
      </c>
      <c r="H155" s="93">
        <v>8.75</v>
      </c>
      <c r="I155" s="214" t="str">
        <f t="shared" si="5"/>
        <v>(70, 80]</v>
      </c>
      <c r="J155" s="160">
        <v>1</v>
      </c>
      <c r="K155" s="205">
        <v>0.29440935366589377</v>
      </c>
      <c r="L155" s="188">
        <v>3.0007535000000003E-3</v>
      </c>
      <c r="M155" s="208">
        <v>3000753</v>
      </c>
      <c r="N155" s="195">
        <v>3.0007530000000001E-3</v>
      </c>
      <c r="O155" s="211">
        <v>2.9192179328985084E-2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2391271</v>
      </c>
      <c r="D156" s="30">
        <v>21008215200</v>
      </c>
      <c r="E156" s="187">
        <f t="shared" si="4"/>
        <v>10.981720181443258</v>
      </c>
      <c r="F156" s="188">
        <v>2.3912709999999999E-3</v>
      </c>
      <c r="G156" s="189">
        <v>2.6260268999999999E-2</v>
      </c>
      <c r="H156" s="93">
        <v>10</v>
      </c>
      <c r="I156" s="124" t="str">
        <f t="shared" si="5"/>
        <v>(80, 90]</v>
      </c>
      <c r="J156" s="160">
        <v>1</v>
      </c>
      <c r="K156" s="205">
        <v>5.8962892537065015</v>
      </c>
      <c r="L156" s="188">
        <v>1.4099625499999999E-2</v>
      </c>
      <c r="M156" s="208">
        <v>14099625</v>
      </c>
      <c r="N156" s="195">
        <v>1.4099624999999999E-2</v>
      </c>
      <c r="O156" s="211">
        <v>0.1548381364132819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8276896</v>
      </c>
      <c r="D157" s="30">
        <v>82033451100</v>
      </c>
      <c r="E157" s="187">
        <f t="shared" si="4"/>
        <v>12.388921387317177</v>
      </c>
      <c r="F157" s="188">
        <v>8.2768960000000006E-3</v>
      </c>
      <c r="G157" s="189">
        <v>0.102541813875</v>
      </c>
      <c r="H157" s="93">
        <v>11.25</v>
      </c>
      <c r="I157" s="124" t="str">
        <f t="shared" si="5"/>
        <v>(90, 100]</v>
      </c>
      <c r="J157" s="160">
        <v>1</v>
      </c>
      <c r="K157" s="205">
        <v>0.29421252846477708</v>
      </c>
      <c r="L157" s="188">
        <v>2.4351664999999996E-3</v>
      </c>
      <c r="M157" s="208">
        <v>2435166</v>
      </c>
      <c r="N157" s="195">
        <v>2.4351659999999999E-3</v>
      </c>
      <c r="O157" s="211">
        <v>3.0169080139067619E-2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6630816</v>
      </c>
      <c r="D158" s="30">
        <v>77449465800</v>
      </c>
      <c r="E158" s="187">
        <f t="shared" si="4"/>
        <v>14.600289353527529</v>
      </c>
      <c r="F158" s="188">
        <v>6.6308160000000003E-3</v>
      </c>
      <c r="G158" s="189">
        <v>9.6811832250000007E-2</v>
      </c>
      <c r="H158" s="93">
        <v>12.5</v>
      </c>
      <c r="I158" s="124" t="str">
        <f t="shared" si="5"/>
        <v>(100, 120]</v>
      </c>
      <c r="J158" s="160">
        <v>1</v>
      </c>
      <c r="K158" s="205">
        <v>0.29439536551760748</v>
      </c>
      <c r="L158" s="188">
        <v>1.9520815E-3</v>
      </c>
      <c r="M158" s="208">
        <v>1952081</v>
      </c>
      <c r="N158" s="195">
        <v>1.952081E-3</v>
      </c>
      <c r="O158" s="211">
        <v>2.8500947441523372E-2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2395438</v>
      </c>
      <c r="D159" s="30">
        <v>31722982300</v>
      </c>
      <c r="E159" s="187">
        <f t="shared" si="4"/>
        <v>16.553852729646938</v>
      </c>
      <c r="F159" s="188">
        <v>2.3954380000000002E-3</v>
      </c>
      <c r="G159" s="189">
        <v>3.9653727875000003E-2</v>
      </c>
      <c r="H159" s="93">
        <v>15</v>
      </c>
      <c r="I159" s="124" t="str">
        <f t="shared" si="5"/>
        <v>(120, 140]</v>
      </c>
      <c r="J159" s="160">
        <v>1</v>
      </c>
      <c r="K159" s="205">
        <v>0.29464861958439331</v>
      </c>
      <c r="L159" s="188">
        <v>7.0581249999999995E-4</v>
      </c>
      <c r="M159" s="208">
        <v>705812</v>
      </c>
      <c r="N159" s="195">
        <v>7.05812E-4</v>
      </c>
      <c r="O159" s="211">
        <v>1.1683907902817564E-2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7805986</v>
      </c>
      <c r="D160" s="30">
        <v>120765802000</v>
      </c>
      <c r="E160" s="187">
        <f t="shared" si="4"/>
        <v>19.338652733940339</v>
      </c>
      <c r="F160" s="188">
        <v>7.805986E-3</v>
      </c>
      <c r="G160" s="189">
        <v>0.15095725250000003</v>
      </c>
      <c r="H160" s="93">
        <v>17.5</v>
      </c>
      <c r="I160" s="124" t="str">
        <f t="shared" si="5"/>
        <v>(140, 160]</v>
      </c>
      <c r="J160" s="160">
        <v>1</v>
      </c>
      <c r="K160" s="205">
        <v>0.29478806392939982</v>
      </c>
      <c r="L160" s="188">
        <v>2.3011115E-3</v>
      </c>
      <c r="M160" s="208">
        <v>2301111</v>
      </c>
      <c r="N160" s="195">
        <v>2.3011110000000002E-3</v>
      </c>
      <c r="O160" s="211">
        <v>4.4500386531250193E-2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2193558</v>
      </c>
      <c r="D161" s="30">
        <v>38317143000</v>
      </c>
      <c r="E161" s="187">
        <f t="shared" si="4"/>
        <v>21.835040947173496</v>
      </c>
      <c r="F161" s="188">
        <v>2.193558E-3</v>
      </c>
      <c r="G161" s="189">
        <v>4.7896428749999997E-2</v>
      </c>
      <c r="H161" s="93">
        <v>20</v>
      </c>
      <c r="I161" s="124" t="str">
        <f t="shared" si="5"/>
        <v>(160, 180]</v>
      </c>
      <c r="J161" s="160">
        <v>1</v>
      </c>
      <c r="K161" s="205">
        <v>2.9441298110193577</v>
      </c>
      <c r="L161" s="188">
        <v>6.4581194999999997E-3</v>
      </c>
      <c r="M161" s="208">
        <v>6458119</v>
      </c>
      <c r="N161" s="195">
        <v>6.458119E-3</v>
      </c>
      <c r="O161" s="211">
        <v>0.14101329280671915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7872162</v>
      </c>
      <c r="D162" s="30">
        <v>156525461500</v>
      </c>
      <c r="E162" s="187">
        <f t="shared" si="4"/>
        <v>24.854268354106534</v>
      </c>
      <c r="F162" s="188">
        <v>7.8721620000000003E-3</v>
      </c>
      <c r="G162" s="189">
        <v>0.195656826875</v>
      </c>
      <c r="H162" s="93">
        <v>22.5</v>
      </c>
      <c r="I162" s="124" t="str">
        <f t="shared" si="5"/>
        <v>(180, 200]</v>
      </c>
      <c r="J162" s="160">
        <v>1</v>
      </c>
      <c r="K162" s="205">
        <v>0.29403440884473669</v>
      </c>
      <c r="L162" s="188">
        <v>2.3146865E-3</v>
      </c>
      <c r="M162" s="208">
        <v>2314686</v>
      </c>
      <c r="N162" s="195">
        <v>2.3146859999999998E-3</v>
      </c>
      <c r="O162" s="211">
        <v>5.7529826999493432E-2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6377502</v>
      </c>
      <c r="D163" s="30">
        <v>149049300800</v>
      </c>
      <c r="E163" s="187">
        <f t="shared" si="4"/>
        <v>29.213887506424928</v>
      </c>
      <c r="F163" s="188">
        <v>6.3775020000000002E-3</v>
      </c>
      <c r="G163" s="189">
        <v>0.18631162600000001</v>
      </c>
      <c r="H163" s="93">
        <v>25</v>
      </c>
      <c r="I163" s="124" t="str">
        <f t="shared" si="5"/>
        <v>(200, 250]</v>
      </c>
      <c r="J163" s="160">
        <v>1</v>
      </c>
      <c r="K163" s="205">
        <v>1.0089791426172818</v>
      </c>
      <c r="L163" s="188">
        <v>6.4347665000000004E-3</v>
      </c>
      <c r="M163" s="208">
        <v>6434766</v>
      </c>
      <c r="N163" s="195">
        <v>6.4347659999999997E-3</v>
      </c>
      <c r="O163" s="211">
        <v>0.1879845300541679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6273332</v>
      </c>
      <c r="D164" s="30">
        <v>180153699500</v>
      </c>
      <c r="E164" s="187">
        <f t="shared" si="4"/>
        <v>35.896733087775367</v>
      </c>
      <c r="F164" s="188">
        <v>6.2733320000000004E-3</v>
      </c>
      <c r="G164" s="189">
        <v>0.22519212437500002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3639555</v>
      </c>
      <c r="D165" s="30">
        <v>118724005300</v>
      </c>
      <c r="E165" s="187">
        <f t="shared" si="4"/>
        <v>40.775591143697511</v>
      </c>
      <c r="F165" s="188">
        <v>3.639555E-3</v>
      </c>
      <c r="G165" s="189">
        <v>0.148405006625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6060287</v>
      </c>
      <c r="D166" s="30">
        <v>236200276700</v>
      </c>
      <c r="E166" s="187">
        <f t="shared" si="4"/>
        <v>48.718871874384824</v>
      </c>
      <c r="F166" s="188">
        <v>6.0602870000000001E-3</v>
      </c>
      <c r="G166" s="189">
        <v>0.29525034587499999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2438675</v>
      </c>
      <c r="D167" s="30">
        <v>105176842800</v>
      </c>
      <c r="E167" s="187">
        <f t="shared" si="4"/>
        <v>53.910854664930753</v>
      </c>
      <c r="F167" s="188">
        <v>2.438675E-3</v>
      </c>
      <c r="G167" s="189">
        <v>0.13147105349999999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4943761</v>
      </c>
      <c r="D168" s="30">
        <v>240787337900</v>
      </c>
      <c r="E168" s="187">
        <f t="shared" si="4"/>
        <v>60.881618746335029</v>
      </c>
      <c r="F168" s="188">
        <v>4.9437609999999996E-3</v>
      </c>
      <c r="G168" s="189">
        <v>0.30098417237499997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1805371</v>
      </c>
      <c r="D169" s="30">
        <v>95003605200</v>
      </c>
      <c r="E169" s="187">
        <f t="shared" si="4"/>
        <v>65.778450246514424</v>
      </c>
      <c r="F169" s="188">
        <v>1.8053710000000001E-3</v>
      </c>
      <c r="G169" s="189">
        <v>0.1187545065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3484162</v>
      </c>
      <c r="D170" s="30">
        <v>203829811900</v>
      </c>
      <c r="E170" s="187">
        <f t="shared" si="4"/>
        <v>73.127272748798703</v>
      </c>
      <c r="F170" s="188">
        <v>3.4841619999999998E-3</v>
      </c>
      <c r="G170" s="189">
        <v>0.25478726487499997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1806937</v>
      </c>
      <c r="D171" s="30">
        <v>113897184400</v>
      </c>
      <c r="E171" s="187">
        <f t="shared" si="4"/>
        <v>78.791612823247291</v>
      </c>
      <c r="F171" s="188">
        <v>1.806937E-3</v>
      </c>
      <c r="G171" s="189">
        <v>0.14237148049999998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1739433</v>
      </c>
      <c r="D172" s="30">
        <v>118149569000</v>
      </c>
      <c r="E172" s="187">
        <f t="shared" si="4"/>
        <v>84.905231331129173</v>
      </c>
      <c r="F172" s="188">
        <v>1.7394330000000001E-3</v>
      </c>
      <c r="G172" s="189">
        <v>0.14768696125000003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1613476</v>
      </c>
      <c r="D173" s="30">
        <v>117206766500</v>
      </c>
      <c r="E173" s="187">
        <f t="shared" si="4"/>
        <v>90.802998076822959</v>
      </c>
      <c r="F173" s="188">
        <v>1.613476E-3</v>
      </c>
      <c r="G173" s="189">
        <v>0.14650845812499999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4037756</v>
      </c>
      <c r="D174" s="30">
        <v>319977787400</v>
      </c>
      <c r="E174" s="187">
        <f t="shared" si="4"/>
        <v>99.058049632023327</v>
      </c>
      <c r="F174" s="188">
        <v>4.037756E-3</v>
      </c>
      <c r="G174" s="189">
        <v>0.39997223425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1073590</v>
      </c>
      <c r="D175" s="30">
        <v>88882963800</v>
      </c>
      <c r="E175" s="187">
        <f t="shared" si="4"/>
        <v>103.4880212651012</v>
      </c>
      <c r="F175" s="188">
        <v>1.0735899999999999E-3</v>
      </c>
      <c r="G175" s="189">
        <v>0.11110370474999999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1404569</v>
      </c>
      <c r="D176" s="30">
        <v>123880308000</v>
      </c>
      <c r="E176" s="187">
        <f t="shared" si="4"/>
        <v>110.24761688461015</v>
      </c>
      <c r="F176" s="188">
        <v>1.404569E-3</v>
      </c>
      <c r="G176" s="189">
        <v>0.15485038500000001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932958</v>
      </c>
      <c r="D177" s="30">
        <v>86554923000</v>
      </c>
      <c r="E177" s="187">
        <f t="shared" si="4"/>
        <v>115.9684077418276</v>
      </c>
      <c r="F177" s="188">
        <v>9.3295800000000001E-4</v>
      </c>
      <c r="G177" s="189">
        <v>0.10819365374999999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3382931</v>
      </c>
      <c r="D178" s="30">
        <v>335662253800</v>
      </c>
      <c r="E178" s="187">
        <f t="shared" si="4"/>
        <v>124.02789688882216</v>
      </c>
      <c r="F178" s="188">
        <v>3.382931E-3</v>
      </c>
      <c r="G178" s="189">
        <v>0.41957781725000004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19711760</v>
      </c>
      <c r="D179" s="30">
        <v>2928553346700</v>
      </c>
      <c r="E179" s="187">
        <f t="shared" si="4"/>
        <v>185.71105184798313</v>
      </c>
      <c r="F179" s="188">
        <v>1.9711759999999998E-2</v>
      </c>
      <c r="G179" s="189">
        <v>3.6606916833749996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8484953</v>
      </c>
      <c r="D180" s="30">
        <v>2130326733300</v>
      </c>
      <c r="E180" s="187">
        <f t="shared" si="4"/>
        <v>313.83891185077869</v>
      </c>
      <c r="F180" s="188">
        <v>8.4849529999999999E-3</v>
      </c>
      <c r="G180" s="189">
        <v>2.6629084166250001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4565674</v>
      </c>
      <c r="D181" s="30">
        <v>1614756926700</v>
      </c>
      <c r="E181" s="187">
        <f t="shared" si="4"/>
        <v>442.091607586306</v>
      </c>
      <c r="F181" s="188">
        <v>4.5656739999999996E-3</v>
      </c>
      <c r="G181" s="189">
        <v>2.0184461583749997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2661686</v>
      </c>
      <c r="D182" s="30">
        <v>1200209255000</v>
      </c>
      <c r="E182" s="187">
        <f t="shared" si="4"/>
        <v>563.65084715101636</v>
      </c>
      <c r="F182" s="188">
        <v>2.6616859999999999E-3</v>
      </c>
      <c r="G182" s="189">
        <v>1.5002615687500001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1769466</v>
      </c>
      <c r="D183" s="30">
        <v>979407619600</v>
      </c>
      <c r="E183" s="187">
        <f t="shared" si="4"/>
        <v>691.88078465480544</v>
      </c>
      <c r="F183" s="188">
        <v>1.7694659999999999E-3</v>
      </c>
      <c r="G183" s="189">
        <v>1.2242595244999999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1108896</v>
      </c>
      <c r="D184" s="30">
        <v>718738961300</v>
      </c>
      <c r="E184" s="187">
        <f t="shared" si="4"/>
        <v>810.19653928321497</v>
      </c>
      <c r="F184" s="188">
        <v>1.1088960000000001E-3</v>
      </c>
      <c r="G184" s="189">
        <v>0.89842370162499996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807723</v>
      </c>
      <c r="D185" s="167">
        <v>606952896100</v>
      </c>
      <c r="E185" s="190">
        <f t="shared" si="4"/>
        <v>939.29616975745398</v>
      </c>
      <c r="F185" s="191">
        <v>8.0772299999999999E-4</v>
      </c>
      <c r="G185" s="192">
        <v>0.75869112012499995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576360</v>
      </c>
      <c r="D186" s="30">
        <v>489372414400</v>
      </c>
      <c r="E186" s="187">
        <f t="shared" si="4"/>
        <v>1061.3427684086334</v>
      </c>
      <c r="F186" s="188">
        <v>5.7636000000000005E-4</v>
      </c>
      <c r="G186" s="189">
        <v>0.61171551800000001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462675</v>
      </c>
      <c r="D187" s="30">
        <v>439780988800</v>
      </c>
      <c r="E187" s="187">
        <f t="shared" si="4"/>
        <v>1188.1476976279246</v>
      </c>
      <c r="F187" s="188">
        <v>4.6267500000000001E-4</v>
      </c>
      <c r="G187" s="189">
        <v>0.54972623600000003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1545607</v>
      </c>
      <c r="D188" s="30">
        <v>2078648749800</v>
      </c>
      <c r="E188" s="187">
        <f t="shared" si="4"/>
        <v>1681.0941832238079</v>
      </c>
      <c r="F188" s="188">
        <v>1.5456070000000001E-3</v>
      </c>
      <c r="G188" s="189">
        <v>2.5983109372500004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280887</v>
      </c>
      <c r="D189" s="30">
        <v>668925003000</v>
      </c>
      <c r="E189" s="187">
        <f t="shared" si="4"/>
        <v>2976.8421242350128</v>
      </c>
      <c r="F189" s="188">
        <v>2.8088700000000001E-4</v>
      </c>
      <c r="G189" s="189">
        <v>0.83615625375000002</v>
      </c>
      <c r="H189" s="178"/>
      <c r="I189" s="124" t="str">
        <f t="shared" si="5"/>
        <v>(20000, 30000]</v>
      </c>
      <c r="J189" s="160">
        <v>0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93523</v>
      </c>
      <c r="D190" s="30">
        <v>354341167100</v>
      </c>
      <c r="E190" s="187">
        <f t="shared" si="4"/>
        <v>4736.0163689680612</v>
      </c>
      <c r="F190" s="188">
        <v>9.3523000000000006E-5</v>
      </c>
      <c r="G190" s="189">
        <v>0.44292645887500004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13</v>
      </c>
      <c r="D191" s="167">
        <v>136044800</v>
      </c>
      <c r="E191" s="190">
        <f t="shared" si="4"/>
        <v>13081.23076923077</v>
      </c>
      <c r="F191" s="191">
        <v>1.3000000000000001E-8</v>
      </c>
      <c r="G191" s="192">
        <v>1.70056E-4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:15" ht="16.8" thickBot="1">
      <c r="M193" s="114"/>
      <c r="N193" s="164" t="s">
        <v>181</v>
      </c>
      <c r="O193" s="219" t="s">
        <v>180</v>
      </c>
    </row>
    <row r="194" spans="1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:15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5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0.91999985926355565</v>
      </c>
    </row>
    <row r="198" spans="1:15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5" ht="15.6">
      <c r="A199" s="255" cm="1">
        <f t="array" ref="A199:B256">_xlfn.ANCHORARRAY(A134)</f>
        <v>-1</v>
      </c>
      <c r="B199" s="256">
        <v>0</v>
      </c>
      <c r="C199" s="158" cm="1">
        <f t="array" ref="C199:D256">'Multiplier Weight'!C199:D256</f>
        <v>15110792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1.5110792E-2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</row>
    <row r="200" spans="1:15" ht="15.6">
      <c r="A200" s="257">
        <v>0</v>
      </c>
      <c r="B200" s="258">
        <v>1</v>
      </c>
      <c r="C200" s="160">
        <v>402891</v>
      </c>
      <c r="D200" s="30">
        <v>322312.8</v>
      </c>
      <c r="E200" s="187">
        <f t="shared" ref="E200:E256" si="6">IFERROR((D200/$E$196)/(C200),0)</f>
        <v>3.1999999999999997E-3</v>
      </c>
      <c r="F200" s="188">
        <v>4.02891E-4</v>
      </c>
      <c r="G200" s="189">
        <v>1.2892511999999999E-6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</row>
    <row r="201" spans="1:15" ht="15.6">
      <c r="A201" s="257">
        <v>1</v>
      </c>
      <c r="B201" s="258">
        <v>2</v>
      </c>
      <c r="C201" s="160">
        <v>1666895</v>
      </c>
      <c r="D201" s="30">
        <v>2885989.2</v>
      </c>
      <c r="E201" s="187">
        <f t="shared" si="6"/>
        <v>6.925425296734347E-3</v>
      </c>
      <c r="F201" s="188">
        <v>1.6668950000000001E-3</v>
      </c>
      <c r="G201" s="189">
        <v>1.1543956799999999E-5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</row>
    <row r="202" spans="1:15" ht="15.6">
      <c r="A202" s="257">
        <v>2</v>
      </c>
      <c r="B202" s="258">
        <v>3</v>
      </c>
      <c r="C202" s="160">
        <v>811562</v>
      </c>
      <c r="D202" s="30">
        <v>2276998.6</v>
      </c>
      <c r="E202" s="187">
        <f t="shared" si="6"/>
        <v>1.1222795547351895E-2</v>
      </c>
      <c r="F202" s="188">
        <v>8.1156200000000005E-4</v>
      </c>
      <c r="G202" s="189">
        <v>9.1079943999999999E-6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</row>
    <row r="203" spans="1:15" ht="15.6">
      <c r="A203" s="257">
        <v>3</v>
      </c>
      <c r="B203" s="258">
        <v>4</v>
      </c>
      <c r="C203" s="160">
        <v>1927195</v>
      </c>
      <c r="D203" s="30">
        <v>7238136.7999999998</v>
      </c>
      <c r="E203" s="187">
        <f t="shared" si="6"/>
        <v>1.5023153962105547E-2</v>
      </c>
      <c r="F203" s="188">
        <v>1.927195E-3</v>
      </c>
      <c r="G203" s="189">
        <v>2.8952547199999999E-5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</row>
    <row r="204" spans="1:15" ht="15.6">
      <c r="A204" s="257">
        <v>4</v>
      </c>
      <c r="B204" s="258">
        <v>5</v>
      </c>
      <c r="C204" s="160">
        <v>1832630</v>
      </c>
      <c r="D204" s="30">
        <v>8902385</v>
      </c>
      <c r="E204" s="187">
        <f t="shared" si="6"/>
        <v>1.9430839831280727E-2</v>
      </c>
      <c r="F204" s="188">
        <v>1.83263E-3</v>
      </c>
      <c r="G204" s="189">
        <v>3.5609540000000001E-5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</row>
    <row r="205" spans="1:15" ht="15.6">
      <c r="A205" s="257">
        <v>5</v>
      </c>
      <c r="B205" s="258">
        <v>6</v>
      </c>
      <c r="C205" s="160">
        <v>2016840</v>
      </c>
      <c r="D205" s="30">
        <v>11978441.6</v>
      </c>
      <c r="E205" s="187">
        <f t="shared" si="6"/>
        <v>2.3756850518633108E-2</v>
      </c>
      <c r="F205" s="188">
        <v>2.0168400000000002E-3</v>
      </c>
      <c r="G205" s="189">
        <v>4.7913766400000002E-5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</row>
    <row r="206" spans="1:15" ht="15.6">
      <c r="A206" s="257">
        <v>6</v>
      </c>
      <c r="B206" s="258">
        <v>7</v>
      </c>
      <c r="C206" s="160">
        <v>467346</v>
      </c>
      <c r="D206" s="30">
        <v>3080156.4</v>
      </c>
      <c r="E206" s="187">
        <f t="shared" si="6"/>
        <v>2.6362963628660564E-2</v>
      </c>
      <c r="F206" s="188">
        <v>4.6734599999999999E-4</v>
      </c>
      <c r="G206" s="189">
        <v>1.23206256E-5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</row>
    <row r="207" spans="1:15" ht="15.6">
      <c r="A207" s="257">
        <v>7</v>
      </c>
      <c r="B207" s="258">
        <v>8</v>
      </c>
      <c r="C207" s="160">
        <v>3003508</v>
      </c>
      <c r="D207" s="30">
        <v>23382478.800000001</v>
      </c>
      <c r="E207" s="187">
        <f t="shared" si="6"/>
        <v>3.1140225096786826E-2</v>
      </c>
      <c r="F207" s="188">
        <v>3.0035079999999998E-3</v>
      </c>
      <c r="G207" s="189">
        <v>9.3529915200000005E-5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</row>
    <row r="208" spans="1:15" ht="15.6">
      <c r="A208" s="257">
        <v>8</v>
      </c>
      <c r="B208" s="258">
        <v>9</v>
      </c>
      <c r="C208" s="160">
        <v>1150951</v>
      </c>
      <c r="D208" s="30">
        <v>10171967.4</v>
      </c>
      <c r="E208" s="187">
        <f t="shared" si="6"/>
        <v>3.5351522002239885E-2</v>
      </c>
      <c r="F208" s="188">
        <v>1.1509510000000001E-3</v>
      </c>
      <c r="G208" s="189">
        <v>4.0687869599999999E-5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</row>
    <row r="209" spans="1:15" ht="15.6">
      <c r="A209" s="257">
        <v>9</v>
      </c>
      <c r="B209" s="258">
        <v>10</v>
      </c>
      <c r="C209" s="160">
        <v>2601490</v>
      </c>
      <c r="D209" s="30">
        <v>25658936.199999999</v>
      </c>
      <c r="E209" s="187">
        <f t="shared" si="6"/>
        <v>3.9452677042771646E-2</v>
      </c>
      <c r="F209" s="188">
        <v>2.6014900000000001E-3</v>
      </c>
      <c r="G209" s="189">
        <v>1.0263574480000002E-4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</row>
    <row r="210" spans="1:15" ht="15.6">
      <c r="A210" s="257">
        <v>10</v>
      </c>
      <c r="B210" s="258">
        <v>15</v>
      </c>
      <c r="C210" s="160">
        <v>7604578</v>
      </c>
      <c r="D210" s="30">
        <v>98941832.799999997</v>
      </c>
      <c r="E210" s="187">
        <f t="shared" si="6"/>
        <v>5.20432996018977E-2</v>
      </c>
      <c r="F210" s="188">
        <v>7.6045779999999999E-3</v>
      </c>
      <c r="G210" s="189">
        <v>3.9576733119999998E-4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</row>
    <row r="211" spans="1:15" ht="15.6">
      <c r="A211" s="257">
        <v>15</v>
      </c>
      <c r="B211" s="258">
        <v>20</v>
      </c>
      <c r="C211" s="160">
        <v>8546802</v>
      </c>
      <c r="D211" s="30">
        <v>154823080.59999999</v>
      </c>
      <c r="E211" s="187">
        <f t="shared" si="6"/>
        <v>7.2458952763852488E-2</v>
      </c>
      <c r="F211" s="188">
        <v>8.5468019999999992E-3</v>
      </c>
      <c r="G211" s="189">
        <v>6.1929232239999995E-4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</row>
    <row r="212" spans="1:15" ht="15.6">
      <c r="A212" s="257">
        <v>20</v>
      </c>
      <c r="B212" s="258">
        <v>25</v>
      </c>
      <c r="C212" s="160">
        <v>6920327</v>
      </c>
      <c r="D212" s="30">
        <v>159811398.80000001</v>
      </c>
      <c r="E212" s="187">
        <f t="shared" si="6"/>
        <v>9.2372166112959703E-2</v>
      </c>
      <c r="F212" s="188">
        <v>6.9203270000000004E-3</v>
      </c>
      <c r="G212" s="189">
        <v>6.3924559520000016E-4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</row>
    <row r="213" spans="1:15" ht="15.6">
      <c r="A213" s="257">
        <v>25</v>
      </c>
      <c r="B213" s="258">
        <v>30</v>
      </c>
      <c r="C213" s="160">
        <v>7078934</v>
      </c>
      <c r="D213" s="30">
        <v>199820858.59999999</v>
      </c>
      <c r="E213" s="187">
        <f t="shared" si="6"/>
        <v>0.112910140764132</v>
      </c>
      <c r="F213" s="188">
        <v>7.0789340000000003E-3</v>
      </c>
      <c r="G213" s="189">
        <v>7.9928343440000005E-4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</row>
    <row r="214" spans="1:15" ht="15.6">
      <c r="A214" s="257">
        <v>30</v>
      </c>
      <c r="B214" s="258">
        <v>35</v>
      </c>
      <c r="C214" s="160">
        <v>5885108</v>
      </c>
      <c r="D214" s="30">
        <v>192666090.19999999</v>
      </c>
      <c r="E214" s="187">
        <f t="shared" si="6"/>
        <v>0.13095160884048346</v>
      </c>
      <c r="F214" s="188">
        <v>5.885108E-3</v>
      </c>
      <c r="G214" s="189">
        <v>7.7066436079999991E-4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</row>
    <row r="215" spans="1:15" ht="15.6">
      <c r="A215" s="257">
        <v>35</v>
      </c>
      <c r="B215" s="258">
        <v>40</v>
      </c>
      <c r="C215" s="160">
        <v>7787029</v>
      </c>
      <c r="D215" s="30">
        <v>297088533.60000002</v>
      </c>
      <c r="E215" s="187">
        <f t="shared" si="6"/>
        <v>0.15260687155524913</v>
      </c>
      <c r="F215" s="188">
        <v>7.787029E-3</v>
      </c>
      <c r="G215" s="189">
        <v>1.1883541344E-3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</row>
    <row r="216" spans="1:15" ht="15.6">
      <c r="A216" s="257">
        <v>40</v>
      </c>
      <c r="B216" s="258">
        <v>45</v>
      </c>
      <c r="C216" s="160">
        <v>5819120</v>
      </c>
      <c r="D216" s="30">
        <v>250840203</v>
      </c>
      <c r="E216" s="187">
        <f t="shared" si="6"/>
        <v>0.17242483605768572</v>
      </c>
      <c r="F216" s="188">
        <v>5.8191199999999997E-3</v>
      </c>
      <c r="G216" s="189">
        <v>1.003360812E-3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</row>
    <row r="217" spans="1:15" ht="15.6">
      <c r="A217" s="257">
        <v>45</v>
      </c>
      <c r="B217" s="258">
        <v>50</v>
      </c>
      <c r="C217" s="160">
        <v>6609475</v>
      </c>
      <c r="D217" s="30">
        <v>317388480</v>
      </c>
      <c r="E217" s="187">
        <f t="shared" si="6"/>
        <v>0.19208090203836159</v>
      </c>
      <c r="F217" s="188">
        <v>6.6094750000000001E-3</v>
      </c>
      <c r="G217" s="189">
        <v>1.2695539199999999E-3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</row>
    <row r="218" spans="1:15" ht="15.6">
      <c r="A218" s="257">
        <v>50</v>
      </c>
      <c r="B218" s="258">
        <v>60</v>
      </c>
      <c r="C218" s="160">
        <v>12595243</v>
      </c>
      <c r="D218" s="30">
        <v>704780394.79999995</v>
      </c>
      <c r="E218" s="187">
        <f t="shared" si="6"/>
        <v>0.22382431043212109</v>
      </c>
      <c r="F218" s="188">
        <v>1.2595243000000001E-2</v>
      </c>
      <c r="G218" s="189">
        <v>2.8191215792000004E-3</v>
      </c>
      <c r="H218" s="232">
        <v>0.2</v>
      </c>
      <c r="I218" s="274" t="str">
        <f t="shared" si="7"/>
        <v>(50, 60]</v>
      </c>
      <c r="J218" s="160">
        <v>1</v>
      </c>
      <c r="K218" s="234">
        <v>7.0698775323350249</v>
      </c>
      <c r="L218" s="188">
        <v>8.9046825499999996E-2</v>
      </c>
      <c r="M218" s="233">
        <v>89046825</v>
      </c>
      <c r="N218" s="195">
        <v>8.9046824999999996E-2</v>
      </c>
      <c r="O218" s="211">
        <v>1.9930844201794761E-2</v>
      </c>
    </row>
    <row r="219" spans="1:15" ht="15.6">
      <c r="A219" s="257">
        <v>60</v>
      </c>
      <c r="B219" s="258">
        <v>70</v>
      </c>
      <c r="C219" s="160">
        <v>11076442</v>
      </c>
      <c r="D219" s="30">
        <v>725550381.39999998</v>
      </c>
      <c r="E219" s="187">
        <f t="shared" si="6"/>
        <v>0.26201568388115964</v>
      </c>
      <c r="F219" s="188">
        <v>1.1076442000000001E-2</v>
      </c>
      <c r="G219" s="189">
        <v>2.9022015255999998E-3</v>
      </c>
      <c r="H219" s="232">
        <v>0.24</v>
      </c>
      <c r="I219" s="274" t="str">
        <f t="shared" si="7"/>
        <v>(60, 70]</v>
      </c>
      <c r="J219" s="160">
        <v>1</v>
      </c>
      <c r="K219" s="234">
        <v>6.3175521074366658</v>
      </c>
      <c r="L219" s="188">
        <v>6.9975999499999997E-2</v>
      </c>
      <c r="M219" s="233">
        <v>69975999</v>
      </c>
      <c r="N219" s="195">
        <v>6.9975998999999997E-2</v>
      </c>
      <c r="O219" s="211">
        <v>1.8334809233252342E-2</v>
      </c>
    </row>
    <row r="220" spans="1:15" ht="15.6">
      <c r="A220" s="257">
        <v>70</v>
      </c>
      <c r="B220" s="258">
        <v>80</v>
      </c>
      <c r="C220" s="160">
        <v>12242682</v>
      </c>
      <c r="D220" s="30">
        <v>927266696.20000005</v>
      </c>
      <c r="E220" s="187">
        <f t="shared" si="6"/>
        <v>0.30296194778235686</v>
      </c>
      <c r="F220" s="188">
        <v>1.2242682E-2</v>
      </c>
      <c r="G220" s="189">
        <v>3.7090667848000002E-3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4.933605520424365</v>
      </c>
      <c r="L220" s="188">
        <v>6.0400563500000004E-2</v>
      </c>
      <c r="M220" s="233">
        <v>60400563</v>
      </c>
      <c r="N220" s="195">
        <v>6.0400562999999997E-2</v>
      </c>
      <c r="O220" s="211">
        <v>1.8299072213630956E-2</v>
      </c>
    </row>
    <row r="221" spans="1:15" ht="15.6">
      <c r="A221" s="257">
        <v>80</v>
      </c>
      <c r="B221" s="258">
        <v>90</v>
      </c>
      <c r="C221" s="160">
        <v>10865580</v>
      </c>
      <c r="D221" s="30">
        <v>930938257.39999998</v>
      </c>
      <c r="E221" s="187">
        <f t="shared" si="6"/>
        <v>0.34271093025867005</v>
      </c>
      <c r="F221" s="188">
        <v>1.086558E-2</v>
      </c>
      <c r="G221" s="189">
        <v>3.7237530296000002E-3</v>
      </c>
      <c r="H221" s="232">
        <v>0.32</v>
      </c>
      <c r="I221" s="274" t="str">
        <f t="shared" si="7"/>
        <v>(80, 90]</v>
      </c>
      <c r="J221" s="160">
        <v>1</v>
      </c>
      <c r="K221" s="276">
        <v>6.7421070481281253</v>
      </c>
      <c r="L221" s="188">
        <v>7.3256903499999998E-2</v>
      </c>
      <c r="M221" s="233">
        <v>73256903</v>
      </c>
      <c r="N221" s="195">
        <v>7.3256902999999998E-2</v>
      </c>
      <c r="O221" s="211">
        <v>2.5105941374999156E-2</v>
      </c>
    </row>
    <row r="222" spans="1:15" ht="15.6">
      <c r="A222" s="257">
        <v>90</v>
      </c>
      <c r="B222" s="258">
        <v>100</v>
      </c>
      <c r="C222" s="160">
        <v>11239365</v>
      </c>
      <c r="D222" s="30">
        <v>1075784281.4000001</v>
      </c>
      <c r="E222" s="187">
        <f t="shared" si="6"/>
        <v>0.38286301099750747</v>
      </c>
      <c r="F222" s="188">
        <v>1.1239364999999999E-2</v>
      </c>
      <c r="G222" s="189">
        <v>4.3031371256000003E-3</v>
      </c>
      <c r="H222" s="232">
        <v>0.36</v>
      </c>
      <c r="I222" s="274" t="str">
        <f t="shared" si="7"/>
        <v>(90, 100]</v>
      </c>
      <c r="J222" s="160">
        <v>1</v>
      </c>
      <c r="K222" s="276">
        <v>12.040814805818655</v>
      </c>
      <c r="L222" s="188">
        <v>0.13533111249999999</v>
      </c>
      <c r="M222" s="233">
        <v>135331112</v>
      </c>
      <c r="N222" s="195">
        <v>0.135331112</v>
      </c>
      <c r="O222" s="211">
        <v>5.1813277021960917E-2</v>
      </c>
    </row>
    <row r="223" spans="1:15" ht="15.6">
      <c r="A223" s="257">
        <v>100</v>
      </c>
      <c r="B223" s="258">
        <v>120</v>
      </c>
      <c r="C223" s="160">
        <v>21487497</v>
      </c>
      <c r="D223" s="30">
        <v>2379865576.4000001</v>
      </c>
      <c r="E223" s="187">
        <f t="shared" si="6"/>
        <v>0.44302332214868956</v>
      </c>
      <c r="F223" s="188">
        <v>2.1487497000000001E-2</v>
      </c>
      <c r="G223" s="189">
        <v>9.5194623056000013E-3</v>
      </c>
      <c r="H223" s="232">
        <v>0.4</v>
      </c>
      <c r="I223" s="274" t="str">
        <f t="shared" si="7"/>
        <v>(100, 120]</v>
      </c>
      <c r="J223" s="160">
        <v>1</v>
      </c>
      <c r="K223" s="276">
        <v>6.9601982259729924</v>
      </c>
      <c r="L223" s="188">
        <v>0.14955723849999999</v>
      </c>
      <c r="M223" s="233">
        <v>149557238</v>
      </c>
      <c r="N223" s="195">
        <v>0.14955723800000001</v>
      </c>
      <c r="O223" s="211">
        <v>6.6257344430142237E-2</v>
      </c>
    </row>
    <row r="224" spans="1:15" ht="15.6">
      <c r="A224" s="257">
        <v>120</v>
      </c>
      <c r="B224" s="258">
        <v>140</v>
      </c>
      <c r="C224" s="160">
        <v>20319575</v>
      </c>
      <c r="D224" s="30">
        <v>2653516966</v>
      </c>
      <c r="E224" s="187">
        <f t="shared" si="6"/>
        <v>0.52235678472605851</v>
      </c>
      <c r="F224" s="188">
        <v>2.0319574999999999E-2</v>
      </c>
      <c r="G224" s="189">
        <v>1.0614067864E-2</v>
      </c>
      <c r="H224" s="232">
        <v>0.48</v>
      </c>
      <c r="I224" s="274" t="str">
        <f t="shared" si="7"/>
        <v>(120, 140]</v>
      </c>
      <c r="J224" s="160">
        <v>1</v>
      </c>
      <c r="K224" s="276">
        <v>3.8770207300103472</v>
      </c>
      <c r="L224" s="188">
        <v>7.8779413499999992E-2</v>
      </c>
      <c r="M224" s="233">
        <v>78779413</v>
      </c>
      <c r="N224" s="195">
        <v>7.8779413000000006E-2</v>
      </c>
      <c r="O224" s="211">
        <v>4.1150960877286258E-2</v>
      </c>
    </row>
    <row r="225" spans="1:15" ht="15.6">
      <c r="A225" s="257">
        <v>140</v>
      </c>
      <c r="B225" s="258">
        <v>160</v>
      </c>
      <c r="C225" s="160">
        <v>20082979</v>
      </c>
      <c r="D225" s="30">
        <v>3024516101</v>
      </c>
      <c r="E225" s="187">
        <f t="shared" si="6"/>
        <v>0.6024038766360309</v>
      </c>
      <c r="F225" s="188">
        <v>2.0082979000000001E-2</v>
      </c>
      <c r="G225" s="189">
        <v>1.2098064404000001E-2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1.7889530980438708</v>
      </c>
      <c r="L225" s="188">
        <v>3.5927507499999997E-2</v>
      </c>
      <c r="M225" s="233">
        <v>35927507</v>
      </c>
      <c r="N225" s="195">
        <v>3.5927506999999997E-2</v>
      </c>
      <c r="O225" s="211">
        <v>2.1642869494668135E-2</v>
      </c>
    </row>
    <row r="226" spans="1:15" ht="15.6">
      <c r="A226" s="257">
        <v>160</v>
      </c>
      <c r="B226" s="258">
        <v>180</v>
      </c>
      <c r="C226" s="160">
        <v>19271714</v>
      </c>
      <c r="D226" s="30">
        <v>3287359850.1999998</v>
      </c>
      <c r="E226" s="187">
        <f t="shared" si="6"/>
        <v>0.68231810625666189</v>
      </c>
      <c r="F226" s="188">
        <v>1.9271713999999999E-2</v>
      </c>
      <c r="G226" s="189">
        <v>1.3149439400799998E-2</v>
      </c>
      <c r="H226" s="232">
        <v>0.64</v>
      </c>
      <c r="I226" s="124" t="str">
        <f t="shared" si="7"/>
        <v>(160, 180]</v>
      </c>
      <c r="J226" s="160">
        <v>1</v>
      </c>
      <c r="K226" s="276">
        <v>1.062947514683956</v>
      </c>
      <c r="L226" s="188">
        <v>2.0484820500000001E-2</v>
      </c>
      <c r="M226" s="233">
        <v>20484820</v>
      </c>
      <c r="N226" s="195">
        <v>2.0484820000000001E-2</v>
      </c>
      <c r="O226" s="211">
        <v>1.3977163589408594E-2</v>
      </c>
    </row>
    <row r="227" spans="1:15" ht="15.6">
      <c r="A227" s="257">
        <v>180</v>
      </c>
      <c r="B227" s="258">
        <v>200</v>
      </c>
      <c r="C227" s="160">
        <v>18790619</v>
      </c>
      <c r="D227" s="30">
        <v>3582627649.8000002</v>
      </c>
      <c r="E227" s="187">
        <f t="shared" si="6"/>
        <v>0.76264175220624719</v>
      </c>
      <c r="F227" s="188">
        <v>1.8790619000000001E-2</v>
      </c>
      <c r="G227" s="189">
        <v>1.4330510599200002E-2</v>
      </c>
      <c r="H227" s="232">
        <v>0.72</v>
      </c>
      <c r="I227" s="124" t="str">
        <f t="shared" si="7"/>
        <v>(180, 200]</v>
      </c>
      <c r="J227" s="160">
        <v>1</v>
      </c>
      <c r="K227" s="276">
        <v>1.5990680509247726</v>
      </c>
      <c r="L227" s="188">
        <v>3.0047478500000002E-2</v>
      </c>
      <c r="M227" s="233">
        <v>30047478</v>
      </c>
      <c r="N227" s="195">
        <v>3.0047477999999999E-2</v>
      </c>
      <c r="O227" s="211">
        <v>2.2915461271298662E-2</v>
      </c>
    </row>
    <row r="228" spans="1:15" ht="15.6">
      <c r="A228" s="257">
        <v>200</v>
      </c>
      <c r="B228" s="258">
        <v>250</v>
      </c>
      <c r="C228" s="160">
        <v>44299128</v>
      </c>
      <c r="D228" s="30">
        <v>9977298221.6000004</v>
      </c>
      <c r="E228" s="187">
        <f t="shared" si="6"/>
        <v>0.90090244860801771</v>
      </c>
      <c r="F228" s="188">
        <v>4.4299128E-2</v>
      </c>
      <c r="G228" s="189">
        <v>3.9909192886399998E-2</v>
      </c>
      <c r="H228" s="232">
        <v>0.8</v>
      </c>
      <c r="I228" s="124" t="str">
        <f t="shared" si="7"/>
        <v>(200, 250]</v>
      </c>
      <c r="J228" s="160">
        <v>1</v>
      </c>
      <c r="K228" s="276">
        <v>0.287419077413894</v>
      </c>
      <c r="L228" s="188">
        <v>1.2732414499999999E-2</v>
      </c>
      <c r="M228" s="233">
        <v>12732414</v>
      </c>
      <c r="N228" s="195">
        <v>1.2732413999999999E-2</v>
      </c>
      <c r="O228" s="211">
        <v>1.1470662949291005E-2</v>
      </c>
    </row>
    <row r="229" spans="1:15" ht="15.6">
      <c r="A229" s="257">
        <v>250</v>
      </c>
      <c r="B229" s="258">
        <v>300</v>
      </c>
      <c r="C229" s="160">
        <v>41452331</v>
      </c>
      <c r="D229" s="30">
        <v>11406990263.200001</v>
      </c>
      <c r="E229" s="187">
        <f t="shared" si="6"/>
        <v>1.1007332989983121</v>
      </c>
      <c r="F229" s="188">
        <v>4.1452331000000002E-2</v>
      </c>
      <c r="G229" s="189">
        <v>4.5627961052800002E-2</v>
      </c>
      <c r="H229" s="232">
        <v>1</v>
      </c>
      <c r="I229" s="275" t="str">
        <f t="shared" si="7"/>
        <v>(250, 300]</v>
      </c>
      <c r="J229" s="160">
        <v>1</v>
      </c>
      <c r="K229" s="276">
        <v>1.7815660475161217</v>
      </c>
      <c r="L229" s="188">
        <v>7.3850065500000006E-2</v>
      </c>
      <c r="M229" s="233">
        <v>73850065</v>
      </c>
      <c r="N229" s="195">
        <v>7.3850065000000006E-2</v>
      </c>
      <c r="O229" s="211">
        <v>8.1289225678689792E-2</v>
      </c>
    </row>
    <row r="230" spans="1:15" ht="15.6">
      <c r="A230" s="257">
        <v>300</v>
      </c>
      <c r="B230" s="258">
        <v>350</v>
      </c>
      <c r="C230" s="160">
        <v>38417261</v>
      </c>
      <c r="D230" s="30">
        <v>12489682119.799999</v>
      </c>
      <c r="E230" s="187">
        <f t="shared" si="6"/>
        <v>1.3004240067817432</v>
      </c>
      <c r="F230" s="188">
        <v>3.8417261000000001E-2</v>
      </c>
      <c r="G230" s="189">
        <v>4.99587284792E-2</v>
      </c>
      <c r="H230" s="232">
        <v>1.2</v>
      </c>
      <c r="I230" s="124" t="str">
        <f t="shared" si="7"/>
        <v>(300, 350]</v>
      </c>
      <c r="J230" s="160">
        <v>1</v>
      </c>
      <c r="K230" s="276">
        <v>0.28883551849258593</v>
      </c>
      <c r="L230" s="188">
        <v>1.10962695E-2</v>
      </c>
      <c r="M230" s="233">
        <v>11096269</v>
      </c>
      <c r="N230" s="195">
        <v>1.1096269000000001E-2</v>
      </c>
      <c r="O230" s="211">
        <v>1.4429854593308047E-2</v>
      </c>
    </row>
    <row r="231" spans="1:15" ht="15.6">
      <c r="A231" s="257">
        <v>350</v>
      </c>
      <c r="B231" s="258">
        <v>400</v>
      </c>
      <c r="C231" s="160">
        <v>36097070</v>
      </c>
      <c r="D231" s="30">
        <v>13542176268.200001</v>
      </c>
      <c r="E231" s="187">
        <f t="shared" si="6"/>
        <v>1.5006399431532809</v>
      </c>
      <c r="F231" s="188">
        <v>3.6097070000000002E-2</v>
      </c>
      <c r="G231" s="189">
        <v>5.41687050728E-2</v>
      </c>
      <c r="H231" s="232">
        <v>1.4</v>
      </c>
      <c r="I231" s="124" t="str">
        <f t="shared" si="7"/>
        <v>(350, 400]</v>
      </c>
      <c r="J231" s="160">
        <v>1</v>
      </c>
      <c r="K231" s="276">
        <v>0.35203808785588414</v>
      </c>
      <c r="L231" s="188">
        <v>1.27075435E-2</v>
      </c>
      <c r="M231" s="233">
        <v>12707543</v>
      </c>
      <c r="N231" s="195">
        <v>1.2707543E-2</v>
      </c>
      <c r="O231" s="211">
        <v>1.9069446605137871E-2</v>
      </c>
    </row>
    <row r="232" spans="1:15" ht="15.6">
      <c r="A232" s="257">
        <v>400</v>
      </c>
      <c r="B232" s="258">
        <v>450</v>
      </c>
      <c r="C232" s="160">
        <v>33574935</v>
      </c>
      <c r="D232" s="30">
        <v>14273155322</v>
      </c>
      <c r="E232" s="187">
        <f t="shared" si="6"/>
        <v>1.7004536654501343</v>
      </c>
      <c r="F232" s="188">
        <v>3.3574935E-2</v>
      </c>
      <c r="G232" s="189">
        <v>5.7092621288000009E-2</v>
      </c>
      <c r="H232" s="232">
        <v>1.6</v>
      </c>
      <c r="I232" s="124" t="str">
        <f t="shared" si="7"/>
        <v>(400, 450]</v>
      </c>
      <c r="J232" s="160">
        <v>1</v>
      </c>
      <c r="K232" s="276">
        <v>0.29477112911759917</v>
      </c>
      <c r="L232" s="188">
        <v>9.8969214999999992E-3</v>
      </c>
      <c r="M232" s="233">
        <v>9896921</v>
      </c>
      <c r="N232" s="195">
        <v>9.8969209999999995E-3</v>
      </c>
      <c r="O232" s="211">
        <v>1.6829255591120407E-2</v>
      </c>
    </row>
    <row r="233" spans="1:15" ht="15.6">
      <c r="A233" s="257">
        <v>450</v>
      </c>
      <c r="B233" s="258">
        <v>500</v>
      </c>
      <c r="C233" s="160">
        <v>31501058</v>
      </c>
      <c r="D233" s="30">
        <v>14967072917</v>
      </c>
      <c r="E233" s="187">
        <f t="shared" si="6"/>
        <v>1.9005168546402473</v>
      </c>
      <c r="F233" s="188">
        <v>3.1501057999999998E-2</v>
      </c>
      <c r="G233" s="189">
        <v>5.9868291668E-2</v>
      </c>
      <c r="H233" s="232">
        <v>1.8</v>
      </c>
      <c r="I233" s="124" t="str">
        <f t="shared" si="7"/>
        <v>(450, 500]</v>
      </c>
      <c r="J233" s="160">
        <v>1</v>
      </c>
      <c r="K233" s="276">
        <v>0.39079774717407906</v>
      </c>
      <c r="L233" s="188">
        <v>1.23105425E-2</v>
      </c>
      <c r="M233" s="233">
        <v>12310542</v>
      </c>
      <c r="N233" s="195">
        <v>1.2310542000000001E-2</v>
      </c>
      <c r="O233" s="211">
        <v>2.3396392560756662E-2</v>
      </c>
    </row>
    <row r="234" spans="1:15" ht="15.6">
      <c r="A234" s="257">
        <v>500</v>
      </c>
      <c r="B234" s="258">
        <v>550</v>
      </c>
      <c r="C234" s="160">
        <v>29413304</v>
      </c>
      <c r="D234" s="30">
        <v>15442781243.799999</v>
      </c>
      <c r="E234" s="187">
        <f t="shared" si="6"/>
        <v>2.1001083378868284</v>
      </c>
      <c r="F234" s="188">
        <v>2.9413304000000001E-2</v>
      </c>
      <c r="G234" s="189">
        <v>6.1771124975200001E-2</v>
      </c>
      <c r="H234" s="232">
        <v>2</v>
      </c>
      <c r="I234" s="275" t="str">
        <f t="shared" si="7"/>
        <v>(500, 550]</v>
      </c>
      <c r="J234" s="160">
        <v>1</v>
      </c>
      <c r="K234" s="276">
        <v>1.2063911453130189</v>
      </c>
      <c r="L234" s="188">
        <v>3.54839495E-2</v>
      </c>
      <c r="M234" s="233">
        <v>35483949</v>
      </c>
      <c r="N234" s="195">
        <v>3.5483949000000001E-2</v>
      </c>
      <c r="O234" s="211">
        <v>7.4520137156050992E-2</v>
      </c>
    </row>
    <row r="235" spans="1:15" ht="15.6">
      <c r="A235" s="257">
        <v>550</v>
      </c>
      <c r="B235" s="258">
        <v>600</v>
      </c>
      <c r="C235" s="160">
        <v>27695602</v>
      </c>
      <c r="D235" s="30">
        <v>15927312930</v>
      </c>
      <c r="E235" s="187">
        <f t="shared" si="6"/>
        <v>2.3003382168764555</v>
      </c>
      <c r="F235" s="188">
        <v>2.7695602E-2</v>
      </c>
      <c r="G235" s="189">
        <v>6.3709251719999999E-2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0.67468905351831676</v>
      </c>
      <c r="L235" s="188">
        <v>1.8685919500000002E-2</v>
      </c>
      <c r="M235" s="233">
        <v>18685919</v>
      </c>
      <c r="N235" s="195">
        <v>1.8685918999999999E-2</v>
      </c>
      <c r="O235" s="211">
        <v>4.2983933593157879E-2</v>
      </c>
    </row>
    <row r="236" spans="1:15" ht="15.6">
      <c r="A236" s="257">
        <v>600</v>
      </c>
      <c r="B236" s="258">
        <v>650</v>
      </c>
      <c r="C236" s="160">
        <v>25856019</v>
      </c>
      <c r="D236" s="30">
        <v>16161953803.200001</v>
      </c>
      <c r="E236" s="187">
        <f t="shared" si="6"/>
        <v>2.5003004218398819</v>
      </c>
      <c r="F236" s="188">
        <v>2.5856019000000001E-2</v>
      </c>
      <c r="G236" s="189">
        <v>6.4647815212799997E-2</v>
      </c>
      <c r="H236" s="232">
        <v>2.4</v>
      </c>
      <c r="I236" s="124" t="str">
        <f t="shared" si="7"/>
        <v>(600, 650]</v>
      </c>
      <c r="J236" s="160">
        <v>1</v>
      </c>
      <c r="K236" s="276">
        <v>0.47737760789857092</v>
      </c>
      <c r="L236" s="188">
        <v>1.23430845E-2</v>
      </c>
      <c r="M236" s="233">
        <v>12343084</v>
      </c>
      <c r="N236" s="195">
        <v>1.2343084000000001E-2</v>
      </c>
      <c r="O236" s="211">
        <v>3.0861418132005099E-2</v>
      </c>
    </row>
    <row r="237" spans="1:15" ht="15.6">
      <c r="A237" s="257">
        <v>650</v>
      </c>
      <c r="B237" s="258">
        <v>700</v>
      </c>
      <c r="C237" s="160">
        <v>24290959</v>
      </c>
      <c r="D237" s="30">
        <v>16397447364.4</v>
      </c>
      <c r="E237" s="187">
        <f t="shared" si="6"/>
        <v>2.7001729103243721</v>
      </c>
      <c r="F237" s="188">
        <v>2.4290959000000001E-2</v>
      </c>
      <c r="G237" s="189">
        <v>6.5589789457600009E-2</v>
      </c>
      <c r="H237" s="232">
        <v>2.6</v>
      </c>
      <c r="I237" s="124" t="str">
        <f t="shared" si="7"/>
        <v>(650, 700]</v>
      </c>
      <c r="J237" s="160">
        <v>1</v>
      </c>
      <c r="K237" s="276">
        <v>0.23925031119602977</v>
      </c>
      <c r="L237" s="188">
        <v>5.8116195000000002E-3</v>
      </c>
      <c r="M237" s="233">
        <v>5811619</v>
      </c>
      <c r="N237" s="195">
        <v>5.8116189999999996E-3</v>
      </c>
      <c r="O237" s="211">
        <v>1.5692376188926417E-2</v>
      </c>
    </row>
    <row r="238" spans="1:15" ht="15.6">
      <c r="A238" s="257">
        <v>700</v>
      </c>
      <c r="B238" s="258">
        <v>750</v>
      </c>
      <c r="C238" s="160">
        <v>22772654</v>
      </c>
      <c r="D238" s="30">
        <v>16510470569.4</v>
      </c>
      <c r="E238" s="187">
        <f t="shared" si="6"/>
        <v>2.9000520658505593</v>
      </c>
      <c r="F238" s="188">
        <v>2.2772654E-2</v>
      </c>
      <c r="G238" s="189">
        <v>6.6041882277600009E-2</v>
      </c>
      <c r="H238" s="232">
        <v>2.8</v>
      </c>
      <c r="I238" s="124" t="str">
        <f t="shared" si="7"/>
        <v>(700, 750]</v>
      </c>
      <c r="J238" s="160">
        <v>1</v>
      </c>
      <c r="K238" s="276">
        <v>0.21584240905781119</v>
      </c>
      <c r="L238" s="188">
        <v>4.9153045000000003E-3</v>
      </c>
      <c r="M238" s="233">
        <v>4915304</v>
      </c>
      <c r="N238" s="195">
        <v>4.9153039999999997E-3</v>
      </c>
      <c r="O238" s="211">
        <v>1.4254637519483516E-2</v>
      </c>
    </row>
    <row r="239" spans="1:15" ht="15.6">
      <c r="A239" s="257">
        <v>750</v>
      </c>
      <c r="B239" s="258">
        <v>800</v>
      </c>
      <c r="C239" s="160">
        <v>21478091</v>
      </c>
      <c r="D239" s="30">
        <v>16647691716.799999</v>
      </c>
      <c r="E239" s="187">
        <f t="shared" si="6"/>
        <v>3.1004043547073152</v>
      </c>
      <c r="F239" s="188">
        <v>2.1478091000000001E-2</v>
      </c>
      <c r="G239" s="189">
        <v>6.6590766867200002E-2</v>
      </c>
      <c r="H239" s="232">
        <v>3</v>
      </c>
      <c r="I239" s="124" t="str">
        <f t="shared" si="7"/>
        <v>(750, 800]</v>
      </c>
      <c r="J239" s="160">
        <v>1</v>
      </c>
      <c r="K239" s="276">
        <v>0.37638710535307818</v>
      </c>
      <c r="L239" s="188">
        <v>8.0840765000000005E-3</v>
      </c>
      <c r="M239" s="233">
        <v>8084076</v>
      </c>
      <c r="N239" s="195">
        <v>8.0840760000000008E-3</v>
      </c>
      <c r="O239" s="211">
        <v>2.5063904434184898E-2</v>
      </c>
    </row>
    <row r="240" spans="1:15" ht="15.6">
      <c r="A240" s="257">
        <v>800</v>
      </c>
      <c r="B240" s="258">
        <v>850</v>
      </c>
      <c r="C240" s="160">
        <v>20101606</v>
      </c>
      <c r="D240" s="30">
        <v>16584103182.4</v>
      </c>
      <c r="E240" s="187">
        <f t="shared" si="6"/>
        <v>3.300055365208133</v>
      </c>
      <c r="F240" s="188">
        <v>2.0101606000000001E-2</v>
      </c>
      <c r="G240" s="189">
        <v>6.6336412729600003E-2</v>
      </c>
      <c r="H240" s="232">
        <v>3.2</v>
      </c>
      <c r="I240" s="124" t="str">
        <f t="shared" si="7"/>
        <v>(800, 850]</v>
      </c>
      <c r="J240" s="160">
        <v>1</v>
      </c>
      <c r="K240" s="276">
        <v>0.22561612738803058</v>
      </c>
      <c r="L240" s="188">
        <v>4.5352465000000003E-3</v>
      </c>
      <c r="M240" s="233">
        <v>4535246</v>
      </c>
      <c r="N240" s="195">
        <v>4.5352459999999997E-3</v>
      </c>
      <c r="O240" s="211">
        <v>1.4966562894838723E-2</v>
      </c>
    </row>
    <row r="241" spans="1:15" ht="15.6">
      <c r="A241" s="257">
        <v>850</v>
      </c>
      <c r="B241" s="258">
        <v>900</v>
      </c>
      <c r="C241" s="160">
        <v>18942867</v>
      </c>
      <c r="D241" s="30">
        <v>16575648170.200001</v>
      </c>
      <c r="E241" s="187">
        <f t="shared" si="6"/>
        <v>3.5001350471816122</v>
      </c>
      <c r="F241" s="188">
        <v>1.8942866999999999E-2</v>
      </c>
      <c r="G241" s="189">
        <v>6.6302592680799993E-2</v>
      </c>
      <c r="H241" s="232">
        <v>3.4</v>
      </c>
      <c r="I241" s="124" t="str">
        <f t="shared" si="7"/>
        <v>(850, 900]</v>
      </c>
      <c r="J241" s="160">
        <v>1</v>
      </c>
      <c r="K241" s="276">
        <v>0.23269774844536467</v>
      </c>
      <c r="L241" s="188">
        <v>4.4079624999999994E-3</v>
      </c>
      <c r="M241" s="233">
        <v>4407962</v>
      </c>
      <c r="N241" s="195">
        <v>4.4079619999999996E-3</v>
      </c>
      <c r="O241" s="211">
        <v>1.5428462282844752E-2</v>
      </c>
    </row>
    <row r="242" spans="1:15" ht="15.6">
      <c r="A242" s="257">
        <v>900</v>
      </c>
      <c r="B242" s="258">
        <v>950</v>
      </c>
      <c r="C242" s="160">
        <v>17747649</v>
      </c>
      <c r="D242" s="30">
        <v>16416620302.6</v>
      </c>
      <c r="E242" s="187">
        <f t="shared" si="6"/>
        <v>3.7000101371398544</v>
      </c>
      <c r="F242" s="188">
        <v>1.7747649000000001E-2</v>
      </c>
      <c r="G242" s="189">
        <v>6.5666481210400002E-2</v>
      </c>
      <c r="H242" s="232">
        <v>3.6</v>
      </c>
      <c r="I242" s="124" t="str">
        <f t="shared" si="7"/>
        <v>(900, 950]</v>
      </c>
      <c r="J242" s="160">
        <v>1</v>
      </c>
      <c r="K242" s="276">
        <v>0.19085268702350378</v>
      </c>
      <c r="L242" s="188">
        <v>3.3871865000000001E-3</v>
      </c>
      <c r="M242" s="233">
        <v>3387186</v>
      </c>
      <c r="N242" s="195">
        <v>3.3871859999999999E-3</v>
      </c>
      <c r="O242" s="211">
        <v>1.2532622536378194E-2</v>
      </c>
    </row>
    <row r="243" spans="1:15" ht="15.6">
      <c r="A243" s="257">
        <v>950</v>
      </c>
      <c r="B243" s="258">
        <v>1000</v>
      </c>
      <c r="C243" s="160">
        <v>16769457</v>
      </c>
      <c r="D243" s="30">
        <v>16351530875.200001</v>
      </c>
      <c r="E243" s="187">
        <f t="shared" si="6"/>
        <v>3.900312544455077</v>
      </c>
      <c r="F243" s="188">
        <v>1.6769457000000002E-2</v>
      </c>
      <c r="G243" s="189">
        <v>6.5406123500800009E-2</v>
      </c>
      <c r="H243" s="232">
        <v>3.8</v>
      </c>
      <c r="I243" s="124" t="str">
        <f t="shared" si="7"/>
        <v>(950, 1000]</v>
      </c>
      <c r="J243" s="160">
        <v>1</v>
      </c>
      <c r="K243" s="276">
        <v>0.36872592237184537</v>
      </c>
      <c r="L243" s="188">
        <v>6.1833334999999998E-3</v>
      </c>
      <c r="M243" s="233">
        <v>6183333</v>
      </c>
      <c r="N243" s="195">
        <v>6.1833330000000001E-3</v>
      </c>
      <c r="O243" s="211">
        <v>2.4116931266443046E-2</v>
      </c>
    </row>
    <row r="244" spans="1:15" ht="15.6">
      <c r="A244" s="257">
        <v>1000</v>
      </c>
      <c r="B244" s="258">
        <v>2000</v>
      </c>
      <c r="C244" s="160">
        <v>190682659</v>
      </c>
      <c r="D244" s="30">
        <v>268034574372.39999</v>
      </c>
      <c r="E244" s="187">
        <f t="shared" si="6"/>
        <v>5.6226313557416878</v>
      </c>
      <c r="F244" s="188">
        <v>0.190682659</v>
      </c>
      <c r="G244" s="189">
        <v>1.0721382974895999</v>
      </c>
      <c r="H244" s="232">
        <v>4</v>
      </c>
      <c r="I244" s="275" t="str">
        <f t="shared" si="7"/>
        <v>(1000, 2000]</v>
      </c>
      <c r="J244" s="160">
        <v>1</v>
      </c>
      <c r="K244" s="276">
        <v>8.0620810411501556E-2</v>
      </c>
      <c r="L244" s="188">
        <v>1.5372990500000001E-2</v>
      </c>
      <c r="M244" s="233">
        <v>15372990</v>
      </c>
      <c r="N244" s="195">
        <v>1.537299E-2</v>
      </c>
      <c r="O244" s="211">
        <v>8.6436655605503412E-2</v>
      </c>
    </row>
    <row r="245" spans="1:15" ht="15.6">
      <c r="A245" s="257">
        <v>2000</v>
      </c>
      <c r="B245" s="258">
        <v>3000</v>
      </c>
      <c r="C245" s="160">
        <v>63337089</v>
      </c>
      <c r="D245" s="30">
        <v>152985868823.79999</v>
      </c>
      <c r="E245" s="187">
        <f t="shared" si="6"/>
        <v>9.6616924610349546</v>
      </c>
      <c r="F245" s="188">
        <v>6.3337088999999999E-2</v>
      </c>
      <c r="G245" s="189">
        <v>0.61194347529519999</v>
      </c>
      <c r="H245" s="232">
        <v>8</v>
      </c>
      <c r="I245" s="124" t="str">
        <f t="shared" si="7"/>
        <v>(2000, 3000]</v>
      </c>
      <c r="J245" s="160">
        <v>1</v>
      </c>
      <c r="K245" s="276">
        <v>2.5177072789057293E-2</v>
      </c>
      <c r="L245" s="188">
        <v>1.5946425E-3</v>
      </c>
      <c r="M245" s="233">
        <v>1594642</v>
      </c>
      <c r="N245" s="195">
        <v>1.5946420000000001E-3</v>
      </c>
      <c r="O245" s="211">
        <v>1.5406940589449704E-2</v>
      </c>
    </row>
    <row r="246" spans="1:15" ht="15.6">
      <c r="A246" s="257">
        <v>3000</v>
      </c>
      <c r="B246" s="258">
        <v>4000</v>
      </c>
      <c r="C246" s="160">
        <v>23980137</v>
      </c>
      <c r="D246" s="30">
        <v>82158975145.399994</v>
      </c>
      <c r="E246" s="187">
        <f t="shared" si="6"/>
        <v>13.70450471494804</v>
      </c>
      <c r="F246" s="188">
        <v>2.3980136999999999E-2</v>
      </c>
      <c r="G246" s="189">
        <v>0.32863590058159992</v>
      </c>
      <c r="H246" s="232">
        <v>12</v>
      </c>
      <c r="I246" s="124" t="str">
        <f t="shared" si="7"/>
        <v>(3000, 4000]</v>
      </c>
      <c r="J246" s="160">
        <v>1</v>
      </c>
      <c r="K246" s="276">
        <v>5.3772190709335817E-2</v>
      </c>
      <c r="L246" s="188">
        <v>1.2894644999999999E-3</v>
      </c>
      <c r="M246" s="233">
        <v>1289464</v>
      </c>
      <c r="N246" s="195">
        <v>1.2894639999999999E-3</v>
      </c>
      <c r="O246" s="211">
        <v>1.7671465467755759E-2</v>
      </c>
    </row>
    <row r="247" spans="1:15" ht="15.6">
      <c r="A247" s="257">
        <v>4000</v>
      </c>
      <c r="B247" s="258">
        <v>5000</v>
      </c>
      <c r="C247" s="160">
        <v>10483743</v>
      </c>
      <c r="D247" s="30">
        <v>46525247928.199997</v>
      </c>
      <c r="E247" s="187">
        <f t="shared" si="6"/>
        <v>17.751388193396195</v>
      </c>
      <c r="F247" s="188">
        <v>1.0483743E-2</v>
      </c>
      <c r="G247" s="189">
        <v>0.18610099171280001</v>
      </c>
      <c r="H247" s="232">
        <v>16</v>
      </c>
      <c r="I247" s="124" t="str">
        <f t="shared" si="7"/>
        <v>(4000, 5000]</v>
      </c>
      <c r="J247" s="160">
        <v>1</v>
      </c>
      <c r="K247" s="276">
        <v>9.7780868912944546E-2</v>
      </c>
      <c r="L247" s="188">
        <v>1.0251094999999999E-3</v>
      </c>
      <c r="M247" s="233">
        <v>1025109</v>
      </c>
      <c r="N247" s="195">
        <v>1.025109E-3</v>
      </c>
      <c r="O247" s="211">
        <v>1.8197107799544181E-2</v>
      </c>
    </row>
    <row r="248" spans="1:15" ht="15.6">
      <c r="A248" s="257">
        <v>5000</v>
      </c>
      <c r="B248" s="258">
        <v>6000</v>
      </c>
      <c r="C248" s="160">
        <v>5307516</v>
      </c>
      <c r="D248" s="30">
        <v>28923266193</v>
      </c>
      <c r="E248" s="187">
        <f t="shared" si="6"/>
        <v>21.797968159116241</v>
      </c>
      <c r="F248" s="188">
        <v>5.307516E-3</v>
      </c>
      <c r="G248" s="189">
        <v>0.11569306477199999</v>
      </c>
      <c r="H248" s="232">
        <v>20</v>
      </c>
      <c r="I248" s="124" t="str">
        <f t="shared" si="7"/>
        <v>(5000, 6000]</v>
      </c>
      <c r="J248" s="160">
        <v>1</v>
      </c>
      <c r="K248" s="276">
        <v>6.4082048928349913E-2</v>
      </c>
      <c r="L248" s="188">
        <v>3.4011650000000002E-4</v>
      </c>
      <c r="M248" s="233">
        <v>340116</v>
      </c>
      <c r="N248" s="195">
        <v>3.4011600000000001E-4</v>
      </c>
      <c r="O248" s="211">
        <v>7.41383773840598E-3</v>
      </c>
    </row>
    <row r="249" spans="1:15" ht="15.6">
      <c r="A249" s="257">
        <v>6000</v>
      </c>
      <c r="B249" s="258">
        <v>7000</v>
      </c>
      <c r="C249" s="160">
        <v>3110842</v>
      </c>
      <c r="D249" s="30">
        <v>20096818659.599998</v>
      </c>
      <c r="E249" s="187">
        <f t="shared" si="6"/>
        <v>25.841002094738332</v>
      </c>
      <c r="F249" s="188">
        <v>3.1108419999999999E-3</v>
      </c>
      <c r="G249" s="189">
        <v>8.038727463839998E-2</v>
      </c>
      <c r="H249" s="232">
        <v>24</v>
      </c>
      <c r="I249" s="124" t="str">
        <f t="shared" si="7"/>
        <v>(6000, 7000]</v>
      </c>
      <c r="J249" s="160">
        <v>1</v>
      </c>
      <c r="K249" s="276">
        <v>0.10332363392290576</v>
      </c>
      <c r="L249" s="188">
        <v>3.214235E-4</v>
      </c>
      <c r="M249" s="233">
        <v>321423</v>
      </c>
      <c r="N249" s="195">
        <v>3.2142299999999999E-4</v>
      </c>
      <c r="O249" s="211">
        <v>8.3058924162970789E-3</v>
      </c>
    </row>
    <row r="250" spans="1:15" ht="15.6">
      <c r="A250" s="257">
        <v>7000</v>
      </c>
      <c r="B250" s="258">
        <v>8000</v>
      </c>
      <c r="C250" s="160">
        <v>2027752</v>
      </c>
      <c r="D250" s="30">
        <v>15143669069</v>
      </c>
      <c r="E250" s="187">
        <f t="shared" si="6"/>
        <v>29.872822848158947</v>
      </c>
      <c r="F250" s="188">
        <v>2.0277519999999999E-3</v>
      </c>
      <c r="G250" s="189">
        <v>6.0574676275999995E-2</v>
      </c>
      <c r="H250" s="232">
        <v>28</v>
      </c>
      <c r="I250" s="124" t="str">
        <f t="shared" si="7"/>
        <v>(7000, 8000]</v>
      </c>
      <c r="J250" s="160">
        <v>1</v>
      </c>
      <c r="K250" s="276">
        <v>0.14774760424351699</v>
      </c>
      <c r="L250" s="188">
        <v>2.9959550000000006E-4</v>
      </c>
      <c r="M250" s="233">
        <v>299595</v>
      </c>
      <c r="N250" s="195">
        <v>2.9959499999999999E-4</v>
      </c>
      <c r="O250" s="211">
        <v>8.9497483611941792E-3</v>
      </c>
    </row>
    <row r="251" spans="1:15" ht="15.6">
      <c r="A251" s="257">
        <v>8000</v>
      </c>
      <c r="B251" s="258">
        <v>9000</v>
      </c>
      <c r="C251" s="160">
        <v>1429878</v>
      </c>
      <c r="D251" s="30">
        <v>12114614288</v>
      </c>
      <c r="E251" s="187">
        <f t="shared" si="6"/>
        <v>33.889924281652</v>
      </c>
      <c r="F251" s="188">
        <v>1.4298780000000001E-3</v>
      </c>
      <c r="G251" s="189">
        <v>4.8458457151999999E-2</v>
      </c>
      <c r="H251" s="232">
        <v>32</v>
      </c>
      <c r="I251" s="124" t="str">
        <f t="shared" si="7"/>
        <v>(8000, 9000]</v>
      </c>
      <c r="J251" s="160">
        <v>1</v>
      </c>
      <c r="K251" s="276">
        <v>0.16876859424370472</v>
      </c>
      <c r="L251" s="188">
        <v>2.4131850000000003E-4</v>
      </c>
      <c r="M251" s="233">
        <v>241318</v>
      </c>
      <c r="N251" s="195">
        <v>2.41318E-4</v>
      </c>
      <c r="O251" s="211">
        <v>8.178248747799698E-3</v>
      </c>
    </row>
    <row r="252" spans="1:15" ht="15.6">
      <c r="A252" s="257">
        <v>9000</v>
      </c>
      <c r="B252" s="258">
        <v>10000</v>
      </c>
      <c r="C252" s="160">
        <v>1042499</v>
      </c>
      <c r="D252" s="30">
        <v>9877166657.3999996</v>
      </c>
      <c r="E252" s="187">
        <f t="shared" si="6"/>
        <v>37.898037916199435</v>
      </c>
      <c r="F252" s="188">
        <v>1.0424989999999999E-3</v>
      </c>
      <c r="G252" s="189">
        <v>3.9508666629599988E-2</v>
      </c>
      <c r="H252" s="232">
        <v>36</v>
      </c>
      <c r="I252" s="124" t="str">
        <f t="shared" si="7"/>
        <v>(9000, 10000]</v>
      </c>
      <c r="J252" s="160">
        <v>1</v>
      </c>
      <c r="K252" s="276">
        <v>7.321973450334246E-2</v>
      </c>
      <c r="L252" s="188">
        <v>7.6331500000000006E-5</v>
      </c>
      <c r="M252" s="233">
        <v>76331</v>
      </c>
      <c r="N252" s="195">
        <v>7.6330999999999998E-5</v>
      </c>
      <c r="O252" s="211">
        <v>2.8927951321814191E-3</v>
      </c>
    </row>
    <row r="253" spans="1:15" ht="15.6">
      <c r="A253" s="257">
        <v>10000</v>
      </c>
      <c r="B253" s="258">
        <v>20000</v>
      </c>
      <c r="C253" s="160">
        <v>2854249</v>
      </c>
      <c r="D253" s="30">
        <v>36490918340.400002</v>
      </c>
      <c r="E253" s="187">
        <f t="shared" si="6"/>
        <v>51.139081895658023</v>
      </c>
      <c r="F253" s="188">
        <v>2.8542490000000001E-3</v>
      </c>
      <c r="G253" s="189">
        <v>0.14596367336160002</v>
      </c>
      <c r="H253" s="232">
        <v>40</v>
      </c>
      <c r="I253" s="275" t="str">
        <f t="shared" si="7"/>
        <v>(10000, 20000]</v>
      </c>
      <c r="J253" s="160">
        <v>1</v>
      </c>
      <c r="K253" s="276">
        <v>6.9973747910571218E-2</v>
      </c>
      <c r="L253" s="188">
        <v>1.997225E-4</v>
      </c>
      <c r="M253" s="233">
        <v>199722</v>
      </c>
      <c r="N253" s="195">
        <v>1.99722E-4</v>
      </c>
      <c r="O253" s="211">
        <v>1.0213599714364611E-2</v>
      </c>
    </row>
    <row r="254" spans="1:15" ht="15.6">
      <c r="A254" s="257">
        <v>20000</v>
      </c>
      <c r="B254" s="258">
        <v>30000</v>
      </c>
      <c r="C254" s="160">
        <v>113860</v>
      </c>
      <c r="D254" s="30">
        <v>2572864813</v>
      </c>
      <c r="E254" s="187">
        <f t="shared" si="6"/>
        <v>90.386959880555068</v>
      </c>
      <c r="F254" s="188">
        <v>1.1386E-4</v>
      </c>
      <c r="G254" s="189">
        <v>1.0291459252E-2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</row>
    <row r="255" spans="1:15" ht="15.6">
      <c r="A255" s="257">
        <v>30000</v>
      </c>
      <c r="B255" s="258">
        <v>100000</v>
      </c>
      <c r="C255" s="160">
        <v>4616</v>
      </c>
      <c r="D255" s="30">
        <v>154809664</v>
      </c>
      <c r="E255" s="187">
        <f t="shared" si="6"/>
        <v>134.15048873483533</v>
      </c>
      <c r="F255" s="188">
        <v>4.6160000000000004E-6</v>
      </c>
      <c r="G255" s="189">
        <v>6.1923865599999991E-4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</row>
    <row r="256" spans="1:15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</row>
    <row r="257" spans="13:15" ht="16.8" thickBot="1">
      <c r="N257" s="1">
        <f>1/N251</f>
        <v>4143.9096959199069</v>
      </c>
      <c r="O257" s="10">
        <f>SUM(O240:O250)</f>
        <v>0.229426226958655</v>
      </c>
    </row>
    <row r="258" spans="13:15" ht="16.8" thickBot="1">
      <c r="M258" s="114"/>
      <c r="N258" s="164" t="s">
        <v>181</v>
      </c>
      <c r="O258" s="219" t="s">
        <v>180</v>
      </c>
    </row>
  </sheetData>
  <phoneticPr fontId="2" type="noConversion"/>
  <conditionalFormatting sqref="J4:O61 C4:G61">
    <cfRule type="cellIs" dxfId="88" priority="25" operator="equal">
      <formula>0</formula>
    </cfRule>
  </conditionalFormatting>
  <conditionalFormatting sqref="J135:O185 J134:L134 N134:O134 C135:G185 D134:G134">
    <cfRule type="cellIs" dxfId="87" priority="23" operator="equal">
      <formula>0</formula>
    </cfRule>
  </conditionalFormatting>
  <conditionalFormatting sqref="C70:D120 J70:O120 K69:L69 N69:O69 F69:G120 D69">
    <cfRule type="cellIs" dxfId="86" priority="24" operator="equal">
      <formula>0</formula>
    </cfRule>
  </conditionalFormatting>
  <conditionalFormatting sqref="M134">
    <cfRule type="cellIs" dxfId="85" priority="21" operator="equal">
      <formula>0</formula>
    </cfRule>
  </conditionalFormatting>
  <conditionalFormatting sqref="E69:E120">
    <cfRule type="cellIs" dxfId="84" priority="19" operator="equal">
      <formula>0</formula>
    </cfRule>
  </conditionalFormatting>
  <conditionalFormatting sqref="M69">
    <cfRule type="cellIs" dxfId="83" priority="18" operator="equal">
      <formula>0</formula>
    </cfRule>
  </conditionalFormatting>
  <conditionalFormatting sqref="J69">
    <cfRule type="cellIs" dxfId="82" priority="17" operator="equal">
      <formula>0</formula>
    </cfRule>
  </conditionalFormatting>
  <conditionalFormatting sqref="O4:O6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1" priority="14" operator="equal">
      <formula>0</formula>
    </cfRule>
  </conditionalFormatting>
  <conditionalFormatting sqref="O121:O126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80" priority="11" operator="equal">
      <formula>0</formula>
    </cfRule>
  </conditionalFormatting>
  <conditionalFormatting sqref="O186:O19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9" priority="7" operator="equal">
      <formula>0</formula>
    </cfRule>
  </conditionalFormatting>
  <conditionalFormatting sqref="C134">
    <cfRule type="cellIs" dxfId="78" priority="6" operator="equal">
      <formula>0</formula>
    </cfRule>
  </conditionalFormatting>
  <conditionalFormatting sqref="C199:G256 J199:O256">
    <cfRule type="cellIs" dxfId="0" priority="2" operator="equal">
      <formula>0</formula>
    </cfRule>
  </conditionalFormatting>
  <conditionalFormatting sqref="O199:O25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{B396E34E-E9D7-4DF4-9399-42E80BA074CF}</x14:id>
        </ext>
      </extLst>
    </cfRule>
  </conditionalFormatting>
  <conditionalFormatting sqref="N200:N25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{84A94C93-E2C2-4C92-AC0A-8DB7804BF13B}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{ACFAB8C5-8725-4C41-8225-718CFE264C1A}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  <x14:conditionalFormatting xmlns:xm="http://schemas.microsoft.com/office/excel/2006/main">
          <x14:cfRule type="dataBar" id="{B396E34E-E9D7-4DF4-9399-42E80BA074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84A94C93-E2C2-4C92-AC0A-8DB7804BF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ACFAB8C5-8725-4C41-8225-718CFE264C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7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6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5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4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3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2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7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7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6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5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4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3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2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6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7" priority="13" operator="equal">
      <formula>0</formula>
    </cfRule>
  </conditionalFormatting>
  <conditionalFormatting sqref="C122:G173 J123:O173 J122:L122 N122:O122">
    <cfRule type="cellIs" dxfId="56" priority="7" operator="equal">
      <formula>0</formula>
    </cfRule>
  </conditionalFormatting>
  <conditionalFormatting sqref="C63:G114 J64:O114 J63:L63 N63:O63">
    <cfRule type="cellIs" dxfId="55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4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3" priority="3" operator="equal">
      <formula>0</formula>
    </cfRule>
  </conditionalFormatting>
  <conditionalFormatting sqref="M122">
    <cfRule type="cellIs" dxfId="52" priority="2" operator="equal">
      <formula>0</formula>
    </cfRule>
  </conditionalFormatting>
  <conditionalFormatting sqref="M181">
    <cfRule type="cellIs" dxfId="51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7" t="s">
        <v>138</v>
      </c>
      <c r="B1" s="317"/>
      <c r="C1" s="317"/>
      <c r="D1" s="317"/>
      <c r="E1" s="317"/>
      <c r="F1" s="317"/>
      <c r="G1" s="1"/>
      <c r="H1" s="317" t="s">
        <v>139</v>
      </c>
      <c r="I1" s="317"/>
      <c r="J1" s="317"/>
      <c r="K1" s="317"/>
      <c r="L1" s="317"/>
      <c r="M1" s="317"/>
      <c r="N1" s="1"/>
      <c r="O1" s="317" t="s">
        <v>140</v>
      </c>
      <c r="P1" s="317"/>
      <c r="Q1" s="317"/>
      <c r="R1" s="317"/>
      <c r="S1" s="317"/>
      <c r="T1" s="317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100</v>
      </c>
      <c r="BL3" s="29">
        <v>467</v>
      </c>
      <c r="BM3" s="29">
        <v>100</v>
      </c>
      <c r="BN3" s="65"/>
      <c r="BO3" s="29">
        <f ca="1">OFFSET(BK$2,COUNTA(BK$3:BK$211),0)</f>
        <v>100</v>
      </c>
      <c r="BP3" s="29">
        <f t="shared" ref="BP3" ca="1" si="11">OFFSET(BL$2,COUNTA(BL$3:BL$211),0)</f>
        <v>584</v>
      </c>
      <c r="BQ3" s="29">
        <f t="shared" ref="BQ3" ca="1" si="12">OFFSET(BM$2,COUNTA(BM$3:BM$211),0)</f>
        <v>100</v>
      </c>
      <c r="BR3" s="65"/>
      <c r="BS3" s="29">
        <f ca="1">OFFSET(BK$2,COUNTA(BK$3:BK$211)-1,0)</f>
        <v>447</v>
      </c>
      <c r="BT3" s="29">
        <f t="shared" ref="BT3" ca="1" si="13">OFFSET(BL$2,COUNTA(BL$3:BL$211)-1,0)</f>
        <v>701</v>
      </c>
      <c r="BU3" s="29">
        <f t="shared" ref="BU3" ca="1" si="14">OFFSET(BM$2,COUNTA(BM$3:BM$211)-1,0)</f>
        <v>100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447</v>
      </c>
      <c r="BL4" s="29">
        <v>584</v>
      </c>
      <c r="BM4" s="29">
        <v>677</v>
      </c>
      <c r="BN4" s="65"/>
      <c r="BO4" s="29">
        <f>IF(BK3="","",BK3)</f>
        <v>100</v>
      </c>
      <c r="BP4" s="29">
        <f t="shared" ref="BP4:BP67" si="37">IF(BL3="","",BL3)</f>
        <v>467</v>
      </c>
      <c r="BQ4" s="29">
        <f t="shared" ref="BQ4:BQ67" si="38">IF(BM3="","",BM3)</f>
        <v>100</v>
      </c>
      <c r="BR4" s="65"/>
      <c r="BS4" s="29">
        <f ca="1">OFFSET(BK$2,COUNTA(BK$3:BK$211),0)</f>
        <v>100</v>
      </c>
      <c r="BT4" s="29">
        <f t="shared" ref="BT4" ca="1" si="39">OFFSET(BL$2,COUNTA(BL$3:BL$211),0)</f>
        <v>584</v>
      </c>
      <c r="BU4" s="29">
        <f t="shared" ref="BU4" ca="1" si="40">OFFSET(BM$2,COUNTA(BM$3:BM$211),0)</f>
        <v>100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373</v>
      </c>
      <c r="BL5" s="29">
        <v>701</v>
      </c>
      <c r="BM5" s="29">
        <v>564</v>
      </c>
      <c r="BN5" s="65"/>
      <c r="BO5" s="29">
        <f t="shared" ref="BO5:BO68" si="51">IF(BK4="","",BK4)</f>
        <v>447</v>
      </c>
      <c r="BP5" s="29">
        <f t="shared" si="37"/>
        <v>584</v>
      </c>
      <c r="BQ5" s="29">
        <f t="shared" si="38"/>
        <v>677</v>
      </c>
      <c r="BR5" s="65"/>
      <c r="BS5" s="29">
        <f>IF(BK3="","",BK3)</f>
        <v>100</v>
      </c>
      <c r="BT5" s="29">
        <f t="shared" ref="BT5:BT68" si="52">IF(BL3="","",BL3)</f>
        <v>467</v>
      </c>
      <c r="BU5" s="29">
        <f t="shared" ref="BU5:BU68" si="53">IF(BM3="","",BM3)</f>
        <v>100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298</v>
      </c>
      <c r="BL6" s="29">
        <v>100</v>
      </c>
      <c r="BM6" s="29">
        <v>451</v>
      </c>
      <c r="BN6" s="65"/>
      <c r="BO6" s="29">
        <f t="shared" si="51"/>
        <v>373</v>
      </c>
      <c r="BP6" s="29">
        <f t="shared" si="37"/>
        <v>701</v>
      </c>
      <c r="BQ6" s="29">
        <f t="shared" si="38"/>
        <v>564</v>
      </c>
      <c r="BR6" s="65"/>
      <c r="BS6" s="29">
        <f t="shared" ref="BS6:BS69" si="59">IF(BK4="","",BK4)</f>
        <v>447</v>
      </c>
      <c r="BT6" s="29">
        <f t="shared" si="52"/>
        <v>584</v>
      </c>
      <c r="BU6" s="29">
        <f t="shared" si="53"/>
        <v>677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373</v>
      </c>
      <c r="BL7" s="29">
        <v>100</v>
      </c>
      <c r="BM7" s="29">
        <v>564</v>
      </c>
      <c r="BN7" s="65"/>
      <c r="BO7" s="29">
        <f t="shared" si="51"/>
        <v>298</v>
      </c>
      <c r="BP7" s="29">
        <f t="shared" si="37"/>
        <v>100</v>
      </c>
      <c r="BQ7" s="29">
        <f t="shared" si="38"/>
        <v>451</v>
      </c>
      <c r="BR7" s="65"/>
      <c r="BS7" s="29">
        <f t="shared" si="59"/>
        <v>373</v>
      </c>
      <c r="BT7" s="29">
        <f t="shared" si="52"/>
        <v>701</v>
      </c>
      <c r="BU7" s="29">
        <f t="shared" si="53"/>
        <v>564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447</v>
      </c>
      <c r="BL8" s="29">
        <v>100</v>
      </c>
      <c r="BM8" s="29">
        <v>677</v>
      </c>
      <c r="BN8" s="65"/>
      <c r="BO8" s="29">
        <f t="shared" si="51"/>
        <v>373</v>
      </c>
      <c r="BP8" s="29">
        <f t="shared" si="37"/>
        <v>100</v>
      </c>
      <c r="BQ8" s="29">
        <f t="shared" si="38"/>
        <v>564</v>
      </c>
      <c r="BR8" s="65"/>
      <c r="BS8" s="29">
        <f t="shared" si="59"/>
        <v>298</v>
      </c>
      <c r="BT8" s="29">
        <f t="shared" si="52"/>
        <v>100</v>
      </c>
      <c r="BU8" s="29">
        <f t="shared" si="53"/>
        <v>451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100</v>
      </c>
      <c r="BL9" s="29">
        <v>100</v>
      </c>
      <c r="BM9" s="29">
        <v>100</v>
      </c>
      <c r="BN9" s="65"/>
      <c r="BO9" s="29">
        <f t="shared" si="51"/>
        <v>447</v>
      </c>
      <c r="BP9" s="29">
        <f t="shared" si="37"/>
        <v>100</v>
      </c>
      <c r="BQ9" s="29">
        <f t="shared" si="38"/>
        <v>677</v>
      </c>
      <c r="BR9" s="65"/>
      <c r="BS9" s="29">
        <f t="shared" si="59"/>
        <v>373</v>
      </c>
      <c r="BT9" s="29">
        <f t="shared" si="52"/>
        <v>100</v>
      </c>
      <c r="BU9" s="29">
        <f t="shared" si="53"/>
        <v>564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100</v>
      </c>
      <c r="BL10" s="29">
        <v>100</v>
      </c>
      <c r="BM10" s="29">
        <v>100</v>
      </c>
      <c r="BN10" s="65"/>
      <c r="BO10" s="29">
        <f t="shared" si="51"/>
        <v>100</v>
      </c>
      <c r="BP10" s="29">
        <f t="shared" si="37"/>
        <v>100</v>
      </c>
      <c r="BQ10" s="29">
        <f t="shared" si="38"/>
        <v>100</v>
      </c>
      <c r="BR10" s="65"/>
      <c r="BS10" s="29">
        <f t="shared" si="59"/>
        <v>447</v>
      </c>
      <c r="BT10" s="29">
        <f t="shared" si="52"/>
        <v>100</v>
      </c>
      <c r="BU10" s="29">
        <f t="shared" si="53"/>
        <v>677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100</v>
      </c>
      <c r="BL11" s="29">
        <v>100</v>
      </c>
      <c r="BM11" s="29">
        <v>100</v>
      </c>
      <c r="BN11" s="65"/>
      <c r="BO11" s="29">
        <f t="shared" si="51"/>
        <v>100</v>
      </c>
      <c r="BP11" s="29">
        <f t="shared" si="37"/>
        <v>100</v>
      </c>
      <c r="BQ11" s="29">
        <f t="shared" si="38"/>
        <v>100</v>
      </c>
      <c r="BR11" s="65"/>
      <c r="BS11" s="29">
        <f t="shared" si="59"/>
        <v>100</v>
      </c>
      <c r="BT11" s="29">
        <f t="shared" si="52"/>
        <v>100</v>
      </c>
      <c r="BU11" s="29">
        <f t="shared" si="53"/>
        <v>100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100</v>
      </c>
      <c r="BL12" s="29">
        <v>100</v>
      </c>
      <c r="BM12" s="29">
        <v>100</v>
      </c>
      <c r="BN12" s="65"/>
      <c r="BO12" s="29">
        <f t="shared" si="51"/>
        <v>100</v>
      </c>
      <c r="BP12" s="29">
        <f t="shared" si="37"/>
        <v>100</v>
      </c>
      <c r="BQ12" s="29">
        <f t="shared" si="38"/>
        <v>100</v>
      </c>
      <c r="BR12" s="65"/>
      <c r="BS12" s="29">
        <f t="shared" si="59"/>
        <v>100</v>
      </c>
      <c r="BT12" s="29">
        <f t="shared" si="52"/>
        <v>100</v>
      </c>
      <c r="BU12" s="29">
        <f t="shared" si="53"/>
        <v>100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100</v>
      </c>
      <c r="BL13" s="29">
        <v>100</v>
      </c>
      <c r="BM13" s="29">
        <v>100</v>
      </c>
      <c r="BN13" s="65"/>
      <c r="BO13" s="29">
        <f t="shared" si="51"/>
        <v>100</v>
      </c>
      <c r="BP13" s="29">
        <f t="shared" si="37"/>
        <v>100</v>
      </c>
      <c r="BQ13" s="29">
        <f t="shared" si="38"/>
        <v>100</v>
      </c>
      <c r="BR13" s="65"/>
      <c r="BS13" s="29">
        <f t="shared" si="59"/>
        <v>100</v>
      </c>
      <c r="BT13" s="29">
        <f t="shared" si="52"/>
        <v>100</v>
      </c>
      <c r="BU13" s="29">
        <f t="shared" si="53"/>
        <v>100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100</v>
      </c>
      <c r="BL14" s="29">
        <v>100</v>
      </c>
      <c r="BM14" s="29">
        <v>100</v>
      </c>
      <c r="BN14" s="65"/>
      <c r="BO14" s="29">
        <f t="shared" si="51"/>
        <v>100</v>
      </c>
      <c r="BP14" s="29">
        <f t="shared" si="37"/>
        <v>100</v>
      </c>
      <c r="BQ14" s="29">
        <f t="shared" si="38"/>
        <v>100</v>
      </c>
      <c r="BR14" s="65"/>
      <c r="BS14" s="29">
        <f t="shared" si="59"/>
        <v>100</v>
      </c>
      <c r="BT14" s="29">
        <f t="shared" si="52"/>
        <v>100</v>
      </c>
      <c r="BU14" s="29">
        <f t="shared" si="53"/>
        <v>100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100</v>
      </c>
      <c r="BL15" s="29">
        <v>100</v>
      </c>
      <c r="BM15" s="29">
        <v>100</v>
      </c>
      <c r="BN15" s="65"/>
      <c r="BO15" s="29">
        <f t="shared" si="51"/>
        <v>100</v>
      </c>
      <c r="BP15" s="29">
        <f t="shared" si="37"/>
        <v>100</v>
      </c>
      <c r="BQ15" s="29">
        <f t="shared" si="38"/>
        <v>100</v>
      </c>
      <c r="BR15" s="65"/>
      <c r="BS15" s="29">
        <f t="shared" si="59"/>
        <v>100</v>
      </c>
      <c r="BT15" s="29">
        <f t="shared" si="52"/>
        <v>100</v>
      </c>
      <c r="BU15" s="29">
        <f t="shared" si="53"/>
        <v>100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100</v>
      </c>
      <c r="BL16" s="29">
        <v>100</v>
      </c>
      <c r="BM16" s="29">
        <v>100</v>
      </c>
      <c r="BN16" s="65"/>
      <c r="BO16" s="29">
        <f t="shared" si="51"/>
        <v>100</v>
      </c>
      <c r="BP16" s="29">
        <f t="shared" si="37"/>
        <v>100</v>
      </c>
      <c r="BQ16" s="29">
        <f t="shared" si="38"/>
        <v>100</v>
      </c>
      <c r="BR16" s="65"/>
      <c r="BS16" s="29">
        <f t="shared" si="59"/>
        <v>100</v>
      </c>
      <c r="BT16" s="29">
        <f t="shared" si="52"/>
        <v>100</v>
      </c>
      <c r="BU16" s="29">
        <f t="shared" si="53"/>
        <v>100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100</v>
      </c>
      <c r="BL17" s="29">
        <v>100</v>
      </c>
      <c r="BM17" s="29">
        <v>100</v>
      </c>
      <c r="BN17" s="65"/>
      <c r="BO17" s="29">
        <f t="shared" si="51"/>
        <v>100</v>
      </c>
      <c r="BP17" s="29">
        <f t="shared" si="37"/>
        <v>100</v>
      </c>
      <c r="BQ17" s="29">
        <f t="shared" si="38"/>
        <v>100</v>
      </c>
      <c r="BR17" s="65"/>
      <c r="BS17" s="29">
        <f t="shared" si="59"/>
        <v>100</v>
      </c>
      <c r="BT17" s="29">
        <f t="shared" si="52"/>
        <v>100</v>
      </c>
      <c r="BU17" s="29">
        <f t="shared" si="53"/>
        <v>100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100</v>
      </c>
      <c r="BL18" s="29">
        <v>100</v>
      </c>
      <c r="BM18" s="29">
        <v>100</v>
      </c>
      <c r="BN18" s="65"/>
      <c r="BO18" s="29">
        <f t="shared" si="51"/>
        <v>100</v>
      </c>
      <c r="BP18" s="29">
        <f t="shared" si="37"/>
        <v>100</v>
      </c>
      <c r="BQ18" s="29">
        <f t="shared" si="38"/>
        <v>100</v>
      </c>
      <c r="BR18" s="65"/>
      <c r="BS18" s="29">
        <f t="shared" si="59"/>
        <v>100</v>
      </c>
      <c r="BT18" s="29">
        <f t="shared" si="52"/>
        <v>100</v>
      </c>
      <c r="BU18" s="29">
        <f t="shared" si="53"/>
        <v>100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100</v>
      </c>
      <c r="BL19" s="29">
        <v>100</v>
      </c>
      <c r="BM19" s="29">
        <v>100</v>
      </c>
      <c r="BN19" s="65"/>
      <c r="BO19" s="29">
        <f t="shared" si="51"/>
        <v>100</v>
      </c>
      <c r="BP19" s="29">
        <f t="shared" si="37"/>
        <v>100</v>
      </c>
      <c r="BQ19" s="29">
        <f t="shared" si="38"/>
        <v>100</v>
      </c>
      <c r="BR19" s="65"/>
      <c r="BS19" s="29">
        <f t="shared" si="59"/>
        <v>100</v>
      </c>
      <c r="BT19" s="29">
        <f t="shared" si="52"/>
        <v>100</v>
      </c>
      <c r="BU19" s="29">
        <f t="shared" si="53"/>
        <v>100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100</v>
      </c>
      <c r="BL20" s="29">
        <v>100</v>
      </c>
      <c r="BM20" s="29">
        <v>100</v>
      </c>
      <c r="BN20" s="65"/>
      <c r="BO20" s="29">
        <f t="shared" si="51"/>
        <v>100</v>
      </c>
      <c r="BP20" s="29">
        <f t="shared" si="37"/>
        <v>100</v>
      </c>
      <c r="BQ20" s="29">
        <f t="shared" si="38"/>
        <v>100</v>
      </c>
      <c r="BR20" s="65"/>
      <c r="BS20" s="29">
        <f t="shared" si="59"/>
        <v>100</v>
      </c>
      <c r="BT20" s="29">
        <f t="shared" si="52"/>
        <v>100</v>
      </c>
      <c r="BU20" s="29">
        <f t="shared" si="53"/>
        <v>100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100</v>
      </c>
      <c r="BL21" s="29">
        <v>100</v>
      </c>
      <c r="BM21" s="29">
        <v>100</v>
      </c>
      <c r="BN21" s="65"/>
      <c r="BO21" s="29">
        <f t="shared" si="51"/>
        <v>100</v>
      </c>
      <c r="BP21" s="29">
        <f t="shared" si="37"/>
        <v>100</v>
      </c>
      <c r="BQ21" s="29">
        <f t="shared" si="38"/>
        <v>100</v>
      </c>
      <c r="BR21" s="65"/>
      <c r="BS21" s="29">
        <f t="shared" si="59"/>
        <v>100</v>
      </c>
      <c r="BT21" s="29">
        <f t="shared" si="52"/>
        <v>100</v>
      </c>
      <c r="BU21" s="29">
        <f t="shared" si="53"/>
        <v>100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100</v>
      </c>
      <c r="BL22" s="29">
        <v>100</v>
      </c>
      <c r="BM22" s="29">
        <v>100</v>
      </c>
      <c r="BN22" s="65"/>
      <c r="BO22" s="29">
        <f t="shared" si="51"/>
        <v>100</v>
      </c>
      <c r="BP22" s="29">
        <f t="shared" si="37"/>
        <v>100</v>
      </c>
      <c r="BQ22" s="29">
        <f t="shared" si="38"/>
        <v>100</v>
      </c>
      <c r="BR22" s="65"/>
      <c r="BS22" s="29">
        <f t="shared" si="59"/>
        <v>100</v>
      </c>
      <c r="BT22" s="29">
        <f t="shared" si="52"/>
        <v>100</v>
      </c>
      <c r="BU22" s="29">
        <f t="shared" si="53"/>
        <v>100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100</v>
      </c>
      <c r="BL23" s="29">
        <v>701</v>
      </c>
      <c r="BM23" s="29">
        <v>100</v>
      </c>
      <c r="BN23" s="65"/>
      <c r="BO23" s="29">
        <f t="shared" si="51"/>
        <v>100</v>
      </c>
      <c r="BP23" s="29">
        <f t="shared" si="37"/>
        <v>100</v>
      </c>
      <c r="BQ23" s="29">
        <f t="shared" si="38"/>
        <v>100</v>
      </c>
      <c r="BR23" s="65"/>
      <c r="BS23" s="29">
        <f t="shared" si="59"/>
        <v>100</v>
      </c>
      <c r="BT23" s="29">
        <f t="shared" si="52"/>
        <v>100</v>
      </c>
      <c r="BU23" s="29">
        <f t="shared" si="53"/>
        <v>100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100</v>
      </c>
      <c r="BL24" s="29">
        <v>584</v>
      </c>
      <c r="BM24" s="29">
        <v>100</v>
      </c>
      <c r="BN24" s="65"/>
      <c r="BO24" s="29">
        <f t="shared" si="51"/>
        <v>100</v>
      </c>
      <c r="BP24" s="29">
        <f t="shared" si="37"/>
        <v>701</v>
      </c>
      <c r="BQ24" s="29">
        <f t="shared" si="38"/>
        <v>100</v>
      </c>
      <c r="BR24" s="65"/>
      <c r="BS24" s="29">
        <f t="shared" si="59"/>
        <v>100</v>
      </c>
      <c r="BT24" s="29">
        <f t="shared" si="52"/>
        <v>100</v>
      </c>
      <c r="BU24" s="29">
        <f t="shared" si="53"/>
        <v>100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100</v>
      </c>
      <c r="BL25" s="29">
        <v>467</v>
      </c>
      <c r="BM25" s="29">
        <v>100</v>
      </c>
      <c r="BN25" s="65"/>
      <c r="BO25" s="29">
        <f t="shared" si="51"/>
        <v>100</v>
      </c>
      <c r="BP25" s="29">
        <f t="shared" si="37"/>
        <v>584</v>
      </c>
      <c r="BQ25" s="29">
        <f t="shared" si="38"/>
        <v>100</v>
      </c>
      <c r="BR25" s="65"/>
      <c r="BS25" s="29">
        <f t="shared" si="59"/>
        <v>100</v>
      </c>
      <c r="BT25" s="29">
        <f t="shared" si="52"/>
        <v>701</v>
      </c>
      <c r="BU25" s="29">
        <f t="shared" si="53"/>
        <v>100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100</v>
      </c>
      <c r="BL26" s="29">
        <v>584</v>
      </c>
      <c r="BM26" s="29">
        <v>100</v>
      </c>
      <c r="BN26" s="65"/>
      <c r="BO26" s="29">
        <f t="shared" si="51"/>
        <v>100</v>
      </c>
      <c r="BP26" s="29">
        <f t="shared" si="37"/>
        <v>467</v>
      </c>
      <c r="BQ26" s="29">
        <f t="shared" si="38"/>
        <v>100</v>
      </c>
      <c r="BR26" s="65"/>
      <c r="BS26" s="29">
        <f t="shared" si="59"/>
        <v>100</v>
      </c>
      <c r="BT26" s="29">
        <f t="shared" si="52"/>
        <v>584</v>
      </c>
      <c r="BU26" s="29">
        <f t="shared" si="53"/>
        <v>100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18" t="s">
        <v>145</v>
      </c>
      <c r="B27" s="318"/>
      <c r="C27" s="318"/>
      <c r="D27" s="318"/>
      <c r="E27" s="318"/>
      <c r="F27" s="318"/>
      <c r="H27" s="318" t="s">
        <v>146</v>
      </c>
      <c r="I27" s="318"/>
      <c r="J27" s="318"/>
      <c r="K27" s="318"/>
      <c r="L27" s="318"/>
      <c r="M27" s="318"/>
      <c r="O27" s="318" t="s">
        <v>147</v>
      </c>
      <c r="P27" s="318"/>
      <c r="Q27" s="318"/>
      <c r="R27" s="318"/>
      <c r="S27" s="318"/>
      <c r="T27" s="318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100</v>
      </c>
      <c r="BL27" s="29">
        <v>701</v>
      </c>
      <c r="BM27" s="29">
        <v>100</v>
      </c>
      <c r="BN27" s="65"/>
      <c r="BO27" s="29">
        <f t="shared" si="51"/>
        <v>100</v>
      </c>
      <c r="BP27" s="29">
        <f t="shared" si="37"/>
        <v>584</v>
      </c>
      <c r="BQ27" s="29">
        <f t="shared" si="38"/>
        <v>100</v>
      </c>
      <c r="BR27" s="65"/>
      <c r="BS27" s="29">
        <f t="shared" si="59"/>
        <v>100</v>
      </c>
      <c r="BT27" s="29">
        <f t="shared" si="52"/>
        <v>467</v>
      </c>
      <c r="BU27" s="29">
        <f t="shared" si="53"/>
        <v>100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100</v>
      </c>
      <c r="BL28" s="29">
        <v>100</v>
      </c>
      <c r="BM28" s="29">
        <v>100</v>
      </c>
      <c r="BN28" s="65"/>
      <c r="BO28" s="29">
        <f t="shared" si="51"/>
        <v>100</v>
      </c>
      <c r="BP28" s="29">
        <f t="shared" si="37"/>
        <v>701</v>
      </c>
      <c r="BQ28" s="29">
        <f t="shared" si="38"/>
        <v>100</v>
      </c>
      <c r="BR28" s="65"/>
      <c r="BS28" s="29">
        <f t="shared" si="59"/>
        <v>100</v>
      </c>
      <c r="BT28" s="29">
        <f t="shared" si="52"/>
        <v>584</v>
      </c>
      <c r="BU28" s="29">
        <f t="shared" si="53"/>
        <v>100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100</v>
      </c>
      <c r="BL29" s="29">
        <v>100</v>
      </c>
      <c r="BM29" s="29">
        <v>100</v>
      </c>
      <c r="BN29" s="65"/>
      <c r="BO29" s="29">
        <f t="shared" si="51"/>
        <v>100</v>
      </c>
      <c r="BP29" s="29">
        <f t="shared" si="37"/>
        <v>100</v>
      </c>
      <c r="BQ29" s="29">
        <f t="shared" si="38"/>
        <v>100</v>
      </c>
      <c r="BR29" s="65"/>
      <c r="BS29" s="29">
        <f t="shared" si="59"/>
        <v>100</v>
      </c>
      <c r="BT29" s="29">
        <f t="shared" si="52"/>
        <v>701</v>
      </c>
      <c r="BU29" s="29">
        <f t="shared" si="53"/>
        <v>100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100</v>
      </c>
      <c r="BL30" s="29">
        <v>100</v>
      </c>
      <c r="BM30" s="29">
        <v>100</v>
      </c>
      <c r="BN30" s="65"/>
      <c r="BO30" s="29">
        <f t="shared" si="51"/>
        <v>100</v>
      </c>
      <c r="BP30" s="29">
        <f t="shared" si="37"/>
        <v>100</v>
      </c>
      <c r="BQ30" s="29">
        <f t="shared" si="38"/>
        <v>100</v>
      </c>
      <c r="BR30" s="65"/>
      <c r="BS30" s="29">
        <f t="shared" si="59"/>
        <v>100</v>
      </c>
      <c r="BT30" s="29">
        <f t="shared" si="52"/>
        <v>100</v>
      </c>
      <c r="BU30" s="29">
        <f t="shared" si="53"/>
        <v>100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100</v>
      </c>
      <c r="BL31" s="29">
        <v>100</v>
      </c>
      <c r="BM31" s="29">
        <v>100</v>
      </c>
      <c r="BN31" s="65"/>
      <c r="BO31" s="29">
        <f t="shared" si="51"/>
        <v>100</v>
      </c>
      <c r="BP31" s="29">
        <f t="shared" si="37"/>
        <v>100</v>
      </c>
      <c r="BQ31" s="29">
        <f t="shared" si="38"/>
        <v>100</v>
      </c>
      <c r="BR31" s="65"/>
      <c r="BS31" s="29">
        <f t="shared" si="59"/>
        <v>100</v>
      </c>
      <c r="BT31" s="29">
        <f t="shared" si="52"/>
        <v>100</v>
      </c>
      <c r="BU31" s="29">
        <f t="shared" si="53"/>
        <v>100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100</v>
      </c>
      <c r="BL32" s="29">
        <v>100</v>
      </c>
      <c r="BM32" s="29">
        <v>677</v>
      </c>
      <c r="BN32" s="65"/>
      <c r="BO32" s="29">
        <f t="shared" si="51"/>
        <v>100</v>
      </c>
      <c r="BP32" s="29">
        <f t="shared" si="37"/>
        <v>100</v>
      </c>
      <c r="BQ32" s="29">
        <f t="shared" si="38"/>
        <v>100</v>
      </c>
      <c r="BR32" s="65"/>
      <c r="BS32" s="29">
        <f t="shared" si="59"/>
        <v>100</v>
      </c>
      <c r="BT32" s="29">
        <f t="shared" si="52"/>
        <v>100</v>
      </c>
      <c r="BU32" s="29">
        <f t="shared" si="53"/>
        <v>100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100</v>
      </c>
      <c r="BL33" s="29">
        <v>100</v>
      </c>
      <c r="BM33" s="29">
        <v>564</v>
      </c>
      <c r="BN33" s="65"/>
      <c r="BO33" s="29">
        <f t="shared" si="51"/>
        <v>100</v>
      </c>
      <c r="BP33" s="29">
        <f t="shared" si="37"/>
        <v>100</v>
      </c>
      <c r="BQ33" s="29">
        <f t="shared" si="38"/>
        <v>677</v>
      </c>
      <c r="BR33" s="65"/>
      <c r="BS33" s="29">
        <f t="shared" si="59"/>
        <v>100</v>
      </c>
      <c r="BT33" s="29">
        <f t="shared" si="52"/>
        <v>100</v>
      </c>
      <c r="BU33" s="29">
        <f t="shared" si="53"/>
        <v>100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100</v>
      </c>
      <c r="BL34" s="29">
        <v>100</v>
      </c>
      <c r="BM34" s="29">
        <v>451</v>
      </c>
      <c r="BN34" s="65"/>
      <c r="BO34" s="29">
        <f t="shared" si="51"/>
        <v>100</v>
      </c>
      <c r="BP34" s="29">
        <f t="shared" si="37"/>
        <v>100</v>
      </c>
      <c r="BQ34" s="29">
        <f t="shared" si="38"/>
        <v>564</v>
      </c>
      <c r="BR34" s="65"/>
      <c r="BS34" s="29">
        <f t="shared" si="59"/>
        <v>100</v>
      </c>
      <c r="BT34" s="29">
        <f t="shared" si="52"/>
        <v>100</v>
      </c>
      <c r="BU34" s="29">
        <f t="shared" si="53"/>
        <v>677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100</v>
      </c>
      <c r="BL35" s="29">
        <v>100</v>
      </c>
      <c r="BM35" s="29">
        <v>564</v>
      </c>
      <c r="BN35" s="65"/>
      <c r="BO35" s="29">
        <f t="shared" si="51"/>
        <v>100</v>
      </c>
      <c r="BP35" s="29">
        <f t="shared" si="37"/>
        <v>100</v>
      </c>
      <c r="BQ35" s="29">
        <f t="shared" si="38"/>
        <v>451</v>
      </c>
      <c r="BR35" s="65"/>
      <c r="BS35" s="29">
        <f t="shared" si="59"/>
        <v>100</v>
      </c>
      <c r="BT35" s="29">
        <f t="shared" si="52"/>
        <v>100</v>
      </c>
      <c r="BU35" s="29">
        <f t="shared" si="53"/>
        <v>564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100</v>
      </c>
      <c r="BL36" s="29">
        <v>100</v>
      </c>
      <c r="BM36" s="29">
        <v>677</v>
      </c>
      <c r="BN36" s="65"/>
      <c r="BO36" s="29">
        <f t="shared" si="51"/>
        <v>100</v>
      </c>
      <c r="BP36" s="29">
        <f t="shared" si="37"/>
        <v>100</v>
      </c>
      <c r="BQ36" s="29">
        <f t="shared" si="38"/>
        <v>564</v>
      </c>
      <c r="BR36" s="65"/>
      <c r="BS36" s="29">
        <f t="shared" si="59"/>
        <v>100</v>
      </c>
      <c r="BT36" s="29">
        <f t="shared" si="52"/>
        <v>100</v>
      </c>
      <c r="BU36" s="29">
        <f t="shared" si="53"/>
        <v>451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100</v>
      </c>
      <c r="BL37" s="29">
        <v>100</v>
      </c>
      <c r="BM37" s="29">
        <v>100</v>
      </c>
      <c r="BN37" s="65"/>
      <c r="BO37" s="29">
        <f t="shared" si="51"/>
        <v>100</v>
      </c>
      <c r="BP37" s="29">
        <f t="shared" si="37"/>
        <v>100</v>
      </c>
      <c r="BQ37" s="29">
        <f t="shared" si="38"/>
        <v>677</v>
      </c>
      <c r="BR37" s="65"/>
      <c r="BS37" s="29">
        <f t="shared" si="59"/>
        <v>100</v>
      </c>
      <c r="BT37" s="29">
        <f t="shared" si="52"/>
        <v>100</v>
      </c>
      <c r="BU37" s="29">
        <f t="shared" si="53"/>
        <v>564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100</v>
      </c>
      <c r="BL38" s="29">
        <v>100</v>
      </c>
      <c r="BM38" s="29">
        <v>100</v>
      </c>
      <c r="BN38" s="65"/>
      <c r="BO38" s="29">
        <f t="shared" si="51"/>
        <v>100</v>
      </c>
      <c r="BP38" s="29">
        <f t="shared" si="37"/>
        <v>100</v>
      </c>
      <c r="BQ38" s="29">
        <f t="shared" si="38"/>
        <v>100</v>
      </c>
      <c r="BR38" s="65"/>
      <c r="BS38" s="29">
        <f t="shared" si="59"/>
        <v>100</v>
      </c>
      <c r="BT38" s="29">
        <f t="shared" si="52"/>
        <v>100</v>
      </c>
      <c r="BU38" s="29">
        <f t="shared" si="53"/>
        <v>677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100</v>
      </c>
      <c r="BL39" s="29">
        <v>100</v>
      </c>
      <c r="BM39" s="29">
        <v>100</v>
      </c>
      <c r="BN39" s="65"/>
      <c r="BO39" s="29">
        <f t="shared" si="51"/>
        <v>100</v>
      </c>
      <c r="BP39" s="29">
        <f t="shared" si="37"/>
        <v>100</v>
      </c>
      <c r="BQ39" s="29">
        <f t="shared" si="38"/>
        <v>100</v>
      </c>
      <c r="BR39" s="65"/>
      <c r="BS39" s="29">
        <f t="shared" si="59"/>
        <v>100</v>
      </c>
      <c r="BT39" s="29">
        <f t="shared" si="52"/>
        <v>100</v>
      </c>
      <c r="BU39" s="29">
        <f t="shared" si="53"/>
        <v>100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100</v>
      </c>
      <c r="BL40" s="29">
        <v>100</v>
      </c>
      <c r="BM40" s="29">
        <v>100</v>
      </c>
      <c r="BN40" s="65"/>
      <c r="BO40" s="29">
        <f t="shared" si="51"/>
        <v>100</v>
      </c>
      <c r="BP40" s="29">
        <f t="shared" si="37"/>
        <v>100</v>
      </c>
      <c r="BQ40" s="29">
        <f t="shared" si="38"/>
        <v>100</v>
      </c>
      <c r="BR40" s="65"/>
      <c r="BS40" s="29">
        <f t="shared" si="59"/>
        <v>100</v>
      </c>
      <c r="BT40" s="29">
        <f t="shared" si="52"/>
        <v>100</v>
      </c>
      <c r="BU40" s="29">
        <f t="shared" si="53"/>
        <v>100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100</v>
      </c>
      <c r="BL41" s="29">
        <v>100</v>
      </c>
      <c r="BM41" s="29">
        <v>100</v>
      </c>
      <c r="BN41" s="65"/>
      <c r="BO41" s="29">
        <f t="shared" si="51"/>
        <v>100</v>
      </c>
      <c r="BP41" s="29">
        <f t="shared" si="37"/>
        <v>100</v>
      </c>
      <c r="BQ41" s="29">
        <f t="shared" si="38"/>
        <v>100</v>
      </c>
      <c r="BR41" s="65"/>
      <c r="BS41" s="29">
        <f t="shared" si="59"/>
        <v>100</v>
      </c>
      <c r="BT41" s="29">
        <f t="shared" si="52"/>
        <v>100</v>
      </c>
      <c r="BU41" s="29">
        <f t="shared" si="53"/>
        <v>100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100</v>
      </c>
      <c r="BL42" s="29">
        <v>100</v>
      </c>
      <c r="BM42" s="29">
        <v>100</v>
      </c>
      <c r="BN42" s="65"/>
      <c r="BO42" s="29">
        <f t="shared" si="51"/>
        <v>100</v>
      </c>
      <c r="BP42" s="29">
        <f t="shared" si="37"/>
        <v>100</v>
      </c>
      <c r="BQ42" s="29">
        <f t="shared" si="38"/>
        <v>100</v>
      </c>
      <c r="BR42" s="65"/>
      <c r="BS42" s="29">
        <f t="shared" si="59"/>
        <v>100</v>
      </c>
      <c r="BT42" s="29">
        <f t="shared" si="52"/>
        <v>100</v>
      </c>
      <c r="BU42" s="29">
        <f t="shared" si="53"/>
        <v>100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100</v>
      </c>
      <c r="BL43" s="29">
        <v>100</v>
      </c>
      <c r="BM43" s="29">
        <v>100</v>
      </c>
      <c r="BN43" s="65"/>
      <c r="BO43" s="29">
        <f t="shared" si="51"/>
        <v>100</v>
      </c>
      <c r="BP43" s="29">
        <f t="shared" si="37"/>
        <v>100</v>
      </c>
      <c r="BQ43" s="29">
        <f t="shared" si="38"/>
        <v>100</v>
      </c>
      <c r="BR43" s="65"/>
      <c r="BS43" s="29">
        <f t="shared" si="59"/>
        <v>100</v>
      </c>
      <c r="BT43" s="29">
        <f t="shared" si="52"/>
        <v>100</v>
      </c>
      <c r="BU43" s="29">
        <f t="shared" si="53"/>
        <v>100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100</v>
      </c>
      <c r="BL44" s="29">
        <v>100</v>
      </c>
      <c r="BM44" s="29">
        <v>100</v>
      </c>
      <c r="BN44" s="65"/>
      <c r="BO44" s="29">
        <f t="shared" si="51"/>
        <v>100</v>
      </c>
      <c r="BP44" s="29">
        <f t="shared" si="37"/>
        <v>100</v>
      </c>
      <c r="BQ44" s="29">
        <f t="shared" si="38"/>
        <v>100</v>
      </c>
      <c r="BR44" s="65"/>
      <c r="BS44" s="29">
        <f t="shared" si="59"/>
        <v>100</v>
      </c>
      <c r="BT44" s="29">
        <f t="shared" si="52"/>
        <v>100</v>
      </c>
      <c r="BU44" s="29">
        <f t="shared" si="53"/>
        <v>100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100</v>
      </c>
      <c r="BL45" s="29">
        <v>100</v>
      </c>
      <c r="BM45" s="29">
        <v>100</v>
      </c>
      <c r="BN45" s="65"/>
      <c r="BO45" s="29">
        <f t="shared" si="51"/>
        <v>100</v>
      </c>
      <c r="BP45" s="29">
        <f t="shared" si="37"/>
        <v>100</v>
      </c>
      <c r="BQ45" s="29">
        <f t="shared" si="38"/>
        <v>100</v>
      </c>
      <c r="BR45" s="65"/>
      <c r="BS45" s="29">
        <f t="shared" si="59"/>
        <v>100</v>
      </c>
      <c r="BT45" s="29">
        <f t="shared" si="52"/>
        <v>100</v>
      </c>
      <c r="BU45" s="29">
        <f t="shared" si="53"/>
        <v>100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100</v>
      </c>
      <c r="BL46" s="29">
        <v>100</v>
      </c>
      <c r="BM46" s="29">
        <v>100</v>
      </c>
      <c r="BN46" s="65"/>
      <c r="BO46" s="29">
        <f t="shared" si="51"/>
        <v>100</v>
      </c>
      <c r="BP46" s="29">
        <f t="shared" si="37"/>
        <v>100</v>
      </c>
      <c r="BQ46" s="29">
        <f t="shared" si="38"/>
        <v>100</v>
      </c>
      <c r="BR46" s="65"/>
      <c r="BS46" s="29">
        <f t="shared" si="59"/>
        <v>100</v>
      </c>
      <c r="BT46" s="29">
        <f t="shared" si="52"/>
        <v>100</v>
      </c>
      <c r="BU46" s="29">
        <f t="shared" si="53"/>
        <v>100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100</v>
      </c>
      <c r="BL47" s="29">
        <v>100</v>
      </c>
      <c r="BM47" s="29">
        <v>100</v>
      </c>
      <c r="BN47" s="65"/>
      <c r="BO47" s="29">
        <f t="shared" si="51"/>
        <v>100</v>
      </c>
      <c r="BP47" s="29">
        <f t="shared" si="37"/>
        <v>100</v>
      </c>
      <c r="BQ47" s="29">
        <f t="shared" si="38"/>
        <v>100</v>
      </c>
      <c r="BR47" s="65"/>
      <c r="BS47" s="29">
        <f t="shared" si="59"/>
        <v>100</v>
      </c>
      <c r="BT47" s="29">
        <f t="shared" si="52"/>
        <v>100</v>
      </c>
      <c r="BU47" s="29">
        <f t="shared" si="53"/>
        <v>100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100</v>
      </c>
      <c r="BL48" s="29">
        <v>100</v>
      </c>
      <c r="BM48" s="29">
        <v>100</v>
      </c>
      <c r="BN48" s="65"/>
      <c r="BO48" s="29">
        <f t="shared" si="51"/>
        <v>100</v>
      </c>
      <c r="BP48" s="29">
        <f t="shared" si="37"/>
        <v>100</v>
      </c>
      <c r="BQ48" s="29">
        <f t="shared" si="38"/>
        <v>100</v>
      </c>
      <c r="BR48" s="65"/>
      <c r="BS48" s="29">
        <f t="shared" si="59"/>
        <v>100</v>
      </c>
      <c r="BT48" s="29">
        <f t="shared" si="52"/>
        <v>100</v>
      </c>
      <c r="BU48" s="29">
        <f t="shared" si="53"/>
        <v>100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100</v>
      </c>
      <c r="BL49" s="29">
        <v>100</v>
      </c>
      <c r="BM49" s="29">
        <v>100</v>
      </c>
      <c r="BN49" s="65"/>
      <c r="BO49" s="29">
        <f t="shared" si="51"/>
        <v>100</v>
      </c>
      <c r="BP49" s="29">
        <f t="shared" si="37"/>
        <v>100</v>
      </c>
      <c r="BQ49" s="29">
        <f t="shared" si="38"/>
        <v>100</v>
      </c>
      <c r="BR49" s="65"/>
      <c r="BS49" s="29">
        <f t="shared" si="59"/>
        <v>100</v>
      </c>
      <c r="BT49" s="29">
        <f t="shared" si="52"/>
        <v>100</v>
      </c>
      <c r="BU49" s="29">
        <f t="shared" si="53"/>
        <v>100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100</v>
      </c>
      <c r="BL50" s="29">
        <v>100</v>
      </c>
      <c r="BM50" s="29">
        <v>100</v>
      </c>
      <c r="BN50" s="65"/>
      <c r="BO50" s="29">
        <f t="shared" si="51"/>
        <v>100</v>
      </c>
      <c r="BP50" s="29">
        <f t="shared" si="37"/>
        <v>100</v>
      </c>
      <c r="BQ50" s="29">
        <f t="shared" si="38"/>
        <v>100</v>
      </c>
      <c r="BR50" s="65"/>
      <c r="BS50" s="29">
        <f t="shared" si="59"/>
        <v>100</v>
      </c>
      <c r="BT50" s="29">
        <f t="shared" si="52"/>
        <v>100</v>
      </c>
      <c r="BU50" s="29">
        <f t="shared" si="53"/>
        <v>100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447</v>
      </c>
      <c r="BL51" s="29">
        <v>701</v>
      </c>
      <c r="BM51" s="29">
        <v>100</v>
      </c>
      <c r="BN51" s="65"/>
      <c r="BO51" s="29">
        <f t="shared" si="51"/>
        <v>100</v>
      </c>
      <c r="BP51" s="29">
        <f t="shared" si="37"/>
        <v>100</v>
      </c>
      <c r="BQ51" s="29">
        <f t="shared" si="38"/>
        <v>100</v>
      </c>
      <c r="BR51" s="65"/>
      <c r="BS51" s="29">
        <f t="shared" si="59"/>
        <v>100</v>
      </c>
      <c r="BT51" s="29">
        <f t="shared" si="52"/>
        <v>100</v>
      </c>
      <c r="BU51" s="29">
        <f t="shared" si="53"/>
        <v>100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373</v>
      </c>
      <c r="BL52" s="29">
        <v>584</v>
      </c>
      <c r="BM52" s="29">
        <v>100</v>
      </c>
      <c r="BN52" s="65"/>
      <c r="BO52" s="29">
        <f t="shared" si="51"/>
        <v>447</v>
      </c>
      <c r="BP52" s="29">
        <f t="shared" si="37"/>
        <v>701</v>
      </c>
      <c r="BQ52" s="29">
        <f t="shared" si="38"/>
        <v>100</v>
      </c>
      <c r="BR52" s="65"/>
      <c r="BS52" s="29">
        <f t="shared" si="59"/>
        <v>100</v>
      </c>
      <c r="BT52" s="29">
        <f t="shared" si="52"/>
        <v>100</v>
      </c>
      <c r="BU52" s="29">
        <f t="shared" si="53"/>
        <v>100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9" t="s">
        <v>148</v>
      </c>
      <c r="B53" s="319"/>
      <c r="C53" s="319"/>
      <c r="D53" s="319"/>
      <c r="E53" s="319"/>
      <c r="F53" s="319"/>
      <c r="H53" s="319" t="s">
        <v>149</v>
      </c>
      <c r="I53" s="319"/>
      <c r="J53" s="319"/>
      <c r="K53" s="319"/>
      <c r="L53" s="319"/>
      <c r="M53" s="319"/>
      <c r="O53" s="319" t="s">
        <v>150</v>
      </c>
      <c r="P53" s="319"/>
      <c r="Q53" s="319"/>
      <c r="R53" s="319"/>
      <c r="S53" s="319"/>
      <c r="T53" s="319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298</v>
      </c>
      <c r="BL53" s="29">
        <v>467</v>
      </c>
      <c r="BM53" s="29">
        <v>100</v>
      </c>
      <c r="BN53" s="65"/>
      <c r="BO53" s="29">
        <f t="shared" si="51"/>
        <v>373</v>
      </c>
      <c r="BP53" s="29">
        <f t="shared" si="37"/>
        <v>584</v>
      </c>
      <c r="BQ53" s="29">
        <f t="shared" si="38"/>
        <v>100</v>
      </c>
      <c r="BR53" s="65"/>
      <c r="BS53" s="29">
        <f t="shared" si="59"/>
        <v>447</v>
      </c>
      <c r="BT53" s="29">
        <f t="shared" si="52"/>
        <v>701</v>
      </c>
      <c r="BU53" s="29">
        <f t="shared" si="53"/>
        <v>100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373</v>
      </c>
      <c r="BL54" s="29">
        <v>584</v>
      </c>
      <c r="BM54" s="29">
        <v>100</v>
      </c>
      <c r="BN54" s="65"/>
      <c r="BO54" s="29">
        <f t="shared" si="51"/>
        <v>298</v>
      </c>
      <c r="BP54" s="29">
        <f t="shared" si="37"/>
        <v>467</v>
      </c>
      <c r="BQ54" s="29">
        <f t="shared" si="38"/>
        <v>100</v>
      </c>
      <c r="BR54" s="65"/>
      <c r="BS54" s="29">
        <f t="shared" si="59"/>
        <v>373</v>
      </c>
      <c r="BT54" s="29">
        <f t="shared" si="52"/>
        <v>584</v>
      </c>
      <c r="BU54" s="29">
        <f t="shared" si="53"/>
        <v>100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447</v>
      </c>
      <c r="BL55" s="29">
        <v>701</v>
      </c>
      <c r="BM55" s="29">
        <v>100</v>
      </c>
      <c r="BN55" s="65"/>
      <c r="BO55" s="29">
        <f t="shared" si="51"/>
        <v>373</v>
      </c>
      <c r="BP55" s="29">
        <f t="shared" si="37"/>
        <v>584</v>
      </c>
      <c r="BQ55" s="29">
        <f t="shared" si="38"/>
        <v>100</v>
      </c>
      <c r="BR55" s="65"/>
      <c r="BS55" s="29">
        <f t="shared" si="59"/>
        <v>298</v>
      </c>
      <c r="BT55" s="29">
        <f t="shared" si="52"/>
        <v>467</v>
      </c>
      <c r="BU55" s="29">
        <f t="shared" si="53"/>
        <v>100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100</v>
      </c>
      <c r="BL56" s="29">
        <v>100</v>
      </c>
      <c r="BM56" s="29">
        <v>100</v>
      </c>
      <c r="BN56" s="65"/>
      <c r="BO56" s="29">
        <f t="shared" si="51"/>
        <v>447</v>
      </c>
      <c r="BP56" s="29">
        <f t="shared" si="37"/>
        <v>701</v>
      </c>
      <c r="BQ56" s="29">
        <f t="shared" si="38"/>
        <v>100</v>
      </c>
      <c r="BR56" s="65"/>
      <c r="BS56" s="29">
        <f t="shared" si="59"/>
        <v>373</v>
      </c>
      <c r="BT56" s="29">
        <f t="shared" si="52"/>
        <v>584</v>
      </c>
      <c r="BU56" s="29">
        <f t="shared" si="53"/>
        <v>100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100</v>
      </c>
      <c r="BL57" s="29">
        <v>100</v>
      </c>
      <c r="BM57" s="29">
        <v>100</v>
      </c>
      <c r="BN57" s="65"/>
      <c r="BO57" s="29">
        <f t="shared" si="51"/>
        <v>100</v>
      </c>
      <c r="BP57" s="29">
        <f t="shared" si="37"/>
        <v>100</v>
      </c>
      <c r="BQ57" s="29">
        <f t="shared" si="38"/>
        <v>100</v>
      </c>
      <c r="BR57" s="65"/>
      <c r="BS57" s="29">
        <f t="shared" si="59"/>
        <v>447</v>
      </c>
      <c r="BT57" s="29">
        <f t="shared" si="52"/>
        <v>701</v>
      </c>
      <c r="BU57" s="29">
        <f t="shared" si="53"/>
        <v>100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100</v>
      </c>
      <c r="BL58" s="29">
        <v>100</v>
      </c>
      <c r="BM58" s="29">
        <v>100</v>
      </c>
      <c r="BN58" s="65"/>
      <c r="BO58" s="29">
        <f t="shared" si="51"/>
        <v>100</v>
      </c>
      <c r="BP58" s="29">
        <f t="shared" si="37"/>
        <v>100</v>
      </c>
      <c r="BQ58" s="29">
        <f t="shared" si="38"/>
        <v>100</v>
      </c>
      <c r="BR58" s="65"/>
      <c r="BS58" s="29">
        <f t="shared" si="59"/>
        <v>100</v>
      </c>
      <c r="BT58" s="29">
        <f t="shared" si="52"/>
        <v>100</v>
      </c>
      <c r="BU58" s="29">
        <f t="shared" si="53"/>
        <v>100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100</v>
      </c>
      <c r="BL59" s="29">
        <v>100</v>
      </c>
      <c r="BM59" s="29">
        <v>100</v>
      </c>
      <c r="BN59" s="65"/>
      <c r="BO59" s="29">
        <f t="shared" si="51"/>
        <v>100</v>
      </c>
      <c r="BP59" s="29">
        <f t="shared" si="37"/>
        <v>100</v>
      </c>
      <c r="BQ59" s="29">
        <f t="shared" si="38"/>
        <v>100</v>
      </c>
      <c r="BR59" s="65"/>
      <c r="BS59" s="29">
        <f t="shared" si="59"/>
        <v>100</v>
      </c>
      <c r="BT59" s="29">
        <f t="shared" si="52"/>
        <v>100</v>
      </c>
      <c r="BU59" s="29">
        <f t="shared" si="53"/>
        <v>100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100</v>
      </c>
      <c r="BL60" s="29">
        <v>100</v>
      </c>
      <c r="BM60" s="29">
        <v>100</v>
      </c>
      <c r="BN60" s="65"/>
      <c r="BO60" s="29">
        <f t="shared" si="51"/>
        <v>100</v>
      </c>
      <c r="BP60" s="29">
        <f t="shared" si="37"/>
        <v>100</v>
      </c>
      <c r="BQ60" s="29">
        <f t="shared" si="38"/>
        <v>100</v>
      </c>
      <c r="BR60" s="65"/>
      <c r="BS60" s="29">
        <f t="shared" si="59"/>
        <v>100</v>
      </c>
      <c r="BT60" s="29">
        <f t="shared" si="52"/>
        <v>100</v>
      </c>
      <c r="BU60" s="29">
        <f t="shared" si="53"/>
        <v>100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100</v>
      </c>
      <c r="BL61" s="29">
        <v>100</v>
      </c>
      <c r="BM61" s="29">
        <v>100</v>
      </c>
      <c r="BN61" s="65"/>
      <c r="BO61" s="29">
        <f t="shared" si="51"/>
        <v>100</v>
      </c>
      <c r="BP61" s="29">
        <f t="shared" si="37"/>
        <v>100</v>
      </c>
      <c r="BQ61" s="29">
        <f t="shared" si="38"/>
        <v>100</v>
      </c>
      <c r="BR61" s="65"/>
      <c r="BS61" s="29">
        <f t="shared" si="59"/>
        <v>100</v>
      </c>
      <c r="BT61" s="29">
        <f t="shared" si="52"/>
        <v>100</v>
      </c>
      <c r="BU61" s="29">
        <f t="shared" si="53"/>
        <v>100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100</v>
      </c>
      <c r="BL62" s="29">
        <v>100</v>
      </c>
      <c r="BM62" s="29">
        <v>100</v>
      </c>
      <c r="BN62" s="65"/>
      <c r="BO62" s="29">
        <f t="shared" si="51"/>
        <v>100</v>
      </c>
      <c r="BP62" s="29">
        <f t="shared" si="37"/>
        <v>100</v>
      </c>
      <c r="BQ62" s="29">
        <f t="shared" si="38"/>
        <v>100</v>
      </c>
      <c r="BR62" s="65"/>
      <c r="BS62" s="29">
        <f t="shared" si="59"/>
        <v>100</v>
      </c>
      <c r="BT62" s="29">
        <f t="shared" si="52"/>
        <v>100</v>
      </c>
      <c r="BU62" s="29">
        <f t="shared" si="53"/>
        <v>100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100</v>
      </c>
      <c r="BL63" s="29">
        <v>100</v>
      </c>
      <c r="BM63" s="29">
        <v>100</v>
      </c>
      <c r="BN63" s="65"/>
      <c r="BO63" s="29">
        <f t="shared" si="51"/>
        <v>100</v>
      </c>
      <c r="BP63" s="29">
        <f t="shared" si="37"/>
        <v>100</v>
      </c>
      <c r="BQ63" s="29">
        <f t="shared" si="38"/>
        <v>100</v>
      </c>
      <c r="BR63" s="65"/>
      <c r="BS63" s="29">
        <f t="shared" si="59"/>
        <v>100</v>
      </c>
      <c r="BT63" s="29">
        <f t="shared" si="52"/>
        <v>100</v>
      </c>
      <c r="BU63" s="29">
        <f t="shared" si="53"/>
        <v>100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100</v>
      </c>
      <c r="BL64" s="29">
        <v>100</v>
      </c>
      <c r="BM64" s="29">
        <v>100</v>
      </c>
      <c r="BN64" s="65"/>
      <c r="BO64" s="29">
        <f t="shared" si="51"/>
        <v>100</v>
      </c>
      <c r="BP64" s="29">
        <f t="shared" si="37"/>
        <v>100</v>
      </c>
      <c r="BQ64" s="29">
        <f t="shared" si="38"/>
        <v>100</v>
      </c>
      <c r="BR64" s="65"/>
      <c r="BS64" s="29">
        <f t="shared" si="59"/>
        <v>100</v>
      </c>
      <c r="BT64" s="29">
        <f t="shared" si="52"/>
        <v>100</v>
      </c>
      <c r="BU64" s="29">
        <f t="shared" si="53"/>
        <v>100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100</v>
      </c>
      <c r="BL65" s="29">
        <v>100</v>
      </c>
      <c r="BM65" s="29">
        <v>100</v>
      </c>
      <c r="BN65" s="65"/>
      <c r="BO65" s="29">
        <f t="shared" si="51"/>
        <v>100</v>
      </c>
      <c r="BP65" s="29">
        <f t="shared" si="37"/>
        <v>100</v>
      </c>
      <c r="BQ65" s="29">
        <f t="shared" si="38"/>
        <v>100</v>
      </c>
      <c r="BR65" s="65"/>
      <c r="BS65" s="29">
        <f t="shared" si="59"/>
        <v>100</v>
      </c>
      <c r="BT65" s="29">
        <f t="shared" si="52"/>
        <v>100</v>
      </c>
      <c r="BU65" s="29">
        <f t="shared" si="53"/>
        <v>100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100</v>
      </c>
      <c r="BL66" s="29">
        <v>100</v>
      </c>
      <c r="BM66" s="29">
        <v>100</v>
      </c>
      <c r="BO66" s="29">
        <f t="shared" si="51"/>
        <v>100</v>
      </c>
      <c r="BP66" s="29">
        <f t="shared" si="37"/>
        <v>100</v>
      </c>
      <c r="BQ66" s="29">
        <f t="shared" si="38"/>
        <v>100</v>
      </c>
      <c r="BR66" s="65"/>
      <c r="BS66" s="29">
        <f t="shared" si="59"/>
        <v>100</v>
      </c>
      <c r="BT66" s="29">
        <f t="shared" si="52"/>
        <v>100</v>
      </c>
      <c r="BU66" s="29">
        <f t="shared" si="53"/>
        <v>100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100</v>
      </c>
      <c r="BL67" s="29">
        <v>100</v>
      </c>
      <c r="BM67" s="29">
        <v>100</v>
      </c>
      <c r="BO67" s="29">
        <f t="shared" si="51"/>
        <v>100</v>
      </c>
      <c r="BP67" s="29">
        <f t="shared" si="37"/>
        <v>100</v>
      </c>
      <c r="BQ67" s="29">
        <f t="shared" si="38"/>
        <v>100</v>
      </c>
      <c r="BR67" s="65"/>
      <c r="BS67" s="29">
        <f t="shared" si="59"/>
        <v>100</v>
      </c>
      <c r="BT67" s="29">
        <f t="shared" si="52"/>
        <v>100</v>
      </c>
      <c r="BU67" s="29">
        <f t="shared" si="53"/>
        <v>100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100</v>
      </c>
      <c r="BL68" s="29">
        <v>100</v>
      </c>
      <c r="BM68" s="29">
        <v>100</v>
      </c>
      <c r="BO68" s="29">
        <f t="shared" si="51"/>
        <v>100</v>
      </c>
      <c r="BP68" s="29">
        <f t="shared" ref="BP68:BP131" si="86">IF(BL67="","",BL67)</f>
        <v>100</v>
      </c>
      <c r="BQ68" s="29">
        <f t="shared" ref="BQ68:BQ131" si="87">IF(BM67="","",BM67)</f>
        <v>100</v>
      </c>
      <c r="BR68" s="65"/>
      <c r="BS68" s="29">
        <f t="shared" si="59"/>
        <v>100</v>
      </c>
      <c r="BT68" s="29">
        <f t="shared" si="52"/>
        <v>100</v>
      </c>
      <c r="BU68" s="29">
        <f t="shared" si="53"/>
        <v>100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100</v>
      </c>
      <c r="BL69" s="29">
        <v>100</v>
      </c>
      <c r="BM69" s="29">
        <v>100</v>
      </c>
      <c r="BO69" s="29">
        <f t="shared" ref="BO69:BO132" si="97">IF(BK68="","",BK68)</f>
        <v>100</v>
      </c>
      <c r="BP69" s="29">
        <f t="shared" si="86"/>
        <v>100</v>
      </c>
      <c r="BQ69" s="29">
        <f t="shared" si="87"/>
        <v>100</v>
      </c>
      <c r="BR69" s="65"/>
      <c r="BS69" s="29">
        <f t="shared" si="59"/>
        <v>100</v>
      </c>
      <c r="BT69" s="29">
        <f t="shared" ref="BT69:BT132" si="98">IF(BL67="","",BL67)</f>
        <v>100</v>
      </c>
      <c r="BU69" s="29">
        <f t="shared" ref="BU69:BU132" si="99">IF(BM67="","",BM67)</f>
        <v>100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100</v>
      </c>
      <c r="BL70" s="29">
        <v>100</v>
      </c>
      <c r="BM70" s="29">
        <v>100</v>
      </c>
      <c r="BO70" s="29">
        <f t="shared" si="97"/>
        <v>100</v>
      </c>
      <c r="BP70" s="29">
        <f t="shared" si="86"/>
        <v>100</v>
      </c>
      <c r="BQ70" s="29">
        <f t="shared" si="87"/>
        <v>100</v>
      </c>
      <c r="BR70" s="65"/>
      <c r="BS70" s="29">
        <f t="shared" ref="BS70:BS133" si="105">IF(BK68="","",BK68)</f>
        <v>100</v>
      </c>
      <c r="BT70" s="29">
        <f t="shared" si="98"/>
        <v>100</v>
      </c>
      <c r="BU70" s="29">
        <f t="shared" si="99"/>
        <v>100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100</v>
      </c>
      <c r="BL71" s="29">
        <v>701</v>
      </c>
      <c r="BM71" s="29">
        <v>100</v>
      </c>
      <c r="BO71" s="29">
        <f t="shared" si="97"/>
        <v>100</v>
      </c>
      <c r="BP71" s="29">
        <f t="shared" si="86"/>
        <v>100</v>
      </c>
      <c r="BQ71" s="29">
        <f t="shared" si="87"/>
        <v>100</v>
      </c>
      <c r="BR71" s="65"/>
      <c r="BS71" s="29">
        <f t="shared" si="105"/>
        <v>100</v>
      </c>
      <c r="BT71" s="29">
        <f t="shared" si="98"/>
        <v>100</v>
      </c>
      <c r="BU71" s="29">
        <f t="shared" si="99"/>
        <v>100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100</v>
      </c>
      <c r="BL72" s="29">
        <v>584</v>
      </c>
      <c r="BM72" s="29">
        <v>100</v>
      </c>
      <c r="BO72" s="29">
        <f t="shared" si="97"/>
        <v>100</v>
      </c>
      <c r="BP72" s="29">
        <f t="shared" si="86"/>
        <v>701</v>
      </c>
      <c r="BQ72" s="29">
        <f t="shared" si="87"/>
        <v>100</v>
      </c>
      <c r="BR72" s="65"/>
      <c r="BS72" s="29">
        <f t="shared" si="105"/>
        <v>100</v>
      </c>
      <c r="BT72" s="29">
        <f t="shared" si="98"/>
        <v>100</v>
      </c>
      <c r="BU72" s="29">
        <f t="shared" si="99"/>
        <v>100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100</v>
      </c>
      <c r="BL73" s="29">
        <v>467</v>
      </c>
      <c r="BM73" s="29">
        <v>100</v>
      </c>
      <c r="BO73" s="29">
        <f t="shared" si="97"/>
        <v>100</v>
      </c>
      <c r="BP73" s="29">
        <f t="shared" si="86"/>
        <v>584</v>
      </c>
      <c r="BQ73" s="29">
        <f t="shared" si="87"/>
        <v>100</v>
      </c>
      <c r="BR73" s="65"/>
      <c r="BS73" s="29">
        <f t="shared" si="105"/>
        <v>100</v>
      </c>
      <c r="BT73" s="29">
        <f t="shared" si="98"/>
        <v>701</v>
      </c>
      <c r="BU73" s="29">
        <f t="shared" si="99"/>
        <v>100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100</v>
      </c>
      <c r="BL74" s="29">
        <v>584</v>
      </c>
      <c r="BM74" s="29">
        <v>100</v>
      </c>
      <c r="BO74" s="29">
        <f t="shared" si="97"/>
        <v>100</v>
      </c>
      <c r="BP74" s="29">
        <f t="shared" si="86"/>
        <v>467</v>
      </c>
      <c r="BQ74" s="29">
        <f t="shared" si="87"/>
        <v>100</v>
      </c>
      <c r="BR74" s="65"/>
      <c r="BS74" s="29">
        <f t="shared" si="105"/>
        <v>100</v>
      </c>
      <c r="BT74" s="29">
        <f t="shared" si="98"/>
        <v>584</v>
      </c>
      <c r="BU74" s="29">
        <f t="shared" si="99"/>
        <v>100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100</v>
      </c>
      <c r="BL75" s="29">
        <v>701</v>
      </c>
      <c r="BM75" s="29">
        <v>100</v>
      </c>
      <c r="BO75" s="29">
        <f t="shared" si="97"/>
        <v>100</v>
      </c>
      <c r="BP75" s="29">
        <f t="shared" si="86"/>
        <v>584</v>
      </c>
      <c r="BQ75" s="29">
        <f t="shared" si="87"/>
        <v>100</v>
      </c>
      <c r="BR75" s="65"/>
      <c r="BS75" s="29">
        <f t="shared" si="105"/>
        <v>100</v>
      </c>
      <c r="BT75" s="29">
        <f t="shared" si="98"/>
        <v>467</v>
      </c>
      <c r="BU75" s="29">
        <f t="shared" si="99"/>
        <v>100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100</v>
      </c>
      <c r="BL76" s="29">
        <v>100</v>
      </c>
      <c r="BM76" s="29">
        <v>100</v>
      </c>
      <c r="BO76" s="29">
        <f t="shared" si="97"/>
        <v>100</v>
      </c>
      <c r="BP76" s="29">
        <f t="shared" si="86"/>
        <v>701</v>
      </c>
      <c r="BQ76" s="29">
        <f t="shared" si="87"/>
        <v>100</v>
      </c>
      <c r="BR76" s="65"/>
      <c r="BS76" s="29">
        <f t="shared" si="105"/>
        <v>100</v>
      </c>
      <c r="BT76" s="29">
        <f t="shared" si="98"/>
        <v>584</v>
      </c>
      <c r="BU76" s="29">
        <f t="shared" si="99"/>
        <v>100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100</v>
      </c>
      <c r="BL77" s="29">
        <v>100</v>
      </c>
      <c r="BM77" s="29">
        <v>100</v>
      </c>
      <c r="BO77" s="29">
        <f t="shared" si="97"/>
        <v>100</v>
      </c>
      <c r="BP77" s="29">
        <f t="shared" si="86"/>
        <v>100</v>
      </c>
      <c r="BQ77" s="29">
        <f t="shared" si="87"/>
        <v>100</v>
      </c>
      <c r="BR77" s="65"/>
      <c r="BS77" s="29">
        <f t="shared" si="105"/>
        <v>100</v>
      </c>
      <c r="BT77" s="29">
        <f t="shared" si="98"/>
        <v>701</v>
      </c>
      <c r="BU77" s="29">
        <f t="shared" si="99"/>
        <v>100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100</v>
      </c>
      <c r="BL78" s="29">
        <v>100</v>
      </c>
      <c r="BM78" s="29">
        <v>100</v>
      </c>
      <c r="BO78" s="29">
        <f t="shared" si="97"/>
        <v>100</v>
      </c>
      <c r="BP78" s="29">
        <f t="shared" si="86"/>
        <v>100</v>
      </c>
      <c r="BQ78" s="29">
        <f t="shared" si="87"/>
        <v>100</v>
      </c>
      <c r="BR78" s="65"/>
      <c r="BS78" s="29">
        <f t="shared" si="105"/>
        <v>100</v>
      </c>
      <c r="BT78" s="29">
        <f t="shared" si="98"/>
        <v>100</v>
      </c>
      <c r="BU78" s="29">
        <f t="shared" si="99"/>
        <v>100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0" t="s">
        <v>151</v>
      </c>
      <c r="B79" s="320"/>
      <c r="C79" s="320"/>
      <c r="D79" s="320"/>
      <c r="E79" s="320"/>
      <c r="F79" s="320"/>
      <c r="H79" s="320" t="s">
        <v>152</v>
      </c>
      <c r="I79" s="320"/>
      <c r="J79" s="320"/>
      <c r="K79" s="320"/>
      <c r="L79" s="320"/>
      <c r="M79" s="320"/>
      <c r="O79" s="320" t="s">
        <v>153</v>
      </c>
      <c r="P79" s="320"/>
      <c r="Q79" s="320"/>
      <c r="R79" s="320"/>
      <c r="S79" s="320"/>
      <c r="T79" s="320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100</v>
      </c>
      <c r="BL79" s="29">
        <v>100</v>
      </c>
      <c r="BM79" s="29">
        <v>100</v>
      </c>
      <c r="BO79" s="29">
        <f t="shared" si="97"/>
        <v>100</v>
      </c>
      <c r="BP79" s="29">
        <f t="shared" si="86"/>
        <v>100</v>
      </c>
      <c r="BQ79" s="29">
        <f t="shared" si="87"/>
        <v>100</v>
      </c>
      <c r="BR79" s="65"/>
      <c r="BS79" s="29">
        <f t="shared" si="105"/>
        <v>100</v>
      </c>
      <c r="BT79" s="29">
        <f t="shared" si="98"/>
        <v>100</v>
      </c>
      <c r="BU79" s="29">
        <f t="shared" si="99"/>
        <v>100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100</v>
      </c>
      <c r="BL80" s="29">
        <v>100</v>
      </c>
      <c r="BM80" s="29">
        <v>100</v>
      </c>
      <c r="BO80" s="29">
        <f t="shared" si="97"/>
        <v>100</v>
      </c>
      <c r="BP80" s="29">
        <f t="shared" si="86"/>
        <v>100</v>
      </c>
      <c r="BQ80" s="29">
        <f t="shared" si="87"/>
        <v>100</v>
      </c>
      <c r="BR80" s="65"/>
      <c r="BS80" s="29">
        <f t="shared" si="105"/>
        <v>100</v>
      </c>
      <c r="BT80" s="29">
        <f t="shared" si="98"/>
        <v>100</v>
      </c>
      <c r="BU80" s="29">
        <f t="shared" si="99"/>
        <v>100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3354</v>
      </c>
      <c r="D81" s="77">
        <f t="shared" ref="D81:E81" si="106">SUMIF(X$3:X$211, $A81, BL$3:BL$211)</f>
        <v>12264</v>
      </c>
      <c r="E81" s="77">
        <f t="shared" si="106"/>
        <v>11844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3132</v>
      </c>
      <c r="K81" s="77">
        <f t="shared" ref="K81:L81" ca="1" si="107">SUMIF(X$3:X$211, $H81, BP$3:BP$211)</f>
        <v>11445</v>
      </c>
      <c r="L81" s="77">
        <f t="shared" si="107"/>
        <v>11053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3354</v>
      </c>
      <c r="R81" s="77">
        <f t="shared" ref="R81:S81" ca="1" si="108">SUMIF(X$3:X$211, $H81, BT$3:BT$211)</f>
        <v>12264</v>
      </c>
      <c r="S81" s="77">
        <f t="shared" si="108"/>
        <v>11844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100</v>
      </c>
      <c r="BL81" s="29">
        <v>100</v>
      </c>
      <c r="BM81" s="29">
        <v>100</v>
      </c>
      <c r="BO81" s="29">
        <f t="shared" si="97"/>
        <v>100</v>
      </c>
      <c r="BP81" s="29">
        <f t="shared" si="86"/>
        <v>100</v>
      </c>
      <c r="BQ81" s="29">
        <f t="shared" si="87"/>
        <v>100</v>
      </c>
      <c r="BR81" s="65"/>
      <c r="BS81" s="29">
        <f t="shared" si="105"/>
        <v>100</v>
      </c>
      <c r="BT81" s="29">
        <f t="shared" si="98"/>
        <v>100</v>
      </c>
      <c r="BU81" s="29">
        <f t="shared" si="99"/>
        <v>100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1400</v>
      </c>
      <c r="D82" s="70">
        <f t="shared" ref="D82:D88" si="110">SUMIF(X$3:X$211, $A82, BL$3:BL$211)</f>
        <v>2400</v>
      </c>
      <c r="E82" s="70">
        <f t="shared" ref="E82:E88" si="111">SUMIF(Y$3:Y$211, $A82, BM$3:BM$211)</f>
        <v>3341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1400</v>
      </c>
      <c r="K82" s="70">
        <f t="shared" ref="K82:K88" si="113">SUMIF(X$3:X$211, $H82, BP$3:BP$211)</f>
        <v>2400</v>
      </c>
      <c r="L82" s="70">
        <f t="shared" ref="L82:L88" ca="1" si="114">SUMIF(Y$3:Y$211, $H82, BQ$3:BQ$211)</f>
        <v>2877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1400</v>
      </c>
      <c r="R82" s="70">
        <f t="shared" ref="R82:R88" si="116">SUMIF(X$3:X$211, $H82, BT$3:BT$211)</f>
        <v>2400</v>
      </c>
      <c r="S82" s="70">
        <f t="shared" ref="S82:S88" ca="1" si="117">SUMIF(Y$3:Y$211, $H82, BU$3:BU$211)</f>
        <v>2300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100</v>
      </c>
      <c r="BL82" s="29">
        <v>100</v>
      </c>
      <c r="BM82" s="29">
        <v>100</v>
      </c>
      <c r="BO82" s="29">
        <f t="shared" si="97"/>
        <v>100</v>
      </c>
      <c r="BP82" s="29">
        <f t="shared" si="86"/>
        <v>100</v>
      </c>
      <c r="BQ82" s="29">
        <f t="shared" si="87"/>
        <v>100</v>
      </c>
      <c r="BR82" s="65"/>
      <c r="BS82" s="29">
        <f t="shared" si="105"/>
        <v>100</v>
      </c>
      <c r="BT82" s="29">
        <f t="shared" si="98"/>
        <v>100</v>
      </c>
      <c r="BU82" s="29">
        <f t="shared" si="99"/>
        <v>100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1300</v>
      </c>
      <c r="D83" s="70">
        <f t="shared" si="110"/>
        <v>2600</v>
      </c>
      <c r="E83" s="70">
        <f t="shared" si="111"/>
        <v>3741</v>
      </c>
      <c r="F83" s="58">
        <v>2</v>
      </c>
      <c r="H83" s="78" t="str">
        <v>M2</v>
      </c>
      <c r="I83" s="58" t="str">
        <v>M2</v>
      </c>
      <c r="J83" s="79">
        <f t="shared" si="112"/>
        <v>1300</v>
      </c>
      <c r="K83" s="70">
        <f t="shared" si="113"/>
        <v>3802</v>
      </c>
      <c r="L83" s="70">
        <f t="shared" si="114"/>
        <v>3277</v>
      </c>
      <c r="M83" s="58">
        <v>2</v>
      </c>
      <c r="O83" s="78" t="str">
        <v>M2</v>
      </c>
      <c r="P83" s="58" t="str">
        <v>M2</v>
      </c>
      <c r="Q83" s="79">
        <f t="shared" si="115"/>
        <v>1300</v>
      </c>
      <c r="R83" s="70">
        <f t="shared" si="116"/>
        <v>4770</v>
      </c>
      <c r="S83" s="70">
        <f t="shared" si="117"/>
        <v>2700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100</v>
      </c>
      <c r="BL83" s="29">
        <v>100</v>
      </c>
      <c r="BM83" s="29">
        <v>100</v>
      </c>
      <c r="BO83" s="29">
        <f t="shared" si="97"/>
        <v>100</v>
      </c>
      <c r="BP83" s="29">
        <f t="shared" si="86"/>
        <v>100</v>
      </c>
      <c r="BQ83" s="29">
        <f t="shared" si="87"/>
        <v>100</v>
      </c>
      <c r="BR83" s="65"/>
      <c r="BS83" s="29">
        <f t="shared" si="105"/>
        <v>100</v>
      </c>
      <c r="BT83" s="29">
        <f t="shared" si="98"/>
        <v>100</v>
      </c>
      <c r="BU83" s="29">
        <f t="shared" si="99"/>
        <v>100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1400</v>
      </c>
      <c r="D84" s="70">
        <f t="shared" si="110"/>
        <v>3585</v>
      </c>
      <c r="E84" s="70">
        <f t="shared" si="111"/>
        <v>2800</v>
      </c>
      <c r="F84" s="58">
        <v>3</v>
      </c>
      <c r="H84" s="78" t="str">
        <v>M3</v>
      </c>
      <c r="I84" s="58" t="str">
        <v>M3</v>
      </c>
      <c r="J84" s="79">
        <f t="shared" si="112"/>
        <v>1400</v>
      </c>
      <c r="K84" s="70">
        <f t="shared" si="113"/>
        <v>3101</v>
      </c>
      <c r="L84" s="70">
        <f t="shared" si="114"/>
        <v>3377</v>
      </c>
      <c r="M84" s="58">
        <v>3</v>
      </c>
      <c r="O84" s="78" t="str">
        <v>M3</v>
      </c>
      <c r="P84" s="58" t="str">
        <v>M3</v>
      </c>
      <c r="Q84" s="79">
        <f t="shared" si="115"/>
        <v>1400</v>
      </c>
      <c r="R84" s="70">
        <f t="shared" si="116"/>
        <v>2500</v>
      </c>
      <c r="S84" s="70">
        <f t="shared" si="117"/>
        <v>3841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100</v>
      </c>
      <c r="BL84" s="29">
        <v>100</v>
      </c>
      <c r="BM84" s="29">
        <v>100</v>
      </c>
      <c r="BO84" s="29">
        <f t="shared" si="97"/>
        <v>100</v>
      </c>
      <c r="BP84" s="29">
        <f t="shared" si="86"/>
        <v>100</v>
      </c>
      <c r="BQ84" s="29">
        <f t="shared" si="87"/>
        <v>100</v>
      </c>
      <c r="BR84" s="65"/>
      <c r="BS84" s="29">
        <f t="shared" si="105"/>
        <v>100</v>
      </c>
      <c r="BT84" s="29">
        <f t="shared" si="98"/>
        <v>100</v>
      </c>
      <c r="BU84" s="29">
        <f t="shared" si="99"/>
        <v>100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1800</v>
      </c>
      <c r="D85" s="70">
        <f t="shared" si="110"/>
        <v>7340</v>
      </c>
      <c r="E85" s="70">
        <f t="shared" si="111"/>
        <v>3341</v>
      </c>
      <c r="F85" s="58">
        <v>4</v>
      </c>
      <c r="H85" s="78" t="str">
        <v>A</v>
      </c>
      <c r="I85" s="58" t="str">
        <v>A</v>
      </c>
      <c r="J85" s="79">
        <f t="shared" si="112"/>
        <v>2494</v>
      </c>
      <c r="K85" s="70">
        <f t="shared" si="113"/>
        <v>6005</v>
      </c>
      <c r="L85" s="70">
        <f t="shared" si="114"/>
        <v>3454</v>
      </c>
      <c r="M85" s="58">
        <v>4</v>
      </c>
      <c r="O85" s="78" t="str">
        <v>A</v>
      </c>
      <c r="P85" s="58" t="str">
        <v>A</v>
      </c>
      <c r="Q85" s="79">
        <f t="shared" si="115"/>
        <v>3040</v>
      </c>
      <c r="R85" s="70">
        <f t="shared" si="116"/>
        <v>4085</v>
      </c>
      <c r="S85" s="70">
        <f t="shared" si="117"/>
        <v>3341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100</v>
      </c>
      <c r="BL85" s="29">
        <v>100</v>
      </c>
      <c r="BM85" s="29">
        <v>100</v>
      </c>
      <c r="BO85" s="29">
        <f t="shared" si="97"/>
        <v>100</v>
      </c>
      <c r="BP85" s="29">
        <f t="shared" si="86"/>
        <v>100</v>
      </c>
      <c r="BQ85" s="29">
        <f t="shared" si="87"/>
        <v>100</v>
      </c>
      <c r="BR85" s="65"/>
      <c r="BS85" s="29">
        <f t="shared" si="105"/>
        <v>100</v>
      </c>
      <c r="BT85" s="29">
        <f t="shared" si="98"/>
        <v>100</v>
      </c>
      <c r="BU85" s="29">
        <f t="shared" si="99"/>
        <v>100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2520</v>
      </c>
      <c r="D86" s="70">
        <f t="shared" si="110"/>
        <v>4970</v>
      </c>
      <c r="E86" s="70">
        <f t="shared" si="111"/>
        <v>4782</v>
      </c>
      <c r="F86" s="58">
        <v>5</v>
      </c>
      <c r="H86" s="78" t="str">
        <v>K</v>
      </c>
      <c r="I86" s="58" t="str">
        <v>K</v>
      </c>
      <c r="J86" s="79">
        <f t="shared" si="112"/>
        <v>2247</v>
      </c>
      <c r="K86" s="70">
        <f t="shared" si="113"/>
        <v>4002</v>
      </c>
      <c r="L86" s="70">
        <f t="shared" si="114"/>
        <v>3854</v>
      </c>
      <c r="M86" s="58">
        <v>5</v>
      </c>
      <c r="O86" s="78" t="str">
        <v>K</v>
      </c>
      <c r="P86" s="58" t="str">
        <v>K</v>
      </c>
      <c r="Q86" s="79">
        <f t="shared" ca="1" si="115"/>
        <v>1900</v>
      </c>
      <c r="R86" s="70">
        <f t="shared" si="116"/>
        <v>2800</v>
      </c>
      <c r="S86" s="70">
        <f t="shared" si="117"/>
        <v>2700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100</v>
      </c>
      <c r="BL86" s="29">
        <v>100</v>
      </c>
      <c r="BM86" s="29">
        <v>100</v>
      </c>
      <c r="BO86" s="29">
        <f t="shared" si="97"/>
        <v>100</v>
      </c>
      <c r="BP86" s="29">
        <f t="shared" si="86"/>
        <v>100</v>
      </c>
      <c r="BQ86" s="29">
        <f t="shared" si="87"/>
        <v>100</v>
      </c>
      <c r="BR86" s="65"/>
      <c r="BS86" s="29">
        <f t="shared" si="105"/>
        <v>100</v>
      </c>
      <c r="BT86" s="29">
        <f t="shared" si="98"/>
        <v>100</v>
      </c>
      <c r="BU86" s="29">
        <f t="shared" si="99"/>
        <v>100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2320</v>
      </c>
      <c r="D87" s="70">
        <f t="shared" si="110"/>
        <v>2900</v>
      </c>
      <c r="E87" s="70">
        <f t="shared" si="111"/>
        <v>2700</v>
      </c>
      <c r="F87" s="58">
        <v>6</v>
      </c>
      <c r="H87" s="78" t="str">
        <v>Q</v>
      </c>
      <c r="I87" s="58" t="str">
        <v>Q</v>
      </c>
      <c r="J87" s="79">
        <f t="shared" si="112"/>
        <v>2047</v>
      </c>
      <c r="K87" s="70">
        <f t="shared" si="113"/>
        <v>4703</v>
      </c>
      <c r="L87" s="70">
        <f t="shared" si="114"/>
        <v>3854</v>
      </c>
      <c r="M87" s="58">
        <v>6</v>
      </c>
      <c r="O87" s="78" t="str">
        <v>Q</v>
      </c>
      <c r="P87" s="58" t="str">
        <v>Q</v>
      </c>
      <c r="Q87" s="79">
        <f t="shared" si="115"/>
        <v>1700</v>
      </c>
      <c r="R87" s="70">
        <f t="shared" si="116"/>
        <v>6155</v>
      </c>
      <c r="S87" s="70">
        <f t="shared" si="117"/>
        <v>4782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100</v>
      </c>
      <c r="BL87" s="29">
        <v>100</v>
      </c>
      <c r="BM87" s="29">
        <v>100</v>
      </c>
      <c r="BO87" s="29">
        <f t="shared" si="97"/>
        <v>100</v>
      </c>
      <c r="BP87" s="29">
        <f t="shared" si="86"/>
        <v>100</v>
      </c>
      <c r="BQ87" s="29">
        <f t="shared" si="87"/>
        <v>100</v>
      </c>
      <c r="BR87" s="65"/>
      <c r="BS87" s="29">
        <f t="shared" si="105"/>
        <v>100</v>
      </c>
      <c r="BT87" s="29">
        <f t="shared" si="98"/>
        <v>100</v>
      </c>
      <c r="BU87" s="29">
        <f t="shared" si="99"/>
        <v>100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2520</v>
      </c>
      <c r="D88" s="70">
        <f t="shared" si="110"/>
        <v>2600</v>
      </c>
      <c r="E88" s="70">
        <f t="shared" si="111"/>
        <v>4782</v>
      </c>
      <c r="F88" s="58">
        <v>7</v>
      </c>
      <c r="H88" s="78" t="str">
        <v>J</v>
      </c>
      <c r="I88" s="58" t="str">
        <v>J</v>
      </c>
      <c r="J88" s="79">
        <f t="shared" ca="1" si="112"/>
        <v>2594</v>
      </c>
      <c r="K88" s="70">
        <f t="shared" si="113"/>
        <v>3201</v>
      </c>
      <c r="L88" s="70">
        <f t="shared" si="114"/>
        <v>5585</v>
      </c>
      <c r="M88" s="58">
        <v>7</v>
      </c>
      <c r="O88" s="78" t="str">
        <v>J</v>
      </c>
      <c r="P88" s="58" t="str">
        <v>J</v>
      </c>
      <c r="Q88" s="79">
        <f t="shared" ca="1" si="115"/>
        <v>2520</v>
      </c>
      <c r="R88" s="70">
        <f t="shared" si="116"/>
        <v>3685</v>
      </c>
      <c r="S88" s="70">
        <f t="shared" si="117"/>
        <v>5823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100</v>
      </c>
      <c r="BL88" s="29">
        <v>100</v>
      </c>
      <c r="BM88" s="29">
        <v>100</v>
      </c>
      <c r="BO88" s="29">
        <f t="shared" si="97"/>
        <v>100</v>
      </c>
      <c r="BP88" s="29">
        <f t="shared" si="86"/>
        <v>100</v>
      </c>
      <c r="BQ88" s="29">
        <f t="shared" si="87"/>
        <v>100</v>
      </c>
      <c r="BR88" s="65"/>
      <c r="BS88" s="29">
        <f t="shared" si="105"/>
        <v>100</v>
      </c>
      <c r="BT88" s="29">
        <f t="shared" si="98"/>
        <v>100</v>
      </c>
      <c r="BU88" s="29">
        <f t="shared" si="99"/>
        <v>100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100</v>
      </c>
      <c r="BL89" s="29">
        <v>100</v>
      </c>
      <c r="BM89" s="29">
        <v>100</v>
      </c>
      <c r="BO89" s="29">
        <f t="shared" si="97"/>
        <v>100</v>
      </c>
      <c r="BP89" s="29">
        <f t="shared" si="86"/>
        <v>100</v>
      </c>
      <c r="BQ89" s="29">
        <f t="shared" si="87"/>
        <v>100</v>
      </c>
      <c r="BR89" s="65"/>
      <c r="BS89" s="29">
        <f t="shared" si="105"/>
        <v>100</v>
      </c>
      <c r="BT89" s="29">
        <f t="shared" si="98"/>
        <v>100</v>
      </c>
      <c r="BU89" s="29">
        <f t="shared" si="99"/>
        <v>100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100</v>
      </c>
      <c r="BL90" s="29">
        <v>100</v>
      </c>
      <c r="BM90" s="29">
        <v>100</v>
      </c>
      <c r="BO90" s="29">
        <f t="shared" si="97"/>
        <v>100</v>
      </c>
      <c r="BP90" s="29">
        <f t="shared" si="86"/>
        <v>100</v>
      </c>
      <c r="BQ90" s="29">
        <f t="shared" si="87"/>
        <v>100</v>
      </c>
      <c r="BR90" s="65"/>
      <c r="BS90" s="29">
        <f t="shared" si="105"/>
        <v>100</v>
      </c>
      <c r="BT90" s="29">
        <f t="shared" si="98"/>
        <v>100</v>
      </c>
      <c r="BU90" s="29">
        <f t="shared" si="99"/>
        <v>100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100</v>
      </c>
      <c r="BL91" s="29">
        <v>100</v>
      </c>
      <c r="BM91" s="29">
        <v>100</v>
      </c>
      <c r="BO91" s="29">
        <f t="shared" si="97"/>
        <v>100</v>
      </c>
      <c r="BP91" s="29">
        <f t="shared" si="86"/>
        <v>100</v>
      </c>
      <c r="BQ91" s="29">
        <f t="shared" si="87"/>
        <v>100</v>
      </c>
      <c r="BR91" s="65"/>
      <c r="BS91" s="29">
        <f t="shared" si="105"/>
        <v>100</v>
      </c>
      <c r="BT91" s="29">
        <f t="shared" si="98"/>
        <v>100</v>
      </c>
      <c r="BU91" s="29">
        <f t="shared" si="99"/>
        <v>100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16614</v>
      </c>
      <c r="D92" s="155">
        <f>SUM(D81:D91)</f>
        <v>38659</v>
      </c>
      <c r="E92" s="155">
        <f>SUM(E81:E91)</f>
        <v>37331</v>
      </c>
      <c r="F92" s="155"/>
      <c r="H92" s="60" t="s">
        <v>10</v>
      </c>
      <c r="I92" s="155"/>
      <c r="J92" s="155">
        <f ca="1">SUM(J81:J91)</f>
        <v>16614</v>
      </c>
      <c r="K92" s="155">
        <f ca="1">SUM(K81:K91)</f>
        <v>38659</v>
      </c>
      <c r="L92" s="155">
        <f ca="1">SUM(L81:L91)</f>
        <v>37331</v>
      </c>
      <c r="M92" s="155"/>
      <c r="O92" s="60" t="s">
        <v>10</v>
      </c>
      <c r="P92" s="155"/>
      <c r="Q92" s="155">
        <f ca="1">SUM(Q81:Q91)</f>
        <v>16614</v>
      </c>
      <c r="R92" s="155">
        <f ca="1">SUM(R81:R91)</f>
        <v>38659</v>
      </c>
      <c r="S92" s="155">
        <f ca="1">SUM(S81:S91)</f>
        <v>37331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100</v>
      </c>
      <c r="BL92" s="29">
        <v>100</v>
      </c>
      <c r="BM92" s="29">
        <v>100</v>
      </c>
      <c r="BO92" s="29">
        <f t="shared" si="97"/>
        <v>100</v>
      </c>
      <c r="BP92" s="29">
        <f t="shared" si="86"/>
        <v>100</v>
      </c>
      <c r="BQ92" s="29">
        <f t="shared" si="87"/>
        <v>100</v>
      </c>
      <c r="BR92" s="65"/>
      <c r="BS92" s="29">
        <f t="shared" si="105"/>
        <v>100</v>
      </c>
      <c r="BT92" s="29">
        <f t="shared" si="98"/>
        <v>100</v>
      </c>
      <c r="BU92" s="29">
        <f t="shared" si="99"/>
        <v>100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100</v>
      </c>
      <c r="BL93" s="29">
        <v>100</v>
      </c>
      <c r="BM93" s="29">
        <v>100</v>
      </c>
      <c r="BO93" s="29">
        <f t="shared" si="97"/>
        <v>100</v>
      </c>
      <c r="BP93" s="29">
        <f t="shared" si="86"/>
        <v>100</v>
      </c>
      <c r="BQ93" s="29">
        <f t="shared" si="87"/>
        <v>100</v>
      </c>
      <c r="BR93" s="65"/>
      <c r="BS93" s="29">
        <f t="shared" si="105"/>
        <v>100</v>
      </c>
      <c r="BT93" s="29">
        <f t="shared" si="98"/>
        <v>100</v>
      </c>
      <c r="BU93" s="29">
        <f t="shared" si="99"/>
        <v>100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100</v>
      </c>
      <c r="BL94" s="29">
        <v>100</v>
      </c>
      <c r="BM94" s="29">
        <v>100</v>
      </c>
      <c r="BO94" s="29">
        <f t="shared" si="97"/>
        <v>100</v>
      </c>
      <c r="BP94" s="29">
        <f t="shared" si="86"/>
        <v>100</v>
      </c>
      <c r="BQ94" s="29">
        <f t="shared" si="87"/>
        <v>100</v>
      </c>
      <c r="BR94" s="65"/>
      <c r="BS94" s="29">
        <f t="shared" si="105"/>
        <v>100</v>
      </c>
      <c r="BT94" s="29">
        <f t="shared" si="98"/>
        <v>100</v>
      </c>
      <c r="BU94" s="29">
        <f t="shared" si="99"/>
        <v>100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100</v>
      </c>
      <c r="BL95" s="29">
        <v>100</v>
      </c>
      <c r="BM95" s="29">
        <v>100</v>
      </c>
      <c r="BO95" s="29">
        <f t="shared" si="97"/>
        <v>100</v>
      </c>
      <c r="BP95" s="29">
        <f t="shared" si="86"/>
        <v>100</v>
      </c>
      <c r="BQ95" s="29">
        <f t="shared" si="87"/>
        <v>100</v>
      </c>
      <c r="BR95" s="65"/>
      <c r="BS95" s="29">
        <f t="shared" si="105"/>
        <v>100</v>
      </c>
      <c r="BT95" s="29">
        <f t="shared" si="98"/>
        <v>100</v>
      </c>
      <c r="BU95" s="29">
        <f t="shared" si="99"/>
        <v>100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16614</v>
      </c>
      <c r="D96" s="155">
        <f>SUM(D81:D91)</f>
        <v>38659</v>
      </c>
      <c r="E96" s="84">
        <f>SUM(E81:E91)</f>
        <v>37331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16614</v>
      </c>
      <c r="K96" s="155">
        <f ca="1">SUM(K81:K91)</f>
        <v>38659</v>
      </c>
      <c r="L96" s="84">
        <f ca="1">SUM(L81:L91)</f>
        <v>37331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16614</v>
      </c>
      <c r="R96" s="155">
        <f ca="1">SUM(R81:R91)</f>
        <v>38659</v>
      </c>
      <c r="S96" s="84">
        <f ca="1">SUM(S81:S91)</f>
        <v>37331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100</v>
      </c>
      <c r="BL96" s="29">
        <v>100</v>
      </c>
      <c r="BM96" s="29">
        <v>100</v>
      </c>
      <c r="BO96" s="29">
        <f t="shared" si="97"/>
        <v>100</v>
      </c>
      <c r="BP96" s="29">
        <f t="shared" si="86"/>
        <v>100</v>
      </c>
      <c r="BQ96" s="29">
        <f t="shared" si="87"/>
        <v>100</v>
      </c>
      <c r="BR96" s="65"/>
      <c r="BS96" s="29">
        <f t="shared" si="105"/>
        <v>100</v>
      </c>
      <c r="BT96" s="29">
        <f t="shared" si="98"/>
        <v>100</v>
      </c>
      <c r="BU96" s="29">
        <f t="shared" si="99"/>
        <v>100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4754</v>
      </c>
      <c r="D97" s="155">
        <f>D$81+D$82</f>
        <v>14664</v>
      </c>
      <c r="E97" s="84">
        <f>E$81+E$82</f>
        <v>15185</v>
      </c>
      <c r="F97" s="69"/>
      <c r="H97" s="78" t="str">
        <v>W1</v>
      </c>
      <c r="I97" s="48" t="str">
        <v>WW,M1</v>
      </c>
      <c r="J97" s="155">
        <f>J$81+J$82</f>
        <v>4532</v>
      </c>
      <c r="K97" s="155">
        <f ca="1">K$81+K$82</f>
        <v>13845</v>
      </c>
      <c r="L97" s="84">
        <f ca="1">L$81+L$82</f>
        <v>13930</v>
      </c>
      <c r="M97" s="69"/>
      <c r="O97" s="78" t="str">
        <v>W1</v>
      </c>
      <c r="P97" s="48" t="str">
        <v>WW,M1</v>
      </c>
      <c r="Q97" s="155">
        <f>Q$81+Q$82</f>
        <v>4754</v>
      </c>
      <c r="R97" s="155">
        <f ca="1">R$81+R$82</f>
        <v>14664</v>
      </c>
      <c r="S97" s="84">
        <f ca="1">S$81+S$82</f>
        <v>14144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100</v>
      </c>
      <c r="BL97" s="29">
        <v>100</v>
      </c>
      <c r="BM97" s="29">
        <v>100</v>
      </c>
      <c r="BO97" s="29">
        <f t="shared" si="97"/>
        <v>100</v>
      </c>
      <c r="BP97" s="29">
        <f t="shared" si="86"/>
        <v>100</v>
      </c>
      <c r="BQ97" s="29">
        <f t="shared" si="87"/>
        <v>100</v>
      </c>
      <c r="BR97" s="65"/>
      <c r="BS97" s="29">
        <f t="shared" si="105"/>
        <v>100</v>
      </c>
      <c r="BT97" s="29">
        <f t="shared" si="98"/>
        <v>100</v>
      </c>
      <c r="BU97" s="29">
        <f t="shared" si="99"/>
        <v>100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4654</v>
      </c>
      <c r="D98" s="155">
        <f>D$81+D$83</f>
        <v>14864</v>
      </c>
      <c r="E98" s="84">
        <f>E$81+E$83</f>
        <v>15585</v>
      </c>
      <c r="F98" s="69"/>
      <c r="H98" s="78" t="str">
        <v>W2</v>
      </c>
      <c r="I98" s="48" t="str">
        <v>WW,M2</v>
      </c>
      <c r="J98" s="155">
        <f>J$81+J$83</f>
        <v>4432</v>
      </c>
      <c r="K98" s="155">
        <f ca="1">K$81+K$83</f>
        <v>15247</v>
      </c>
      <c r="L98" s="84">
        <f>L$81+L$83</f>
        <v>14330</v>
      </c>
      <c r="M98" s="69"/>
      <c r="O98" s="78" t="str">
        <v>W2</v>
      </c>
      <c r="P98" s="48" t="str">
        <v>WW,M2</v>
      </c>
      <c r="Q98" s="155">
        <f>Q$81+Q$83</f>
        <v>4654</v>
      </c>
      <c r="R98" s="155">
        <f ca="1">R$81+R$83</f>
        <v>17034</v>
      </c>
      <c r="S98" s="84">
        <f>S$81+S$83</f>
        <v>14544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100</v>
      </c>
      <c r="BL98" s="29">
        <v>100</v>
      </c>
      <c r="BM98" s="29">
        <v>100</v>
      </c>
      <c r="BO98" s="29">
        <f t="shared" si="97"/>
        <v>100</v>
      </c>
      <c r="BP98" s="29">
        <f t="shared" si="86"/>
        <v>100</v>
      </c>
      <c r="BQ98" s="29">
        <f t="shared" si="87"/>
        <v>100</v>
      </c>
      <c r="BR98" s="65"/>
      <c r="BS98" s="29">
        <f t="shared" si="105"/>
        <v>100</v>
      </c>
      <c r="BT98" s="29">
        <f t="shared" si="98"/>
        <v>100</v>
      </c>
      <c r="BU98" s="29">
        <f t="shared" si="99"/>
        <v>100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4754</v>
      </c>
      <c r="D99" s="155">
        <f>D$81+D$84</f>
        <v>15849</v>
      </c>
      <c r="E99" s="84">
        <f>E$81+E$84</f>
        <v>14644</v>
      </c>
      <c r="F99" s="69"/>
      <c r="H99" s="78" t="str">
        <v>W3</v>
      </c>
      <c r="I99" s="48" t="str">
        <v>WW,M3</v>
      </c>
      <c r="J99" s="155">
        <f>J$81+J$84</f>
        <v>4532</v>
      </c>
      <c r="K99" s="155">
        <f ca="1">K$81+K$84</f>
        <v>14546</v>
      </c>
      <c r="L99" s="84">
        <f>L$81+L$84</f>
        <v>14430</v>
      </c>
      <c r="M99" s="69"/>
      <c r="O99" s="78" t="str">
        <v>W3</v>
      </c>
      <c r="P99" s="48" t="str">
        <v>WW,M3</v>
      </c>
      <c r="Q99" s="155">
        <f>Q$81+Q$84</f>
        <v>4754</v>
      </c>
      <c r="R99" s="155">
        <f ca="1">R$81+R$84</f>
        <v>14764</v>
      </c>
      <c r="S99" s="84">
        <f>S$81+S$84</f>
        <v>15685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100</v>
      </c>
      <c r="BL99" s="29">
        <v>100</v>
      </c>
      <c r="BM99" s="29">
        <v>100</v>
      </c>
      <c r="BO99" s="29">
        <f t="shared" si="97"/>
        <v>100</v>
      </c>
      <c r="BP99" s="29">
        <f t="shared" si="86"/>
        <v>100</v>
      </c>
      <c r="BQ99" s="29">
        <f t="shared" si="87"/>
        <v>100</v>
      </c>
      <c r="BR99" s="65"/>
      <c r="BS99" s="29">
        <f t="shared" si="105"/>
        <v>100</v>
      </c>
      <c r="BT99" s="29">
        <f t="shared" si="98"/>
        <v>100</v>
      </c>
      <c r="BU99" s="29">
        <f t="shared" si="99"/>
        <v>100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5154</v>
      </c>
      <c r="D100" s="155">
        <f>D$81+D$85</f>
        <v>19604</v>
      </c>
      <c r="E100" s="84">
        <f>E$81+E$85</f>
        <v>15185</v>
      </c>
      <c r="F100" s="69"/>
      <c r="H100" s="78" t="str">
        <v>WA</v>
      </c>
      <c r="I100" s="48" t="str">
        <v>WW,A</v>
      </c>
      <c r="J100" s="155">
        <f>J$81+J$85</f>
        <v>5626</v>
      </c>
      <c r="K100" s="155">
        <f ca="1">K$81+K$85</f>
        <v>17450</v>
      </c>
      <c r="L100" s="84">
        <f>L$81+L$85</f>
        <v>14507</v>
      </c>
      <c r="M100" s="69"/>
      <c r="O100" s="78" t="str">
        <v>WA</v>
      </c>
      <c r="P100" s="48" t="str">
        <v>WW,A</v>
      </c>
      <c r="Q100" s="155">
        <f>Q$81+Q$85</f>
        <v>6394</v>
      </c>
      <c r="R100" s="155">
        <f ca="1">R$81+R$85</f>
        <v>16349</v>
      </c>
      <c r="S100" s="84">
        <f>S$81+S$85</f>
        <v>15185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100</v>
      </c>
      <c r="BL100" s="29">
        <v>100</v>
      </c>
      <c r="BM100" s="29">
        <v>100</v>
      </c>
      <c r="BO100" s="29">
        <f t="shared" si="97"/>
        <v>100</v>
      </c>
      <c r="BP100" s="29">
        <f t="shared" si="86"/>
        <v>100</v>
      </c>
      <c r="BQ100" s="29">
        <f t="shared" si="87"/>
        <v>100</v>
      </c>
      <c r="BR100" s="65"/>
      <c r="BS100" s="29">
        <f t="shared" si="105"/>
        <v>100</v>
      </c>
      <c r="BT100" s="29">
        <f t="shared" si="98"/>
        <v>100</v>
      </c>
      <c r="BU100" s="29">
        <f t="shared" si="99"/>
        <v>100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5874</v>
      </c>
      <c r="D101" s="155">
        <f>D$81+D$86</f>
        <v>17234</v>
      </c>
      <c r="E101" s="84">
        <f>E$81+E$86</f>
        <v>16626</v>
      </c>
      <c r="F101" s="69"/>
      <c r="H101" s="78" t="str">
        <v>WK</v>
      </c>
      <c r="I101" s="48" t="str">
        <v>WW,K</v>
      </c>
      <c r="J101" s="155">
        <f>J$81+J$86</f>
        <v>5379</v>
      </c>
      <c r="K101" s="155">
        <f ca="1">K$81+K$86</f>
        <v>15447</v>
      </c>
      <c r="L101" s="84">
        <f>L$81+L$86</f>
        <v>14907</v>
      </c>
      <c r="M101" s="69"/>
      <c r="O101" s="78" t="str">
        <v>WK</v>
      </c>
      <c r="P101" s="48" t="str">
        <v>WW,K</v>
      </c>
      <c r="Q101" s="155">
        <f ca="1">Q$81+Q$86</f>
        <v>5254</v>
      </c>
      <c r="R101" s="155">
        <f ca="1">R$81+R$86</f>
        <v>15064</v>
      </c>
      <c r="S101" s="84">
        <f>S$81+S$86</f>
        <v>14544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100</v>
      </c>
      <c r="BL101" s="29">
        <v>100</v>
      </c>
      <c r="BM101" s="29">
        <v>100</v>
      </c>
      <c r="BO101" s="29">
        <f t="shared" si="97"/>
        <v>100</v>
      </c>
      <c r="BP101" s="29">
        <f t="shared" si="86"/>
        <v>100</v>
      </c>
      <c r="BQ101" s="29">
        <f t="shared" si="87"/>
        <v>100</v>
      </c>
      <c r="BR101" s="65"/>
      <c r="BS101" s="29">
        <f t="shared" si="105"/>
        <v>100</v>
      </c>
      <c r="BT101" s="29">
        <f t="shared" si="98"/>
        <v>100</v>
      </c>
      <c r="BU101" s="29">
        <f t="shared" si="99"/>
        <v>100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5674</v>
      </c>
      <c r="D102" s="155">
        <f>D$81+D$87</f>
        <v>15164</v>
      </c>
      <c r="E102" s="84">
        <f>E$81+E$87</f>
        <v>14544</v>
      </c>
      <c r="F102" s="69"/>
      <c r="H102" s="78" t="str">
        <v>WQ</v>
      </c>
      <c r="I102" s="48" t="str">
        <v>WW,Q</v>
      </c>
      <c r="J102" s="155">
        <f>J$81+J$87</f>
        <v>5179</v>
      </c>
      <c r="K102" s="155">
        <f ca="1">K$81+K$87</f>
        <v>16148</v>
      </c>
      <c r="L102" s="84">
        <f>L$81+L$87</f>
        <v>14907</v>
      </c>
      <c r="M102" s="69"/>
      <c r="O102" s="78" t="str">
        <v>WQ</v>
      </c>
      <c r="P102" s="48" t="str">
        <v>WW,Q</v>
      </c>
      <c r="Q102" s="155">
        <f>Q$81+Q$87</f>
        <v>5054</v>
      </c>
      <c r="R102" s="155">
        <f ca="1">R$81+R$87</f>
        <v>18419</v>
      </c>
      <c r="S102" s="84">
        <f>S$81+S$87</f>
        <v>16626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100</v>
      </c>
      <c r="BL102" s="29">
        <v>100</v>
      </c>
      <c r="BM102" s="29">
        <v>100</v>
      </c>
      <c r="BO102" s="29">
        <f t="shared" si="97"/>
        <v>100</v>
      </c>
      <c r="BP102" s="29">
        <f t="shared" si="86"/>
        <v>100</v>
      </c>
      <c r="BQ102" s="29">
        <f t="shared" si="87"/>
        <v>100</v>
      </c>
      <c r="BR102" s="65"/>
      <c r="BS102" s="29">
        <f t="shared" si="105"/>
        <v>100</v>
      </c>
      <c r="BT102" s="29">
        <f t="shared" si="98"/>
        <v>100</v>
      </c>
      <c r="BU102" s="29">
        <f t="shared" si="99"/>
        <v>100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5874</v>
      </c>
      <c r="D103" s="154">
        <f>D$81+D$88</f>
        <v>14864</v>
      </c>
      <c r="E103" s="17">
        <f>E$81+E$88</f>
        <v>16626</v>
      </c>
      <c r="F103" s="69"/>
      <c r="H103" s="73" t="str">
        <v>WJ</v>
      </c>
      <c r="I103" s="53" t="str">
        <v>WW,J</v>
      </c>
      <c r="J103" s="154">
        <f ca="1">J$81+J$88</f>
        <v>5726</v>
      </c>
      <c r="K103" s="154">
        <f ca="1">K$81+K$88</f>
        <v>14646</v>
      </c>
      <c r="L103" s="17">
        <f>L$81+L$88</f>
        <v>16638</v>
      </c>
      <c r="M103" s="69"/>
      <c r="O103" s="73" t="str">
        <v>WJ</v>
      </c>
      <c r="P103" s="53" t="str">
        <v>WW,J</v>
      </c>
      <c r="Q103" s="154">
        <f ca="1">Q$81+Q$88</f>
        <v>5874</v>
      </c>
      <c r="R103" s="154">
        <f ca="1">R$81+R$88</f>
        <v>15949</v>
      </c>
      <c r="S103" s="17">
        <f>S$81+S$88</f>
        <v>17667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100</v>
      </c>
      <c r="BL103" s="29">
        <v>100</v>
      </c>
      <c r="BM103" s="29">
        <v>100</v>
      </c>
      <c r="BO103" s="29">
        <f t="shared" si="97"/>
        <v>100</v>
      </c>
      <c r="BP103" s="29">
        <f t="shared" si="86"/>
        <v>100</v>
      </c>
      <c r="BQ103" s="29">
        <f t="shared" si="87"/>
        <v>100</v>
      </c>
      <c r="BR103" s="65"/>
      <c r="BS103" s="29">
        <f t="shared" si="105"/>
        <v>100</v>
      </c>
      <c r="BT103" s="29">
        <f t="shared" si="98"/>
        <v>100</v>
      </c>
      <c r="BU103" s="29">
        <f t="shared" si="99"/>
        <v>100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100</v>
      </c>
      <c r="BL104" s="29">
        <v>100</v>
      </c>
      <c r="BM104" s="29">
        <v>100</v>
      </c>
      <c r="BO104" s="29">
        <f t="shared" si="97"/>
        <v>100</v>
      </c>
      <c r="BP104" s="29">
        <f t="shared" si="86"/>
        <v>100</v>
      </c>
      <c r="BQ104" s="29">
        <f t="shared" si="87"/>
        <v>100</v>
      </c>
      <c r="BR104" s="65"/>
      <c r="BS104" s="29">
        <f t="shared" si="105"/>
        <v>100</v>
      </c>
      <c r="BT104" s="29">
        <f t="shared" si="98"/>
        <v>100</v>
      </c>
      <c r="BU104" s="29">
        <f t="shared" si="99"/>
        <v>100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100</v>
      </c>
      <c r="BL105" s="29">
        <v>100</v>
      </c>
      <c r="BM105" s="29">
        <v>100</v>
      </c>
      <c r="BO105" s="29">
        <f t="shared" si="97"/>
        <v>100</v>
      </c>
      <c r="BP105" s="29">
        <f t="shared" si="86"/>
        <v>100</v>
      </c>
      <c r="BQ105" s="29">
        <f t="shared" si="87"/>
        <v>100</v>
      </c>
      <c r="BR105" s="65"/>
      <c r="BS105" s="29">
        <f t="shared" si="105"/>
        <v>100</v>
      </c>
      <c r="BT105" s="29">
        <f t="shared" si="98"/>
        <v>100</v>
      </c>
      <c r="BU105" s="29">
        <f t="shared" si="99"/>
        <v>100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100</v>
      </c>
      <c r="BL106" s="29">
        <v>100</v>
      </c>
      <c r="BM106" s="29">
        <v>100</v>
      </c>
      <c r="BO106" s="29">
        <f t="shared" si="97"/>
        <v>100</v>
      </c>
      <c r="BP106" s="29">
        <f t="shared" si="86"/>
        <v>100</v>
      </c>
      <c r="BQ106" s="29">
        <f t="shared" si="87"/>
        <v>100</v>
      </c>
      <c r="BR106" s="65"/>
      <c r="BS106" s="29">
        <f t="shared" si="105"/>
        <v>100</v>
      </c>
      <c r="BT106" s="29">
        <f t="shared" si="98"/>
        <v>100</v>
      </c>
      <c r="BU106" s="29">
        <f t="shared" si="99"/>
        <v>100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100</v>
      </c>
      <c r="BL107" s="29">
        <v>100</v>
      </c>
      <c r="BM107" s="29">
        <v>100</v>
      </c>
      <c r="BO107" s="29">
        <f t="shared" si="97"/>
        <v>100</v>
      </c>
      <c r="BP107" s="29">
        <f t="shared" si="86"/>
        <v>100</v>
      </c>
      <c r="BQ107" s="29">
        <f t="shared" si="87"/>
        <v>100</v>
      </c>
      <c r="BR107" s="65"/>
      <c r="BS107" s="29">
        <f t="shared" si="105"/>
        <v>100</v>
      </c>
      <c r="BT107" s="29">
        <f t="shared" si="98"/>
        <v>100</v>
      </c>
      <c r="BU107" s="29">
        <f t="shared" si="99"/>
        <v>100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100</v>
      </c>
      <c r="BL108" s="29">
        <v>100</v>
      </c>
      <c r="BM108" s="29">
        <v>100</v>
      </c>
      <c r="BO108" s="29">
        <f t="shared" si="97"/>
        <v>100</v>
      </c>
      <c r="BP108" s="29">
        <f t="shared" si="86"/>
        <v>100</v>
      </c>
      <c r="BQ108" s="29">
        <f t="shared" si="87"/>
        <v>100</v>
      </c>
      <c r="BR108" s="65"/>
      <c r="BS108" s="29">
        <f t="shared" si="105"/>
        <v>100</v>
      </c>
      <c r="BT108" s="29">
        <f t="shared" si="98"/>
        <v>100</v>
      </c>
      <c r="BU108" s="29">
        <f t="shared" si="99"/>
        <v>100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100</v>
      </c>
      <c r="BL109" s="29">
        <v>100</v>
      </c>
      <c r="BM109" s="29">
        <v>100</v>
      </c>
      <c r="BO109" s="29">
        <f t="shared" si="97"/>
        <v>100</v>
      </c>
      <c r="BP109" s="29">
        <f t="shared" si="86"/>
        <v>100</v>
      </c>
      <c r="BQ109" s="29">
        <f t="shared" si="87"/>
        <v>100</v>
      </c>
      <c r="BR109" s="65"/>
      <c r="BS109" s="29">
        <f t="shared" si="105"/>
        <v>100</v>
      </c>
      <c r="BT109" s="29">
        <f t="shared" si="98"/>
        <v>100</v>
      </c>
      <c r="BU109" s="29">
        <f t="shared" si="99"/>
        <v>100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100</v>
      </c>
      <c r="BL110" s="29">
        <v>100</v>
      </c>
      <c r="BM110" s="29">
        <v>100</v>
      </c>
      <c r="BO110" s="29">
        <f t="shared" si="97"/>
        <v>100</v>
      </c>
      <c r="BP110" s="29">
        <f t="shared" si="86"/>
        <v>100</v>
      </c>
      <c r="BQ110" s="29">
        <f t="shared" si="87"/>
        <v>100</v>
      </c>
      <c r="BR110" s="65"/>
      <c r="BS110" s="29">
        <f t="shared" si="105"/>
        <v>100</v>
      </c>
      <c r="BT110" s="29">
        <f t="shared" si="98"/>
        <v>100</v>
      </c>
      <c r="BU110" s="29">
        <f t="shared" si="99"/>
        <v>100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100</v>
      </c>
      <c r="BL111" s="29">
        <v>100</v>
      </c>
      <c r="BM111" s="29">
        <v>100</v>
      </c>
      <c r="BO111" s="29">
        <f t="shared" si="97"/>
        <v>100</v>
      </c>
      <c r="BP111" s="29">
        <f t="shared" si="86"/>
        <v>100</v>
      </c>
      <c r="BQ111" s="29">
        <f t="shared" si="87"/>
        <v>100</v>
      </c>
      <c r="BR111" s="65"/>
      <c r="BS111" s="29">
        <f t="shared" si="105"/>
        <v>100</v>
      </c>
      <c r="BT111" s="29">
        <f t="shared" si="98"/>
        <v>100</v>
      </c>
      <c r="BU111" s="29">
        <f t="shared" si="99"/>
        <v>100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100</v>
      </c>
      <c r="BL112" s="29">
        <v>100</v>
      </c>
      <c r="BM112" s="29">
        <v>100</v>
      </c>
      <c r="BO112" s="29">
        <f t="shared" si="97"/>
        <v>100</v>
      </c>
      <c r="BP112" s="29">
        <f t="shared" si="86"/>
        <v>100</v>
      </c>
      <c r="BQ112" s="29">
        <f t="shared" si="87"/>
        <v>100</v>
      </c>
      <c r="BR112" s="65"/>
      <c r="BS112" s="29">
        <f t="shared" si="105"/>
        <v>100</v>
      </c>
      <c r="BT112" s="29">
        <f t="shared" si="98"/>
        <v>100</v>
      </c>
      <c r="BU112" s="29">
        <f t="shared" si="99"/>
        <v>100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100</v>
      </c>
      <c r="BL113" s="29">
        <v>100</v>
      </c>
      <c r="BM113" s="29">
        <v>100</v>
      </c>
      <c r="BO113" s="29">
        <f t="shared" si="97"/>
        <v>100</v>
      </c>
      <c r="BP113" s="29">
        <f t="shared" si="86"/>
        <v>100</v>
      </c>
      <c r="BQ113" s="29">
        <f t="shared" si="87"/>
        <v>100</v>
      </c>
      <c r="BR113" s="65"/>
      <c r="BS113" s="29">
        <f t="shared" si="105"/>
        <v>100</v>
      </c>
      <c r="BT113" s="29">
        <f t="shared" si="98"/>
        <v>100</v>
      </c>
      <c r="BU113" s="29">
        <f t="shared" si="99"/>
        <v>100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100</v>
      </c>
      <c r="BL114" s="29">
        <v>100</v>
      </c>
      <c r="BM114" s="29">
        <v>100</v>
      </c>
      <c r="BO114" s="29">
        <f t="shared" si="97"/>
        <v>100</v>
      </c>
      <c r="BP114" s="29">
        <f t="shared" si="86"/>
        <v>100</v>
      </c>
      <c r="BQ114" s="29">
        <f t="shared" si="87"/>
        <v>100</v>
      </c>
      <c r="BR114" s="65"/>
      <c r="BS114" s="29">
        <f t="shared" si="105"/>
        <v>100</v>
      </c>
      <c r="BT114" s="29">
        <f t="shared" si="98"/>
        <v>100</v>
      </c>
      <c r="BU114" s="29">
        <f t="shared" si="99"/>
        <v>100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100</v>
      </c>
      <c r="BL115" s="29">
        <v>100</v>
      </c>
      <c r="BM115" s="29">
        <v>100</v>
      </c>
      <c r="BO115" s="29">
        <f t="shared" si="97"/>
        <v>100</v>
      </c>
      <c r="BP115" s="29">
        <f t="shared" si="86"/>
        <v>100</v>
      </c>
      <c r="BQ115" s="29">
        <f t="shared" si="87"/>
        <v>100</v>
      </c>
      <c r="BR115" s="65"/>
      <c r="BS115" s="29">
        <f t="shared" si="105"/>
        <v>100</v>
      </c>
      <c r="BT115" s="29">
        <f t="shared" si="98"/>
        <v>100</v>
      </c>
      <c r="BU115" s="29">
        <f t="shared" si="99"/>
        <v>100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100</v>
      </c>
      <c r="BL116" s="29">
        <v>100</v>
      </c>
      <c r="BM116" s="29">
        <v>100</v>
      </c>
      <c r="BO116" s="29">
        <f t="shared" si="97"/>
        <v>100</v>
      </c>
      <c r="BP116" s="29">
        <f t="shared" si="86"/>
        <v>100</v>
      </c>
      <c r="BQ116" s="29">
        <f t="shared" si="87"/>
        <v>100</v>
      </c>
      <c r="BR116" s="65"/>
      <c r="BS116" s="29">
        <f t="shared" si="105"/>
        <v>100</v>
      </c>
      <c r="BT116" s="29">
        <f t="shared" si="98"/>
        <v>100</v>
      </c>
      <c r="BU116" s="29">
        <f t="shared" si="99"/>
        <v>100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100</v>
      </c>
      <c r="BL117" s="29">
        <v>100</v>
      </c>
      <c r="BM117" s="29">
        <v>100</v>
      </c>
      <c r="BO117" s="29">
        <f t="shared" si="97"/>
        <v>100</v>
      </c>
      <c r="BP117" s="29">
        <f t="shared" si="86"/>
        <v>100</v>
      </c>
      <c r="BQ117" s="29">
        <f t="shared" si="87"/>
        <v>100</v>
      </c>
      <c r="BR117" s="65"/>
      <c r="BS117" s="29">
        <f t="shared" si="105"/>
        <v>100</v>
      </c>
      <c r="BT117" s="29">
        <f t="shared" si="98"/>
        <v>100</v>
      </c>
      <c r="BU117" s="29">
        <f t="shared" si="99"/>
        <v>100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100</v>
      </c>
      <c r="BL118" s="29">
        <v>100</v>
      </c>
      <c r="BM118" s="29">
        <v>100</v>
      </c>
      <c r="BO118" s="29">
        <f t="shared" si="97"/>
        <v>100</v>
      </c>
      <c r="BP118" s="29">
        <f t="shared" si="86"/>
        <v>100</v>
      </c>
      <c r="BQ118" s="29">
        <f t="shared" si="87"/>
        <v>100</v>
      </c>
      <c r="BR118" s="65"/>
      <c r="BS118" s="29">
        <f t="shared" si="105"/>
        <v>100</v>
      </c>
      <c r="BT118" s="29">
        <f t="shared" si="98"/>
        <v>100</v>
      </c>
      <c r="BU118" s="29">
        <f t="shared" si="99"/>
        <v>100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100</v>
      </c>
      <c r="BL119" s="29">
        <v>100</v>
      </c>
      <c r="BM119" s="29">
        <v>100</v>
      </c>
      <c r="BO119" s="29">
        <f t="shared" si="97"/>
        <v>100</v>
      </c>
      <c r="BP119" s="29">
        <f t="shared" si="86"/>
        <v>100</v>
      </c>
      <c r="BQ119" s="29">
        <f t="shared" si="87"/>
        <v>100</v>
      </c>
      <c r="BR119" s="65"/>
      <c r="BS119" s="29">
        <f t="shared" si="105"/>
        <v>100</v>
      </c>
      <c r="BT119" s="29">
        <f t="shared" si="98"/>
        <v>100</v>
      </c>
      <c r="BU119" s="29">
        <f t="shared" si="99"/>
        <v>100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447</v>
      </c>
      <c r="BL120" s="29">
        <v>100</v>
      </c>
      <c r="BM120" s="29">
        <v>100</v>
      </c>
      <c r="BO120" s="29">
        <f t="shared" si="97"/>
        <v>100</v>
      </c>
      <c r="BP120" s="29">
        <f t="shared" si="86"/>
        <v>100</v>
      </c>
      <c r="BQ120" s="29">
        <f t="shared" si="87"/>
        <v>100</v>
      </c>
      <c r="BR120" s="65"/>
      <c r="BS120" s="29">
        <f t="shared" si="105"/>
        <v>100</v>
      </c>
      <c r="BT120" s="29">
        <f t="shared" si="98"/>
        <v>100</v>
      </c>
      <c r="BU120" s="29">
        <f t="shared" si="99"/>
        <v>100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373</v>
      </c>
      <c r="BL121" s="29">
        <v>100</v>
      </c>
      <c r="BM121" s="29">
        <v>100</v>
      </c>
      <c r="BO121" s="29">
        <f t="shared" si="97"/>
        <v>447</v>
      </c>
      <c r="BP121" s="29">
        <f t="shared" si="86"/>
        <v>100</v>
      </c>
      <c r="BQ121" s="29">
        <f t="shared" si="87"/>
        <v>100</v>
      </c>
      <c r="BR121" s="65"/>
      <c r="BS121" s="29">
        <f t="shared" si="105"/>
        <v>100</v>
      </c>
      <c r="BT121" s="29">
        <f t="shared" si="98"/>
        <v>100</v>
      </c>
      <c r="BU121" s="29">
        <f t="shared" si="99"/>
        <v>100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298</v>
      </c>
      <c r="BL122" s="29">
        <v>100</v>
      </c>
      <c r="BM122" s="29">
        <v>100</v>
      </c>
      <c r="BO122" s="29">
        <f t="shared" si="97"/>
        <v>373</v>
      </c>
      <c r="BP122" s="29">
        <f t="shared" si="86"/>
        <v>100</v>
      </c>
      <c r="BQ122" s="29">
        <f t="shared" si="87"/>
        <v>100</v>
      </c>
      <c r="BR122" s="65"/>
      <c r="BS122" s="29">
        <f t="shared" si="105"/>
        <v>447</v>
      </c>
      <c r="BT122" s="29">
        <f t="shared" si="98"/>
        <v>100</v>
      </c>
      <c r="BU122" s="29">
        <f t="shared" si="99"/>
        <v>100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373</v>
      </c>
      <c r="BL123" s="29">
        <v>100</v>
      </c>
      <c r="BM123" s="29">
        <v>100</v>
      </c>
      <c r="BO123" s="29">
        <f t="shared" si="97"/>
        <v>298</v>
      </c>
      <c r="BP123" s="29">
        <f t="shared" si="86"/>
        <v>100</v>
      </c>
      <c r="BQ123" s="29">
        <f t="shared" si="87"/>
        <v>100</v>
      </c>
      <c r="BR123" s="65"/>
      <c r="BS123" s="29">
        <f t="shared" si="105"/>
        <v>373</v>
      </c>
      <c r="BT123" s="29">
        <f t="shared" si="98"/>
        <v>100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447</v>
      </c>
      <c r="BL124" s="29">
        <v>100</v>
      </c>
      <c r="BM124" s="29">
        <v>100</v>
      </c>
      <c r="BO124" s="29">
        <f t="shared" si="97"/>
        <v>373</v>
      </c>
      <c r="BP124" s="29">
        <f t="shared" si="86"/>
        <v>100</v>
      </c>
      <c r="BQ124" s="29">
        <f t="shared" si="87"/>
        <v>100</v>
      </c>
      <c r="BR124" s="65"/>
      <c r="BS124" s="29">
        <f t="shared" si="105"/>
        <v>298</v>
      </c>
      <c r="BT124" s="29">
        <f t="shared" si="98"/>
        <v>100</v>
      </c>
      <c r="BU124" s="29">
        <f t="shared" si="99"/>
        <v>100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</v>
      </c>
      <c r="BL125" s="29">
        <v>100</v>
      </c>
      <c r="BM125" s="29">
        <v>100</v>
      </c>
      <c r="BO125" s="29">
        <f t="shared" si="97"/>
        <v>447</v>
      </c>
      <c r="BP125" s="29">
        <f t="shared" si="86"/>
        <v>100</v>
      </c>
      <c r="BQ125" s="29">
        <f t="shared" si="87"/>
        <v>100</v>
      </c>
      <c r="BR125" s="65"/>
      <c r="BS125" s="29">
        <f t="shared" si="105"/>
        <v>373</v>
      </c>
      <c r="BT125" s="29">
        <f t="shared" si="98"/>
        <v>100</v>
      </c>
      <c r="BU125" s="29">
        <f t="shared" si="99"/>
        <v>100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100</v>
      </c>
      <c r="BM126" s="29">
        <v>100</v>
      </c>
      <c r="BO126" s="29">
        <f t="shared" si="97"/>
        <v>100</v>
      </c>
      <c r="BP126" s="29">
        <f t="shared" si="86"/>
        <v>100</v>
      </c>
      <c r="BQ126" s="29">
        <f t="shared" si="87"/>
        <v>100</v>
      </c>
      <c r="BR126" s="65"/>
      <c r="BS126" s="29">
        <f t="shared" si="105"/>
        <v>447</v>
      </c>
      <c r="BT126" s="29">
        <f t="shared" si="98"/>
        <v>100</v>
      </c>
      <c r="BU126" s="29">
        <f t="shared" si="99"/>
        <v>100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100</v>
      </c>
      <c r="BM127" s="29">
        <v>100</v>
      </c>
      <c r="BO127" s="29" t="str">
        <f t="shared" si="97"/>
        <v/>
      </c>
      <c r="BP127" s="29">
        <f t="shared" si="86"/>
        <v>100</v>
      </c>
      <c r="BQ127" s="29">
        <f t="shared" si="87"/>
        <v>100</v>
      </c>
      <c r="BR127" s="65"/>
      <c r="BS127" s="29">
        <f t="shared" si="105"/>
        <v>100</v>
      </c>
      <c r="BT127" s="29">
        <f t="shared" si="98"/>
        <v>100</v>
      </c>
      <c r="BU127" s="29">
        <f t="shared" si="99"/>
        <v>100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100</v>
      </c>
      <c r="BM128" s="29">
        <v>100</v>
      </c>
      <c r="BO128" s="29" t="str">
        <f t="shared" si="97"/>
        <v/>
      </c>
      <c r="BP128" s="29">
        <f t="shared" si="86"/>
        <v>100</v>
      </c>
      <c r="BQ128" s="29">
        <f t="shared" si="87"/>
        <v>100</v>
      </c>
      <c r="BR128" s="65"/>
      <c r="BS128" s="29" t="str">
        <f t="shared" si="105"/>
        <v/>
      </c>
      <c r="BT128" s="29">
        <f t="shared" si="98"/>
        <v>100</v>
      </c>
      <c r="BU128" s="29">
        <f t="shared" si="99"/>
        <v>100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100</v>
      </c>
      <c r="BM129" s="29">
        <v>100</v>
      </c>
      <c r="BO129" s="29" t="str">
        <f t="shared" si="97"/>
        <v/>
      </c>
      <c r="BP129" s="29">
        <f t="shared" si="86"/>
        <v>100</v>
      </c>
      <c r="BQ129" s="29">
        <f t="shared" si="87"/>
        <v>100</v>
      </c>
      <c r="BR129" s="65"/>
      <c r="BS129" s="29" t="str">
        <f t="shared" si="105"/>
        <v/>
      </c>
      <c r="BT129" s="29">
        <f t="shared" si="98"/>
        <v>100</v>
      </c>
      <c r="BU129" s="29">
        <f t="shared" si="99"/>
        <v>100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100</v>
      </c>
      <c r="BM130" s="29">
        <v>100</v>
      </c>
      <c r="BO130" s="29" t="str">
        <f t="shared" si="97"/>
        <v/>
      </c>
      <c r="BP130" s="29">
        <f t="shared" si="86"/>
        <v>100</v>
      </c>
      <c r="BQ130" s="29">
        <f t="shared" si="87"/>
        <v>100</v>
      </c>
      <c r="BR130" s="65"/>
      <c r="BS130" s="29" t="str">
        <f t="shared" si="105"/>
        <v/>
      </c>
      <c r="BT130" s="29">
        <f t="shared" si="98"/>
        <v>100</v>
      </c>
      <c r="BU130" s="29">
        <f t="shared" si="99"/>
        <v>100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100</v>
      </c>
      <c r="BM131" s="29">
        <v>677</v>
      </c>
      <c r="BO131" s="29" t="str">
        <f t="shared" si="97"/>
        <v/>
      </c>
      <c r="BP131" s="29">
        <f t="shared" si="86"/>
        <v>100</v>
      </c>
      <c r="BQ131" s="29">
        <f t="shared" si="87"/>
        <v>100</v>
      </c>
      <c r="BR131" s="65"/>
      <c r="BS131" s="29" t="str">
        <f t="shared" si="105"/>
        <v/>
      </c>
      <c r="BT131" s="29">
        <f t="shared" si="98"/>
        <v>100</v>
      </c>
      <c r="BU131" s="29">
        <f t="shared" si="99"/>
        <v>100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100</v>
      </c>
      <c r="BM132" s="29">
        <v>564</v>
      </c>
      <c r="BO132" s="29" t="str">
        <f t="shared" si="97"/>
        <v/>
      </c>
      <c r="BP132" s="29">
        <f t="shared" ref="BP132:BP195" si="125">IF(BL131="","",BL131)</f>
        <v>100</v>
      </c>
      <c r="BQ132" s="29">
        <f t="shared" ref="BQ132:BQ195" si="126">IF(BM131="","",BM131)</f>
        <v>677</v>
      </c>
      <c r="BR132" s="65"/>
      <c r="BS132" s="29" t="str">
        <f t="shared" si="105"/>
        <v/>
      </c>
      <c r="BT132" s="29">
        <f t="shared" si="98"/>
        <v>100</v>
      </c>
      <c r="BU132" s="29">
        <f t="shared" si="99"/>
        <v>100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100</v>
      </c>
      <c r="BM133" s="29">
        <v>451</v>
      </c>
      <c r="BO133" s="29" t="str">
        <f t="shared" ref="BO133:BO196" si="136">IF(BK132="","",BK132)</f>
        <v/>
      </c>
      <c r="BP133" s="29">
        <f t="shared" si="125"/>
        <v>100</v>
      </c>
      <c r="BQ133" s="29">
        <f t="shared" si="126"/>
        <v>564</v>
      </c>
      <c r="BR133" s="65"/>
      <c r="BS133" s="29" t="str">
        <f t="shared" si="105"/>
        <v/>
      </c>
      <c r="BT133" s="29">
        <f t="shared" ref="BT133:BT196" si="137">IF(BL131="","",BL131)</f>
        <v>100</v>
      </c>
      <c r="BU133" s="29">
        <f t="shared" ref="BU133:BU196" si="138">IF(BM131="","",BM131)</f>
        <v>677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100</v>
      </c>
      <c r="BM134" s="29">
        <v>564</v>
      </c>
      <c r="BO134" s="29" t="str">
        <f t="shared" si="136"/>
        <v/>
      </c>
      <c r="BP134" s="29">
        <f t="shared" si="125"/>
        <v>100</v>
      </c>
      <c r="BQ134" s="29">
        <f t="shared" si="126"/>
        <v>451</v>
      </c>
      <c r="BR134" s="65"/>
      <c r="BS134" s="29" t="str">
        <f t="shared" ref="BS134:BS197" si="144">IF(BK132="","",BK132)</f>
        <v/>
      </c>
      <c r="BT134" s="29">
        <f t="shared" si="137"/>
        <v>100</v>
      </c>
      <c r="BU134" s="29">
        <f t="shared" si="138"/>
        <v>564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100</v>
      </c>
      <c r="BM135" s="29">
        <v>677</v>
      </c>
      <c r="BO135" s="29" t="str">
        <f t="shared" si="136"/>
        <v/>
      </c>
      <c r="BP135" s="29">
        <f t="shared" si="125"/>
        <v>100</v>
      </c>
      <c r="BQ135" s="29">
        <f t="shared" si="126"/>
        <v>564</v>
      </c>
      <c r="BR135" s="65"/>
      <c r="BS135" s="29" t="str">
        <f t="shared" si="144"/>
        <v/>
      </c>
      <c r="BT135" s="29">
        <f t="shared" si="137"/>
        <v>100</v>
      </c>
      <c r="BU135" s="29">
        <f t="shared" si="138"/>
        <v>451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100</v>
      </c>
      <c r="BM136" s="29">
        <v>100</v>
      </c>
      <c r="BO136" s="29" t="str">
        <f t="shared" si="136"/>
        <v/>
      </c>
      <c r="BP136" s="29">
        <f t="shared" si="125"/>
        <v>100</v>
      </c>
      <c r="BQ136" s="29">
        <f t="shared" si="126"/>
        <v>677</v>
      </c>
      <c r="BR136" s="65"/>
      <c r="BS136" s="29" t="str">
        <f t="shared" si="144"/>
        <v/>
      </c>
      <c r="BT136" s="29">
        <f t="shared" si="137"/>
        <v>100</v>
      </c>
      <c r="BU136" s="29">
        <f t="shared" si="138"/>
        <v>564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100</v>
      </c>
      <c r="BM137" s="29">
        <v>100</v>
      </c>
      <c r="BO137" s="29" t="str">
        <f t="shared" si="136"/>
        <v/>
      </c>
      <c r="BP137" s="29">
        <f t="shared" si="125"/>
        <v>100</v>
      </c>
      <c r="BQ137" s="29">
        <f t="shared" si="126"/>
        <v>100</v>
      </c>
      <c r="BR137" s="65"/>
      <c r="BS137" s="29" t="str">
        <f t="shared" si="144"/>
        <v/>
      </c>
      <c r="BT137" s="29">
        <f t="shared" si="137"/>
        <v>100</v>
      </c>
      <c r="BU137" s="29">
        <f t="shared" si="138"/>
        <v>677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100</v>
      </c>
      <c r="BM138" s="29">
        <v>100</v>
      </c>
      <c r="BO138" s="29" t="str">
        <f t="shared" si="136"/>
        <v/>
      </c>
      <c r="BP138" s="29">
        <f t="shared" si="125"/>
        <v>100</v>
      </c>
      <c r="BQ138" s="29">
        <f t="shared" si="126"/>
        <v>100</v>
      </c>
      <c r="BR138" s="65"/>
      <c r="BS138" s="29" t="str">
        <f t="shared" si="144"/>
        <v/>
      </c>
      <c r="BT138" s="29">
        <f t="shared" si="137"/>
        <v>100</v>
      </c>
      <c r="BU138" s="29">
        <f t="shared" si="138"/>
        <v>100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100</v>
      </c>
      <c r="BM139" s="29">
        <v>100</v>
      </c>
      <c r="BO139" s="29" t="str">
        <f t="shared" si="136"/>
        <v/>
      </c>
      <c r="BP139" s="29">
        <f t="shared" si="125"/>
        <v>100</v>
      </c>
      <c r="BQ139" s="29">
        <f t="shared" si="126"/>
        <v>100</v>
      </c>
      <c r="BR139" s="65"/>
      <c r="BS139" s="29" t="str">
        <f t="shared" si="144"/>
        <v/>
      </c>
      <c r="BT139" s="29">
        <f t="shared" si="137"/>
        <v>100</v>
      </c>
      <c r="BU139" s="29">
        <f t="shared" si="138"/>
        <v>100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100</v>
      </c>
      <c r="BM140" s="29">
        <v>100</v>
      </c>
      <c r="BO140" s="29" t="str">
        <f t="shared" si="136"/>
        <v/>
      </c>
      <c r="BP140" s="29">
        <f t="shared" si="125"/>
        <v>100</v>
      </c>
      <c r="BQ140" s="29">
        <f t="shared" si="126"/>
        <v>100</v>
      </c>
      <c r="BR140" s="65"/>
      <c r="BS140" s="29" t="str">
        <f t="shared" si="144"/>
        <v/>
      </c>
      <c r="BT140" s="29">
        <f t="shared" si="137"/>
        <v>100</v>
      </c>
      <c r="BU140" s="29">
        <f t="shared" si="138"/>
        <v>100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100</v>
      </c>
      <c r="BM141" s="29">
        <v>100</v>
      </c>
      <c r="BO141" s="29" t="str">
        <f t="shared" si="136"/>
        <v/>
      </c>
      <c r="BP141" s="29">
        <f t="shared" si="125"/>
        <v>100</v>
      </c>
      <c r="BQ141" s="29">
        <f t="shared" si="126"/>
        <v>100</v>
      </c>
      <c r="BR141" s="65"/>
      <c r="BS141" s="29" t="str">
        <f t="shared" si="144"/>
        <v/>
      </c>
      <c r="BT141" s="29">
        <f t="shared" si="137"/>
        <v>100</v>
      </c>
      <c r="BU141" s="29">
        <f t="shared" si="138"/>
        <v>100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701</v>
      </c>
      <c r="BM142" s="29">
        <v>677</v>
      </c>
      <c r="BO142" s="29" t="str">
        <f t="shared" si="136"/>
        <v/>
      </c>
      <c r="BP142" s="29">
        <f t="shared" si="125"/>
        <v>100</v>
      </c>
      <c r="BQ142" s="29">
        <f t="shared" si="126"/>
        <v>100</v>
      </c>
      <c r="BR142" s="65"/>
      <c r="BS142" s="29" t="str">
        <f t="shared" si="144"/>
        <v/>
      </c>
      <c r="BT142" s="29">
        <f t="shared" si="137"/>
        <v>100</v>
      </c>
      <c r="BU142" s="29">
        <f t="shared" si="138"/>
        <v>100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584</v>
      </c>
      <c r="BM143" s="29">
        <v>564</v>
      </c>
      <c r="BO143" s="29" t="str">
        <f t="shared" si="136"/>
        <v/>
      </c>
      <c r="BP143" s="29">
        <f t="shared" si="125"/>
        <v>701</v>
      </c>
      <c r="BQ143" s="29">
        <f t="shared" si="126"/>
        <v>677</v>
      </c>
      <c r="BR143" s="65"/>
      <c r="BS143" s="29" t="str">
        <f t="shared" si="144"/>
        <v/>
      </c>
      <c r="BT143" s="29">
        <f t="shared" si="137"/>
        <v>100</v>
      </c>
      <c r="BU143" s="29">
        <f t="shared" si="138"/>
        <v>100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467</v>
      </c>
      <c r="BM144" s="29">
        <v>451</v>
      </c>
      <c r="BO144" s="29" t="str">
        <f t="shared" si="136"/>
        <v/>
      </c>
      <c r="BP144" s="29">
        <f t="shared" si="125"/>
        <v>584</v>
      </c>
      <c r="BQ144" s="29">
        <f t="shared" si="126"/>
        <v>564</v>
      </c>
      <c r="BR144" s="65"/>
      <c r="BS144" s="29" t="str">
        <f t="shared" si="144"/>
        <v/>
      </c>
      <c r="BT144" s="29">
        <f t="shared" si="137"/>
        <v>701</v>
      </c>
      <c r="BU144" s="29">
        <f t="shared" si="138"/>
        <v>677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584</v>
      </c>
      <c r="BM145" s="29">
        <v>564</v>
      </c>
      <c r="BO145" s="29" t="str">
        <f t="shared" si="136"/>
        <v/>
      </c>
      <c r="BP145" s="29">
        <f t="shared" si="125"/>
        <v>467</v>
      </c>
      <c r="BQ145" s="29">
        <f t="shared" si="126"/>
        <v>451</v>
      </c>
      <c r="BR145" s="65"/>
      <c r="BS145" s="29" t="str">
        <f t="shared" si="144"/>
        <v/>
      </c>
      <c r="BT145" s="29">
        <f t="shared" si="137"/>
        <v>584</v>
      </c>
      <c r="BU145" s="29">
        <f t="shared" si="138"/>
        <v>564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701</v>
      </c>
      <c r="BM146" s="29">
        <v>677</v>
      </c>
      <c r="BO146" s="29" t="str">
        <f t="shared" si="136"/>
        <v/>
      </c>
      <c r="BP146" s="29">
        <f t="shared" si="125"/>
        <v>584</v>
      </c>
      <c r="BQ146" s="29">
        <f t="shared" si="126"/>
        <v>564</v>
      </c>
      <c r="BR146" s="65"/>
      <c r="BS146" s="29" t="str">
        <f t="shared" si="144"/>
        <v/>
      </c>
      <c r="BT146" s="29">
        <f t="shared" si="137"/>
        <v>467</v>
      </c>
      <c r="BU146" s="29">
        <f t="shared" si="138"/>
        <v>451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100</v>
      </c>
      <c r="BM147" s="29">
        <v>100</v>
      </c>
      <c r="BO147" s="29" t="str">
        <f t="shared" si="136"/>
        <v/>
      </c>
      <c r="BP147" s="29">
        <f t="shared" si="125"/>
        <v>701</v>
      </c>
      <c r="BQ147" s="29">
        <f t="shared" si="126"/>
        <v>677</v>
      </c>
      <c r="BR147" s="65"/>
      <c r="BS147" s="29" t="str">
        <f t="shared" si="144"/>
        <v/>
      </c>
      <c r="BT147" s="29">
        <f t="shared" si="137"/>
        <v>584</v>
      </c>
      <c r="BU147" s="29">
        <f t="shared" si="138"/>
        <v>564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100</v>
      </c>
      <c r="BM148" s="29">
        <v>100</v>
      </c>
      <c r="BO148" s="29" t="str">
        <f t="shared" si="136"/>
        <v/>
      </c>
      <c r="BP148" s="29">
        <f t="shared" si="125"/>
        <v>100</v>
      </c>
      <c r="BQ148" s="29">
        <f t="shared" si="126"/>
        <v>100</v>
      </c>
      <c r="BR148" s="65"/>
      <c r="BS148" s="29" t="str">
        <f t="shared" si="144"/>
        <v/>
      </c>
      <c r="BT148" s="29">
        <f t="shared" si="137"/>
        <v>701</v>
      </c>
      <c r="BU148" s="29">
        <f t="shared" si="138"/>
        <v>677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100</v>
      </c>
      <c r="BM149" s="29">
        <v>100</v>
      </c>
      <c r="BO149" s="29" t="str">
        <f t="shared" si="136"/>
        <v/>
      </c>
      <c r="BP149" s="29">
        <f t="shared" si="125"/>
        <v>100</v>
      </c>
      <c r="BQ149" s="29">
        <f t="shared" si="126"/>
        <v>100</v>
      </c>
      <c r="BR149" s="65"/>
      <c r="BS149" s="29" t="str">
        <f t="shared" si="144"/>
        <v/>
      </c>
      <c r="BT149" s="29">
        <f t="shared" si="137"/>
        <v>100</v>
      </c>
      <c r="BU149" s="29">
        <f t="shared" si="138"/>
        <v>100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100</v>
      </c>
      <c r="BM150" s="29">
        <v>100</v>
      </c>
      <c r="BO150" s="29" t="str">
        <f t="shared" si="136"/>
        <v/>
      </c>
      <c r="BP150" s="29">
        <f t="shared" si="125"/>
        <v>100</v>
      </c>
      <c r="BQ150" s="29">
        <f t="shared" si="126"/>
        <v>100</v>
      </c>
      <c r="BR150" s="65"/>
      <c r="BS150" s="29" t="str">
        <f t="shared" si="144"/>
        <v/>
      </c>
      <c r="BT150" s="29">
        <f t="shared" si="137"/>
        <v>100</v>
      </c>
      <c r="BU150" s="29">
        <f t="shared" si="138"/>
        <v>100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100</v>
      </c>
      <c r="BM151" s="29">
        <v>100</v>
      </c>
      <c r="BO151" s="29" t="str">
        <f t="shared" si="136"/>
        <v/>
      </c>
      <c r="BP151" s="29">
        <f t="shared" si="125"/>
        <v>100</v>
      </c>
      <c r="BQ151" s="29">
        <f t="shared" si="126"/>
        <v>100</v>
      </c>
      <c r="BR151" s="65"/>
      <c r="BS151" s="29" t="str">
        <f t="shared" si="144"/>
        <v/>
      </c>
      <c r="BT151" s="29">
        <f t="shared" si="137"/>
        <v>100</v>
      </c>
      <c r="BU151" s="29">
        <f t="shared" si="138"/>
        <v>100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100</v>
      </c>
      <c r="BM152" s="29">
        <v>100</v>
      </c>
      <c r="BO152" s="29" t="str">
        <f t="shared" si="136"/>
        <v/>
      </c>
      <c r="BP152" s="29">
        <f t="shared" si="125"/>
        <v>100</v>
      </c>
      <c r="BQ152" s="29">
        <f t="shared" si="126"/>
        <v>100</v>
      </c>
      <c r="BR152" s="65"/>
      <c r="BS152" s="29" t="str">
        <f t="shared" si="144"/>
        <v/>
      </c>
      <c r="BT152" s="29">
        <f t="shared" si="137"/>
        <v>100</v>
      </c>
      <c r="BU152" s="29">
        <f t="shared" si="138"/>
        <v>100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100</v>
      </c>
      <c r="BM153" s="29">
        <v>100</v>
      </c>
      <c r="BO153" s="29" t="str">
        <f t="shared" si="136"/>
        <v/>
      </c>
      <c r="BP153" s="29">
        <f t="shared" si="125"/>
        <v>100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100</v>
      </c>
      <c r="BU153" s="29">
        <f t="shared" si="138"/>
        <v>100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100</v>
      </c>
      <c r="BM154" s="29">
        <v>100</v>
      </c>
      <c r="BO154" s="29" t="str">
        <f t="shared" si="136"/>
        <v/>
      </c>
      <c r="BP154" s="29">
        <f t="shared" si="125"/>
        <v>100</v>
      </c>
      <c r="BQ154" s="29">
        <f t="shared" si="126"/>
        <v>100</v>
      </c>
      <c r="BR154" s="65"/>
      <c r="BS154" s="29" t="str">
        <f t="shared" si="144"/>
        <v/>
      </c>
      <c r="BT154" s="29">
        <f t="shared" si="137"/>
        <v>100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100</v>
      </c>
      <c r="BM155" s="29">
        <v>100</v>
      </c>
      <c r="BO155" s="29" t="str">
        <f t="shared" si="136"/>
        <v/>
      </c>
      <c r="BP155" s="29">
        <f t="shared" si="125"/>
        <v>100</v>
      </c>
      <c r="BQ155" s="29">
        <f t="shared" si="126"/>
        <v>100</v>
      </c>
      <c r="BR155" s="65"/>
      <c r="BS155" s="29" t="str">
        <f t="shared" si="144"/>
        <v/>
      </c>
      <c r="BT155" s="29">
        <f t="shared" si="137"/>
        <v>100</v>
      </c>
      <c r="BU155" s="29">
        <f t="shared" si="138"/>
        <v>100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100</v>
      </c>
      <c r="BM156" s="29">
        <v>100</v>
      </c>
      <c r="BO156" s="29" t="str">
        <f t="shared" si="136"/>
        <v/>
      </c>
      <c r="BP156" s="29">
        <f t="shared" si="125"/>
        <v>100</v>
      </c>
      <c r="BQ156" s="29">
        <f t="shared" si="126"/>
        <v>100</v>
      </c>
      <c r="BR156" s="65"/>
      <c r="BS156" s="29" t="str">
        <f t="shared" si="144"/>
        <v/>
      </c>
      <c r="BT156" s="29">
        <f t="shared" si="137"/>
        <v>100</v>
      </c>
      <c r="BU156" s="29">
        <f t="shared" si="138"/>
        <v>100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100</v>
      </c>
      <c r="BM157" s="29">
        <v>677</v>
      </c>
      <c r="BO157" s="29" t="str">
        <f t="shared" si="136"/>
        <v/>
      </c>
      <c r="BP157" s="29">
        <f t="shared" si="125"/>
        <v>100</v>
      </c>
      <c r="BQ157" s="29">
        <f t="shared" si="126"/>
        <v>100</v>
      </c>
      <c r="BR157" s="65"/>
      <c r="BS157" s="29" t="str">
        <f t="shared" si="144"/>
        <v/>
      </c>
      <c r="BT157" s="29">
        <f t="shared" si="137"/>
        <v>100</v>
      </c>
      <c r="BU157" s="29">
        <f t="shared" si="138"/>
        <v>100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100</v>
      </c>
      <c r="BM158" s="29">
        <v>564</v>
      </c>
      <c r="BO158" s="29" t="str">
        <f t="shared" si="136"/>
        <v/>
      </c>
      <c r="BP158" s="29">
        <f t="shared" si="125"/>
        <v>100</v>
      </c>
      <c r="BQ158" s="29">
        <f t="shared" si="126"/>
        <v>677</v>
      </c>
      <c r="BR158" s="65"/>
      <c r="BS158" s="29" t="str">
        <f t="shared" si="144"/>
        <v/>
      </c>
      <c r="BT158" s="29">
        <f t="shared" si="137"/>
        <v>100</v>
      </c>
      <c r="BU158" s="29">
        <f t="shared" si="138"/>
        <v>100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100</v>
      </c>
      <c r="BM159" s="29">
        <v>451</v>
      </c>
      <c r="BO159" s="29" t="str">
        <f t="shared" si="136"/>
        <v/>
      </c>
      <c r="BP159" s="29">
        <f t="shared" si="125"/>
        <v>100</v>
      </c>
      <c r="BQ159" s="29">
        <f t="shared" si="126"/>
        <v>564</v>
      </c>
      <c r="BR159" s="65"/>
      <c r="BS159" s="29" t="str">
        <f t="shared" si="144"/>
        <v/>
      </c>
      <c r="BT159" s="29">
        <f t="shared" si="137"/>
        <v>100</v>
      </c>
      <c r="BU159" s="29">
        <f t="shared" si="138"/>
        <v>677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100</v>
      </c>
      <c r="BM160" s="29">
        <v>564</v>
      </c>
      <c r="BO160" s="29" t="str">
        <f t="shared" si="136"/>
        <v/>
      </c>
      <c r="BP160" s="29">
        <f t="shared" si="125"/>
        <v>100</v>
      </c>
      <c r="BQ160" s="29">
        <f t="shared" si="126"/>
        <v>451</v>
      </c>
      <c r="BR160" s="65"/>
      <c r="BS160" s="29" t="str">
        <f t="shared" si="144"/>
        <v/>
      </c>
      <c r="BT160" s="29">
        <f t="shared" si="137"/>
        <v>100</v>
      </c>
      <c r="BU160" s="29">
        <f t="shared" si="138"/>
        <v>564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100</v>
      </c>
      <c r="BM161" s="29">
        <v>677</v>
      </c>
      <c r="BO161" s="29" t="str">
        <f t="shared" si="136"/>
        <v/>
      </c>
      <c r="BP161" s="29">
        <f t="shared" si="125"/>
        <v>100</v>
      </c>
      <c r="BQ161" s="29">
        <f t="shared" si="126"/>
        <v>564</v>
      </c>
      <c r="BR161" s="65"/>
      <c r="BS161" s="29" t="str">
        <f t="shared" si="144"/>
        <v/>
      </c>
      <c r="BT161" s="29">
        <f t="shared" si="137"/>
        <v>100</v>
      </c>
      <c r="BU161" s="29">
        <f t="shared" si="138"/>
        <v>451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100</v>
      </c>
      <c r="BM162" s="29">
        <v>100</v>
      </c>
      <c r="BO162" s="29" t="str">
        <f t="shared" si="136"/>
        <v/>
      </c>
      <c r="BP162" s="29">
        <f t="shared" si="125"/>
        <v>100</v>
      </c>
      <c r="BQ162" s="29">
        <f t="shared" si="126"/>
        <v>677</v>
      </c>
      <c r="BR162" s="65"/>
      <c r="BS162" s="29" t="str">
        <f t="shared" si="144"/>
        <v/>
      </c>
      <c r="BT162" s="29">
        <f t="shared" si="137"/>
        <v>100</v>
      </c>
      <c r="BU162" s="29">
        <f t="shared" si="138"/>
        <v>564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100</v>
      </c>
      <c r="BM163" s="29">
        <v>100</v>
      </c>
      <c r="BO163" s="29" t="str">
        <f t="shared" si="136"/>
        <v/>
      </c>
      <c r="BP163" s="29">
        <f t="shared" si="125"/>
        <v>100</v>
      </c>
      <c r="BQ163" s="29">
        <f t="shared" si="126"/>
        <v>100</v>
      </c>
      <c r="BR163" s="65"/>
      <c r="BS163" s="29" t="str">
        <f t="shared" si="144"/>
        <v/>
      </c>
      <c r="BT163" s="29">
        <f t="shared" si="137"/>
        <v>100</v>
      </c>
      <c r="BU163" s="29">
        <f t="shared" si="138"/>
        <v>677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100</v>
      </c>
      <c r="BM164" s="29">
        <v>100</v>
      </c>
      <c r="BO164" s="29" t="str">
        <f t="shared" si="136"/>
        <v/>
      </c>
      <c r="BP164" s="29">
        <f t="shared" si="125"/>
        <v>100</v>
      </c>
      <c r="BQ164" s="29">
        <f t="shared" si="126"/>
        <v>100</v>
      </c>
      <c r="BR164" s="65"/>
      <c r="BS164" s="29" t="str">
        <f t="shared" si="144"/>
        <v/>
      </c>
      <c r="BT164" s="29">
        <f t="shared" si="137"/>
        <v>100</v>
      </c>
      <c r="BU164" s="29">
        <f t="shared" si="138"/>
        <v>100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100</v>
      </c>
      <c r="BM165" s="29">
        <v>100</v>
      </c>
      <c r="BO165" s="29" t="str">
        <f t="shared" si="136"/>
        <v/>
      </c>
      <c r="BP165" s="29">
        <f t="shared" si="125"/>
        <v>100</v>
      </c>
      <c r="BQ165" s="29">
        <f t="shared" si="126"/>
        <v>100</v>
      </c>
      <c r="BR165" s="65"/>
      <c r="BS165" s="29" t="str">
        <f t="shared" si="144"/>
        <v/>
      </c>
      <c r="BT165" s="29">
        <f t="shared" si="137"/>
        <v>100</v>
      </c>
      <c r="BU165" s="29">
        <f t="shared" si="138"/>
        <v>100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100</v>
      </c>
      <c r="BM166" s="29">
        <v>100</v>
      </c>
      <c r="BO166" s="29" t="str">
        <f t="shared" si="136"/>
        <v/>
      </c>
      <c r="BP166" s="29">
        <f t="shared" si="125"/>
        <v>100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100</v>
      </c>
      <c r="BU166" s="29">
        <f t="shared" si="138"/>
        <v>100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100</v>
      </c>
      <c r="BM167" s="29">
        <v>100</v>
      </c>
      <c r="BO167" s="29" t="str">
        <f t="shared" si="136"/>
        <v/>
      </c>
      <c r="BP167" s="29">
        <f t="shared" si="125"/>
        <v>100</v>
      </c>
      <c r="BQ167" s="29">
        <f t="shared" si="126"/>
        <v>100</v>
      </c>
      <c r="BR167" s="65"/>
      <c r="BS167" s="29" t="str">
        <f t="shared" si="144"/>
        <v/>
      </c>
      <c r="BT167" s="29">
        <f t="shared" si="137"/>
        <v>100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100</v>
      </c>
      <c r="BM168" s="29">
        <v>100</v>
      </c>
      <c r="BO168" s="29" t="str">
        <f t="shared" si="136"/>
        <v/>
      </c>
      <c r="BP168" s="29">
        <f t="shared" si="125"/>
        <v>100</v>
      </c>
      <c r="BQ168" s="29">
        <f t="shared" si="126"/>
        <v>100</v>
      </c>
      <c r="BR168" s="65"/>
      <c r="BS168" s="29" t="str">
        <f t="shared" si="144"/>
        <v/>
      </c>
      <c r="BT168" s="29">
        <f t="shared" si="137"/>
        <v>100</v>
      </c>
      <c r="BU168" s="29">
        <f t="shared" si="138"/>
        <v>100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100</v>
      </c>
      <c r="BM169" s="29">
        <v>100</v>
      </c>
      <c r="BO169" s="29" t="str">
        <f t="shared" si="136"/>
        <v/>
      </c>
      <c r="BP169" s="29">
        <f t="shared" si="125"/>
        <v>100</v>
      </c>
      <c r="BQ169" s="29">
        <f t="shared" si="126"/>
        <v>100</v>
      </c>
      <c r="BR169" s="65"/>
      <c r="BS169" s="29" t="str">
        <f t="shared" si="144"/>
        <v/>
      </c>
      <c r="BT169" s="29">
        <f t="shared" si="137"/>
        <v>100</v>
      </c>
      <c r="BU169" s="29">
        <f t="shared" si="138"/>
        <v>100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100</v>
      </c>
      <c r="BM170" s="29">
        <v>100</v>
      </c>
      <c r="BO170" s="29" t="str">
        <f t="shared" si="136"/>
        <v/>
      </c>
      <c r="BP170" s="29">
        <f t="shared" si="125"/>
        <v>100</v>
      </c>
      <c r="BQ170" s="29">
        <f t="shared" si="126"/>
        <v>100</v>
      </c>
      <c r="BR170" s="65"/>
      <c r="BS170" s="29" t="str">
        <f t="shared" si="144"/>
        <v/>
      </c>
      <c r="BT170" s="29">
        <f t="shared" si="137"/>
        <v>100</v>
      </c>
      <c r="BU170" s="29">
        <f t="shared" si="138"/>
        <v>100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100</v>
      </c>
      <c r="BM171" s="29">
        <v>100</v>
      </c>
      <c r="BO171" s="29" t="str">
        <f t="shared" si="136"/>
        <v/>
      </c>
      <c r="BP171" s="29">
        <f t="shared" si="125"/>
        <v>100</v>
      </c>
      <c r="BQ171" s="29">
        <f t="shared" si="126"/>
        <v>100</v>
      </c>
      <c r="BR171" s="65"/>
      <c r="BS171" s="29" t="str">
        <f t="shared" si="144"/>
        <v/>
      </c>
      <c r="BT171" s="29">
        <f t="shared" si="137"/>
        <v>100</v>
      </c>
      <c r="BU171" s="29">
        <f t="shared" si="138"/>
        <v>100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100</v>
      </c>
      <c r="BM172" s="29">
        <v>100</v>
      </c>
      <c r="BO172" s="29" t="str">
        <f t="shared" si="136"/>
        <v/>
      </c>
      <c r="BP172" s="29">
        <f t="shared" si="125"/>
        <v>100</v>
      </c>
      <c r="BQ172" s="29">
        <f t="shared" si="126"/>
        <v>100</v>
      </c>
      <c r="BR172" s="65"/>
      <c r="BS172" s="29" t="str">
        <f t="shared" si="144"/>
        <v/>
      </c>
      <c r="BT172" s="29">
        <f t="shared" si="137"/>
        <v>100</v>
      </c>
      <c r="BU172" s="29">
        <f t="shared" si="138"/>
        <v>100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100</v>
      </c>
      <c r="BM173" s="29">
        <v>100</v>
      </c>
      <c r="BO173" s="29" t="str">
        <f t="shared" si="136"/>
        <v/>
      </c>
      <c r="BP173" s="29">
        <f t="shared" si="125"/>
        <v>100</v>
      </c>
      <c r="BQ173" s="29">
        <f t="shared" si="126"/>
        <v>100</v>
      </c>
      <c r="BR173" s="65"/>
      <c r="BS173" s="29" t="str">
        <f t="shared" si="144"/>
        <v/>
      </c>
      <c r="BT173" s="29">
        <f t="shared" si="137"/>
        <v>100</v>
      </c>
      <c r="BU173" s="29">
        <f t="shared" si="138"/>
        <v>100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100</v>
      </c>
      <c r="BM174" s="29">
        <v>100</v>
      </c>
      <c r="BO174" s="29" t="str">
        <f t="shared" si="136"/>
        <v/>
      </c>
      <c r="BP174" s="29">
        <f t="shared" si="125"/>
        <v>100</v>
      </c>
      <c r="BQ174" s="29">
        <f t="shared" si="126"/>
        <v>100</v>
      </c>
      <c r="BR174" s="65"/>
      <c r="BS174" s="29" t="str">
        <f t="shared" si="144"/>
        <v/>
      </c>
      <c r="BT174" s="29">
        <f t="shared" si="137"/>
        <v>100</v>
      </c>
      <c r="BU174" s="29">
        <f t="shared" si="138"/>
        <v>100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100</v>
      </c>
      <c r="BM175" s="29">
        <v>100</v>
      </c>
      <c r="BO175" s="29" t="str">
        <f t="shared" si="136"/>
        <v/>
      </c>
      <c r="BP175" s="29">
        <f t="shared" si="125"/>
        <v>100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100</v>
      </c>
      <c r="BU175" s="29">
        <f t="shared" si="138"/>
        <v>100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100</v>
      </c>
      <c r="BM176" s="29">
        <v>100</v>
      </c>
      <c r="BO176" s="29" t="str">
        <f t="shared" si="136"/>
        <v/>
      </c>
      <c r="BP176" s="29">
        <f t="shared" si="125"/>
        <v>100</v>
      </c>
      <c r="BQ176" s="29">
        <f t="shared" si="126"/>
        <v>100</v>
      </c>
      <c r="BR176" s="65"/>
      <c r="BS176" s="29" t="str">
        <f t="shared" si="144"/>
        <v/>
      </c>
      <c r="BT176" s="29">
        <f t="shared" si="137"/>
        <v>100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100</v>
      </c>
      <c r="BM177" s="29">
        <v>100</v>
      </c>
      <c r="BO177" s="29" t="str">
        <f t="shared" si="136"/>
        <v/>
      </c>
      <c r="BP177" s="29">
        <f t="shared" si="125"/>
        <v>100</v>
      </c>
      <c r="BQ177" s="29">
        <f t="shared" si="126"/>
        <v>100</v>
      </c>
      <c r="BR177" s="65"/>
      <c r="BS177" s="29" t="str">
        <f t="shared" si="144"/>
        <v/>
      </c>
      <c r="BT177" s="29">
        <f t="shared" si="137"/>
        <v>100</v>
      </c>
      <c r="BU177" s="29">
        <f t="shared" si="138"/>
        <v>100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100</v>
      </c>
      <c r="BM178" s="29">
        <v>100</v>
      </c>
      <c r="BO178" s="29" t="str">
        <f t="shared" si="136"/>
        <v/>
      </c>
      <c r="BP178" s="29">
        <f t="shared" si="125"/>
        <v>100</v>
      </c>
      <c r="BQ178" s="29">
        <f t="shared" si="126"/>
        <v>100</v>
      </c>
      <c r="BR178" s="65"/>
      <c r="BS178" s="29" t="str">
        <f t="shared" si="144"/>
        <v/>
      </c>
      <c r="BT178" s="29">
        <f t="shared" si="137"/>
        <v>100</v>
      </c>
      <c r="BU178" s="29">
        <f t="shared" si="138"/>
        <v>100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100</v>
      </c>
      <c r="BM179" s="29">
        <v>100</v>
      </c>
      <c r="BO179" s="29" t="str">
        <f t="shared" si="136"/>
        <v/>
      </c>
      <c r="BP179" s="29">
        <f t="shared" si="125"/>
        <v>100</v>
      </c>
      <c r="BQ179" s="29">
        <f t="shared" si="126"/>
        <v>100</v>
      </c>
      <c r="BR179" s="65"/>
      <c r="BS179" s="29" t="str">
        <f t="shared" si="144"/>
        <v/>
      </c>
      <c r="BT179" s="29">
        <f t="shared" si="137"/>
        <v>100</v>
      </c>
      <c r="BU179" s="29">
        <f t="shared" si="138"/>
        <v>100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100</v>
      </c>
      <c r="BM180" s="29">
        <v>100</v>
      </c>
      <c r="BO180" s="29" t="str">
        <f t="shared" si="136"/>
        <v/>
      </c>
      <c r="BP180" s="29">
        <f t="shared" si="125"/>
        <v>100</v>
      </c>
      <c r="BQ180" s="29">
        <f t="shared" si="126"/>
        <v>100</v>
      </c>
      <c r="BR180" s="65"/>
      <c r="BS180" s="29" t="str">
        <f t="shared" si="144"/>
        <v/>
      </c>
      <c r="BT180" s="29">
        <f t="shared" si="137"/>
        <v>100</v>
      </c>
      <c r="BU180" s="29">
        <f t="shared" si="138"/>
        <v>100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701</v>
      </c>
      <c r="BM181" s="29">
        <v>100</v>
      </c>
      <c r="BO181" s="29" t="str">
        <f t="shared" si="136"/>
        <v/>
      </c>
      <c r="BP181" s="29">
        <f t="shared" si="125"/>
        <v>100</v>
      </c>
      <c r="BQ181" s="29">
        <f t="shared" si="126"/>
        <v>100</v>
      </c>
      <c r="BR181" s="65"/>
      <c r="BS181" s="29" t="str">
        <f t="shared" si="144"/>
        <v/>
      </c>
      <c r="BT181" s="29">
        <f t="shared" si="137"/>
        <v>100</v>
      </c>
      <c r="BU181" s="29">
        <f t="shared" si="138"/>
        <v>100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584</v>
      </c>
      <c r="BM182" s="29">
        <v>100</v>
      </c>
      <c r="BO182" s="29" t="str">
        <f t="shared" si="136"/>
        <v/>
      </c>
      <c r="BP182" s="29">
        <f t="shared" si="125"/>
        <v>701</v>
      </c>
      <c r="BQ182" s="29">
        <f t="shared" si="126"/>
        <v>100</v>
      </c>
      <c r="BR182" s="65"/>
      <c r="BS182" s="29" t="str">
        <f t="shared" si="144"/>
        <v/>
      </c>
      <c r="BT182" s="29">
        <f t="shared" si="137"/>
        <v>100</v>
      </c>
      <c r="BU182" s="29">
        <f t="shared" si="138"/>
        <v>100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467</v>
      </c>
      <c r="BM183" s="29">
        <v>100</v>
      </c>
      <c r="BO183" s="29" t="str">
        <f t="shared" si="136"/>
        <v/>
      </c>
      <c r="BP183" s="29">
        <f t="shared" si="125"/>
        <v>584</v>
      </c>
      <c r="BQ183" s="29">
        <f t="shared" si="126"/>
        <v>100</v>
      </c>
      <c r="BR183" s="65"/>
      <c r="BS183" s="29" t="str">
        <f t="shared" si="144"/>
        <v/>
      </c>
      <c r="BT183" s="29">
        <f t="shared" si="137"/>
        <v>701</v>
      </c>
      <c r="BU183" s="29">
        <f t="shared" si="138"/>
        <v>100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584</v>
      </c>
      <c r="BM184" s="29">
        <v>100</v>
      </c>
      <c r="BO184" s="29" t="str">
        <f t="shared" si="136"/>
        <v/>
      </c>
      <c r="BP184" s="29">
        <f t="shared" si="125"/>
        <v>467</v>
      </c>
      <c r="BQ184" s="29">
        <f t="shared" si="126"/>
        <v>100</v>
      </c>
      <c r="BR184" s="65"/>
      <c r="BS184" s="29" t="str">
        <f t="shared" si="144"/>
        <v/>
      </c>
      <c r="BT184" s="29">
        <f t="shared" si="137"/>
        <v>584</v>
      </c>
      <c r="BU184" s="29">
        <f t="shared" si="138"/>
        <v>100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701</v>
      </c>
      <c r="BM185" s="29">
        <v>100</v>
      </c>
      <c r="BO185" s="29" t="str">
        <f t="shared" si="136"/>
        <v/>
      </c>
      <c r="BP185" s="29">
        <f t="shared" si="125"/>
        <v>584</v>
      </c>
      <c r="BQ185" s="29">
        <f t="shared" si="126"/>
        <v>100</v>
      </c>
      <c r="BR185" s="65"/>
      <c r="BS185" s="29" t="str">
        <f t="shared" si="144"/>
        <v/>
      </c>
      <c r="BT185" s="29">
        <f t="shared" si="137"/>
        <v>467</v>
      </c>
      <c r="BU185" s="29">
        <f t="shared" si="138"/>
        <v>100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100</v>
      </c>
      <c r="BM186" s="29">
        <v>100</v>
      </c>
      <c r="BO186" s="29" t="str">
        <f t="shared" si="136"/>
        <v/>
      </c>
      <c r="BP186" s="29">
        <f t="shared" si="125"/>
        <v>701</v>
      </c>
      <c r="BQ186" s="29">
        <f t="shared" si="126"/>
        <v>100</v>
      </c>
      <c r="BR186" s="65"/>
      <c r="BS186" s="29" t="str">
        <f t="shared" si="144"/>
        <v/>
      </c>
      <c r="BT186" s="29">
        <f t="shared" si="137"/>
        <v>584</v>
      </c>
      <c r="BU186" s="29">
        <f t="shared" si="138"/>
        <v>100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100</v>
      </c>
      <c r="BM187" s="29">
        <v>100</v>
      </c>
      <c r="BO187" s="29" t="str">
        <f t="shared" si="136"/>
        <v/>
      </c>
      <c r="BP187" s="29">
        <f t="shared" si="125"/>
        <v>100</v>
      </c>
      <c r="BQ187" s="29">
        <f t="shared" si="126"/>
        <v>100</v>
      </c>
      <c r="BR187" s="65"/>
      <c r="BS187" s="29" t="str">
        <f t="shared" si="144"/>
        <v/>
      </c>
      <c r="BT187" s="29">
        <f t="shared" si="137"/>
        <v>701</v>
      </c>
      <c r="BU187" s="29">
        <f t="shared" si="138"/>
        <v>100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100</v>
      </c>
      <c r="BM188" s="29">
        <v>100</v>
      </c>
      <c r="BO188" s="29" t="str">
        <f t="shared" si="136"/>
        <v/>
      </c>
      <c r="BP188" s="29">
        <f t="shared" si="125"/>
        <v>100</v>
      </c>
      <c r="BQ188" s="29">
        <f t="shared" si="126"/>
        <v>100</v>
      </c>
      <c r="BR188" s="65"/>
      <c r="BS188" s="29" t="str">
        <f t="shared" si="144"/>
        <v/>
      </c>
      <c r="BT188" s="29">
        <f t="shared" si="137"/>
        <v>100</v>
      </c>
      <c r="BU188" s="29">
        <f t="shared" si="138"/>
        <v>100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100</v>
      </c>
      <c r="BM189" s="29">
        <v>100</v>
      </c>
      <c r="BO189" s="29" t="str">
        <f t="shared" si="136"/>
        <v/>
      </c>
      <c r="BP189" s="29">
        <f t="shared" si="125"/>
        <v>100</v>
      </c>
      <c r="BQ189" s="29">
        <f t="shared" si="126"/>
        <v>100</v>
      </c>
      <c r="BR189" s="65"/>
      <c r="BS189" s="29" t="str">
        <f t="shared" si="144"/>
        <v/>
      </c>
      <c r="BT189" s="29">
        <f t="shared" si="137"/>
        <v>100</v>
      </c>
      <c r="BU189" s="29">
        <f t="shared" si="138"/>
        <v>100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100</v>
      </c>
      <c r="BM190" s="29">
        <v>100</v>
      </c>
      <c r="BO190" s="29" t="str">
        <f t="shared" si="136"/>
        <v/>
      </c>
      <c r="BP190" s="29">
        <f t="shared" si="125"/>
        <v>100</v>
      </c>
      <c r="BQ190" s="29">
        <f t="shared" si="126"/>
        <v>100</v>
      </c>
      <c r="BR190" s="65"/>
      <c r="BS190" s="29" t="str">
        <f t="shared" si="144"/>
        <v/>
      </c>
      <c r="BT190" s="29">
        <f t="shared" si="137"/>
        <v>100</v>
      </c>
      <c r="BU190" s="29">
        <f t="shared" si="138"/>
        <v>100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100</v>
      </c>
      <c r="BM191" s="29">
        <v>100</v>
      </c>
      <c r="BO191" s="29" t="str">
        <f t="shared" si="136"/>
        <v/>
      </c>
      <c r="BP191" s="29">
        <f t="shared" si="125"/>
        <v>100</v>
      </c>
      <c r="BQ191" s="29">
        <f t="shared" si="126"/>
        <v>100</v>
      </c>
      <c r="BR191" s="65"/>
      <c r="BS191" s="29" t="str">
        <f t="shared" si="144"/>
        <v/>
      </c>
      <c r="BT191" s="29">
        <f t="shared" si="137"/>
        <v>100</v>
      </c>
      <c r="BU191" s="29">
        <f t="shared" si="138"/>
        <v>100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100</v>
      </c>
      <c r="BM192" s="29">
        <v>677</v>
      </c>
      <c r="BO192" s="29" t="str">
        <f t="shared" si="136"/>
        <v/>
      </c>
      <c r="BP192" s="29">
        <f t="shared" si="125"/>
        <v>100</v>
      </c>
      <c r="BQ192" s="29">
        <f t="shared" si="126"/>
        <v>100</v>
      </c>
      <c r="BR192" s="65"/>
      <c r="BS192" s="29" t="str">
        <f t="shared" si="144"/>
        <v/>
      </c>
      <c r="BT192" s="29">
        <f t="shared" si="137"/>
        <v>100</v>
      </c>
      <c r="BU192" s="29">
        <f t="shared" si="138"/>
        <v>100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100</v>
      </c>
      <c r="BM193" s="29">
        <v>564</v>
      </c>
      <c r="BO193" s="29" t="str">
        <f t="shared" si="136"/>
        <v/>
      </c>
      <c r="BP193" s="29">
        <f t="shared" si="125"/>
        <v>100</v>
      </c>
      <c r="BQ193" s="29">
        <f t="shared" si="126"/>
        <v>677</v>
      </c>
      <c r="BR193" s="65"/>
      <c r="BS193" s="29" t="str">
        <f t="shared" si="144"/>
        <v/>
      </c>
      <c r="BT193" s="29">
        <f t="shared" si="137"/>
        <v>100</v>
      </c>
      <c r="BU193" s="29">
        <f t="shared" si="138"/>
        <v>100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100</v>
      </c>
      <c r="BM194" s="29">
        <v>451</v>
      </c>
      <c r="BO194" s="29" t="str">
        <f t="shared" si="136"/>
        <v/>
      </c>
      <c r="BP194" s="29">
        <f t="shared" si="125"/>
        <v>100</v>
      </c>
      <c r="BQ194" s="29">
        <f t="shared" si="126"/>
        <v>564</v>
      </c>
      <c r="BR194" s="65"/>
      <c r="BS194" s="29" t="str">
        <f t="shared" si="144"/>
        <v/>
      </c>
      <c r="BT194" s="29">
        <f t="shared" si="137"/>
        <v>100</v>
      </c>
      <c r="BU194" s="29">
        <f t="shared" si="138"/>
        <v>677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100</v>
      </c>
      <c r="BM195" s="29">
        <v>564</v>
      </c>
      <c r="BO195" s="29" t="str">
        <f t="shared" si="136"/>
        <v/>
      </c>
      <c r="BP195" s="29">
        <f t="shared" si="125"/>
        <v>100</v>
      </c>
      <c r="BQ195" s="29">
        <f t="shared" si="126"/>
        <v>451</v>
      </c>
      <c r="BR195" s="65"/>
      <c r="BS195" s="29" t="str">
        <f t="shared" si="144"/>
        <v/>
      </c>
      <c r="BT195" s="29">
        <f t="shared" si="137"/>
        <v>100</v>
      </c>
      <c r="BU195" s="29">
        <f t="shared" si="138"/>
        <v>564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100</v>
      </c>
      <c r="BM196" s="29">
        <v>677</v>
      </c>
      <c r="BO196" s="29" t="str">
        <f t="shared" si="136"/>
        <v/>
      </c>
      <c r="BP196" s="29">
        <f t="shared" ref="BP196:BP211" si="152">IF(BL195="","",BL195)</f>
        <v>100</v>
      </c>
      <c r="BQ196" s="29">
        <f t="shared" ref="BQ196:BQ211" si="153">IF(BM195="","",BM195)</f>
        <v>564</v>
      </c>
      <c r="BR196" s="65"/>
      <c r="BS196" s="29" t="str">
        <f t="shared" si="144"/>
        <v/>
      </c>
      <c r="BT196" s="29">
        <f t="shared" si="137"/>
        <v>100</v>
      </c>
      <c r="BU196" s="29">
        <f t="shared" si="138"/>
        <v>451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100</v>
      </c>
      <c r="BM197" s="29">
        <v>100</v>
      </c>
      <c r="BO197" s="29" t="str">
        <f t="shared" ref="BO197:BO211" si="163">IF(BK196="","",BK196)</f>
        <v/>
      </c>
      <c r="BP197" s="29">
        <f t="shared" si="152"/>
        <v>100</v>
      </c>
      <c r="BQ197" s="29">
        <f t="shared" si="153"/>
        <v>677</v>
      </c>
      <c r="BR197" s="65"/>
      <c r="BS197" s="29" t="str">
        <f t="shared" si="144"/>
        <v/>
      </c>
      <c r="BT197" s="29">
        <f t="shared" ref="BT197:BT211" si="164">IF(BL195="","",BL195)</f>
        <v>100</v>
      </c>
      <c r="BU197" s="29">
        <f t="shared" ref="BU197:BU211" si="165">IF(BM195="","",BM195)</f>
        <v>564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100</v>
      </c>
      <c r="BM198" s="29">
        <v>677</v>
      </c>
      <c r="BO198" s="29" t="str">
        <f t="shared" si="163"/>
        <v/>
      </c>
      <c r="BP198" s="29">
        <f t="shared" si="152"/>
        <v>100</v>
      </c>
      <c r="BQ198" s="29">
        <f t="shared" si="153"/>
        <v>100</v>
      </c>
      <c r="BR198" s="65"/>
      <c r="BS198" s="29" t="str">
        <f t="shared" ref="BS198:BS211" si="171">IF(BK196="","",BK196)</f>
        <v/>
      </c>
      <c r="BT198" s="29">
        <f t="shared" si="164"/>
        <v>100</v>
      </c>
      <c r="BU198" s="29">
        <f t="shared" si="165"/>
        <v>677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100</v>
      </c>
      <c r="BM199" s="29">
        <v>564</v>
      </c>
      <c r="BO199" s="29" t="str">
        <f t="shared" si="163"/>
        <v/>
      </c>
      <c r="BP199" s="29">
        <f t="shared" si="152"/>
        <v>100</v>
      </c>
      <c r="BQ199" s="29">
        <f t="shared" si="153"/>
        <v>677</v>
      </c>
      <c r="BR199" s="65"/>
      <c r="BS199" s="29" t="str">
        <f t="shared" si="171"/>
        <v/>
      </c>
      <c r="BT199" s="29">
        <f t="shared" si="164"/>
        <v>100</v>
      </c>
      <c r="BU199" s="29">
        <f t="shared" si="165"/>
        <v>100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100</v>
      </c>
      <c r="BM200" s="29">
        <v>451</v>
      </c>
      <c r="BO200" s="29" t="str">
        <f t="shared" si="163"/>
        <v/>
      </c>
      <c r="BP200" s="29">
        <f t="shared" si="152"/>
        <v>100</v>
      </c>
      <c r="BQ200" s="29">
        <f t="shared" si="153"/>
        <v>564</v>
      </c>
      <c r="BR200" s="65"/>
      <c r="BS200" s="29" t="str">
        <f t="shared" si="171"/>
        <v/>
      </c>
      <c r="BT200" s="29">
        <f t="shared" si="164"/>
        <v>100</v>
      </c>
      <c r="BU200" s="29">
        <f t="shared" si="165"/>
        <v>677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701</v>
      </c>
      <c r="BM201" s="29">
        <v>564</v>
      </c>
      <c r="BO201" s="29" t="str">
        <f t="shared" si="163"/>
        <v/>
      </c>
      <c r="BP201" s="29">
        <f t="shared" si="152"/>
        <v>100</v>
      </c>
      <c r="BQ201" s="29">
        <f t="shared" si="153"/>
        <v>451</v>
      </c>
      <c r="BR201" s="65"/>
      <c r="BS201" s="29" t="str">
        <f t="shared" si="171"/>
        <v/>
      </c>
      <c r="BT201" s="29">
        <f t="shared" si="164"/>
        <v>100</v>
      </c>
      <c r="BU201" s="29">
        <f t="shared" si="165"/>
        <v>564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584</v>
      </c>
      <c r="BM202" s="29">
        <v>677</v>
      </c>
      <c r="BO202" s="29" t="str">
        <f t="shared" si="163"/>
        <v/>
      </c>
      <c r="BP202" s="29">
        <f t="shared" si="152"/>
        <v>701</v>
      </c>
      <c r="BQ202" s="29">
        <f t="shared" si="153"/>
        <v>564</v>
      </c>
      <c r="BR202" s="65"/>
      <c r="BS202" s="29" t="str">
        <f t="shared" si="171"/>
        <v/>
      </c>
      <c r="BT202" s="29">
        <f t="shared" si="164"/>
        <v>100</v>
      </c>
      <c r="BU202" s="29">
        <f t="shared" si="165"/>
        <v>451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467</v>
      </c>
      <c r="BM203" s="29">
        <v>100</v>
      </c>
      <c r="BO203" s="29" t="str">
        <f t="shared" si="163"/>
        <v/>
      </c>
      <c r="BP203" s="29">
        <f t="shared" si="152"/>
        <v>584</v>
      </c>
      <c r="BQ203" s="29">
        <f t="shared" si="153"/>
        <v>677</v>
      </c>
      <c r="BR203" s="65"/>
      <c r="BS203" s="29" t="str">
        <f t="shared" si="171"/>
        <v/>
      </c>
      <c r="BT203" s="29">
        <f t="shared" si="164"/>
        <v>701</v>
      </c>
      <c r="BU203" s="29">
        <f t="shared" si="165"/>
        <v>564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584</v>
      </c>
      <c r="BM204" s="29">
        <v>100</v>
      </c>
      <c r="BO204" s="29" t="str">
        <f t="shared" si="163"/>
        <v/>
      </c>
      <c r="BP204" s="29">
        <f t="shared" si="152"/>
        <v>467</v>
      </c>
      <c r="BQ204" s="29">
        <f t="shared" si="153"/>
        <v>100</v>
      </c>
      <c r="BR204" s="65"/>
      <c r="BS204" s="29" t="str">
        <f t="shared" si="171"/>
        <v/>
      </c>
      <c r="BT204" s="29">
        <f t="shared" si="164"/>
        <v>584</v>
      </c>
      <c r="BU204" s="29">
        <f t="shared" si="165"/>
        <v>677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701</v>
      </c>
      <c r="BM205" s="29">
        <v>100</v>
      </c>
      <c r="BO205" s="29" t="str">
        <f t="shared" si="163"/>
        <v/>
      </c>
      <c r="BP205" s="29">
        <f t="shared" si="152"/>
        <v>584</v>
      </c>
      <c r="BQ205" s="29">
        <f t="shared" si="153"/>
        <v>100</v>
      </c>
      <c r="BR205" s="65"/>
      <c r="BS205" s="29" t="str">
        <f t="shared" si="171"/>
        <v/>
      </c>
      <c r="BT205" s="29">
        <f t="shared" si="164"/>
        <v>467</v>
      </c>
      <c r="BU205" s="29">
        <f t="shared" si="165"/>
        <v>100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100</v>
      </c>
      <c r="BM206" s="29"/>
      <c r="BO206" s="29" t="str">
        <f t="shared" si="163"/>
        <v/>
      </c>
      <c r="BP206" s="29">
        <f t="shared" si="152"/>
        <v>701</v>
      </c>
      <c r="BQ206" s="29">
        <f t="shared" si="153"/>
        <v>100</v>
      </c>
      <c r="BR206" s="65"/>
      <c r="BS206" s="29" t="str">
        <f t="shared" si="171"/>
        <v/>
      </c>
      <c r="BT206" s="29">
        <f t="shared" si="164"/>
        <v>584</v>
      </c>
      <c r="BU206" s="29">
        <f t="shared" si="165"/>
        <v>100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100</v>
      </c>
      <c r="BM207" s="29"/>
      <c r="BO207" s="29" t="str">
        <f t="shared" si="163"/>
        <v/>
      </c>
      <c r="BP207" s="29">
        <f t="shared" si="152"/>
        <v>100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701</v>
      </c>
      <c r="BU207" s="29">
        <f t="shared" si="165"/>
        <v>100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100</v>
      </c>
      <c r="BM208" s="29"/>
      <c r="BO208" s="29" t="str">
        <f t="shared" si="163"/>
        <v/>
      </c>
      <c r="BP208" s="29">
        <f t="shared" si="152"/>
        <v>100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100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100</v>
      </c>
      <c r="BM209" s="29"/>
      <c r="BO209" s="29" t="str">
        <f t="shared" si="163"/>
        <v/>
      </c>
      <c r="BP209" s="29">
        <f t="shared" si="152"/>
        <v>100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100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701</v>
      </c>
      <c r="BM210" s="29"/>
      <c r="BO210" s="29" t="str">
        <f t="shared" si="163"/>
        <v/>
      </c>
      <c r="BP210" s="29">
        <f t="shared" si="152"/>
        <v>100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100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584</v>
      </c>
      <c r="BM211" s="29"/>
      <c r="BO211" s="29" t="str">
        <f t="shared" si="163"/>
        <v/>
      </c>
      <c r="BP211" s="29">
        <f t="shared" si="152"/>
        <v>701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100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50" priority="24" operator="equal">
      <formula>0</formula>
    </cfRule>
  </conditionalFormatting>
  <conditionalFormatting sqref="W3:Y211">
    <cfRule type="cellIs" dxfId="49" priority="25" stopIfTrue="1" operator="equal">
      <formula>"WW"</formula>
    </cfRule>
    <cfRule type="cellIs" dxfId="48" priority="26" stopIfTrue="1" operator="equal">
      <formula>"C1"</formula>
    </cfRule>
    <cfRule type="cellIs" dxfId="47" priority="27" stopIfTrue="1" operator="between">
      <formula>"M1"</formula>
      <formula>"M5"</formula>
    </cfRule>
  </conditionalFormatting>
  <conditionalFormatting sqref="Q11:S13">
    <cfRule type="cellIs" dxfId="46" priority="21" operator="equal">
      <formula>0</formula>
    </cfRule>
  </conditionalFormatting>
  <conditionalFormatting sqref="J11:L13">
    <cfRule type="cellIs" dxfId="45" priority="22" operator="equal">
      <formula>0</formula>
    </cfRule>
  </conditionalFormatting>
  <conditionalFormatting sqref="C29:E39">
    <cfRule type="cellIs" dxfId="44" priority="20" operator="equal">
      <formula>0</formula>
    </cfRule>
  </conditionalFormatting>
  <conditionalFormatting sqref="Q29:S39">
    <cfRule type="cellIs" dxfId="43" priority="18" operator="equal">
      <formula>0</formula>
    </cfRule>
  </conditionalFormatting>
  <conditionalFormatting sqref="J29:L39">
    <cfRule type="cellIs" dxfId="42" priority="19" operator="equal">
      <formula>0</formula>
    </cfRule>
  </conditionalFormatting>
  <conditionalFormatting sqref="C55:E65">
    <cfRule type="cellIs" dxfId="41" priority="17" operator="equal">
      <formula>0</formula>
    </cfRule>
  </conditionalFormatting>
  <conditionalFormatting sqref="Q55:S65">
    <cfRule type="cellIs" dxfId="40" priority="15" operator="equal">
      <formula>0</formula>
    </cfRule>
  </conditionalFormatting>
  <conditionalFormatting sqref="J55:L65">
    <cfRule type="cellIs" dxfId="39" priority="16" operator="equal">
      <formula>0</formula>
    </cfRule>
  </conditionalFormatting>
  <conditionalFormatting sqref="C81:E91">
    <cfRule type="cellIs" dxfId="38" priority="14" operator="equal">
      <formula>0</formula>
    </cfRule>
  </conditionalFormatting>
  <conditionalFormatting sqref="Q81:S91">
    <cfRule type="cellIs" dxfId="37" priority="12" operator="equal">
      <formula>0</formula>
    </cfRule>
  </conditionalFormatting>
  <conditionalFormatting sqref="J81:L91">
    <cfRule type="cellIs" dxfId="36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5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4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7" t="s">
        <v>113</v>
      </c>
      <c r="B1" s="317"/>
      <c r="C1" s="317"/>
      <c r="D1" s="317"/>
      <c r="E1" s="317"/>
      <c r="F1" s="1"/>
      <c r="G1" s="318" t="s">
        <v>114</v>
      </c>
      <c r="H1" s="318"/>
      <c r="I1" s="318"/>
      <c r="J1" s="318"/>
      <c r="K1" s="318"/>
      <c r="L1" s="1"/>
      <c r="M1" s="319" t="s">
        <v>115</v>
      </c>
      <c r="N1" s="319"/>
      <c r="O1" s="319"/>
      <c r="P1" s="319"/>
      <c r="Q1" s="319"/>
      <c r="R1" s="60"/>
      <c r="S1" s="320" t="s">
        <v>129</v>
      </c>
      <c r="T1" s="320"/>
      <c r="U1" s="320"/>
      <c r="V1" s="320"/>
      <c r="W1" s="320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3" priority="29" operator="between">
      <formula>20</formula>
      <formula>50</formula>
    </cfRule>
    <cfRule type="cellIs" dxfId="32" priority="30" stopIfTrue="1" operator="equal">
      <formula>"r"</formula>
    </cfRule>
    <cfRule type="cellIs" dxfId="31" priority="31" stopIfTrue="1" operator="equal">
      <formula>500</formula>
    </cfRule>
    <cfRule type="cellIs" dxfId="30" priority="32" stopIfTrue="1" operator="equal">
      <formula>100</formula>
    </cfRule>
  </conditionalFormatting>
  <conditionalFormatting sqref="AA3:AA102 AF3:AG211">
    <cfRule type="expression" dxfId="29" priority="28">
      <formula>LEFT(AA3,1)="G"</formula>
    </cfRule>
  </conditionalFormatting>
  <conditionalFormatting sqref="AJ3:AJ142">
    <cfRule type="cellIs" dxfId="28" priority="24" operator="between">
      <formula>20</formula>
      <formula>50</formula>
    </cfRule>
    <cfRule type="cellIs" dxfId="27" priority="25" stopIfTrue="1" operator="equal">
      <formula>"r"</formula>
    </cfRule>
    <cfRule type="cellIs" dxfId="26" priority="26" stopIfTrue="1" operator="equal">
      <formula>500</formula>
    </cfRule>
    <cfRule type="cellIs" dxfId="25" priority="27" stopIfTrue="1" operator="equal">
      <formula>100</formula>
    </cfRule>
  </conditionalFormatting>
  <conditionalFormatting sqref="AK3:AK102 AP3:AQ211">
    <cfRule type="expression" dxfId="24" priority="23">
      <formula>LEFT(AK3,1)="G"</formula>
    </cfRule>
  </conditionalFormatting>
  <conditionalFormatting sqref="AT3:AT142">
    <cfRule type="cellIs" dxfId="23" priority="19" operator="between">
      <formula>20</formula>
      <formula>50</formula>
    </cfRule>
    <cfRule type="cellIs" dxfId="22" priority="20" stopIfTrue="1" operator="equal">
      <formula>"r"</formula>
    </cfRule>
    <cfRule type="cellIs" dxfId="21" priority="21" stopIfTrue="1" operator="equal">
      <formula>500</formula>
    </cfRule>
    <cfRule type="cellIs" dxfId="20" priority="22" stopIfTrue="1" operator="equal">
      <formula>100</formula>
    </cfRule>
  </conditionalFormatting>
  <conditionalFormatting sqref="AU3:AU102 AZ3:BA211">
    <cfRule type="expression" dxfId="19" priority="18">
      <formula>LEFT(AU3,1)="G"</formula>
    </cfRule>
  </conditionalFormatting>
  <conditionalFormatting sqref="C3:D25 I3:J25 O3:P25">
    <cfRule type="cellIs" dxfId="18" priority="17" operator="equal">
      <formula>0</formula>
    </cfRule>
  </conditionalFormatting>
  <conditionalFormatting sqref="BD3:BD142">
    <cfRule type="cellIs" dxfId="17" priority="11" operator="between">
      <formula>20</formula>
      <formula>50</formula>
    </cfRule>
    <cfRule type="cellIs" dxfId="16" priority="12" stopIfTrue="1" operator="equal">
      <formula>"r"</formula>
    </cfRule>
    <cfRule type="cellIs" dxfId="15" priority="13" stopIfTrue="1" operator="equal">
      <formula>500</formula>
    </cfRule>
    <cfRule type="cellIs" dxfId="14" priority="14" stopIfTrue="1" operator="equal">
      <formula>100</formula>
    </cfRule>
  </conditionalFormatting>
  <conditionalFormatting sqref="BE3:BE102 BJ3:BK211">
    <cfRule type="expression" dxfId="13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2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1" priority="2" operator="equal">
      <formula>0</formula>
    </cfRule>
  </conditionalFormatting>
  <conditionalFormatting sqref="M20:N31">
    <cfRule type="cellIs" dxfId="1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9" priority="2" operator="equal">
      <formula>0</formula>
    </cfRule>
  </conditionalFormatting>
  <conditionalFormatting sqref="M20:N31">
    <cfRule type="cellIs" dxfId="8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7" priority="3" operator="equal">
      <formula>0</formula>
    </cfRule>
  </conditionalFormatting>
  <conditionalFormatting sqref="M20:N31">
    <cfRule type="cellIs" dxfId="6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1.0396634201786966E-2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3.7430545754079523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14.242592592592594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0.5675</v>
      </c>
      <c r="K4" s="33"/>
      <c r="L4" s="124">
        <v>2</v>
      </c>
      <c r="M4" s="108">
        <v>7.8235294117647056E-2</v>
      </c>
      <c r="N4" s="170">
        <v>13300000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8.026136363636363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9.4705882352941181E-2</v>
      </c>
      <c r="N5" s="170">
        <v>16100000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8.026136363636363</v>
      </c>
      <c r="U5" s="1"/>
      <c r="V5" s="116">
        <v>3</v>
      </c>
      <c r="W5" s="122">
        <v>0</v>
      </c>
      <c r="X5" s="92">
        <v>0.23863636363636365</v>
      </c>
      <c r="Y5" s="92">
        <v>0.23863636363636365</v>
      </c>
      <c r="Z5" s="92">
        <v>0.26464379947229549</v>
      </c>
      <c r="AA5" s="92">
        <v>0.26464379947229549</v>
      </c>
      <c r="AB5" s="92">
        <v>0.26464379947229549</v>
      </c>
      <c r="AC5" s="92">
        <v>0.26464379947229549</v>
      </c>
      <c r="AD5" s="92">
        <v>0.26464379947229549</v>
      </c>
      <c r="AE5" s="92">
        <v>0.26464379947229549</v>
      </c>
      <c r="AF5" s="110">
        <v>0.26464379947229549</v>
      </c>
      <c r="AG5" s="110">
        <v>0.26464379947229549</v>
      </c>
      <c r="AH5" s="174">
        <v>0</v>
      </c>
      <c r="AI5" s="278">
        <v>105000000</v>
      </c>
      <c r="AJ5" s="278">
        <v>105000000</v>
      </c>
      <c r="AK5" s="278">
        <v>100300000</v>
      </c>
      <c r="AL5" s="278">
        <v>100300000</v>
      </c>
      <c r="AM5" s="278">
        <v>100300000</v>
      </c>
      <c r="AN5" s="278">
        <v>100300000</v>
      </c>
      <c r="AO5" s="278">
        <v>100300000</v>
      </c>
      <c r="AP5" s="278">
        <v>100300000</v>
      </c>
      <c r="AQ5" s="278">
        <v>100300000</v>
      </c>
      <c r="AR5" s="278">
        <v>100300000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0.11529411764705882</v>
      </c>
      <c r="N6" s="170">
        <v>19600000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7.6224274406332464</v>
      </c>
      <c r="U6" s="26"/>
      <c r="V6" s="116">
        <v>5</v>
      </c>
      <c r="W6" s="122">
        <v>0</v>
      </c>
      <c r="X6" s="92">
        <v>0.38068181818181818</v>
      </c>
      <c r="Y6" s="92">
        <v>0.38068181818181818</v>
      </c>
      <c r="Z6" s="92">
        <v>0.42189973614775728</v>
      </c>
      <c r="AA6" s="92">
        <v>0.42189973614775728</v>
      </c>
      <c r="AB6" s="92">
        <v>0.42189973614775728</v>
      </c>
      <c r="AC6" s="92">
        <v>0.42189973614775728</v>
      </c>
      <c r="AD6" s="92">
        <v>0.42189973614775728</v>
      </c>
      <c r="AE6" s="92">
        <v>0.42189973614775728</v>
      </c>
      <c r="AF6" s="110">
        <v>0.42189973614775728</v>
      </c>
      <c r="AG6" s="110">
        <v>0.42189973614775728</v>
      </c>
      <c r="AH6" s="174">
        <v>0</v>
      </c>
      <c r="AI6" s="278">
        <v>167500000</v>
      </c>
      <c r="AJ6" s="278">
        <v>167500000</v>
      </c>
      <c r="AK6" s="278">
        <v>159900000</v>
      </c>
      <c r="AL6" s="278">
        <v>159900000</v>
      </c>
      <c r="AM6" s="278">
        <v>159900000</v>
      </c>
      <c r="AN6" s="278">
        <v>159900000</v>
      </c>
      <c r="AO6" s="278">
        <v>159900000</v>
      </c>
      <c r="AP6" s="278">
        <v>159900000</v>
      </c>
      <c r="AQ6" s="281">
        <v>159900000</v>
      </c>
      <c r="AR6" s="281">
        <v>159900000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8.7647058823529411E-2</v>
      </c>
      <c r="N7" s="170">
        <v>14900000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7.6224274406332464</v>
      </c>
      <c r="U7" s="1"/>
      <c r="V7" s="116">
        <v>10</v>
      </c>
      <c r="W7" s="122">
        <v>0.57481481481481478</v>
      </c>
      <c r="X7" s="92">
        <v>0.21863636363636363</v>
      </c>
      <c r="Y7" s="92">
        <v>0.21863636363636363</v>
      </c>
      <c r="Z7" s="92">
        <v>0.18179419525065962</v>
      </c>
      <c r="AA7" s="92">
        <v>0.18179419525065962</v>
      </c>
      <c r="AB7" s="92">
        <v>0.18179419525065962</v>
      </c>
      <c r="AC7" s="92">
        <v>0.18179419525065962</v>
      </c>
      <c r="AD7" s="92">
        <v>0.18179419525065962</v>
      </c>
      <c r="AE7" s="92">
        <v>0.18179419525065962</v>
      </c>
      <c r="AF7" s="110">
        <v>0.18179419525065962</v>
      </c>
      <c r="AG7" s="110">
        <v>0.18179419525065962</v>
      </c>
      <c r="AH7" s="174">
        <v>155200000</v>
      </c>
      <c r="AI7" s="278">
        <v>96200000</v>
      </c>
      <c r="AJ7" s="278">
        <v>96200000</v>
      </c>
      <c r="AK7" s="278">
        <v>68900000</v>
      </c>
      <c r="AL7" s="278">
        <v>68900000</v>
      </c>
      <c r="AM7" s="278">
        <v>68900000</v>
      </c>
      <c r="AN7" s="278">
        <v>68900000</v>
      </c>
      <c r="AO7" s="278">
        <v>68900000</v>
      </c>
      <c r="AP7" s="278">
        <v>68900000</v>
      </c>
      <c r="AQ7" s="281">
        <v>68900000</v>
      </c>
      <c r="AR7" s="281">
        <v>68900000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7.4705882352941178E-2</v>
      </c>
      <c r="N8" s="170">
        <v>12700000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7.6224274406332464</v>
      </c>
      <c r="U8" s="1"/>
      <c r="V8" s="116">
        <v>15</v>
      </c>
      <c r="W8" s="122">
        <v>0.31148148148148147</v>
      </c>
      <c r="X8" s="92">
        <v>0.11863636363636364</v>
      </c>
      <c r="Y8" s="92">
        <v>0.11863636363636364</v>
      </c>
      <c r="Z8" s="92">
        <v>7.3087071240105536E-2</v>
      </c>
      <c r="AA8" s="92">
        <v>7.3087071240105536E-2</v>
      </c>
      <c r="AB8" s="92">
        <v>7.3087071240105536E-2</v>
      </c>
      <c r="AC8" s="92">
        <v>7.3087071240105536E-2</v>
      </c>
      <c r="AD8" s="92">
        <v>7.3087071240105536E-2</v>
      </c>
      <c r="AE8" s="92">
        <v>7.3087071240105536E-2</v>
      </c>
      <c r="AF8" s="110">
        <v>7.3087071240105536E-2</v>
      </c>
      <c r="AG8" s="110">
        <v>7.3087071240105536E-2</v>
      </c>
      <c r="AH8" s="174">
        <v>84100000</v>
      </c>
      <c r="AI8" s="278">
        <v>52200000</v>
      </c>
      <c r="AJ8" s="278">
        <v>52200000</v>
      </c>
      <c r="AK8" s="278">
        <v>27700000</v>
      </c>
      <c r="AL8" s="278">
        <v>27700000</v>
      </c>
      <c r="AM8" s="278">
        <v>27700000</v>
      </c>
      <c r="AN8" s="278">
        <v>27700000</v>
      </c>
      <c r="AO8" s="278">
        <v>27700000</v>
      </c>
      <c r="AP8" s="278">
        <v>27700000</v>
      </c>
      <c r="AQ8" s="281">
        <v>27700000</v>
      </c>
      <c r="AR8" s="281">
        <v>27700000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6.6470588235294115E-2</v>
      </c>
      <c r="N9" s="170">
        <v>11300000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7.6224274406332464</v>
      </c>
      <c r="U9" s="1"/>
      <c r="V9" s="116">
        <v>20</v>
      </c>
      <c r="W9" s="122">
        <v>5.7777777777777775E-2</v>
      </c>
      <c r="X9" s="92">
        <v>2.2045454545454545E-2</v>
      </c>
      <c r="Y9" s="92">
        <v>2.2045454545454545E-2</v>
      </c>
      <c r="Z9" s="92">
        <v>3.4828496042216356E-2</v>
      </c>
      <c r="AA9" s="92">
        <v>3.4828496042216356E-2</v>
      </c>
      <c r="AB9" s="92">
        <v>3.4828496042216356E-2</v>
      </c>
      <c r="AC9" s="92">
        <v>3.4828496042216356E-2</v>
      </c>
      <c r="AD9" s="92">
        <v>3.4828496042216356E-2</v>
      </c>
      <c r="AE9" s="92">
        <v>3.4828496042216356E-2</v>
      </c>
      <c r="AF9" s="110">
        <v>3.4828496042216356E-2</v>
      </c>
      <c r="AG9" s="110">
        <v>3.4828496042216356E-2</v>
      </c>
      <c r="AH9" s="174">
        <v>15600000</v>
      </c>
      <c r="AI9" s="278">
        <v>9700000</v>
      </c>
      <c r="AJ9" s="278">
        <v>9700000</v>
      </c>
      <c r="AK9" s="278">
        <v>13200000</v>
      </c>
      <c r="AL9" s="278">
        <v>13200000</v>
      </c>
      <c r="AM9" s="278">
        <v>13200000</v>
      </c>
      <c r="AN9" s="278">
        <v>13200000</v>
      </c>
      <c r="AO9" s="278">
        <v>13200000</v>
      </c>
      <c r="AP9" s="278">
        <v>13200000</v>
      </c>
      <c r="AQ9" s="281">
        <v>13200000</v>
      </c>
      <c r="AR9" s="281">
        <v>13200000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2.0588235294117647E-2</v>
      </c>
      <c r="N10" s="170">
        <v>3500000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7.6224274406332464</v>
      </c>
      <c r="U10" s="1"/>
      <c r="V10" s="116">
        <v>25</v>
      </c>
      <c r="W10" s="122">
        <v>3.111111111111111E-2</v>
      </c>
      <c r="X10" s="92">
        <v>1.1818181818181818E-2</v>
      </c>
      <c r="Y10" s="92">
        <v>1.1818181818181818E-2</v>
      </c>
      <c r="Z10" s="92">
        <v>1.3192612137203167E-2</v>
      </c>
      <c r="AA10" s="92">
        <v>1.3192612137203167E-2</v>
      </c>
      <c r="AB10" s="92">
        <v>1.3192612137203167E-2</v>
      </c>
      <c r="AC10" s="92">
        <v>1.3192612137203167E-2</v>
      </c>
      <c r="AD10" s="92">
        <v>1.3192612137203167E-2</v>
      </c>
      <c r="AE10" s="92">
        <v>1.3192612137203167E-2</v>
      </c>
      <c r="AF10" s="110">
        <v>1.3192612137203167E-2</v>
      </c>
      <c r="AG10" s="110">
        <v>1.3192612137203167E-2</v>
      </c>
      <c r="AH10" s="174">
        <v>8400000</v>
      </c>
      <c r="AI10" s="278">
        <v>5200000</v>
      </c>
      <c r="AJ10" s="278">
        <v>5200000</v>
      </c>
      <c r="AK10" s="278">
        <v>5000000</v>
      </c>
      <c r="AL10" s="278">
        <v>5000000</v>
      </c>
      <c r="AM10" s="278">
        <v>5000000</v>
      </c>
      <c r="AN10" s="278">
        <v>5000000</v>
      </c>
      <c r="AO10" s="278">
        <v>5000000</v>
      </c>
      <c r="AP10" s="278">
        <v>5000000</v>
      </c>
      <c r="AQ10" s="281">
        <v>5000000</v>
      </c>
      <c r="AR10" s="281">
        <v>5000000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1.5294117647058824E-2</v>
      </c>
      <c r="N11" s="170">
        <v>2600000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7.6224274406332464</v>
      </c>
      <c r="U11" s="1"/>
      <c r="V11" s="116">
        <v>50</v>
      </c>
      <c r="W11" s="122">
        <v>1.7777777777777778E-2</v>
      </c>
      <c r="X11" s="92">
        <v>6.8181818181818179E-3</v>
      </c>
      <c r="Y11" s="92">
        <v>6.8181818181818179E-3</v>
      </c>
      <c r="Z11" s="92">
        <v>7.6517150395778366E-3</v>
      </c>
      <c r="AA11" s="92">
        <v>7.6517150395778366E-3</v>
      </c>
      <c r="AB11" s="92">
        <v>7.6517150395778366E-3</v>
      </c>
      <c r="AC11" s="92">
        <v>7.6517150395778366E-3</v>
      </c>
      <c r="AD11" s="92">
        <v>7.6517150395778366E-3</v>
      </c>
      <c r="AE11" s="92">
        <v>7.6517150395778366E-3</v>
      </c>
      <c r="AF11" s="110">
        <v>7.6517150395778366E-3</v>
      </c>
      <c r="AG11" s="110">
        <v>7.6517150395778366E-3</v>
      </c>
      <c r="AH11" s="174">
        <v>4800000</v>
      </c>
      <c r="AI11" s="278">
        <v>3000000</v>
      </c>
      <c r="AJ11" s="278">
        <v>3000000</v>
      </c>
      <c r="AK11" s="278">
        <v>2900000</v>
      </c>
      <c r="AL11" s="278">
        <v>2900000</v>
      </c>
      <c r="AM11" s="278">
        <v>2900000</v>
      </c>
      <c r="AN11" s="278">
        <v>2900000</v>
      </c>
      <c r="AO11" s="278">
        <v>2900000</v>
      </c>
      <c r="AP11" s="278">
        <v>2900000</v>
      </c>
      <c r="AQ11" s="281">
        <v>2900000</v>
      </c>
      <c r="AR11" s="281">
        <v>2900000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1.1764705882352941E-2</v>
      </c>
      <c r="N12" s="170">
        <v>2000000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7.6224274406332464</v>
      </c>
      <c r="U12" s="1"/>
      <c r="V12" s="116">
        <v>100</v>
      </c>
      <c r="W12" s="122">
        <v>6.2962962962962964E-3</v>
      </c>
      <c r="X12" s="92">
        <v>2.5000000000000001E-3</v>
      </c>
      <c r="Y12" s="92">
        <v>2.5000000000000001E-3</v>
      </c>
      <c r="Z12" s="92">
        <v>2.6385224274406332E-3</v>
      </c>
      <c r="AA12" s="92">
        <v>2.6385224274406332E-3</v>
      </c>
      <c r="AB12" s="92">
        <v>2.6385224274406332E-3</v>
      </c>
      <c r="AC12" s="92">
        <v>2.6385224274406332E-3</v>
      </c>
      <c r="AD12" s="92">
        <v>2.6385224274406332E-3</v>
      </c>
      <c r="AE12" s="92">
        <v>2.6385224274406332E-3</v>
      </c>
      <c r="AF12" s="110">
        <v>2.6385224274406332E-3</v>
      </c>
      <c r="AG12" s="110">
        <v>2.6385224274406332E-3</v>
      </c>
      <c r="AH12" s="174">
        <v>1700000</v>
      </c>
      <c r="AI12" s="278">
        <v>1100000</v>
      </c>
      <c r="AJ12" s="278">
        <v>1100000</v>
      </c>
      <c r="AK12" s="278">
        <v>1000000</v>
      </c>
      <c r="AL12" s="278">
        <v>1000000</v>
      </c>
      <c r="AM12" s="278">
        <v>1000000</v>
      </c>
      <c r="AN12" s="278">
        <v>1000000</v>
      </c>
      <c r="AO12" s="278">
        <v>1000000</v>
      </c>
      <c r="AP12" s="278">
        <v>1000000</v>
      </c>
      <c r="AQ12" s="281">
        <v>1000000</v>
      </c>
      <c r="AR12" s="281">
        <v>1000000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5.8823529411764705E-3</v>
      </c>
      <c r="N13" s="170">
        <v>1000000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7.6224274406332464</v>
      </c>
      <c r="U13" s="1"/>
      <c r="V13" s="117">
        <v>500</v>
      </c>
      <c r="W13" s="123">
        <v>7.407407407407407E-4</v>
      </c>
      <c r="X13" s="112">
        <v>2.2727272727272727E-4</v>
      </c>
      <c r="Y13" s="112">
        <v>2.2727272727272727E-4</v>
      </c>
      <c r="Z13" s="112">
        <v>2.6385224274406332E-4</v>
      </c>
      <c r="AA13" s="112">
        <v>2.6385224274406332E-4</v>
      </c>
      <c r="AB13" s="112">
        <v>2.6385224274406332E-4</v>
      </c>
      <c r="AC13" s="112">
        <v>2.6385224274406332E-4</v>
      </c>
      <c r="AD13" s="112">
        <v>2.6385224274406332E-4</v>
      </c>
      <c r="AE13" s="112">
        <v>2.6385224274406332E-4</v>
      </c>
      <c r="AF13" s="113">
        <v>2.6385224274406332E-4</v>
      </c>
      <c r="AG13" s="113">
        <v>2.6385224274406332E-4</v>
      </c>
      <c r="AH13" s="175">
        <v>200000</v>
      </c>
      <c r="AI13" s="279">
        <v>100000</v>
      </c>
      <c r="AJ13" s="279">
        <v>100000</v>
      </c>
      <c r="AK13" s="279">
        <v>100000</v>
      </c>
      <c r="AL13" s="279">
        <v>100000</v>
      </c>
      <c r="AM13" s="279">
        <v>100000</v>
      </c>
      <c r="AN13" s="279">
        <v>100000</v>
      </c>
      <c r="AO13" s="279">
        <v>100000</v>
      </c>
      <c r="AP13" s="279">
        <v>100000</v>
      </c>
      <c r="AQ13" s="282">
        <v>100000</v>
      </c>
      <c r="AR13" s="282">
        <v>100000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55.856560625129688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33.726052503732156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14.242592592592594</v>
      </c>
      <c r="X15" s="93">
        <f t="shared" si="3"/>
        <v>8.026136363636363</v>
      </c>
      <c r="Y15" s="93">
        <f t="shared" si="3"/>
        <v>8.026136363636363</v>
      </c>
      <c r="Z15" s="93">
        <f t="shared" si="3"/>
        <v>7.6224274406332464</v>
      </c>
      <c r="AA15" s="93">
        <f t="shared" si="3"/>
        <v>7.6224274406332464</v>
      </c>
      <c r="AB15" s="93">
        <f t="shared" si="3"/>
        <v>7.6224274406332464</v>
      </c>
      <c r="AC15" s="93">
        <f t="shared" si="3"/>
        <v>7.6224274406332464</v>
      </c>
      <c r="AD15" s="93">
        <f t="shared" si="3"/>
        <v>7.6224274406332464</v>
      </c>
      <c r="AE15" s="93">
        <f t="shared" si="3"/>
        <v>7.6224274406332464</v>
      </c>
      <c r="AF15" s="93">
        <f t="shared" si="3"/>
        <v>7.6224274406332464</v>
      </c>
      <c r="AG15" s="93">
        <f t="shared" si="3"/>
        <v>7.6224274406332464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55.856560625129688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1.0396634201786966E-2</v>
      </c>
      <c r="N21" s="288">
        <f>$O$15</f>
        <v>33.726052503732156</v>
      </c>
      <c r="O21" s="186" cm="1">
        <f t="array" aca="1" ref="O21:O25" ca="1">M21:M25*N21:N25</f>
        <v>0.35063743095156463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1.0396634201786966E-2</v>
      </c>
      <c r="N22" s="290">
        <f>$O$15+1*$O$15*_xlfn.BINOM.DIST(1,1,$I$4,FALSE)</f>
        <v>52.865587299600151</v>
      </c>
      <c r="O22" s="189">
        <f ca="1"/>
        <v>0.54962417301657751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1.0396634201786966E-2</v>
      </c>
      <c r="N23" s="290">
        <f>$O$15+1*$O$15*_xlfn.BINOM.DIST(1,2,$I$4,FALSE)+2*$O$15*_xlfn.BINOM.DIST(2,2,$I$4,FALSE)</f>
        <v>72.005122095468153</v>
      </c>
      <c r="O23" s="189">
        <f ca="1"/>
        <v>0.7486109150815905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1.0396634201786966E-2</v>
      </c>
      <c r="N24" s="290">
        <f>$O$15+1*$O$15*_xlfn.BINOM.DIST(1,3,$I$4,FALSE)+2*$O$15*_xlfn.BINOM.DIST(2,3,$I$4,FALSE)+3*$O$15*_xlfn.BINOM.DIST(3,3,$I$4,FALSE)</f>
        <v>91.144656891336155</v>
      </c>
      <c r="O24" s="189">
        <f ca="1"/>
        <v>0.94759765714660349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3.3048615501662048E-4</v>
      </c>
      <c r="J25" s="45">
        <f t="shared" ref="J25:J32" ca="1" si="7">F25/C$11</f>
        <v>1.6524307750831024E-2</v>
      </c>
      <c r="K25" s="34"/>
      <c r="L25" s="68" t="s">
        <v>281</v>
      </c>
      <c r="M25" s="291">
        <f t="shared" ca="1" si="4"/>
        <v>1.0396634201786966E-2</v>
      </c>
      <c r="N25" s="292">
        <f>$O$15+1*$O$15*_xlfn.BINOM.DIST(1,4,$I$4,FALSE)+2*$O$15*_xlfn.BINOM.DIST(2,4,$I$4,FALSE)+3*$O$15*_xlfn.BINOM.DIST(3,4,$I$4,FALSE)+4*$O$15*_xlfn.BINOM.DIST(4,4,$I$4,FALSE)</f>
        <v>110.28419168720414</v>
      </c>
      <c r="O25" s="192">
        <f ca="1"/>
        <v>1.1465843992116163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3.1886747829479621E-4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2.8634594881431935E-4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2.222365026054839E-4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3.4299665272923495E-4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2.2485860592231466E-4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1.4188223024246604E-4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6.6671258483207277E-5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4.0637702705002328E-4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3.3287341053658348E-4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3.3322410630077631E-4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2.4572171024516174E-4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3.6708112373066385E-4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1.7721492489336909E-4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1.7692362512666509E-4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7.7937301281663486E-5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3.7923883517510724E-4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3.1783535851601455E-4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2.8896992348264011E-4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2.5223960120830479E-4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3.0397419968782746E-4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2.3089071865168293E-4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1.782854265018422E-4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7.1085029471978909E-5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3.7923883517510724E-4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3.6355769379238615E-4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3.2593982631513467E-4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2.2341719215391252E-4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4.1360370489926696E-4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2.3881355914177926E-4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1.2216964937368337E-4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6.510877284245987E-5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5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19.888755997703353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2.599158550446741E-2</v>
      </c>
      <c r="N21" s="288">
        <f>$O$15</f>
        <v>108.57529814106596</v>
      </c>
      <c r="O21" s="186" cm="1">
        <f t="array" aca="1" ref="O21:O25" ca="1">M21:M25*N21:N25</f>
        <v>2.8220441453065574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2.599158550446741E-2</v>
      </c>
      <c r="N22" s="290">
        <f>$O$15+1*$O$15*_xlfn.BINOM.DIST(1,1,$I$4,FALSE)</f>
        <v>130.80762894742386</v>
      </c>
      <c r="O22" s="189">
        <f ca="1"/>
        <v>3.3998976724236138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2.599158550446741E-2</v>
      </c>
      <c r="N23" s="290">
        <f>$O$15+1*$O$15*_xlfn.BINOM.DIST(1,2,$I$4,FALSE)+2*$O$15*_xlfn.BINOM.DIST(2,2,$I$4,FALSE)</f>
        <v>153.03995975378177</v>
      </c>
      <c r="O23" s="189">
        <f ca="1"/>
        <v>3.9777511995406702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4.5556047266577284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281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5.1334582537747826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33.793115760067892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2.599158550446741E-2</v>
      </c>
      <c r="N21" s="288">
        <f>$O$15</f>
        <v>184.48100118421755</v>
      </c>
      <c r="O21" s="186" cm="1">
        <f t="array" aca="1" ref="O21:O25" ca="1">M21:M25*N21:N25</f>
        <v>4.7949537162293439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2.599158550446741E-2</v>
      </c>
      <c r="N22" s="290">
        <f>$O$15+1*$O$15*_xlfn.BINOM.DIST(1,1,$I$4,FALSE)</f>
        <v>222.25610027247288</v>
      </c>
      <c r="O22" s="189">
        <f ca="1"/>
        <v>5.7767884341214613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2.599158550446741E-2</v>
      </c>
      <c r="N23" s="290">
        <f>$O$15+1*$O$15*_xlfn.BINOM.DIST(1,2,$I$4,FALSE)+2*$O$15*_xlfn.BINOM.DIST(2,2,$I$4,FALSE)</f>
        <v>260.03119936072818</v>
      </c>
      <c r="O23" s="189">
        <f ca="1"/>
        <v>6.7586231520135778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7.740457869905697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281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8.7222925877978117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7.0066943814847335E-2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6.4653886116723385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0.23355647938282445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8.6325365241464844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2026-10-19T07:50:50Z</dcterms:modified>
</cp:coreProperties>
</file>