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165148B2-AE93-4DF6-BD6B-CF95540EA16C}" xr6:coauthVersionLast="47" xr6:coauthVersionMax="47" xr10:uidLastSave="{00000000-0000-0000-0000-000000000000}"/>
  <bookViews>
    <workbookView xWindow="-23115" yWindow="180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Q4" i="39" l="1" a="1"/>
  <c r="Q4" i="39" s="1"/>
  <c r="P3" i="39" s="1"/>
  <c r="R4" i="39" s="1" a="1"/>
  <c r="I101" i="39"/>
  <c r="I85" i="39"/>
  <c r="I70" i="39"/>
  <c r="I109" i="39"/>
  <c r="I93" i="39"/>
  <c r="Q69" i="39" a="1"/>
  <c r="Q69" i="39" s="1"/>
  <c r="P68" i="39" s="1"/>
  <c r="R69" i="39" s="1" a="1"/>
  <c r="S70" i="39" s="1" a="1"/>
  <c r="S70" i="39" s="1"/>
  <c r="I125" i="39"/>
  <c r="I77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84" i="36" l="1"/>
  <c r="I124" i="36"/>
  <c r="I108" i="36"/>
  <c r="I92" i="36"/>
  <c r="Q69" i="36" a="1"/>
  <c r="Q69" i="36" s="1"/>
  <c r="P68" i="36" s="1"/>
  <c r="R69" i="36" s="1" a="1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I115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N129" i="34" s="1"/>
  <c r="O129" i="34" s="1" a="1"/>
  <c r="O129" i="34" s="1"/>
  <c r="G69" i="34" a="1"/>
  <c r="G69" i="34" s="1"/>
  <c r="O129" i="36" a="1"/>
  <c r="O129" i="36" s="1"/>
  <c r="I107" i="34"/>
  <c r="I122" i="34"/>
  <c r="I97" i="34"/>
  <c r="Q69" i="34" a="1"/>
  <c r="Q69" i="34" s="1"/>
  <c r="P68" i="34" s="1"/>
  <c r="R69" i="34" s="1" a="1"/>
  <c r="I83" i="34"/>
  <c r="I81" i="34"/>
  <c r="I98" i="34"/>
  <c r="I113" i="34"/>
  <c r="I123" i="34"/>
  <c r="I82" i="34"/>
  <c r="Q4" i="34" a="1"/>
  <c r="Q4" i="34" s="1"/>
  <c r="P3" i="34" s="1"/>
  <c r="R4" i="34" s="1" a="1"/>
  <c r="S5" i="34" s="1" a="1"/>
  <c r="S5" i="34" s="1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69" i="34"/>
  <c r="N130" i="34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4" i="34" l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1" i="28" l="1"/>
  <c r="A134" i="28" a="1"/>
  <c r="A134" i="28" s="1"/>
  <c r="I122" i="28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6" i="28" l="1"/>
  <c r="I255" i="28"/>
  <c r="I253" i="28"/>
  <c r="A199" i="28"/>
  <c r="H199" i="28" s="1" a="1"/>
  <c r="H199" i="28" s="1"/>
  <c r="I252" i="28"/>
  <c r="I251" i="28"/>
  <c r="I254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3" i="1" l="1"/>
  <c r="C20" i="24"/>
  <c r="C56" i="24"/>
  <c r="C77" i="1"/>
  <c r="C71" i="1"/>
  <c r="C49" i="1"/>
  <c r="C50" i="1"/>
  <c r="C45" i="1"/>
  <c r="C46" i="1"/>
  <c r="C72" i="1"/>
  <c r="C47" i="1"/>
  <c r="C48" i="1"/>
  <c r="C74" i="1"/>
  <c r="C75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1" i="26" l="1"/>
  <c r="C15" i="26"/>
  <c r="C20" i="26"/>
  <c r="C56" i="26"/>
  <c r="C55" i="26"/>
  <c r="C19" i="26"/>
  <c r="C54" i="26"/>
  <c r="C18" i="26"/>
  <c r="E100" i="1"/>
  <c r="E102" i="1"/>
  <c r="E99" i="1"/>
  <c r="E101" i="1"/>
  <c r="E98" i="1"/>
  <c r="C50" i="24"/>
  <c r="C14" i="24"/>
  <c r="C55" i="24"/>
  <c r="C19" i="24"/>
  <c r="C53" i="26"/>
  <c r="C17" i="26"/>
  <c r="J59" i="1"/>
  <c r="C17" i="24"/>
  <c r="C53" i="24"/>
  <c r="C52" i="24"/>
  <c r="C16" i="24"/>
  <c r="R34" i="1"/>
  <c r="C51" i="24"/>
  <c r="C15" i="24"/>
  <c r="C18" i="24"/>
  <c r="C54" i="24"/>
  <c r="C14" i="26"/>
  <c r="C50" i="26"/>
  <c r="C52" i="26"/>
  <c r="C16" i="26"/>
  <c r="E13" i="40"/>
  <c r="E61" i="40"/>
  <c r="E13" i="37"/>
  <c r="E61" i="37"/>
  <c r="E61" i="27"/>
  <c r="E13" i="27"/>
  <c r="E61" i="35"/>
  <c r="E13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51" i="1" s="1"/>
  <c r="S3" i="1"/>
  <c r="S45" i="1" s="1"/>
  <c r="Q3" i="1"/>
  <c r="Q75" i="1" s="1"/>
  <c r="E68" i="40" l="1"/>
  <c r="E20" i="40"/>
  <c r="E68" i="37"/>
  <c r="E20" i="37"/>
  <c r="E68" i="27"/>
  <c r="E20" i="27"/>
  <c r="E20" i="35"/>
  <c r="E68" i="35"/>
  <c r="E68" i="33"/>
  <c r="E20" i="33"/>
  <c r="E14" i="40"/>
  <c r="E62" i="40"/>
  <c r="E62" i="37"/>
  <c r="E14" i="37"/>
  <c r="E62" i="27"/>
  <c r="E14" i="27"/>
  <c r="E14" i="35"/>
  <c r="E62" i="35"/>
  <c r="E14" i="33"/>
  <c r="E62" i="33"/>
  <c r="C67" i="26"/>
  <c r="C43" i="26"/>
  <c r="E18" i="40"/>
  <c r="E66" i="40"/>
  <c r="E66" i="37"/>
  <c r="E18" i="37"/>
  <c r="E66" i="27"/>
  <c r="E18" i="27"/>
  <c r="E66" i="35"/>
  <c r="E18" i="35"/>
  <c r="E18" i="33"/>
  <c r="E66" i="33"/>
  <c r="E17" i="40"/>
  <c r="E65" i="40"/>
  <c r="E17" i="37"/>
  <c r="E65" i="37"/>
  <c r="E17" i="27"/>
  <c r="E65" i="27"/>
  <c r="E17" i="35"/>
  <c r="E65" i="35"/>
  <c r="E17" i="33"/>
  <c r="E65" i="33"/>
  <c r="Q21" i="1"/>
  <c r="Q73" i="1"/>
  <c r="C64" i="26" s="1"/>
  <c r="Q47" i="1"/>
  <c r="C64" i="24" s="1"/>
  <c r="Q72" i="1"/>
  <c r="C63" i="26" s="1"/>
  <c r="Q71" i="1"/>
  <c r="C62" i="26" s="1"/>
  <c r="Q50" i="1"/>
  <c r="C67" i="24" s="1"/>
  <c r="Q74" i="1"/>
  <c r="C65" i="26" s="1"/>
  <c r="Q48" i="1"/>
  <c r="C65" i="24" s="1"/>
  <c r="Q46" i="1"/>
  <c r="C39" i="24" s="1"/>
  <c r="Q45" i="1"/>
  <c r="C62" i="24" s="1"/>
  <c r="Q76" i="1"/>
  <c r="Q51" i="1"/>
  <c r="Q49" i="1"/>
  <c r="E67" i="40"/>
  <c r="E19" i="40"/>
  <c r="E67" i="37"/>
  <c r="E19" i="37"/>
  <c r="E19" i="27"/>
  <c r="E67" i="27"/>
  <c r="E67" i="35"/>
  <c r="E19" i="35"/>
  <c r="E19" i="33"/>
  <c r="E67" i="33"/>
  <c r="D97" i="1"/>
  <c r="D103" i="1"/>
  <c r="D100" i="1"/>
  <c r="D102" i="1"/>
  <c r="D99" i="1"/>
  <c r="D101" i="1"/>
  <c r="D98" i="1"/>
  <c r="C97" i="1"/>
  <c r="C102" i="1"/>
  <c r="C99" i="1"/>
  <c r="C101" i="1"/>
  <c r="C98" i="1"/>
  <c r="C103" i="1"/>
  <c r="C100" i="1"/>
  <c r="C40" i="24"/>
  <c r="C43" i="24"/>
  <c r="J24" i="1"/>
  <c r="C31" i="2" s="1"/>
  <c r="J50" i="1"/>
  <c r="C31" i="24" s="1"/>
  <c r="J49" i="1"/>
  <c r="C30" i="24" s="1"/>
  <c r="J48" i="1"/>
  <c r="C29" i="24" s="1"/>
  <c r="J73" i="1"/>
  <c r="C28" i="26" s="1"/>
  <c r="J46" i="1"/>
  <c r="C27" i="24" s="1"/>
  <c r="J75" i="1"/>
  <c r="C30" i="26" s="1"/>
  <c r="J74" i="1"/>
  <c r="C29" i="26" s="1"/>
  <c r="J47" i="1"/>
  <c r="C28" i="24" s="1"/>
  <c r="J45" i="1"/>
  <c r="C26" i="24" s="1"/>
  <c r="J72" i="1"/>
  <c r="C27" i="26" s="1"/>
  <c r="J71" i="1"/>
  <c r="C26" i="26" s="1"/>
  <c r="J76" i="1"/>
  <c r="C31" i="26" s="1"/>
  <c r="E15" i="40"/>
  <c r="E63" i="40"/>
  <c r="E63" i="37"/>
  <c r="E15" i="37"/>
  <c r="E15" i="27"/>
  <c r="E63" i="27"/>
  <c r="E15" i="35"/>
  <c r="E63" i="35"/>
  <c r="E15" i="33"/>
  <c r="E63" i="33"/>
  <c r="E16" i="40"/>
  <c r="E64" i="40"/>
  <c r="E64" i="37"/>
  <c r="E16" i="37"/>
  <c r="E16" i="27"/>
  <c r="E64" i="27"/>
  <c r="E16" i="35"/>
  <c r="E64" i="35"/>
  <c r="E16" i="33"/>
  <c r="E64" i="33"/>
  <c r="Q77" i="1"/>
  <c r="E37" i="24"/>
  <c r="S81" i="1"/>
  <c r="D13" i="40"/>
  <c r="D13" i="37"/>
  <c r="D13" i="27"/>
  <c r="D13" i="35"/>
  <c r="D13" i="33"/>
  <c r="C49" i="40"/>
  <c r="C13" i="40"/>
  <c r="C49" i="37"/>
  <c r="C13" i="37"/>
  <c r="C13" i="27"/>
  <c r="F13" i="27" s="1"/>
  <c r="C49" i="27"/>
  <c r="C49" i="35"/>
  <c r="C13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32" i="24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C64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4" i="40" l="1"/>
  <c r="D14" i="37"/>
  <c r="D14" i="27"/>
  <c r="D14" i="35"/>
  <c r="D14" i="33"/>
  <c r="C63" i="24"/>
  <c r="L100" i="1"/>
  <c r="L102" i="1"/>
  <c r="L99" i="1"/>
  <c r="L101" i="1"/>
  <c r="L98" i="1"/>
  <c r="L103" i="1"/>
  <c r="C40" i="26"/>
  <c r="C56" i="40"/>
  <c r="C20" i="40"/>
  <c r="C20" i="37"/>
  <c r="C56" i="37"/>
  <c r="C20" i="27"/>
  <c r="C56" i="27"/>
  <c r="C56" i="35"/>
  <c r="C20" i="35"/>
  <c r="C20" i="33"/>
  <c r="C56" i="33"/>
  <c r="C39" i="26"/>
  <c r="J97" i="1"/>
  <c r="J100" i="1"/>
  <c r="J102" i="1"/>
  <c r="J99" i="1"/>
  <c r="J101" i="1"/>
  <c r="J98" i="1"/>
  <c r="C41" i="24"/>
  <c r="D19" i="40"/>
  <c r="D19" i="37"/>
  <c r="D19" i="27"/>
  <c r="D19" i="35"/>
  <c r="D19" i="33"/>
  <c r="F19" i="33" s="1"/>
  <c r="D20" i="40"/>
  <c r="D20" i="37"/>
  <c r="D20" i="27"/>
  <c r="D20" i="35"/>
  <c r="F20" i="35" s="1"/>
  <c r="D20" i="33"/>
  <c r="C38" i="24"/>
  <c r="S103" i="1"/>
  <c r="S101" i="1"/>
  <c r="S98" i="1"/>
  <c r="S102" i="1"/>
  <c r="S99" i="1"/>
  <c r="S100" i="1"/>
  <c r="E41" i="33" s="1"/>
  <c r="C17" i="40"/>
  <c r="C53" i="40"/>
  <c r="C53" i="37"/>
  <c r="C17" i="37"/>
  <c r="C17" i="27"/>
  <c r="C53" i="27"/>
  <c r="C17" i="35"/>
  <c r="F17" i="35" s="1"/>
  <c r="C53" i="35"/>
  <c r="C17" i="33"/>
  <c r="F17" i="33" s="1"/>
  <c r="C53" i="33"/>
  <c r="C15" i="40"/>
  <c r="C51" i="40"/>
  <c r="C51" i="37"/>
  <c r="C15" i="37"/>
  <c r="C51" i="27"/>
  <c r="C15" i="27"/>
  <c r="C51" i="35"/>
  <c r="C15" i="35"/>
  <c r="F15" i="35" s="1"/>
  <c r="C51" i="33"/>
  <c r="C15" i="33"/>
  <c r="F15" i="33" s="1"/>
  <c r="C41" i="26"/>
  <c r="D18" i="40"/>
  <c r="D18" i="37"/>
  <c r="D18" i="27"/>
  <c r="D18" i="35"/>
  <c r="D18" i="33"/>
  <c r="R103" i="1"/>
  <c r="D44" i="27" s="1"/>
  <c r="Q102" i="1"/>
  <c r="Q99" i="1"/>
  <c r="Q98" i="1"/>
  <c r="Q100" i="1"/>
  <c r="Q97" i="1"/>
  <c r="Q101" i="1"/>
  <c r="C18" i="40"/>
  <c r="C54" i="40"/>
  <c r="C18" i="37"/>
  <c r="C54" i="37"/>
  <c r="C54" i="27"/>
  <c r="C18" i="27"/>
  <c r="F18" i="27" s="1"/>
  <c r="C18" i="35"/>
  <c r="C54" i="35"/>
  <c r="C18" i="33"/>
  <c r="C54" i="33"/>
  <c r="C38" i="26"/>
  <c r="C52" i="40"/>
  <c r="C16" i="40"/>
  <c r="C16" i="37"/>
  <c r="C52" i="37"/>
  <c r="C52" i="27"/>
  <c r="C16" i="27"/>
  <c r="F16" i="27" s="1"/>
  <c r="C16" i="35"/>
  <c r="C52" i="35"/>
  <c r="C52" i="33"/>
  <c r="C16" i="33"/>
  <c r="D15" i="40"/>
  <c r="D15" i="37"/>
  <c r="D15" i="27"/>
  <c r="D15" i="35"/>
  <c r="D15" i="33"/>
  <c r="J103" i="1"/>
  <c r="D17" i="40"/>
  <c r="D17" i="37"/>
  <c r="D17" i="27"/>
  <c r="D17" i="35"/>
  <c r="D17" i="33"/>
  <c r="C19" i="40"/>
  <c r="C55" i="40"/>
  <c r="C19" i="37"/>
  <c r="C55" i="37"/>
  <c r="C55" i="27"/>
  <c r="C19" i="27"/>
  <c r="F19" i="27" s="1"/>
  <c r="C55" i="35"/>
  <c r="C19" i="35"/>
  <c r="C19" i="33"/>
  <c r="C55" i="33"/>
  <c r="D16" i="40"/>
  <c r="D16" i="37"/>
  <c r="D16" i="27"/>
  <c r="D16" i="35"/>
  <c r="D16" i="33"/>
  <c r="C65" i="2"/>
  <c r="F13" i="33"/>
  <c r="F20" i="33" s="1"/>
  <c r="C14" i="40"/>
  <c r="C50" i="40"/>
  <c r="C14" i="37"/>
  <c r="C50" i="37"/>
  <c r="C50" i="27"/>
  <c r="C14" i="27"/>
  <c r="C50" i="35"/>
  <c r="C14" i="35"/>
  <c r="C14" i="33"/>
  <c r="F14" i="33" s="1"/>
  <c r="C50" i="33"/>
  <c r="F13" i="35"/>
  <c r="C44" i="33"/>
  <c r="C44" i="37"/>
  <c r="C44" i="27"/>
  <c r="C44" i="40"/>
  <c r="C68" i="37"/>
  <c r="C44" i="35"/>
  <c r="C68" i="35"/>
  <c r="C68" i="40"/>
  <c r="C68" i="27"/>
  <c r="C68" i="33"/>
  <c r="C32" i="35"/>
  <c r="C32" i="27"/>
  <c r="C32" i="33"/>
  <c r="C32" i="37"/>
  <c r="C32" i="40"/>
  <c r="R101" i="1"/>
  <c r="D42" i="35" s="1"/>
  <c r="R102" i="1"/>
  <c r="D43" i="37" s="1"/>
  <c r="K101" i="1"/>
  <c r="D66" i="40" s="1"/>
  <c r="K102" i="1"/>
  <c r="D31" i="40" s="1"/>
  <c r="C42" i="40"/>
  <c r="C42" i="35"/>
  <c r="C42" i="37"/>
  <c r="C42" i="27"/>
  <c r="C66" i="27"/>
  <c r="C66" i="35"/>
  <c r="C66" i="40"/>
  <c r="C66" i="33"/>
  <c r="C42" i="33"/>
  <c r="C66" i="37"/>
  <c r="R99" i="1"/>
  <c r="D40" i="33" s="1"/>
  <c r="R100" i="1"/>
  <c r="D41" i="33" s="1"/>
  <c r="K99" i="1"/>
  <c r="D28" i="37" s="1"/>
  <c r="K100" i="1"/>
  <c r="D29" i="40" s="1"/>
  <c r="F13" i="37"/>
  <c r="F13" i="40"/>
  <c r="F14" i="40" s="1"/>
  <c r="R97" i="1"/>
  <c r="D38" i="33" s="1"/>
  <c r="R98" i="1"/>
  <c r="D39" i="35" s="1"/>
  <c r="K97" i="1"/>
  <c r="D62" i="27" s="1"/>
  <c r="K98" i="1"/>
  <c r="D27" i="27" s="1"/>
  <c r="E25" i="40"/>
  <c r="E25" i="37"/>
  <c r="E25" i="27"/>
  <c r="E37" i="40"/>
  <c r="E49" i="40"/>
  <c r="E37" i="37"/>
  <c r="E49" i="37"/>
  <c r="E37" i="27"/>
  <c r="E49" i="27"/>
  <c r="E49" i="35"/>
  <c r="E37" i="35"/>
  <c r="E37" i="33"/>
  <c r="E49" i="33"/>
  <c r="C25" i="40"/>
  <c r="C25" i="37"/>
  <c r="C25" i="27"/>
  <c r="C25" i="35"/>
  <c r="C25" i="33"/>
  <c r="C35" i="40"/>
  <c r="C47" i="40"/>
  <c r="C59" i="40"/>
  <c r="C23" i="40"/>
  <c r="C11" i="40"/>
  <c r="C35" i="37"/>
  <c r="C47" i="37"/>
  <c r="C23" i="37"/>
  <c r="C11" i="37"/>
  <c r="C59" i="37"/>
  <c r="C47" i="35"/>
  <c r="C35" i="35"/>
  <c r="C59" i="35"/>
  <c r="C11" i="35"/>
  <c r="C23" i="35"/>
  <c r="C35" i="33"/>
  <c r="C59" i="33"/>
  <c r="C11" i="33"/>
  <c r="J13" i="33" s="1"/>
  <c r="C23" i="33"/>
  <c r="C47" i="33"/>
  <c r="F18" i="33"/>
  <c r="J18" i="33" s="1"/>
  <c r="F16" i="33"/>
  <c r="J16" i="33" s="1"/>
  <c r="C37" i="40"/>
  <c r="C61" i="40"/>
  <c r="C37" i="37"/>
  <c r="C61" i="37"/>
  <c r="C37" i="27"/>
  <c r="C61" i="27"/>
  <c r="C37" i="35"/>
  <c r="C61" i="35"/>
  <c r="C37" i="33"/>
  <c r="C61" i="33"/>
  <c r="F18" i="35"/>
  <c r="F19" i="35"/>
  <c r="F14" i="35"/>
  <c r="F16" i="35"/>
  <c r="E26" i="40"/>
  <c r="E38" i="40"/>
  <c r="E50" i="40"/>
  <c r="D37" i="37"/>
  <c r="D37" i="40"/>
  <c r="D49" i="40"/>
  <c r="D25" i="40"/>
  <c r="D61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5" i="27"/>
  <c r="E43" i="27"/>
  <c r="E43" i="35"/>
  <c r="E55" i="35"/>
  <c r="E43" i="33"/>
  <c r="E55" i="33"/>
  <c r="E44" i="27"/>
  <c r="E56" i="27"/>
  <c r="E44" i="35"/>
  <c r="E56" i="35"/>
  <c r="E56" i="33"/>
  <c r="E44" i="33"/>
  <c r="E42" i="27"/>
  <c r="E54" i="27"/>
  <c r="E42" i="35"/>
  <c r="E54" i="35"/>
  <c r="E54" i="33"/>
  <c r="E42" i="33"/>
  <c r="E40" i="27"/>
  <c r="E40" i="35"/>
  <c r="E52" i="35"/>
  <c r="E40" i="33"/>
  <c r="E52" i="33"/>
  <c r="E39" i="27"/>
  <c r="E51" i="27"/>
  <c r="E51" i="35"/>
  <c r="E39" i="35"/>
  <c r="E39" i="33"/>
  <c r="E51" i="33"/>
  <c r="E41" i="27"/>
  <c r="E53" i="27"/>
  <c r="E53" i="35"/>
  <c r="E38" i="27"/>
  <c r="E50" i="27"/>
  <c r="D32" i="27"/>
  <c r="D56" i="27"/>
  <c r="D25" i="27"/>
  <c r="D49" i="27"/>
  <c r="D37" i="35"/>
  <c r="D37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F17" i="27"/>
  <c r="J92" i="1"/>
  <c r="L96" i="1"/>
  <c r="F20" i="27"/>
  <c r="F14" i="27"/>
  <c r="K92" i="1"/>
  <c r="F15" i="27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62" i="37" l="1"/>
  <c r="C38" i="37"/>
  <c r="C62" i="35"/>
  <c r="C62" i="40"/>
  <c r="C38" i="35"/>
  <c r="C38" i="27"/>
  <c r="C38" i="40"/>
  <c r="C62" i="27"/>
  <c r="C62" i="33"/>
  <c r="C38" i="33"/>
  <c r="C65" i="37"/>
  <c r="C41" i="27"/>
  <c r="C65" i="35"/>
  <c r="C41" i="35"/>
  <c r="C65" i="40"/>
  <c r="C65" i="27"/>
  <c r="C65" i="33"/>
  <c r="C41" i="37"/>
  <c r="C41" i="33"/>
  <c r="C41" i="40"/>
  <c r="C40" i="37"/>
  <c r="C64" i="27"/>
  <c r="C40" i="40"/>
  <c r="C40" i="27"/>
  <c r="C64" i="37"/>
  <c r="C64" i="35"/>
  <c r="C64" i="40"/>
  <c r="C40" i="35"/>
  <c r="C40" i="33"/>
  <c r="C64" i="33"/>
  <c r="D44" i="37"/>
  <c r="C30" i="33"/>
  <c r="C30" i="27"/>
  <c r="C30" i="35"/>
  <c r="C30" i="37"/>
  <c r="C30" i="40"/>
  <c r="E31" i="40"/>
  <c r="E31" i="37"/>
  <c r="E31" i="27"/>
  <c r="E52" i="40"/>
  <c r="E40" i="40"/>
  <c r="E52" i="37"/>
  <c r="E40" i="37"/>
  <c r="C29" i="33"/>
  <c r="C29" i="27"/>
  <c r="C29" i="37"/>
  <c r="C29" i="40"/>
  <c r="C29" i="35"/>
  <c r="E39" i="37"/>
  <c r="E39" i="40"/>
  <c r="E51" i="40"/>
  <c r="E51" i="37"/>
  <c r="C26" i="37"/>
  <c r="C26" i="35"/>
  <c r="C26" i="33"/>
  <c r="C26" i="27"/>
  <c r="C26" i="40"/>
  <c r="D44" i="35"/>
  <c r="E32" i="40"/>
  <c r="E32" i="37"/>
  <c r="E32" i="27"/>
  <c r="E27" i="40"/>
  <c r="E27" i="37"/>
  <c r="E27" i="27"/>
  <c r="E54" i="40"/>
  <c r="E42" i="40"/>
  <c r="E54" i="37"/>
  <c r="E42" i="37"/>
  <c r="C67" i="35"/>
  <c r="C67" i="33"/>
  <c r="C67" i="40"/>
  <c r="C67" i="37"/>
  <c r="C43" i="37"/>
  <c r="C43" i="33"/>
  <c r="C43" i="27"/>
  <c r="C43" i="35"/>
  <c r="C67" i="27"/>
  <c r="C43" i="40"/>
  <c r="D44" i="40"/>
  <c r="E30" i="40"/>
  <c r="E30" i="37"/>
  <c r="E30" i="27"/>
  <c r="E29" i="37"/>
  <c r="E29" i="40"/>
  <c r="E29" i="27"/>
  <c r="E52" i="27"/>
  <c r="E53" i="33"/>
  <c r="E44" i="37"/>
  <c r="E44" i="40"/>
  <c r="E56" i="37"/>
  <c r="E56" i="40"/>
  <c r="C63" i="40"/>
  <c r="C39" i="37"/>
  <c r="C39" i="40"/>
  <c r="C63" i="37"/>
  <c r="C39" i="35"/>
  <c r="C63" i="35"/>
  <c r="C39" i="33"/>
  <c r="C39" i="27"/>
  <c r="C63" i="27"/>
  <c r="C63" i="33"/>
  <c r="C27" i="40"/>
  <c r="C27" i="37"/>
  <c r="C27" i="33"/>
  <c r="C27" i="27"/>
  <c r="C27" i="35"/>
  <c r="E28" i="40"/>
  <c r="E28" i="37"/>
  <c r="E28" i="27"/>
  <c r="C28" i="33"/>
  <c r="C28" i="37"/>
  <c r="C28" i="35"/>
  <c r="C28" i="27"/>
  <c r="C28" i="40"/>
  <c r="F16" i="37"/>
  <c r="J16" i="37" s="1"/>
  <c r="E41" i="40"/>
  <c r="E53" i="40"/>
  <c r="E41" i="37"/>
  <c r="E53" i="37"/>
  <c r="C31" i="35"/>
  <c r="C31" i="33"/>
  <c r="C31" i="27"/>
  <c r="C31" i="37"/>
  <c r="C31" i="40"/>
  <c r="E43" i="37"/>
  <c r="E55" i="40"/>
  <c r="E55" i="37"/>
  <c r="E43" i="40"/>
  <c r="E41" i="35"/>
  <c r="D67" i="40"/>
  <c r="D55" i="40"/>
  <c r="D42" i="33"/>
  <c r="D42" i="40"/>
  <c r="D30" i="37"/>
  <c r="D54" i="37"/>
  <c r="D42" i="37"/>
  <c r="D66" i="37"/>
  <c r="D66" i="27"/>
  <c r="D54" i="27"/>
  <c r="D30" i="27"/>
  <c r="D31" i="27"/>
  <c r="D67" i="27"/>
  <c r="D43" i="33"/>
  <c r="D55" i="27"/>
  <c r="D67" i="37"/>
  <c r="D31" i="37"/>
  <c r="D55" i="37"/>
  <c r="D42" i="27"/>
  <c r="D54" i="40"/>
  <c r="D30" i="40"/>
  <c r="D43" i="27"/>
  <c r="D43" i="35"/>
  <c r="D43" i="40"/>
  <c r="D28" i="40"/>
  <c r="D64" i="40"/>
  <c r="D40" i="37"/>
  <c r="D41" i="40"/>
  <c r="D41" i="27"/>
  <c r="D40" i="40"/>
  <c r="D41" i="35"/>
  <c r="D52" i="40"/>
  <c r="D40" i="27"/>
  <c r="D41" i="37"/>
  <c r="D40" i="35"/>
  <c r="D65" i="27"/>
  <c r="F20" i="37"/>
  <c r="J20" i="37" s="1"/>
  <c r="D52" i="37"/>
  <c r="J13" i="37"/>
  <c r="D64" i="27"/>
  <c r="F18" i="37"/>
  <c r="J18" i="37" s="1"/>
  <c r="F19" i="37"/>
  <c r="G19" i="37" s="1"/>
  <c r="F15" i="37"/>
  <c r="J15" i="37" s="1"/>
  <c r="F17" i="37"/>
  <c r="J17" i="37" s="1"/>
  <c r="F14" i="37"/>
  <c r="J14" i="37" s="1"/>
  <c r="D29" i="27"/>
  <c r="D52" i="27"/>
  <c r="D28" i="27"/>
  <c r="D62" i="40"/>
  <c r="D50" i="40"/>
  <c r="D64" i="37"/>
  <c r="D26" i="40"/>
  <c r="D65" i="37"/>
  <c r="D29" i="37"/>
  <c r="D53" i="27"/>
  <c r="D53" i="37"/>
  <c r="D39" i="27"/>
  <c r="D50" i="27"/>
  <c r="D63" i="40"/>
  <c r="D27" i="37"/>
  <c r="D27" i="40"/>
  <c r="D39" i="40"/>
  <c r="D26" i="27"/>
  <c r="D51" i="40"/>
  <c r="D63" i="37"/>
  <c r="D51" i="37"/>
  <c r="D39" i="33"/>
  <c r="D62" i="37"/>
  <c r="D50" i="37"/>
  <c r="D63" i="27"/>
  <c r="D65" i="40"/>
  <c r="D53" i="40"/>
  <c r="F19" i="40"/>
  <c r="J19" i="40" s="1"/>
  <c r="F18" i="40"/>
  <c r="J18" i="40" s="1"/>
  <c r="F20" i="40"/>
  <c r="J20" i="40" s="1"/>
  <c r="F17" i="40"/>
  <c r="G17" i="40" s="1"/>
  <c r="F15" i="40"/>
  <c r="J15" i="40" s="1"/>
  <c r="F16" i="40"/>
  <c r="J16" i="40" s="1"/>
  <c r="D26" i="37"/>
  <c r="D39" i="37"/>
  <c r="D38" i="27"/>
  <c r="D38" i="35"/>
  <c r="D38" i="40"/>
  <c r="D38" i="37"/>
  <c r="F37" i="33"/>
  <c r="F42" i="33" s="1"/>
  <c r="G42" i="33" s="1"/>
  <c r="D51" i="27"/>
  <c r="F49" i="40"/>
  <c r="G49" i="40" s="1"/>
  <c r="F61" i="40"/>
  <c r="F66" i="40" s="1"/>
  <c r="F37" i="40"/>
  <c r="G37" i="40" s="1"/>
  <c r="F25" i="37"/>
  <c r="F30" i="37" s="1"/>
  <c r="G30" i="37" s="1"/>
  <c r="J19" i="33"/>
  <c r="J15" i="33"/>
  <c r="F49" i="37"/>
  <c r="G49" i="37" s="1"/>
  <c r="J14" i="33"/>
  <c r="F25" i="40"/>
  <c r="J20" i="33"/>
  <c r="J17" i="33"/>
  <c r="F37" i="37"/>
  <c r="G37" i="37" s="1"/>
  <c r="G13" i="35"/>
  <c r="G18" i="35"/>
  <c r="G19" i="35"/>
  <c r="G16" i="35"/>
  <c r="G20" i="35"/>
  <c r="G14" i="35"/>
  <c r="G17" i="35"/>
  <c r="G15" i="35"/>
  <c r="F61" i="37"/>
  <c r="F68" i="37" s="1"/>
  <c r="G68" i="37" s="1"/>
  <c r="G16" i="37"/>
  <c r="G13" i="37"/>
  <c r="J17" i="35"/>
  <c r="J15" i="35"/>
  <c r="G14" i="40"/>
  <c r="G13" i="40"/>
  <c r="J16" i="35"/>
  <c r="J14" i="35"/>
  <c r="J20" i="35"/>
  <c r="J19" i="35"/>
  <c r="J18" i="35"/>
  <c r="J13" i="35"/>
  <c r="F37" i="27"/>
  <c r="G37" i="27" s="1"/>
  <c r="G14" i="33"/>
  <c r="G16" i="33"/>
  <c r="G15" i="33"/>
  <c r="G13" i="33"/>
  <c r="G18" i="33"/>
  <c r="G20" i="33"/>
  <c r="G17" i="33"/>
  <c r="G19" i="33"/>
  <c r="F37" i="35"/>
  <c r="J37" i="35" s="1"/>
  <c r="J14" i="40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31" i="40" l="1"/>
  <c r="G16" i="40"/>
  <c r="G15" i="40"/>
  <c r="G14" i="37"/>
  <c r="G20" i="37"/>
  <c r="G18" i="37"/>
  <c r="G15" i="37"/>
  <c r="J19" i="37"/>
  <c r="G17" i="37"/>
  <c r="F68" i="40"/>
  <c r="J68" i="40" s="1"/>
  <c r="F62" i="40"/>
  <c r="J62" i="40" s="1"/>
  <c r="G18" i="40"/>
  <c r="J17" i="40"/>
  <c r="G20" i="40"/>
  <c r="F40" i="33"/>
  <c r="G40" i="33" s="1"/>
  <c r="G19" i="40"/>
  <c r="F64" i="40"/>
  <c r="G64" i="40" s="1"/>
  <c r="F41" i="40"/>
  <c r="G41" i="40" s="1"/>
  <c r="F38" i="40"/>
  <c r="G38" i="40" s="1"/>
  <c r="G37" i="33"/>
  <c r="F63" i="40"/>
  <c r="J63" i="40" s="1"/>
  <c r="J37" i="33"/>
  <c r="F39" i="33"/>
  <c r="J39" i="33" s="1"/>
  <c r="F39" i="37"/>
  <c r="J39" i="37" s="1"/>
  <c r="F38" i="37"/>
  <c r="J38" i="37" s="1"/>
  <c r="F51" i="40"/>
  <c r="J51" i="40" s="1"/>
  <c r="F41" i="33"/>
  <c r="J41" i="33" s="1"/>
  <c r="F43" i="33"/>
  <c r="G43" i="33" s="1"/>
  <c r="F55" i="40"/>
  <c r="G55" i="40" s="1"/>
  <c r="F26" i="37"/>
  <c r="J26" i="37" s="1"/>
  <c r="F67" i="40"/>
  <c r="J67" i="40" s="1"/>
  <c r="F38" i="33"/>
  <c r="J38" i="33" s="1"/>
  <c r="F44" i="40"/>
  <c r="G44" i="40" s="1"/>
  <c r="F42" i="40"/>
  <c r="J42" i="40" s="1"/>
  <c r="F43" i="40"/>
  <c r="J43" i="40" s="1"/>
  <c r="F44" i="33"/>
  <c r="J44" i="33" s="1"/>
  <c r="F40" i="40"/>
  <c r="J40" i="40" s="1"/>
  <c r="F53" i="40"/>
  <c r="J53" i="40" s="1"/>
  <c r="F39" i="40"/>
  <c r="J39" i="40" s="1"/>
  <c r="F52" i="40"/>
  <c r="J52" i="40" s="1"/>
  <c r="F56" i="40"/>
  <c r="J56" i="40" s="1"/>
  <c r="J49" i="40"/>
  <c r="G61" i="40"/>
  <c r="J61" i="40"/>
  <c r="F29" i="40"/>
  <c r="G29" i="40" s="1"/>
  <c r="F65" i="40"/>
  <c r="J65" i="40" s="1"/>
  <c r="G25" i="40"/>
  <c r="J37" i="40"/>
  <c r="J25" i="40"/>
  <c r="F50" i="40"/>
  <c r="J50" i="40" s="1"/>
  <c r="F54" i="40"/>
  <c r="J54" i="40" s="1"/>
  <c r="F56" i="37"/>
  <c r="J56" i="37" s="1"/>
  <c r="F32" i="37"/>
  <c r="J32" i="37" s="1"/>
  <c r="F31" i="37"/>
  <c r="G31" i="37" s="1"/>
  <c r="G61" i="37"/>
  <c r="J61" i="37"/>
  <c r="G25" i="37"/>
  <c r="F50" i="37"/>
  <c r="J50" i="37" s="1"/>
  <c r="J25" i="37"/>
  <c r="F29" i="37"/>
  <c r="J29" i="37" s="1"/>
  <c r="F62" i="37"/>
  <c r="G62" i="37" s="1"/>
  <c r="F28" i="37"/>
  <c r="J28" i="37" s="1"/>
  <c r="F27" i="37"/>
  <c r="G27" i="37" s="1"/>
  <c r="F42" i="27"/>
  <c r="G42" i="27" s="1"/>
  <c r="F27" i="40"/>
  <c r="J27" i="40" s="1"/>
  <c r="F51" i="37"/>
  <c r="G51" i="37" s="1"/>
  <c r="F28" i="40"/>
  <c r="J28" i="40" s="1"/>
  <c r="F54" i="37"/>
  <c r="J54" i="37" s="1"/>
  <c r="F52" i="37"/>
  <c r="G52" i="37" s="1"/>
  <c r="F55" i="37"/>
  <c r="J55" i="37" s="1"/>
  <c r="F53" i="37"/>
  <c r="G53" i="37" s="1"/>
  <c r="J37" i="37"/>
  <c r="F40" i="27"/>
  <c r="J40" i="27" s="1"/>
  <c r="J37" i="27"/>
  <c r="F42" i="37"/>
  <c r="J42" i="37" s="1"/>
  <c r="F44" i="37"/>
  <c r="J44" i="37" s="1"/>
  <c r="F30" i="40"/>
  <c r="J30" i="40" s="1"/>
  <c r="F44" i="27"/>
  <c r="G44" i="27" s="1"/>
  <c r="F41" i="27"/>
  <c r="G41" i="27" s="1"/>
  <c r="F39" i="27"/>
  <c r="J39" i="27" s="1"/>
  <c r="F26" i="40"/>
  <c r="G26" i="40" s="1"/>
  <c r="J49" i="37"/>
  <c r="F38" i="27"/>
  <c r="J38" i="27" s="1"/>
  <c r="F43" i="37"/>
  <c r="J43" i="37" s="1"/>
  <c r="F32" i="40"/>
  <c r="G32" i="40" s="1"/>
  <c r="F41" i="37"/>
  <c r="J41" i="37" s="1"/>
  <c r="F40" i="37"/>
  <c r="G40" i="37" s="1"/>
  <c r="F43" i="27"/>
  <c r="J43" i="27" s="1"/>
  <c r="F66" i="37"/>
  <c r="G66" i="37" s="1"/>
  <c r="F38" i="35"/>
  <c r="G38" i="35" s="1"/>
  <c r="F44" i="35"/>
  <c r="J44" i="35" s="1"/>
  <c r="F63" i="37"/>
  <c r="J63" i="37" s="1"/>
  <c r="F40" i="35"/>
  <c r="J40" i="35" s="1"/>
  <c r="F41" i="35"/>
  <c r="J41" i="35" s="1"/>
  <c r="F64" i="37"/>
  <c r="J64" i="37" s="1"/>
  <c r="G37" i="35"/>
  <c r="F39" i="35"/>
  <c r="J39" i="35" s="1"/>
  <c r="F67" i="37"/>
  <c r="J67" i="37" s="1"/>
  <c r="F43" i="35"/>
  <c r="G43" i="35" s="1"/>
  <c r="F42" i="35"/>
  <c r="J42" i="35" s="1"/>
  <c r="F65" i="37"/>
  <c r="G65" i="37" s="1"/>
  <c r="J66" i="40"/>
  <c r="G66" i="40"/>
  <c r="J31" i="40"/>
  <c r="G31" i="40"/>
  <c r="J68" i="37"/>
  <c r="J30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J42" i="33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G38" i="37" l="1"/>
  <c r="J41" i="40"/>
  <c r="J64" i="40"/>
  <c r="G68" i="40"/>
  <c r="J40" i="33"/>
  <c r="G62" i="40"/>
  <c r="G39" i="37"/>
  <c r="G39" i="33"/>
  <c r="J55" i="40"/>
  <c r="G67" i="40"/>
  <c r="G63" i="40"/>
  <c r="J38" i="40"/>
  <c r="J43" i="33"/>
  <c r="J44" i="40"/>
  <c r="G41" i="33"/>
  <c r="G51" i="40"/>
  <c r="G56" i="40"/>
  <c r="G43" i="40"/>
  <c r="G38" i="33"/>
  <c r="G26" i="37"/>
  <c r="G53" i="40"/>
  <c r="G39" i="40"/>
  <c r="G52" i="40"/>
  <c r="G42" i="40"/>
  <c r="J29" i="40"/>
  <c r="G44" i="33"/>
  <c r="G40" i="40"/>
  <c r="G65" i="40"/>
  <c r="G56" i="37"/>
  <c r="G50" i="40"/>
  <c r="G54" i="40"/>
  <c r="G28" i="37"/>
  <c r="J27" i="37"/>
  <c r="J62" i="37"/>
  <c r="J31" i="37"/>
  <c r="J51" i="37"/>
  <c r="G32" i="37"/>
  <c r="J52" i="37"/>
  <c r="J42" i="27"/>
  <c r="G29" i="37"/>
  <c r="G50" i="37"/>
  <c r="G54" i="37"/>
  <c r="G55" i="37"/>
  <c r="J53" i="37"/>
  <c r="G27" i="40"/>
  <c r="G28" i="40"/>
  <c r="G30" i="40"/>
  <c r="G44" i="37"/>
  <c r="G42" i="37"/>
  <c r="G43" i="37"/>
  <c r="G39" i="27"/>
  <c r="G38" i="27"/>
  <c r="J41" i="27"/>
  <c r="G41" i="35"/>
  <c r="J26" i="40"/>
  <c r="J65" i="37"/>
  <c r="G42" i="35"/>
  <c r="J43" i="35"/>
  <c r="G40" i="27"/>
  <c r="J32" i="40"/>
  <c r="G41" i="37"/>
  <c r="J66" i="37"/>
  <c r="J44" i="27"/>
  <c r="G43" i="27"/>
  <c r="J40" i="37"/>
  <c r="G63" i="37"/>
  <c r="G44" i="35"/>
  <c r="J38" i="35"/>
  <c r="G39" i="35"/>
  <c r="G40" i="35"/>
  <c r="G64" i="37"/>
  <c r="G67" i="37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0" i="20"/>
  <c r="AC63" i="20"/>
  <c r="AC28" i="20"/>
  <c r="AC68" i="20"/>
  <c r="AC49" i="20"/>
  <c r="AC43" i="20"/>
  <c r="AC13" i="20"/>
  <c r="AC40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M15" i="20" s="1"/>
  <c r="AM28" i="20" l="1"/>
  <c r="AC61" i="20"/>
  <c r="AC42" i="20"/>
  <c r="AC67" i="20"/>
  <c r="AC11" i="20"/>
  <c r="AC59" i="20"/>
  <c r="AC50" i="20"/>
  <c r="AC31" i="20"/>
  <c r="AC27" i="20"/>
  <c r="AC51" i="20"/>
  <c r="AC10" i="20"/>
  <c r="AC46" i="20"/>
  <c r="AC71" i="20"/>
  <c r="AC15" i="20"/>
  <c r="AC32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23" i="20"/>
  <c r="AC72" i="20"/>
  <c r="AC33" i="20"/>
  <c r="AC52" i="20"/>
  <c r="AC6" i="20"/>
  <c r="AC66" i="20"/>
  <c r="AM33" i="20"/>
  <c r="AM16" i="20"/>
  <c r="AD48" i="20"/>
  <c r="AD16" i="20"/>
  <c r="AN16" i="20"/>
  <c r="AN48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C45" i="20" l="1"/>
  <c r="AC73" i="20"/>
  <c r="AC17" i="20"/>
  <c r="AC22" i="20"/>
  <c r="AC65" i="20"/>
  <c r="AC7" i="20"/>
  <c r="AC34" i="20"/>
  <c r="AC53" i="20"/>
  <c r="AM82" i="20"/>
  <c r="AC82" i="20"/>
  <c r="AM79" i="20"/>
  <c r="AD82" i="20"/>
  <c r="AN82" i="20"/>
  <c r="AM17" i="20"/>
  <c r="AD22" i="20"/>
  <c r="AM53" i="20"/>
  <c r="BG73" i="20"/>
  <c r="BG53" i="20"/>
  <c r="AM22" i="20"/>
  <c r="AN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64" i="20" l="1"/>
  <c r="AC26" i="20"/>
  <c r="AC9" i="20"/>
  <c r="AC54" i="20"/>
  <c r="AC35" i="20"/>
  <c r="AC18" i="20"/>
  <c r="AC44" i="20"/>
  <c r="AC74" i="20"/>
  <c r="AD44" i="20"/>
  <c r="AN44" i="20"/>
  <c r="AM64" i="20"/>
  <c r="AM44" i="20"/>
  <c r="AD64" i="20"/>
  <c r="AN64" i="20"/>
  <c r="AM85" i="20"/>
  <c r="AD74" i="20"/>
  <c r="AN74" i="20"/>
  <c r="AM35" i="20"/>
  <c r="BG44" i="20"/>
  <c r="AX18" i="20"/>
  <c r="AW15" i="20"/>
  <c r="AX44" i="20"/>
  <c r="AD18" i="20"/>
  <c r="BH44" i="20"/>
  <c r="AW44" i="20"/>
  <c r="AN18" i="20"/>
  <c r="BH18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W59" i="20" s="1"/>
  <c r="AW40" i="20" l="1"/>
  <c r="AC36" i="20"/>
  <c r="AC55" i="20"/>
  <c r="AC8" i="20"/>
  <c r="AC75" i="20"/>
  <c r="AC19" i="20"/>
  <c r="AC25" i="20"/>
  <c r="AM8" i="20"/>
  <c r="AM75" i="20"/>
  <c r="AM19" i="20"/>
  <c r="AN8" i="20"/>
  <c r="AD8" i="20"/>
  <c r="BG81" i="20"/>
  <c r="AN36" i="20"/>
  <c r="AD36" i="20"/>
  <c r="BG36" i="20"/>
  <c r="AM36" i="20"/>
  <c r="BH36" i="20"/>
  <c r="AW36" i="20"/>
  <c r="AX36" i="20"/>
  <c r="AW19" i="20"/>
  <c r="AW75" i="20"/>
  <c r="BG19" i="20"/>
  <c r="AX8" i="20"/>
  <c r="AW25" i="20"/>
  <c r="BG8" i="20"/>
  <c r="BG75" i="20"/>
  <c r="BG25" i="20"/>
  <c r="BH8" i="20"/>
  <c r="AM25" i="20"/>
  <c r="AW8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37" i="20"/>
  <c r="AC20" i="20"/>
  <c r="AC24" i="20"/>
  <c r="AC5" i="20"/>
  <c r="AX24" i="20"/>
  <c r="AN24" i="20"/>
  <c r="AM24" i="20"/>
  <c r="AD24" i="20"/>
  <c r="AM5" i="20"/>
  <c r="BG5" i="20"/>
  <c r="AD80" i="20"/>
  <c r="AM80" i="20"/>
  <c r="AC80" i="20"/>
  <c r="BG80" i="20"/>
  <c r="AN80" i="20"/>
  <c r="AW80" i="20"/>
  <c r="BH80" i="20"/>
  <c r="AX80" i="20"/>
  <c r="AW37" i="20"/>
  <c r="AW5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BH4" i="20" s="1"/>
  <c r="AC21" i="20" l="1"/>
  <c r="AC4" i="20"/>
  <c r="AC57" i="20"/>
  <c r="AC39" i="20"/>
  <c r="AW57" i="20"/>
  <c r="AM57" i="20"/>
  <c r="BG57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M58" i="20"/>
  <c r="BH38" i="20"/>
  <c r="BG58" i="20"/>
  <c r="AX38" i="20"/>
  <c r="BH58" i="20"/>
  <c r="AX58" i="20"/>
  <c r="AW58" i="20"/>
  <c r="AD58" i="20"/>
  <c r="AN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69" i="20" l="1"/>
  <c r="AC12" i="20"/>
  <c r="AC29" i="20"/>
  <c r="AC48" i="20"/>
  <c r="AM48" i="20"/>
  <c r="AM12" i="20"/>
  <c r="AM69" i="20"/>
  <c r="AM29" i="20"/>
  <c r="AW48" i="20"/>
  <c r="BG48" i="20"/>
  <c r="BG69" i="20"/>
  <c r="AW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O21" i="37" s="1" a="1"/>
  <c r="O21" i="37" s="1"/>
  <c r="I2" i="37" s="1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27" i="20" s="1"/>
  <c r="AX42" i="20" l="1"/>
  <c r="AD53" i="20"/>
  <c r="AN79" i="20"/>
  <c r="BH53" i="20"/>
  <c r="BH73" i="20"/>
  <c r="AN53" i="20"/>
  <c r="AN17" i="20"/>
  <c r="AD17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N81" i="20"/>
  <c r="AD81" i="20"/>
  <c r="BH81" i="20"/>
  <c r="AX19" i="20"/>
  <c r="AX81" i="20"/>
  <c r="BH19" i="20"/>
  <c r="BH45" i="20"/>
  <c r="BH37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AD37" i="20"/>
  <c r="E23" i="20"/>
  <c r="AD5" i="20" l="1"/>
  <c r="AN5" i="20"/>
  <c r="BH5" i="20"/>
  <c r="AX37" i="20"/>
  <c r="AX5" i="20"/>
  <c r="BH69" i="20"/>
  <c r="BH13" i="20"/>
  <c r="BH46" i="20"/>
  <c r="BH43" i="20"/>
  <c r="AN43" i="20"/>
  <c r="AD46" i="20"/>
  <c r="AX43" i="20"/>
  <c r="AN46" i="20"/>
  <c r="AX13" i="20"/>
  <c r="AX69" i="20"/>
  <c r="AD43" i="20"/>
  <c r="AX46" i="20"/>
  <c r="AD21" i="20"/>
  <c r="E24" i="20"/>
  <c r="AN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<sst xmlns="http://schemas.openxmlformats.org/spreadsheetml/2006/main" count="12308" uniqueCount="296">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</sst>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8.9050215821899564E-2</c:v>
                      </c:pt>
                      <c:pt idx="19">
                        <c:v>6.997862286004275E-2</c:v>
                      </c:pt>
                      <c:pt idx="20">
                        <c:v>6.0402290879195415E-2</c:v>
                      </c:pt>
                      <c:pt idx="21">
                        <c:v>7.3258727853482544E-2</c:v>
                      </c:pt>
                      <c:pt idx="22">
                        <c:v>0.1353335507293329</c:v>
                      </c:pt>
                      <c:pt idx="23">
                        <c:v>0.14955889870088221</c:v>
                      </c:pt>
                      <c:pt idx="24">
                        <c:v>7.8779889842440221E-2</c:v>
                      </c:pt>
                      <c:pt idx="25">
                        <c:v>3.5927454928145093E-2</c:v>
                      </c:pt>
                      <c:pt idx="26">
                        <c:v>2.0484695959030609E-2</c:v>
                      </c:pt>
                      <c:pt idx="27">
                        <c:v>3.0047102939905795E-2</c:v>
                      </c:pt>
                      <c:pt idx="28">
                        <c:v>1.2732181974535637E-2</c:v>
                      </c:pt>
                      <c:pt idx="29">
                        <c:v>7.3848024852303948E-2</c:v>
                      </c:pt>
                      <c:pt idx="30">
                        <c:v>1.1095883977808233E-2</c:v>
                      </c:pt>
                      <c:pt idx="31">
                        <c:v>1.2707010974585977E-2</c:v>
                      </c:pt>
                      <c:pt idx="32">
                        <c:v>9.8964539802070921E-3</c:v>
                      </c:pt>
                      <c:pt idx="33">
                        <c:v>1.2309897975380204E-2</c:v>
                      </c:pt>
                      <c:pt idx="34">
                        <c:v>3.5481959929036078E-2</c:v>
                      </c:pt>
                      <c:pt idx="35">
                        <c:v>1.868478496263043E-2</c:v>
                      </c:pt>
                      <c:pt idx="36">
                        <c:v>1.234228997531542E-2</c:v>
                      </c:pt>
                      <c:pt idx="37">
                        <c:v>5.8112269883775457E-3</c:v>
                      </c:pt>
                      <c:pt idx="38">
                        <c:v>4.91495499017009E-3</c:v>
                      </c:pt>
                      <c:pt idx="39">
                        <c:v>8.0834699838330595E-3</c:v>
                      </c:pt>
                      <c:pt idx="40">
                        <c:v>4.5348959909302083E-3</c:v>
                      </c:pt>
                      <c:pt idx="41">
                        <c:v>4.4076109911847777E-3</c:v>
                      </c:pt>
                      <c:pt idx="42">
                        <c:v>3.3869069932261861E-3</c:v>
                      </c:pt>
                      <c:pt idx="43">
                        <c:v>6.1828059876343879E-3</c:v>
                      </c:pt>
                      <c:pt idx="44">
                        <c:v>1.5371296969257407E-2</c:v>
                      </c:pt>
                      <c:pt idx="45">
                        <c:v>1.59442999681114E-3</c:v>
                      </c:pt>
                      <c:pt idx="46">
                        <c:v>1.289272997421454E-3</c:v>
                      </c:pt>
                      <c:pt idx="47">
                        <c:v>1.024948997950102E-3</c:v>
                      </c:pt>
                      <c:pt idx="48">
                        <c:v>3.4005999931988002E-4</c:v>
                      </c:pt>
                      <c:pt idx="49">
                        <c:v>3.2136799935726402E-4</c:v>
                      </c:pt>
                      <c:pt idx="50">
                        <c:v>2.9954199940091598E-4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0.14955889870088221</c:v>
                      </c:pt>
                      <c:pt idx="1">
                        <c:v>7.8779889842440221E-2</c:v>
                      </c:pt>
                      <c:pt idx="2">
                        <c:v>3.5927454928145093E-2</c:v>
                      </c:pt>
                      <c:pt idx="3">
                        <c:v>2.0484695959030609E-2</c:v>
                      </c:pt>
                      <c:pt idx="4">
                        <c:v>3.0047102939905795E-2</c:v>
                      </c:pt>
                      <c:pt idx="5">
                        <c:v>1.2732181974535637E-2</c:v>
                      </c:pt>
                      <c:pt idx="6">
                        <c:v>7.3848024852303948E-2</c:v>
                      </c:pt>
                      <c:pt idx="7">
                        <c:v>1.1095883977808233E-2</c:v>
                      </c:pt>
                      <c:pt idx="8">
                        <c:v>1.2707010974585977E-2</c:v>
                      </c:pt>
                      <c:pt idx="9">
                        <c:v>9.8964539802070921E-3</c:v>
                      </c:pt>
                      <c:pt idx="10">
                        <c:v>1.2309897975380204E-2</c:v>
                      </c:pt>
                      <c:pt idx="11">
                        <c:v>3.5481959929036078E-2</c:v>
                      </c:pt>
                      <c:pt idx="12">
                        <c:v>1.5371296969257407E-2</c:v>
                      </c:pt>
                      <c:pt idx="13">
                        <c:v>1.59442999681114E-3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7.3751624032880629E-3</v>
      </c>
      <c r="D8" s="141">
        <f ca="1">'Pay Combo Super Feature Buy'!$I$2</f>
        <v>5.3589295799807477</v>
      </c>
      <c r="E8" s="142">
        <f ca="1">SUM('Pay Combo Super Feature Buy'!$J$23:$J$32)</f>
        <v>0.18174288678189165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3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3</v>
      </c>
      <c r="S4" s="101">
        <v>3</v>
      </c>
      <c r="T4" s="101">
        <v>3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</v>
      </c>
      <c r="S5" s="101">
        <v>3</v>
      </c>
      <c r="T5" s="101">
        <v>3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3</v>
      </c>
      <c r="S6" s="101">
        <v>1</v>
      </c>
      <c r="T6" s="101">
        <v>3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</v>
      </c>
      <c r="S7" s="101">
        <v>1</v>
      </c>
      <c r="T7" s="101">
        <v>3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3</v>
      </c>
      <c r="S8" s="101">
        <v>1</v>
      </c>
      <c r="T8" s="101">
        <v>3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3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3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3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3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3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3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3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3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3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3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3</v>
      </c>
      <c r="S51" s="101">
        <v>3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</v>
      </c>
      <c r="S52" s="101">
        <v>3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3</v>
      </c>
      <c r="S53" s="101">
        <v>3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</v>
      </c>
      <c r="S54" s="101">
        <v>3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3</v>
      </c>
      <c r="S55" s="101">
        <v>3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3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3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3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3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3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3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3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3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3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3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3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3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3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3</v>
      </c>
      <c r="T142" s="101">
        <v>3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3</v>
      </c>
      <c r="T143" s="101">
        <v>3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3</v>
      </c>
      <c r="T144" s="101">
        <v>3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3</v>
      </c>
      <c r="T145" s="101">
        <v>3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3</v>
      </c>
      <c r="T146" s="101">
        <v>3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3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3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3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3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3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3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3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3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3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3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3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3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3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3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3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3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3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3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3</v>
      </c>
      <c r="T201" s="101">
        <v>3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3</v>
      </c>
      <c r="T202" s="101">
        <v>3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3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3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3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3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3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89050216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69978623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60402291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73258728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135333551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149558899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78779890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35927455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20484696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30047103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12732182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73848025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11095884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12707011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9896454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12309898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35481960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18684785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12342290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5811227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4914955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8083470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4534896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4407611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3386907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6182806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15371297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1594430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1289273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1024949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340060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321368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299542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241274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76317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199679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0.92500002946377913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647984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6.4798400000000006E-2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5481</v>
      </c>
      <c r="D200" s="30">
        <v>4384.8000000000102</v>
      </c>
      <c r="E200" s="187">
        <f t="shared" ref="E200:E256" si="6">IFERROR((D200/$E$196)/(C200),0)</f>
        <v>3.2000000000000075E-3</v>
      </c>
      <c r="F200" s="188">
        <v>5.4810000000000004E-4</v>
      </c>
      <c r="G200" s="189">
        <v>1.7539200000000042E-6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27743</v>
      </c>
      <c r="D201" s="30">
        <v>48310.400000000162</v>
      </c>
      <c r="E201" s="187">
        <f t="shared" si="6"/>
        <v>6.9654183037162762E-3</v>
      </c>
      <c r="F201" s="188">
        <v>2.7742999999999999E-3</v>
      </c>
      <c r="G201" s="189">
        <v>1.9324160000000065E-5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13303</v>
      </c>
      <c r="D202" s="30">
        <v>37242.800000000097</v>
      </c>
      <c r="E202" s="187">
        <f t="shared" si="6"/>
        <v>1.1198316169285152E-2</v>
      </c>
      <c r="F202" s="188">
        <v>1.3303E-3</v>
      </c>
      <c r="G202" s="189">
        <v>1.4897120000000037E-5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33727</v>
      </c>
      <c r="D203" s="30">
        <v>128537.99999999936</v>
      </c>
      <c r="E203" s="187">
        <f t="shared" si="6"/>
        <v>1.5244522192901754E-2</v>
      </c>
      <c r="F203" s="188">
        <v>3.3727000000000002E-3</v>
      </c>
      <c r="G203" s="189">
        <v>5.1415199999999744E-5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29850</v>
      </c>
      <c r="D204" s="30">
        <v>145753.0000000018</v>
      </c>
      <c r="E204" s="187">
        <f t="shared" si="6"/>
        <v>1.9531390284757359E-2</v>
      </c>
      <c r="F204" s="188">
        <v>2.9849999999999998E-3</v>
      </c>
      <c r="G204" s="189">
        <v>5.8301200000000715E-5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34779</v>
      </c>
      <c r="D205" s="30">
        <v>207706.00000000015</v>
      </c>
      <c r="E205" s="187">
        <f t="shared" si="6"/>
        <v>2.3888668449351638E-2</v>
      </c>
      <c r="F205" s="188">
        <v>3.4778999999999999E-3</v>
      </c>
      <c r="G205" s="189">
        <v>8.3082400000000057E-5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5298</v>
      </c>
      <c r="D206" s="30">
        <v>34733.600000000006</v>
      </c>
      <c r="E206" s="187">
        <f t="shared" si="6"/>
        <v>2.6223933559833903E-2</v>
      </c>
      <c r="F206" s="188">
        <v>5.2979999999999998E-4</v>
      </c>
      <c r="G206" s="189">
        <v>1.3893440000000001E-5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53352</v>
      </c>
      <c r="D207" s="30">
        <v>418409.00000000326</v>
      </c>
      <c r="E207" s="187">
        <f t="shared" si="6"/>
        <v>3.1369695606537955E-2</v>
      </c>
      <c r="F207" s="188">
        <v>5.3352E-3</v>
      </c>
      <c r="G207" s="189">
        <v>1.6736360000000131E-4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14582</v>
      </c>
      <c r="D208" s="30">
        <v>129511.80000000012</v>
      </c>
      <c r="E208" s="187">
        <f t="shared" si="6"/>
        <v>3.5526484707173255E-2</v>
      </c>
      <c r="F208" s="188">
        <v>1.4582E-3</v>
      </c>
      <c r="G208" s="189">
        <v>5.1804720000000038E-5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48073</v>
      </c>
      <c r="D209" s="30">
        <v>476229.20000000019</v>
      </c>
      <c r="E209" s="187">
        <f t="shared" si="6"/>
        <v>3.9625502881035106E-2</v>
      </c>
      <c r="F209" s="188">
        <v>4.8072999999999996E-3</v>
      </c>
      <c r="G209" s="189">
        <v>1.9049168000000004E-4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109560</v>
      </c>
      <c r="D210" s="30">
        <v>1445053.6000000043</v>
      </c>
      <c r="E210" s="187">
        <f t="shared" si="6"/>
        <v>5.2758437385907422E-2</v>
      </c>
      <c r="F210" s="188">
        <v>1.0956E-2</v>
      </c>
      <c r="G210" s="189">
        <v>5.7802144000000178E-4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139090</v>
      </c>
      <c r="D211" s="30">
        <v>2546787.9999999958</v>
      </c>
      <c r="E211" s="187">
        <f t="shared" si="6"/>
        <v>7.3241440793730558E-2</v>
      </c>
      <c r="F211" s="188">
        <v>1.3908999999999999E-2</v>
      </c>
      <c r="G211" s="189">
        <v>1.0187151999999982E-3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94646</v>
      </c>
      <c r="D212" s="30">
        <v>2219673.7999999993</v>
      </c>
      <c r="E212" s="187">
        <f t="shared" si="6"/>
        <v>9.3809513344462511E-2</v>
      </c>
      <c r="F212" s="188">
        <v>9.4646000000000001E-3</v>
      </c>
      <c r="G212" s="189">
        <v>8.8786951999999988E-4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6.3213121797997482</v>
      </c>
      <c r="S212" s="182"/>
    </row>
    <row r="213" spans="1:24" ht="15.6">
      <c r="A213" s="257">
        <v>25</v>
      </c>
      <c r="B213" s="258">
        <v>30</v>
      </c>
      <c r="C213" s="160">
        <v>95195</v>
      </c>
      <c r="D213" s="30">
        <v>2737563.9999999935</v>
      </c>
      <c r="E213" s="187">
        <f t="shared" si="6"/>
        <v>0.11502973895687771</v>
      </c>
      <c r="F213" s="188">
        <v>9.5195000000000002E-3</v>
      </c>
      <c r="G213" s="189">
        <v>1.0950255999999973E-3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6.0651840930179555</v>
      </c>
      <c r="S213" s="182"/>
    </row>
    <row r="214" spans="1:24" ht="15.6">
      <c r="A214" s="257">
        <v>30</v>
      </c>
      <c r="B214" s="258">
        <v>35</v>
      </c>
      <c r="C214" s="160">
        <v>71726</v>
      </c>
      <c r="D214" s="30">
        <v>2343062.3999999948</v>
      </c>
      <c r="E214" s="187">
        <f t="shared" si="6"/>
        <v>0.13066739536569694</v>
      </c>
      <c r="F214" s="188">
        <v>7.1726000000000003E-3</v>
      </c>
      <c r="G214" s="189">
        <v>9.3722495999999786E-4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5.5336758853167094</v>
      </c>
    </row>
    <row r="215" spans="1:24" ht="15.6">
      <c r="A215" s="257">
        <v>35</v>
      </c>
      <c r="B215" s="258">
        <v>40</v>
      </c>
      <c r="C215" s="160">
        <v>121633</v>
      </c>
      <c r="D215" s="30">
        <v>4691333.8000000045</v>
      </c>
      <c r="E215" s="187">
        <f t="shared" si="6"/>
        <v>0.15427832249471787</v>
      </c>
      <c r="F215" s="188">
        <v>1.21633E-2</v>
      </c>
      <c r="G215" s="189">
        <v>1.8765335200000019E-3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11.985704347189928</v>
      </c>
    </row>
    <row r="216" spans="1:24" ht="15.6">
      <c r="A216" s="257">
        <v>40</v>
      </c>
      <c r="B216" s="258">
        <v>45</v>
      </c>
      <c r="C216" s="160">
        <v>65072</v>
      </c>
      <c r="D216" s="30">
        <v>2834678.9999999986</v>
      </c>
      <c r="E216" s="187">
        <f t="shared" si="6"/>
        <v>0.17424877059257429</v>
      </c>
      <c r="F216" s="188">
        <v>6.5072000000000003E-3</v>
      </c>
      <c r="G216" s="189">
        <v>1.1338715999999994E-3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7.5381914626114197</v>
      </c>
    </row>
    <row r="217" spans="1:24" ht="15.6">
      <c r="A217" s="257">
        <v>45</v>
      </c>
      <c r="B217" s="258">
        <v>50</v>
      </c>
      <c r="C217" s="160">
        <v>90853</v>
      </c>
      <c r="D217" s="30">
        <v>4389135.6000000052</v>
      </c>
      <c r="E217" s="187">
        <f t="shared" si="6"/>
        <v>0.19324119621806676</v>
      </c>
      <c r="F217" s="188">
        <v>9.0852999999999993E-3</v>
      </c>
      <c r="G217" s="189">
        <v>1.7556542400000018E-3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10.734558377056835</v>
      </c>
    </row>
    <row r="218" spans="1:24" ht="15.6">
      <c r="A218" s="257">
        <v>50</v>
      </c>
      <c r="B218" s="258">
        <v>60</v>
      </c>
      <c r="C218" s="160">
        <v>155465</v>
      </c>
      <c r="D218" s="30">
        <v>8852401.8000000231</v>
      </c>
      <c r="E218" s="187">
        <f t="shared" si="6"/>
        <v>0.22776578136558129</v>
      </c>
      <c r="F218" s="188">
        <v>1.55465E-2</v>
      </c>
      <c r="G218" s="189">
        <v>3.5409607200000094E-3</v>
      </c>
      <c r="H218" s="232">
        <v>0.2</v>
      </c>
      <c r="I218" s="274" t="str">
        <f t="shared" si="7"/>
        <v>(50, 60]</v>
      </c>
      <c r="J218" s="160">
        <v>1</v>
      </c>
      <c r="K218" s="234">
        <v>5.7279912842118801</v>
      </c>
      <c r="L218" s="188">
        <v>8.9050216499999987E-2</v>
      </c>
      <c r="M218" s="233">
        <v>89050216</v>
      </c>
      <c r="N218" s="195">
        <v>8.9050215821899564E-2</v>
      </c>
      <c r="O218" s="211">
        <v>2.0282591987448605E-2</v>
      </c>
      <c r="Q218" s="1">
        <v>0.11195442178961326</v>
      </c>
      <c r="R218" s="1">
        <v>7.2012621355040212</v>
      </c>
    </row>
    <row r="219" spans="1:24" ht="15.6">
      <c r="A219" s="257">
        <v>60</v>
      </c>
      <c r="B219" s="258">
        <v>70</v>
      </c>
      <c r="C219" s="160">
        <v>112429</v>
      </c>
      <c r="D219" s="30">
        <v>7393655.6000000052</v>
      </c>
      <c r="E219" s="187">
        <f t="shared" si="6"/>
        <v>0.26305154719867668</v>
      </c>
      <c r="F219" s="188">
        <v>1.12429E-2</v>
      </c>
      <c r="G219" s="189">
        <v>2.9574622400000022E-3</v>
      </c>
      <c r="H219" s="232">
        <v>0.24</v>
      </c>
      <c r="I219" s="274" t="str">
        <f t="shared" si="7"/>
        <v>(60, 70]</v>
      </c>
      <c r="J219" s="160">
        <v>1</v>
      </c>
      <c r="K219" s="234">
        <v>6.2242502824004484</v>
      </c>
      <c r="L219" s="188">
        <v>6.9978623500000003E-2</v>
      </c>
      <c r="M219" s="233">
        <v>69978623</v>
      </c>
      <c r="N219" s="195">
        <v>6.997862286004275E-2</v>
      </c>
      <c r="O219" s="211">
        <v>1.840798501416693E-2</v>
      </c>
      <c r="Q219" s="1">
        <v>4.2150854631160924E-2</v>
      </c>
      <c r="R219" s="1">
        <v>3.749108738062326</v>
      </c>
    </row>
    <row r="220" spans="1:24" ht="15.6">
      <c r="A220" s="257">
        <v>70</v>
      </c>
      <c r="B220" s="258">
        <v>80</v>
      </c>
      <c r="C220" s="160">
        <v>155114</v>
      </c>
      <c r="D220" s="30">
        <v>11857019.600000035</v>
      </c>
      <c r="E220" s="187">
        <f t="shared" si="6"/>
        <v>0.30576271903245444</v>
      </c>
      <c r="F220" s="188">
        <v>1.55114E-2</v>
      </c>
      <c r="G220" s="189">
        <v>4.7428078400000139E-3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3.8940580153951285</v>
      </c>
      <c r="L220" s="188">
        <v>6.0402291499999997E-2</v>
      </c>
      <c r="M220" s="233">
        <v>60402291</v>
      </c>
      <c r="N220" s="195">
        <v>6.0402290879195415E-2</v>
      </c>
      <c r="O220" s="211">
        <v>1.8468768695012013E-2</v>
      </c>
      <c r="Q220" s="1">
        <v>3.6385840192037056E-2</v>
      </c>
      <c r="R220" s="1">
        <v>2.3457483007360431</v>
      </c>
    </row>
    <row r="221" spans="1:24" thickBot="1">
      <c r="A221" s="257">
        <v>80</v>
      </c>
      <c r="B221" s="258">
        <v>90</v>
      </c>
      <c r="C221" s="160">
        <v>110193</v>
      </c>
      <c r="D221" s="30">
        <v>9509692.3999999966</v>
      </c>
      <c r="E221" s="187">
        <f t="shared" si="6"/>
        <v>0.34520132494804556</v>
      </c>
      <c r="F221" s="188">
        <v>1.1019299999999999E-2</v>
      </c>
      <c r="G221" s="189">
        <v>3.8038769599999982E-3</v>
      </c>
      <c r="H221" s="232">
        <v>0.32</v>
      </c>
      <c r="I221" s="274" t="str">
        <f t="shared" si="7"/>
        <v>(80, 90]</v>
      </c>
      <c r="J221" s="160">
        <v>1</v>
      </c>
      <c r="K221" s="276">
        <v>6.648219805250787</v>
      </c>
      <c r="L221" s="188">
        <v>7.3258728499999995E-2</v>
      </c>
      <c r="M221" s="233">
        <v>73258728</v>
      </c>
      <c r="N221" s="195">
        <v>7.3258727853482544E-2</v>
      </c>
      <c r="O221" s="211">
        <v>2.5289009919030464E-2</v>
      </c>
      <c r="Q221" s="1">
        <v>4.4133565457011449E-2</v>
      </c>
      <c r="R221" s="1">
        <v>4.0051151576789321</v>
      </c>
    </row>
    <row r="222" spans="1:24" ht="16.8" thickBot="1">
      <c r="A222" s="257">
        <v>90</v>
      </c>
      <c r="B222" s="258">
        <v>100</v>
      </c>
      <c r="C222" s="160">
        <v>126183</v>
      </c>
      <c r="D222" s="30">
        <v>12178507.400000021</v>
      </c>
      <c r="E222" s="187">
        <f t="shared" si="6"/>
        <v>0.38605857841389157</v>
      </c>
      <c r="F222" s="188">
        <v>1.2618300000000001E-2</v>
      </c>
      <c r="G222" s="189">
        <v>4.8714029600000087E-3</v>
      </c>
      <c r="H222" s="232">
        <v>0.36</v>
      </c>
      <c r="I222" s="274" t="str">
        <f t="shared" si="7"/>
        <v>(90, 100]</v>
      </c>
      <c r="J222" s="160">
        <v>1</v>
      </c>
      <c r="K222" s="276">
        <v>10.725181006950223</v>
      </c>
      <c r="L222" s="188">
        <v>0.13533355150000001</v>
      </c>
      <c r="M222" s="233">
        <v>135333551</v>
      </c>
      <c r="N222" s="195">
        <v>0.1353335507293329</v>
      </c>
      <c r="O222" s="211">
        <v>5.224667820627054E-2</v>
      </c>
      <c r="Q222" s="1">
        <v>8.1534868779438843E-2</v>
      </c>
      <c r="R222" s="1">
        <v>6.4616365738204697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220826</v>
      </c>
      <c r="D223" s="30">
        <v>24693986.000000022</v>
      </c>
      <c r="E223" s="187">
        <f t="shared" si="6"/>
        <v>0.44730214739206475</v>
      </c>
      <c r="F223" s="188">
        <v>2.2082600000000001E-2</v>
      </c>
      <c r="G223" s="189">
        <v>9.8775944000000088E-3</v>
      </c>
      <c r="H223" s="232">
        <v>0.4</v>
      </c>
      <c r="I223" s="274" t="str">
        <f t="shared" si="7"/>
        <v>(100, 120]</v>
      </c>
      <c r="J223" s="160">
        <v>1</v>
      </c>
      <c r="K223" s="276">
        <v>6.7727033727912476</v>
      </c>
      <c r="L223" s="188">
        <v>0.14955889950000001</v>
      </c>
      <c r="M223" s="233">
        <v>149558899</v>
      </c>
      <c r="N223" s="195">
        <v>0.14955889870088221</v>
      </c>
      <c r="O223" s="211">
        <v>6.6898016550496889E-2</v>
      </c>
      <c r="Q223" s="1">
        <v>9.0112979805137619E-2</v>
      </c>
      <c r="R223" s="1">
        <v>4.080723275571609</v>
      </c>
      <c r="U223" s="128" t="s">
        <v>271</v>
      </c>
      <c r="V223" s="185">
        <f>SUM(N199:N228)</f>
        <v>0.75555363248889262</v>
      </c>
      <c r="W223" s="296" cm="1">
        <f t="array" ref="W223:W228">1/V223:V228</f>
        <v>1.3235327804670451</v>
      </c>
      <c r="X223" s="302"/>
    </row>
    <row r="224" spans="1:24" ht="15.6">
      <c r="A224" s="257">
        <v>120</v>
      </c>
      <c r="B224" s="258">
        <v>140</v>
      </c>
      <c r="C224" s="160">
        <v>186704</v>
      </c>
      <c r="D224" s="30">
        <v>24490556.999999985</v>
      </c>
      <c r="E224" s="187">
        <f t="shared" si="6"/>
        <v>0.52469271145770813</v>
      </c>
      <c r="F224" s="188">
        <v>1.86704E-2</v>
      </c>
      <c r="G224" s="189">
        <v>9.7962227999999936E-3</v>
      </c>
      <c r="H224" s="232">
        <v>0.48</v>
      </c>
      <c r="I224" s="274" t="str">
        <f t="shared" si="7"/>
        <v>(120, 140]</v>
      </c>
      <c r="J224" s="160">
        <v>1</v>
      </c>
      <c r="K224" s="276">
        <v>4.219507375310652</v>
      </c>
      <c r="L224" s="188">
        <v>7.8779890500000005E-2</v>
      </c>
      <c r="M224" s="233">
        <v>78779890</v>
      </c>
      <c r="N224" s="195">
        <v>7.8779889842440221E-2</v>
      </c>
      <c r="O224" s="211">
        <v>4.1335234009769517E-2</v>
      </c>
      <c r="Q224" s="1">
        <v>4.747126106777233E-2</v>
      </c>
      <c r="R224" s="272">
        <v>2.5425947525372958</v>
      </c>
      <c r="U224" s="124" t="s">
        <v>275</v>
      </c>
      <c r="V224" s="188">
        <f>SUM(N229:N256)</f>
        <v>0.24444636751110724</v>
      </c>
      <c r="W224" s="297">
        <v>4.0908769076086253</v>
      </c>
      <c r="X224" s="303">
        <v>2500</v>
      </c>
    </row>
    <row r="225" spans="1:24" ht="15.6">
      <c r="A225" s="257">
        <v>140</v>
      </c>
      <c r="B225" s="258">
        <v>160</v>
      </c>
      <c r="C225" s="160">
        <v>196149</v>
      </c>
      <c r="D225" s="30">
        <v>29709675.800000012</v>
      </c>
      <c r="E225" s="187">
        <f t="shared" si="6"/>
        <v>0.60585933754441801</v>
      </c>
      <c r="F225" s="188">
        <v>1.9614900000000001E-2</v>
      </c>
      <c r="G225" s="189">
        <v>1.1883870320000005E-2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1.8316410228958597</v>
      </c>
      <c r="L225" s="188">
        <v>3.5927455500000004E-2</v>
      </c>
      <c r="M225" s="233">
        <v>35927455</v>
      </c>
      <c r="N225" s="195">
        <v>3.5927454928145093E-2</v>
      </c>
      <c r="O225" s="211">
        <v>2.1766984042422922E-2</v>
      </c>
      <c r="Q225" s="1">
        <v>2.1651011757170088E-2</v>
      </c>
      <c r="R225" s="272">
        <v>1.1038043404335525</v>
      </c>
      <c r="U225" s="124" t="s">
        <v>272</v>
      </c>
      <c r="V225" s="188">
        <f>SUM(N234:N256)</f>
        <v>0.1245890957508218</v>
      </c>
      <c r="W225" s="297">
        <v>8.0263846043156146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171040</v>
      </c>
      <c r="D226" s="30">
        <v>29304567.999999944</v>
      </c>
      <c r="E226" s="187">
        <f t="shared" si="6"/>
        <v>0.68532666043030743</v>
      </c>
      <c r="F226" s="188">
        <v>1.7104000000000001E-2</v>
      </c>
      <c r="G226" s="189">
        <v>1.1721827199999979E-2</v>
      </c>
      <c r="H226" s="232">
        <v>0.64</v>
      </c>
      <c r="I226" s="124" t="str">
        <f t="shared" si="7"/>
        <v>(160, 180]</v>
      </c>
      <c r="J226" s="160">
        <v>1</v>
      </c>
      <c r="K226" s="276">
        <v>1.1976553145463049</v>
      </c>
      <c r="L226" s="188">
        <v>2.04846965E-2</v>
      </c>
      <c r="M226" s="233">
        <v>20484696</v>
      </c>
      <c r="N226" s="195">
        <v>2.0484695959030609E-2</v>
      </c>
      <c r="O226" s="211">
        <v>1.4038708271532661E-2</v>
      </c>
      <c r="Q226" s="1">
        <v>1.2345605360363113E-2</v>
      </c>
      <c r="R226" s="272">
        <v>0.72179638449269834</v>
      </c>
      <c r="U226" s="124" t="s">
        <v>287</v>
      </c>
      <c r="V226" s="188">
        <f>SUM(N245:N256)</f>
        <v>5.3868919892262153E-3</v>
      </c>
      <c r="W226" s="297">
        <v>185.63579926978304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174301</v>
      </c>
      <c r="D227" s="30">
        <v>33467338.999999952</v>
      </c>
      <c r="E227" s="187">
        <f t="shared" si="6"/>
        <v>0.76803550180434876</v>
      </c>
      <c r="F227" s="188">
        <v>1.74301E-2</v>
      </c>
      <c r="G227" s="189">
        <v>1.3386935599999979E-2</v>
      </c>
      <c r="H227" s="232">
        <v>0.72</v>
      </c>
      <c r="I227" s="124" t="str">
        <f t="shared" si="7"/>
        <v>(180, 200]</v>
      </c>
      <c r="J227" s="160">
        <v>1</v>
      </c>
      <c r="K227" s="276">
        <v>1.7238629439876993</v>
      </c>
      <c r="L227" s="188">
        <v>3.0047103499999998E-2</v>
      </c>
      <c r="M227" s="233">
        <v>30047103</v>
      </c>
      <c r="N227" s="195">
        <v>3.0047102939905795E-2</v>
      </c>
      <c r="O227" s="211">
        <v>2.3077241784217471E-2</v>
      </c>
      <c r="Q227" s="1">
        <v>1.8109825476012021E-2</v>
      </c>
      <c r="R227" s="272">
        <v>1.0389972218181205</v>
      </c>
      <c r="U227" s="124" t="s">
        <v>288</v>
      </c>
      <c r="V227" s="188">
        <f>SUM(N246:N256)</f>
        <v>3.7924619924150759E-3</v>
      </c>
      <c r="W227" s="297">
        <v>263.68095501022822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371284</v>
      </c>
      <c r="D228" s="30">
        <v>83850012.200000197</v>
      </c>
      <c r="E228" s="187">
        <f t="shared" si="6"/>
        <v>0.90335174367869553</v>
      </c>
      <c r="F228" s="188">
        <v>3.7128399999999999E-2</v>
      </c>
      <c r="G228" s="189">
        <v>3.3540004880000078E-2</v>
      </c>
      <c r="H228" s="232">
        <v>0.8</v>
      </c>
      <c r="I228" s="124" t="str">
        <f t="shared" si="7"/>
        <v>(200, 250]</v>
      </c>
      <c r="J228" s="160">
        <v>1</v>
      </c>
      <c r="K228" s="276">
        <v>0.34292300503118905</v>
      </c>
      <c r="L228" s="188">
        <v>1.27321825E-2</v>
      </c>
      <c r="M228" s="233">
        <v>12732182</v>
      </c>
      <c r="N228" s="195">
        <v>1.2732181974535637E-2</v>
      </c>
      <c r="O228" s="211">
        <v>1.1501638787531224E-2</v>
      </c>
      <c r="Q228" s="1">
        <v>7.674595432961279E-3</v>
      </c>
      <c r="R228" s="272">
        <v>0.20670417882163733</v>
      </c>
      <c r="U228" s="125" t="s">
        <v>273</v>
      </c>
      <c r="V228" s="191">
        <f>SUM(N253)</f>
        <v>1.9967899960064201E-4</v>
      </c>
      <c r="W228" s="298">
        <v>5008.0379108469087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337214</v>
      </c>
      <c r="D229" s="30">
        <v>93022232.600000158</v>
      </c>
      <c r="E229" s="187">
        <f t="shared" si="6"/>
        <v>1.1034207666348392</v>
      </c>
      <c r="F229" s="188">
        <v>3.3721399999999999E-2</v>
      </c>
      <c r="G229" s="189">
        <v>3.7208893040000066E-2</v>
      </c>
      <c r="H229" s="232">
        <v>1</v>
      </c>
      <c r="I229" s="275" t="str">
        <f t="shared" si="7"/>
        <v>(250, 300]</v>
      </c>
      <c r="J229" s="160">
        <v>1</v>
      </c>
      <c r="K229" s="276">
        <v>2.1899454204155226</v>
      </c>
      <c r="L229" s="188">
        <v>7.3848025499999997E-2</v>
      </c>
      <c r="M229" s="233">
        <v>73848025</v>
      </c>
      <c r="N229" s="195">
        <v>7.3848024852303948E-2</v>
      </c>
      <c r="O229" s="211">
        <v>8.148544419699788E-2</v>
      </c>
      <c r="P229" s="1" cm="1">
        <f t="array" ref="P229:P256">2*K229:K256</f>
        <v>4.3798908408310453</v>
      </c>
      <c r="Q229" s="1">
        <v>1.1129664251999793E-2</v>
      </c>
      <c r="R229" s="272">
        <v>0.3300475143973795</v>
      </c>
    </row>
    <row r="230" spans="1:24" ht="15.6">
      <c r="A230" s="257">
        <v>300</v>
      </c>
      <c r="B230" s="258">
        <v>350</v>
      </c>
      <c r="C230" s="160">
        <v>291489</v>
      </c>
      <c r="D230" s="30">
        <v>94844336.600000173</v>
      </c>
      <c r="E230" s="187">
        <f t="shared" si="6"/>
        <v>1.3015151391647735</v>
      </c>
      <c r="F230" s="188">
        <v>2.9148899999999998E-2</v>
      </c>
      <c r="G230" s="189">
        <v>3.7937734640000061E-2</v>
      </c>
      <c r="H230" s="232">
        <v>1.2</v>
      </c>
      <c r="I230" s="124" t="str">
        <f t="shared" si="7"/>
        <v>(300, 350]</v>
      </c>
      <c r="J230" s="160">
        <v>1</v>
      </c>
      <c r="K230" s="276">
        <v>0.38066220337645673</v>
      </c>
      <c r="L230" s="188">
        <v>1.1095884499999998E-2</v>
      </c>
      <c r="M230" s="233">
        <v>11095884</v>
      </c>
      <c r="N230" s="195">
        <v>1.1095883977808233E-2</v>
      </c>
      <c r="O230" s="211">
        <v>1.4441460979533262E-2</v>
      </c>
      <c r="P230" s="1">
        <v>0.76132440675291346</v>
      </c>
      <c r="Q230" s="1">
        <v>1.6724255706989108E-3</v>
      </c>
      <c r="R230" s="272">
        <v>5.7375255007870309E-2</v>
      </c>
    </row>
    <row r="231" spans="1:24" ht="15.6">
      <c r="A231" s="257">
        <v>350</v>
      </c>
      <c r="B231" s="258">
        <v>400</v>
      </c>
      <c r="C231" s="160">
        <v>277166</v>
      </c>
      <c r="D231" s="30">
        <v>104258475.20000012</v>
      </c>
      <c r="E231" s="187">
        <f t="shared" si="6"/>
        <v>1.5046358528823898</v>
      </c>
      <c r="F231" s="188">
        <v>2.7716600000000001E-2</v>
      </c>
      <c r="G231" s="189">
        <v>4.1703390080000048E-2</v>
      </c>
      <c r="H231" s="232">
        <v>1.4</v>
      </c>
      <c r="I231" s="124" t="str">
        <f t="shared" si="7"/>
        <v>(350, 400]</v>
      </c>
      <c r="J231" s="160">
        <v>1</v>
      </c>
      <c r="K231" s="276">
        <v>0.45846213099730848</v>
      </c>
      <c r="L231" s="188">
        <v>1.27070115E-2</v>
      </c>
      <c r="M231" s="233">
        <v>12707011</v>
      </c>
      <c r="N231" s="195">
        <v>1.2707010974585977E-2</v>
      </c>
      <c r="O231" s="211">
        <v>1.911942429533206E-2</v>
      </c>
      <c r="P231" s="1">
        <v>0.91692426199461696</v>
      </c>
      <c r="Q231" s="1">
        <v>1.915424125577387E-3</v>
      </c>
      <c r="R231" s="272">
        <v>6.9107470814507799E-2</v>
      </c>
    </row>
    <row r="232" spans="1:24" ht="15.6">
      <c r="A232" s="257">
        <v>400</v>
      </c>
      <c r="B232" s="258">
        <v>450</v>
      </c>
      <c r="C232" s="160">
        <v>242379</v>
      </c>
      <c r="D232" s="30">
        <v>103179229.00000015</v>
      </c>
      <c r="E232" s="187">
        <f t="shared" si="6"/>
        <v>1.702775058895369</v>
      </c>
      <c r="F232" s="188">
        <v>2.42379E-2</v>
      </c>
      <c r="G232" s="189">
        <v>4.1271691600000063E-2</v>
      </c>
      <c r="H232" s="232">
        <v>1.6</v>
      </c>
      <c r="I232" s="124" t="str">
        <f t="shared" si="7"/>
        <v>(400, 450]</v>
      </c>
      <c r="J232" s="160">
        <v>1</v>
      </c>
      <c r="K232" s="276">
        <v>0.40830494803592721</v>
      </c>
      <c r="L232" s="188">
        <v>9.8964545000000004E-3</v>
      </c>
      <c r="M232" s="233">
        <v>9896454</v>
      </c>
      <c r="N232" s="195">
        <v>9.8964539802070921E-3</v>
      </c>
      <c r="O232" s="211">
        <v>1.6851435009002439E-2</v>
      </c>
      <c r="P232" s="1">
        <v>0.81660989607185441</v>
      </c>
      <c r="Q232" s="1">
        <v>1.4918749622586027E-3</v>
      </c>
      <c r="R232" s="272">
        <v>6.1551329209981173E-2</v>
      </c>
    </row>
    <row r="233" spans="1:24" ht="15.6">
      <c r="A233" s="257">
        <v>450</v>
      </c>
      <c r="B233" s="258">
        <v>500</v>
      </c>
      <c r="C233" s="160">
        <v>232303</v>
      </c>
      <c r="D233" s="30">
        <v>110603755.2000002</v>
      </c>
      <c r="E233" s="187">
        <f t="shared" si="6"/>
        <v>1.904473987852076</v>
      </c>
      <c r="F233" s="188">
        <v>2.3230299999999999E-2</v>
      </c>
      <c r="G233" s="189">
        <v>4.4241502080000078E-2</v>
      </c>
      <c r="H233" s="232">
        <v>1.8</v>
      </c>
      <c r="I233" s="124" t="str">
        <f t="shared" si="7"/>
        <v>(450, 500]</v>
      </c>
      <c r="J233" s="160">
        <v>1</v>
      </c>
      <c r="K233" s="276">
        <v>0.52990699646582262</v>
      </c>
      <c r="L233" s="188">
        <v>1.2309898499999999E-2</v>
      </c>
      <c r="M233" s="233">
        <v>12309898</v>
      </c>
      <c r="N233" s="195">
        <v>1.2309897975380204E-2</v>
      </c>
      <c r="O233" s="211">
        <v>2.3443880487224532E-2</v>
      </c>
      <c r="P233" s="1">
        <v>1.0598139929316452</v>
      </c>
      <c r="Q233" s="1">
        <v>1.8558185333071217E-3</v>
      </c>
      <c r="R233" s="272">
        <v>7.9887841883536662E-2</v>
      </c>
    </row>
    <row r="234" spans="1:24" ht="15.6">
      <c r="A234" s="257">
        <v>500</v>
      </c>
      <c r="B234" s="258">
        <v>550</v>
      </c>
      <c r="C234" s="160">
        <v>207511</v>
      </c>
      <c r="D234" s="30">
        <v>109013909.80000015</v>
      </c>
      <c r="E234" s="187">
        <f t="shared" si="6"/>
        <v>2.1013615625195801</v>
      </c>
      <c r="F234" s="188">
        <v>2.0751100000000001E-2</v>
      </c>
      <c r="G234" s="189">
        <v>4.3605563920000062E-2</v>
      </c>
      <c r="H234" s="232">
        <v>2</v>
      </c>
      <c r="I234" s="275" t="str">
        <f t="shared" si="7"/>
        <v>(500, 550]</v>
      </c>
      <c r="J234" s="160">
        <v>1</v>
      </c>
      <c r="K234" s="276">
        <v>1.7098833555811499</v>
      </c>
      <c r="L234" s="188">
        <v>3.54819605E-2</v>
      </c>
      <c r="M234" s="233">
        <v>35481960</v>
      </c>
      <c r="N234" s="195">
        <v>3.5481959929036078E-2</v>
      </c>
      <c r="O234" s="211">
        <v>7.4560426757736387E-2</v>
      </c>
      <c r="P234" s="1">
        <v>3.4197667111622998</v>
      </c>
      <c r="Q234" s="1">
        <v>5.3495038293716922E-3</v>
      </c>
      <c r="R234" s="272">
        <v>0.2577937472891409</v>
      </c>
    </row>
    <row r="235" spans="1:24" ht="15.6">
      <c r="A235" s="257">
        <v>550</v>
      </c>
      <c r="B235" s="258">
        <v>600</v>
      </c>
      <c r="C235" s="160">
        <v>200523</v>
      </c>
      <c r="D235" s="30">
        <v>115481640.6000002</v>
      </c>
      <c r="E235" s="187">
        <f t="shared" si="6"/>
        <v>2.3036088747924217</v>
      </c>
      <c r="F235" s="188">
        <v>2.0052299999999999E-2</v>
      </c>
      <c r="G235" s="189">
        <v>4.6192656240000074E-2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0.93180261117178576</v>
      </c>
      <c r="L235" s="188">
        <v>1.8684785499999999E-2</v>
      </c>
      <c r="M235" s="233">
        <v>18684785</v>
      </c>
      <c r="N235" s="195">
        <v>1.868478496263043E-2</v>
      </c>
      <c r="O235" s="211">
        <v>4.3042436463503447E-2</v>
      </c>
      <c r="P235" s="1">
        <v>1.8636052223435715</v>
      </c>
      <c r="Q235" s="1">
        <v>2.8171970608689904E-3</v>
      </c>
      <c r="R235" s="272">
        <v>0.14049246524682907</v>
      </c>
    </row>
    <row r="236" spans="1:24" ht="15.6">
      <c r="A236" s="257">
        <v>600</v>
      </c>
      <c r="B236" s="258">
        <v>650</v>
      </c>
      <c r="C236" s="160">
        <v>178917</v>
      </c>
      <c r="D236" s="30">
        <v>111940031.80000018</v>
      </c>
      <c r="E236" s="187">
        <f t="shared" si="6"/>
        <v>2.5026136543760553</v>
      </c>
      <c r="F236" s="188">
        <v>1.78917E-2</v>
      </c>
      <c r="G236" s="189">
        <v>4.477601272000007E-2</v>
      </c>
      <c r="H236" s="232">
        <v>2.4</v>
      </c>
      <c r="I236" s="124" t="str">
        <f t="shared" si="7"/>
        <v>(600, 650]</v>
      </c>
      <c r="J236" s="160">
        <v>1</v>
      </c>
      <c r="K236" s="276">
        <v>0.68983330259282238</v>
      </c>
      <c r="L236" s="188">
        <v>1.23422905E-2</v>
      </c>
      <c r="M236" s="233">
        <v>12342290</v>
      </c>
      <c r="N236" s="195">
        <v>1.234228997531542E-2</v>
      </c>
      <c r="O236" s="211">
        <v>3.0887983418493078E-2</v>
      </c>
      <c r="P236" s="1">
        <v>1.3796666051856448</v>
      </c>
      <c r="Q236" s="1">
        <v>1.8609975223638686E-3</v>
      </c>
      <c r="R236" s="272">
        <v>0.10401457225215427</v>
      </c>
    </row>
    <row r="237" spans="1:24" ht="15.6">
      <c r="A237" s="257">
        <v>650</v>
      </c>
      <c r="B237" s="258">
        <v>700</v>
      </c>
      <c r="C237" s="160">
        <v>167625</v>
      </c>
      <c r="D237" s="30">
        <v>113225518.80000016</v>
      </c>
      <c r="E237" s="187">
        <f t="shared" si="6"/>
        <v>2.7018766604026885</v>
      </c>
      <c r="F237" s="188">
        <v>1.67625E-2</v>
      </c>
      <c r="G237" s="189">
        <v>4.5290207520000063E-2</v>
      </c>
      <c r="H237" s="232">
        <v>2.6</v>
      </c>
      <c r="I237" s="124" t="str">
        <f t="shared" si="7"/>
        <v>(650, 700]</v>
      </c>
      <c r="J237" s="160">
        <v>1</v>
      </c>
      <c r="K237" s="276">
        <v>0.34668023862788966</v>
      </c>
      <c r="L237" s="188">
        <v>5.8112275000000001E-3</v>
      </c>
      <c r="M237" s="233">
        <v>5811227</v>
      </c>
      <c r="N237" s="195">
        <v>5.8112269883775457E-3</v>
      </c>
      <c r="O237" s="211">
        <v>1.5701218568199497E-2</v>
      </c>
      <c r="P237" s="1">
        <v>0.69336047725577932</v>
      </c>
      <c r="Q237" s="1">
        <v>8.762685323830589E-4</v>
      </c>
      <c r="R237" s="272">
        <v>5.2275527658944602E-2</v>
      </c>
    </row>
    <row r="238" spans="1:24" ht="15.6">
      <c r="A238" s="257">
        <v>700</v>
      </c>
      <c r="B238" s="258">
        <v>750</v>
      </c>
      <c r="C238" s="160">
        <v>156397</v>
      </c>
      <c r="D238" s="30">
        <v>113423648.20000011</v>
      </c>
      <c r="E238" s="187">
        <f t="shared" si="6"/>
        <v>2.9009162119478025</v>
      </c>
      <c r="F238" s="188">
        <v>1.5639699999999999E-2</v>
      </c>
      <c r="G238" s="189">
        <v>4.5369459280000045E-2</v>
      </c>
      <c r="H238" s="232">
        <v>2.8</v>
      </c>
      <c r="I238" s="124" t="str">
        <f t="shared" si="7"/>
        <v>(700, 750]</v>
      </c>
      <c r="J238" s="160">
        <v>1</v>
      </c>
      <c r="K238" s="276">
        <v>0.31426149478570559</v>
      </c>
      <c r="L238" s="188">
        <v>4.9149554999999992E-3</v>
      </c>
      <c r="M238" s="233">
        <v>4914955</v>
      </c>
      <c r="N238" s="195">
        <v>4.91495499017009E-3</v>
      </c>
      <c r="O238" s="211">
        <v>1.4257872611978166E-2</v>
      </c>
      <c r="P238" s="1">
        <v>0.62852298957141117</v>
      </c>
      <c r="Q238" s="1">
        <v>7.4115146154725073E-4</v>
      </c>
      <c r="R238" s="272">
        <v>4.7389109864463562E-2</v>
      </c>
    </row>
    <row r="239" spans="1:24" ht="15.6">
      <c r="A239" s="257">
        <v>750</v>
      </c>
      <c r="B239" s="258">
        <v>800</v>
      </c>
      <c r="C239" s="160">
        <v>153828</v>
      </c>
      <c r="D239" s="30">
        <v>119466064.40000023</v>
      </c>
      <c r="E239" s="187">
        <f t="shared" si="6"/>
        <v>3.1064842395402721</v>
      </c>
      <c r="F239" s="188">
        <v>1.53828E-2</v>
      </c>
      <c r="G239" s="189">
        <v>4.7786425760000098E-2</v>
      </c>
      <c r="H239" s="232">
        <v>3</v>
      </c>
      <c r="I239" s="124" t="str">
        <f t="shared" si="7"/>
        <v>(750, 800]</v>
      </c>
      <c r="J239" s="160">
        <v>1</v>
      </c>
      <c r="K239" s="276">
        <v>0.52548759003562417</v>
      </c>
      <c r="L239" s="188">
        <v>8.0834705000000003E-3</v>
      </c>
      <c r="M239" s="233">
        <v>8083470</v>
      </c>
      <c r="N239" s="195">
        <v>8.0834699838330595E-3</v>
      </c>
      <c r="O239" s="211">
        <v>2.5111172105574259E-2</v>
      </c>
      <c r="P239" s="1">
        <v>1.0509751800712483</v>
      </c>
      <c r="Q239" s="1">
        <v>1.2189966059970045E-3</v>
      </c>
      <c r="R239" s="272">
        <v>7.9244130197168555E-2</v>
      </c>
    </row>
    <row r="240" spans="1:24" ht="15.6">
      <c r="A240" s="257">
        <v>800</v>
      </c>
      <c r="B240" s="258">
        <v>850</v>
      </c>
      <c r="C240" s="160">
        <v>139005</v>
      </c>
      <c r="D240" s="30">
        <v>114743823.20000014</v>
      </c>
      <c r="E240" s="187">
        <f t="shared" si="6"/>
        <v>3.3018617517355526</v>
      </c>
      <c r="F240" s="188">
        <v>1.39005E-2</v>
      </c>
      <c r="G240" s="189">
        <v>4.589752928000005E-2</v>
      </c>
      <c r="H240" s="232">
        <v>3.2</v>
      </c>
      <c r="I240" s="124" t="str">
        <f t="shared" si="7"/>
        <v>(800, 850]</v>
      </c>
      <c r="J240" s="160">
        <v>1</v>
      </c>
      <c r="K240" s="276">
        <v>0.32623981151757131</v>
      </c>
      <c r="L240" s="188">
        <v>4.5348964999999998E-3</v>
      </c>
      <c r="M240" s="233">
        <v>4534896</v>
      </c>
      <c r="N240" s="195">
        <v>4.5348959909302083E-3</v>
      </c>
      <c r="O240" s="211">
        <v>1.4973599620551352E-2</v>
      </c>
      <c r="P240" s="1">
        <v>0.65247962303514262</v>
      </c>
      <c r="Q240" s="1">
        <v>6.8389177127303735E-4</v>
      </c>
      <c r="R240" s="272">
        <v>4.9199077103200414E-2</v>
      </c>
    </row>
    <row r="241" spans="1:19" ht="15.6">
      <c r="A241" s="257">
        <v>850</v>
      </c>
      <c r="B241" s="258">
        <v>900</v>
      </c>
      <c r="C241" s="160">
        <v>132816</v>
      </c>
      <c r="D241" s="30">
        <v>116301782.00000009</v>
      </c>
      <c r="E241" s="187">
        <f t="shared" si="6"/>
        <v>3.5026437176243856</v>
      </c>
      <c r="F241" s="188">
        <v>1.3281599999999999E-2</v>
      </c>
      <c r="G241" s="189">
        <v>4.6520712800000037E-2</v>
      </c>
      <c r="H241" s="232">
        <v>3.4</v>
      </c>
      <c r="I241" s="124" t="str">
        <f t="shared" si="7"/>
        <v>(850, 900]</v>
      </c>
      <c r="J241" s="160">
        <v>1</v>
      </c>
      <c r="K241" s="276">
        <v>0.3318584733767016</v>
      </c>
      <c r="L241" s="188">
        <v>4.4076114999999994E-3</v>
      </c>
      <c r="M241" s="233">
        <v>4407611</v>
      </c>
      <c r="N241" s="195">
        <v>4.4076109911847777E-3</v>
      </c>
      <c r="O241" s="211">
        <v>1.5438290948005553E-2</v>
      </c>
      <c r="P241" s="1">
        <v>0.6637169467534032</v>
      </c>
      <c r="Q241" s="1">
        <v>6.6471945033239174E-4</v>
      </c>
      <c r="R241" s="272">
        <v>5.0048145579778928E-2</v>
      </c>
    </row>
    <row r="242" spans="1:19" ht="15.6">
      <c r="A242" s="257">
        <v>900</v>
      </c>
      <c r="B242" s="258">
        <v>950</v>
      </c>
      <c r="C242" s="160">
        <v>122525</v>
      </c>
      <c r="D242" s="30">
        <v>113376792.60000002</v>
      </c>
      <c r="E242" s="187">
        <f t="shared" si="6"/>
        <v>3.7013439738828819</v>
      </c>
      <c r="F242" s="188">
        <v>1.22525E-2</v>
      </c>
      <c r="G242" s="189">
        <v>4.5350717040000009E-2</v>
      </c>
      <c r="H242" s="232">
        <v>3.6</v>
      </c>
      <c r="I242" s="124" t="str">
        <f t="shared" si="7"/>
        <v>(900, 950]</v>
      </c>
      <c r="J242" s="160">
        <v>1</v>
      </c>
      <c r="K242" s="276">
        <v>0.27642583146296673</v>
      </c>
      <c r="L242" s="188">
        <v>3.3869074999999999E-3</v>
      </c>
      <c r="M242" s="233">
        <v>3386907</v>
      </c>
      <c r="N242" s="195">
        <v>3.3869069932261861E-3</v>
      </c>
      <c r="O242" s="211">
        <v>1.2536107789479535E-2</v>
      </c>
      <c r="P242" s="1">
        <v>0.55285166292593346</v>
      </c>
      <c r="Q242" s="1">
        <v>5.1080162542589203E-4</v>
      </c>
      <c r="R242" s="272">
        <v>4.1689583793176256E-2</v>
      </c>
    </row>
    <row r="243" spans="1:19" ht="15.6">
      <c r="A243" s="257">
        <v>950</v>
      </c>
      <c r="B243" s="258">
        <v>1000</v>
      </c>
      <c r="C243" s="160">
        <v>123142</v>
      </c>
      <c r="D243" s="30">
        <v>120261978.40000007</v>
      </c>
      <c r="E243" s="187">
        <f t="shared" si="6"/>
        <v>3.9064487632164515</v>
      </c>
      <c r="F243" s="188">
        <v>1.2314200000000001E-2</v>
      </c>
      <c r="G243" s="189">
        <v>4.8104791360000031E-2</v>
      </c>
      <c r="H243" s="232">
        <v>3.8</v>
      </c>
      <c r="I243" s="124" t="str">
        <f t="shared" si="7"/>
        <v>(950, 1000]</v>
      </c>
      <c r="J243" s="160">
        <v>1</v>
      </c>
      <c r="K243" s="276">
        <v>0.50208754933329003</v>
      </c>
      <c r="L243" s="188">
        <v>6.1828065000000005E-3</v>
      </c>
      <c r="M243" s="233">
        <v>6182806</v>
      </c>
      <c r="N243" s="195">
        <v>6.1828059876343879E-3</v>
      </c>
      <c r="O243" s="211">
        <v>2.4152814803601624E-2</v>
      </c>
      <c r="P243" s="1">
        <v>1.0041750986665801</v>
      </c>
      <c r="Q243" s="1">
        <v>9.3249869117555866E-4</v>
      </c>
      <c r="R243" s="272">
        <v>7.5725478811092775E-2</v>
      </c>
    </row>
    <row r="244" spans="1:19" ht="15.6">
      <c r="A244" s="257">
        <v>1000</v>
      </c>
      <c r="B244" s="258">
        <v>2000</v>
      </c>
      <c r="C244" s="160">
        <v>1482823</v>
      </c>
      <c r="D244" s="30">
        <v>2115213279.2000294</v>
      </c>
      <c r="E244" s="187">
        <f t="shared" si="6"/>
        <v>5.7059090105832713</v>
      </c>
      <c r="F244" s="188">
        <v>0.14828230000000001</v>
      </c>
      <c r="G244" s="189">
        <v>0.84608531168001189</v>
      </c>
      <c r="H244" s="232">
        <v>4</v>
      </c>
      <c r="I244" s="275" t="str">
        <f t="shared" si="7"/>
        <v>(1000, 2000]</v>
      </c>
      <c r="J244" s="160">
        <v>1</v>
      </c>
      <c r="K244" s="276">
        <v>0.10366238923998346</v>
      </c>
      <c r="L244" s="188">
        <v>1.5371297499999999E-2</v>
      </c>
      <c r="M244" s="233">
        <v>15371297</v>
      </c>
      <c r="N244" s="195">
        <v>1.5371296969257407E-2</v>
      </c>
      <c r="O244" s="211">
        <v>8.7707221881237168E-2</v>
      </c>
      <c r="P244" s="1">
        <v>0.20732477847996691</v>
      </c>
      <c r="Q244" s="1">
        <v>2.3188292455711568E-3</v>
      </c>
      <c r="R244" s="272">
        <v>1.5637936864825785E-2</v>
      </c>
    </row>
    <row r="245" spans="1:19" ht="15.6">
      <c r="A245" s="257">
        <v>2000</v>
      </c>
      <c r="B245" s="258">
        <v>3000</v>
      </c>
      <c r="C245" s="160">
        <v>669134</v>
      </c>
      <c r="D245" s="30">
        <v>1635513632.2000027</v>
      </c>
      <c r="E245" s="187">
        <f t="shared" si="6"/>
        <v>9.7768974955689156</v>
      </c>
      <c r="F245" s="188">
        <v>6.6913399999999998E-2</v>
      </c>
      <c r="G245" s="189">
        <v>0.65420545288000109</v>
      </c>
      <c r="H245" s="232">
        <v>8</v>
      </c>
      <c r="I245" s="124" t="str">
        <f t="shared" si="7"/>
        <v>(2000, 3000]</v>
      </c>
      <c r="J245" s="160">
        <v>1</v>
      </c>
      <c r="K245" s="276">
        <v>2.3828269076149173E-2</v>
      </c>
      <c r="L245" s="188">
        <v>1.5944304999999999E-3</v>
      </c>
      <c r="M245" s="233">
        <v>1594430</v>
      </c>
      <c r="N245" s="195">
        <v>1.59442999681114E-3</v>
      </c>
      <c r="O245" s="211">
        <v>1.5588578642682789E-2</v>
      </c>
      <c r="P245" s="1">
        <v>4.7656538152298346E-2</v>
      </c>
      <c r="Q245" s="1">
        <v>2.4060234572901006E-4</v>
      </c>
      <c r="R245" s="272">
        <v>3.5957273988320737E-3</v>
      </c>
    </row>
    <row r="246" spans="1:19" ht="15.6">
      <c r="A246" s="257">
        <v>3000</v>
      </c>
      <c r="B246" s="258">
        <v>4000</v>
      </c>
      <c r="C246" s="160">
        <v>363354</v>
      </c>
      <c r="D246" s="30">
        <v>1256458040.8000007</v>
      </c>
      <c r="E246" s="187">
        <f t="shared" si="6"/>
        <v>13.831778825057667</v>
      </c>
      <c r="F246" s="188">
        <v>3.6335399999999997E-2</v>
      </c>
      <c r="G246" s="189">
        <v>0.50258321632000025</v>
      </c>
      <c r="H246" s="232">
        <v>12</v>
      </c>
      <c r="I246" s="124" t="str">
        <f t="shared" si="7"/>
        <v>(3000, 4000]</v>
      </c>
      <c r="J246" s="160">
        <v>1</v>
      </c>
      <c r="K246" s="276">
        <v>3.5482573468298133E-2</v>
      </c>
      <c r="L246" s="188">
        <v>1.2892734999999998E-3</v>
      </c>
      <c r="M246" s="233">
        <v>1289273</v>
      </c>
      <c r="N246" s="195">
        <v>1.289272997421454E-3</v>
      </c>
      <c r="O246" s="211">
        <v>1.7832938945452695E-2</v>
      </c>
      <c r="P246" s="1">
        <v>7.0965146936596266E-2</v>
      </c>
      <c r="Q246" s="1">
        <v>1.9459292360516313E-4</v>
      </c>
      <c r="R246" s="272">
        <v>5.3554639168734387E-3</v>
      </c>
    </row>
    <row r="247" spans="1:19" ht="15.6">
      <c r="A247" s="257">
        <v>4000</v>
      </c>
      <c r="B247" s="258">
        <v>5000</v>
      </c>
      <c r="C247" s="160">
        <v>226291</v>
      </c>
      <c r="D247" s="30">
        <v>1010555495.7999995</v>
      </c>
      <c r="E247" s="187">
        <f t="shared" si="6"/>
        <v>17.862937470778768</v>
      </c>
      <c r="F247" s="188">
        <v>2.2629099999999999E-2</v>
      </c>
      <c r="G247" s="189">
        <v>0.40422219831999978</v>
      </c>
      <c r="H247" s="232">
        <v>16</v>
      </c>
      <c r="I247" s="124" t="str">
        <f t="shared" si="7"/>
        <v>(4000, 5000]</v>
      </c>
      <c r="J247" s="160">
        <v>1</v>
      </c>
      <c r="K247" s="276">
        <v>4.5293427489383142E-2</v>
      </c>
      <c r="L247" s="188">
        <v>1.0249495E-3</v>
      </c>
      <c r="M247" s="233">
        <v>1024949</v>
      </c>
      <c r="N247" s="195">
        <v>1.024948997950102E-3</v>
      </c>
      <c r="O247" s="211">
        <v>1.8308599861120028E-2</v>
      </c>
      <c r="P247" s="1">
        <v>9.0586854978766285E-2</v>
      </c>
      <c r="Q247" s="1">
        <v>1.5472097419784935E-4</v>
      </c>
      <c r="R247" s="272">
        <v>6.8372570803898235E-3</v>
      </c>
    </row>
    <row r="248" spans="1:19" ht="15.6">
      <c r="A248" s="257">
        <v>5000</v>
      </c>
      <c r="B248" s="258">
        <v>6000</v>
      </c>
      <c r="C248" s="160">
        <v>152327</v>
      </c>
      <c r="D248" s="30">
        <v>833423283.99999869</v>
      </c>
      <c r="E248" s="187">
        <f t="shared" si="6"/>
        <v>21.885109901724544</v>
      </c>
      <c r="F248" s="188">
        <v>1.52327E-2</v>
      </c>
      <c r="G248" s="189">
        <v>0.33336931359999944</v>
      </c>
      <c r="H248" s="232">
        <v>20</v>
      </c>
      <c r="I248" s="124" t="str">
        <f t="shared" si="7"/>
        <v>(5000, 6000]</v>
      </c>
      <c r="J248" s="160">
        <v>1</v>
      </c>
      <c r="K248" s="276">
        <v>2.2324374536359281E-2</v>
      </c>
      <c r="L248" s="188">
        <v>3.400605E-4</v>
      </c>
      <c r="M248" s="233">
        <v>340060</v>
      </c>
      <c r="N248" s="195">
        <v>3.4005999931988002E-4</v>
      </c>
      <c r="O248" s="211">
        <v>7.4422504582959481E-3</v>
      </c>
      <c r="P248" s="1">
        <v>4.4648749072718562E-2</v>
      </c>
      <c r="Q248" s="1">
        <v>5.1339773931655664E-5</v>
      </c>
      <c r="R248" s="272">
        <v>3.3703659844712798E-3</v>
      </c>
    </row>
    <row r="249" spans="1:19" ht="15.6">
      <c r="A249" s="257">
        <v>6000</v>
      </c>
      <c r="B249" s="258">
        <v>7000</v>
      </c>
      <c r="C249" s="160">
        <v>110251</v>
      </c>
      <c r="D249" s="30">
        <v>713712824.59999931</v>
      </c>
      <c r="E249" s="187">
        <f t="shared" si="6"/>
        <v>25.894107975437841</v>
      </c>
      <c r="F249" s="188">
        <v>1.1025099999999999E-2</v>
      </c>
      <c r="G249" s="189">
        <v>0.28548512983999974</v>
      </c>
      <c r="H249" s="232">
        <v>24</v>
      </c>
      <c r="I249" s="124" t="str">
        <f t="shared" si="7"/>
        <v>(6000, 7000]</v>
      </c>
      <c r="J249" s="160">
        <v>1</v>
      </c>
      <c r="K249" s="276">
        <v>2.9148805906522388E-2</v>
      </c>
      <c r="L249" s="188">
        <v>3.2136849999999994E-4</v>
      </c>
      <c r="M249" s="233">
        <v>321368</v>
      </c>
      <c r="N249" s="195">
        <v>3.2136799935726402E-4</v>
      </c>
      <c r="O249" s="211">
        <v>8.3215376752074337E-3</v>
      </c>
      <c r="P249" s="1">
        <v>5.8297611813044777E-2</v>
      </c>
      <c r="Q249" s="1">
        <v>4.8522573340460124E-5</v>
      </c>
      <c r="R249" s="272">
        <v>4.4011005197649115E-3</v>
      </c>
    </row>
    <row r="250" spans="1:19" ht="15.6">
      <c r="A250" s="257">
        <v>7000</v>
      </c>
      <c r="B250" s="258">
        <v>8000</v>
      </c>
      <c r="C250" s="160">
        <v>81048</v>
      </c>
      <c r="D250" s="30">
        <v>606032933.9999994</v>
      </c>
      <c r="E250" s="187">
        <f t="shared" si="6"/>
        <v>29.909827953805124</v>
      </c>
      <c r="F250" s="188">
        <v>8.1048000000000005E-3</v>
      </c>
      <c r="G250" s="189">
        <v>0.24241317359999978</v>
      </c>
      <c r="H250" s="232">
        <v>28</v>
      </c>
      <c r="I250" s="124" t="str">
        <f t="shared" si="7"/>
        <v>(7000, 8000]</v>
      </c>
      <c r="J250" s="160">
        <v>1</v>
      </c>
      <c r="K250" s="276">
        <v>3.69586541308854E-2</v>
      </c>
      <c r="L250" s="188">
        <v>2.9954250000000003E-4</v>
      </c>
      <c r="M250" s="233">
        <v>299542</v>
      </c>
      <c r="N250" s="195">
        <v>2.9954199940091598E-4</v>
      </c>
      <c r="O250" s="211">
        <v>8.959249667020195E-3</v>
      </c>
      <c r="P250" s="1">
        <v>7.39173082617708E-2</v>
      </c>
      <c r="Q250" s="1">
        <v>4.5230985118384998E-5</v>
      </c>
      <c r="R250" s="272">
        <v>5.5807651167684574E-3</v>
      </c>
    </row>
    <row r="251" spans="1:19" ht="15.6">
      <c r="A251" s="257">
        <v>8000</v>
      </c>
      <c r="B251" s="258">
        <v>9000</v>
      </c>
      <c r="C251" s="160">
        <v>61800</v>
      </c>
      <c r="D251" s="30">
        <v>523918754.39999962</v>
      </c>
      <c r="E251" s="187">
        <f t="shared" si="6"/>
        <v>33.910598990291241</v>
      </c>
      <c r="F251" s="188">
        <v>6.1799999999999997E-3</v>
      </c>
      <c r="G251" s="189">
        <v>0.20956750175999986</v>
      </c>
      <c r="H251" s="232">
        <v>32</v>
      </c>
      <c r="I251" s="124" t="str">
        <f t="shared" si="7"/>
        <v>(8000, 9000]</v>
      </c>
      <c r="J251" s="160">
        <v>1</v>
      </c>
      <c r="K251" s="276">
        <v>3.9041181229773465E-2</v>
      </c>
      <c r="L251" s="188">
        <v>2.4127450000000002E-4</v>
      </c>
      <c r="M251" s="233">
        <v>241274</v>
      </c>
      <c r="N251" s="195">
        <v>2.4127399951745201E-4</v>
      </c>
      <c r="O251" s="211">
        <v>8.181745844420038E-3</v>
      </c>
      <c r="P251" s="198">
        <v>7.8082362459546931E-2</v>
      </c>
      <c r="Q251" s="198">
        <v>3.6435176505648529E-5</v>
      </c>
      <c r="R251" s="272">
        <v>5.8956596287457171E-3</v>
      </c>
      <c r="S251" s="182"/>
    </row>
    <row r="252" spans="1:19" ht="15.6">
      <c r="A252" s="257">
        <v>9000</v>
      </c>
      <c r="B252" s="258">
        <v>10000</v>
      </c>
      <c r="C252" s="160">
        <v>46932</v>
      </c>
      <c r="D252" s="30">
        <v>444889100.19999969</v>
      </c>
      <c r="E252" s="187">
        <f t="shared" si="6"/>
        <v>37.917761885280804</v>
      </c>
      <c r="F252" s="188">
        <v>4.6931999999999998E-3</v>
      </c>
      <c r="G252" s="189">
        <v>0.17795564007999987</v>
      </c>
      <c r="H252" s="232">
        <v>36</v>
      </c>
      <c r="I252" s="124" t="str">
        <f t="shared" si="7"/>
        <v>(9000, 10000]</v>
      </c>
      <c r="J252" s="160">
        <v>1</v>
      </c>
      <c r="K252" s="276">
        <v>1.6261292934458365E-2</v>
      </c>
      <c r="L252" s="188">
        <v>7.6317499999999989E-5</v>
      </c>
      <c r="M252" s="233">
        <v>76317</v>
      </c>
      <c r="N252" s="195">
        <v>7.6316999847365999E-5</v>
      </c>
      <c r="O252" s="211">
        <v>2.8937698280114355E-3</v>
      </c>
      <c r="P252" s="198">
        <v>3.252258586891673E-2</v>
      </c>
      <c r="Q252" s="198">
        <v>1.1525633621686288E-5</v>
      </c>
      <c r="R252" s="272">
        <v>2.4558155675629186E-3</v>
      </c>
      <c r="S252" s="182"/>
    </row>
    <row r="253" spans="1:19" ht="15.6">
      <c r="A253" s="257">
        <v>10000</v>
      </c>
      <c r="B253" s="258">
        <v>20000</v>
      </c>
      <c r="C253" s="160">
        <v>146246</v>
      </c>
      <c r="D253" s="30">
        <v>1912990343.6000023</v>
      </c>
      <c r="E253" s="187">
        <f t="shared" si="6"/>
        <v>52.322534458378414</v>
      </c>
      <c r="F253" s="188">
        <v>1.46246E-2</v>
      </c>
      <c r="G253" s="189">
        <v>0.76519613744000092</v>
      </c>
      <c r="H253" s="232">
        <v>40</v>
      </c>
      <c r="I253" s="275" t="str">
        <f t="shared" si="7"/>
        <v>(10000, 20000]</v>
      </c>
      <c r="J253" s="160">
        <v>1</v>
      </c>
      <c r="K253" s="276">
        <v>1.3653672579079085E-2</v>
      </c>
      <c r="L253" s="188">
        <v>1.9967949999999998E-4</v>
      </c>
      <c r="M253" s="233">
        <v>199679</v>
      </c>
      <c r="N253" s="195">
        <v>1.9967899960064201E-4</v>
      </c>
      <c r="O253" s="211">
        <v>1.0447711337219121E-2</v>
      </c>
      <c r="P253" s="198">
        <v>2.7307345158158171E-2</v>
      </c>
      <c r="Q253" s="198">
        <v>3.0161344925913713E-5</v>
      </c>
      <c r="R253" s="272">
        <v>2.062370589685442E-3</v>
      </c>
      <c r="S253" s="182"/>
    </row>
    <row r="254" spans="1:19" ht="15.6">
      <c r="A254" s="257">
        <v>20000</v>
      </c>
      <c r="B254" s="258">
        <v>30000</v>
      </c>
      <c r="C254" s="160">
        <v>13265</v>
      </c>
      <c r="D254" s="30">
        <v>309838117.59999996</v>
      </c>
      <c r="E254" s="187">
        <f t="shared" si="6"/>
        <v>93.430265390124376</v>
      </c>
      <c r="F254" s="188">
        <v>1.3265E-3</v>
      </c>
      <c r="G254" s="189">
        <v>0.12393524703999999</v>
      </c>
      <c r="H254" s="232">
        <v>80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2054</v>
      </c>
      <c r="D255" s="30">
        <v>74281665.800000012</v>
      </c>
      <c r="E255" s="187">
        <f t="shared" si="6"/>
        <v>144.65757702044795</v>
      </c>
      <c r="F255" s="188">
        <v>2.0540000000000001E-4</v>
      </c>
      <c r="G255" s="189">
        <v>2.9712666320000008E-2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4144.6654094514952</v>
      </c>
      <c r="O257" s="10">
        <f>SUM(O240:O250)</f>
        <v>0.2312611902926543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48.173759377564195</v>
      </c>
      <c r="O259" s="220" cm="1">
        <f t="array" ref="O259:O260">N261/N259:N260</f>
        <v>290.61464541877075</v>
      </c>
    </row>
    <row r="260" spans="13:15" ht="16.8" thickBot="1">
      <c r="M260" s="124" t="s">
        <v>179</v>
      </c>
      <c r="N260" s="218">
        <f>1/SUM(N257)</f>
        <v>2.4127399951745198E-4</v>
      </c>
      <c r="O260" s="220">
        <v>58025315.732320935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3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3</v>
      </c>
      <c r="BQ3" s="29">
        <f t="shared" ref="BQ3" ca="1" si="12">OFFSET(BM$2,COUNTA(BM$3:BM$211),0)</f>
        <v>1</v>
      </c>
      <c r="BR3" s="65"/>
      <c r="BS3" s="29">
        <f ca="1">OFFSET(BK$2,COUNTA(BK$3:BK$211)-1,0)</f>
        <v>3</v>
      </c>
      <c r="BT3" s="29">
        <f t="shared" ref="BT3" ca="1" si="13">OFFSET(BL$2,COUNTA(BL$3:BL$211)-1,0)</f>
        <v>3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3</v>
      </c>
      <c r="BL4" s="29">
        <v>3</v>
      </c>
      <c r="BM4" s="29">
        <v>3</v>
      </c>
      <c r="BN4" s="65"/>
      <c r="BO4" s="29">
        <f>IF(BK3="","",BK3)</f>
        <v>1</v>
      </c>
      <c r="BP4" s="29">
        <f t="shared" ref="BP4:BP67" si="37">IF(BL3="","",BL3)</f>
        <v>3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3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</v>
      </c>
      <c r="BL5" s="29">
        <v>3</v>
      </c>
      <c r="BM5" s="29">
        <v>3</v>
      </c>
      <c r="BN5" s="65"/>
      <c r="BO5" s="29">
        <f t="shared" ref="BO5:BO68" si="51">IF(BK4="","",BK4)</f>
        <v>3</v>
      </c>
      <c r="BP5" s="29">
        <f t="shared" si="37"/>
        <v>3</v>
      </c>
      <c r="BQ5" s="29">
        <f t="shared" si="38"/>
        <v>3</v>
      </c>
      <c r="BR5" s="65"/>
      <c r="BS5" s="29">
        <f>IF(BK3="","",BK3)</f>
        <v>1</v>
      </c>
      <c r="BT5" s="29">
        <f t="shared" ref="BT5:BT68" si="52">IF(BL3="","",BL3)</f>
        <v>3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3</v>
      </c>
      <c r="BL6" s="29">
        <v>1</v>
      </c>
      <c r="BM6" s="29">
        <v>3</v>
      </c>
      <c r="BN6" s="65"/>
      <c r="BO6" s="29">
        <f t="shared" si="51"/>
        <v>3</v>
      </c>
      <c r="BP6" s="29">
        <f t="shared" si="37"/>
        <v>3</v>
      </c>
      <c r="BQ6" s="29">
        <f t="shared" si="38"/>
        <v>3</v>
      </c>
      <c r="BR6" s="65"/>
      <c r="BS6" s="29">
        <f t="shared" ref="BS6:BS69" si="59">IF(BK4="","",BK4)</f>
        <v>3</v>
      </c>
      <c r="BT6" s="29">
        <f t="shared" si="52"/>
        <v>3</v>
      </c>
      <c r="BU6" s="29">
        <f t="shared" si="53"/>
        <v>3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</v>
      </c>
      <c r="BL7" s="29">
        <v>1</v>
      </c>
      <c r="BM7" s="29">
        <v>3</v>
      </c>
      <c r="BN7" s="65"/>
      <c r="BO7" s="29">
        <f t="shared" si="51"/>
        <v>3</v>
      </c>
      <c r="BP7" s="29">
        <f t="shared" si="37"/>
        <v>1</v>
      </c>
      <c r="BQ7" s="29">
        <f t="shared" si="38"/>
        <v>3</v>
      </c>
      <c r="BR7" s="65"/>
      <c r="BS7" s="29">
        <f t="shared" si="59"/>
        <v>3</v>
      </c>
      <c r="BT7" s="29">
        <f t="shared" si="52"/>
        <v>3</v>
      </c>
      <c r="BU7" s="29">
        <f t="shared" si="53"/>
        <v>3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3</v>
      </c>
      <c r="BL8" s="29">
        <v>1</v>
      </c>
      <c r="BM8" s="29">
        <v>3</v>
      </c>
      <c r="BN8" s="65"/>
      <c r="BO8" s="29">
        <f t="shared" si="51"/>
        <v>3</v>
      </c>
      <c r="BP8" s="29">
        <f t="shared" si="37"/>
        <v>1</v>
      </c>
      <c r="BQ8" s="29">
        <f t="shared" si="38"/>
        <v>3</v>
      </c>
      <c r="BR8" s="65"/>
      <c r="BS8" s="29">
        <f t="shared" si="59"/>
        <v>3</v>
      </c>
      <c r="BT8" s="29">
        <f t="shared" si="52"/>
        <v>1</v>
      </c>
      <c r="BU8" s="29">
        <f t="shared" si="53"/>
        <v>3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3</v>
      </c>
      <c r="BP9" s="29">
        <f t="shared" si="37"/>
        <v>1</v>
      </c>
      <c r="BQ9" s="29">
        <f t="shared" si="38"/>
        <v>3</v>
      </c>
      <c r="BR9" s="65"/>
      <c r="BS9" s="29">
        <f t="shared" si="59"/>
        <v>3</v>
      </c>
      <c r="BT9" s="29">
        <f t="shared" si="52"/>
        <v>1</v>
      </c>
      <c r="BU9" s="29">
        <f t="shared" si="53"/>
        <v>3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3</v>
      </c>
      <c r="BT10" s="29">
        <f t="shared" si="52"/>
        <v>1</v>
      </c>
      <c r="BU10" s="29">
        <f t="shared" si="53"/>
        <v>3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3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3</v>
      </c>
      <c r="BM24" s="29">
        <v>1</v>
      </c>
      <c r="BN24" s="65"/>
      <c r="BO24" s="29">
        <f t="shared" si="51"/>
        <v>1</v>
      </c>
      <c r="BP24" s="29">
        <f t="shared" si="37"/>
        <v>3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3</v>
      </c>
      <c r="BM25" s="29">
        <v>1</v>
      </c>
      <c r="BN25" s="65"/>
      <c r="BO25" s="29">
        <f t="shared" si="51"/>
        <v>1</v>
      </c>
      <c r="BP25" s="29">
        <f t="shared" si="37"/>
        <v>3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3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3</v>
      </c>
      <c r="BM26" s="29">
        <v>1</v>
      </c>
      <c r="BN26" s="65"/>
      <c r="BO26" s="29">
        <f t="shared" si="51"/>
        <v>1</v>
      </c>
      <c r="BP26" s="29">
        <f t="shared" si="37"/>
        <v>3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3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3</v>
      </c>
      <c r="BM27" s="29">
        <v>1</v>
      </c>
      <c r="BN27" s="65"/>
      <c r="BO27" s="29">
        <f t="shared" si="51"/>
        <v>1</v>
      </c>
      <c r="BP27" s="29">
        <f t="shared" si="37"/>
        <v>3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3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3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3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3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3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3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3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3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3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3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3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3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3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3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3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3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3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3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3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3</v>
      </c>
      <c r="BL51" s="29">
        <v>3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</v>
      </c>
      <c r="BL52" s="29">
        <v>3</v>
      </c>
      <c r="BM52" s="29">
        <v>1</v>
      </c>
      <c r="BN52" s="65"/>
      <c r="BO52" s="29">
        <f t="shared" si="51"/>
        <v>3</v>
      </c>
      <c r="BP52" s="29">
        <f t="shared" si="37"/>
        <v>3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3</v>
      </c>
      <c r="BL53" s="29">
        <v>3</v>
      </c>
      <c r="BM53" s="29">
        <v>1</v>
      </c>
      <c r="BN53" s="65"/>
      <c r="BO53" s="29">
        <f t="shared" si="51"/>
        <v>3</v>
      </c>
      <c r="BP53" s="29">
        <f t="shared" si="37"/>
        <v>3</v>
      </c>
      <c r="BQ53" s="29">
        <f t="shared" si="38"/>
        <v>1</v>
      </c>
      <c r="BR53" s="65"/>
      <c r="BS53" s="29">
        <f t="shared" si="59"/>
        <v>3</v>
      </c>
      <c r="BT53" s="29">
        <f t="shared" si="52"/>
        <v>3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</v>
      </c>
      <c r="BL54" s="29">
        <v>3</v>
      </c>
      <c r="BM54" s="29">
        <v>1</v>
      </c>
      <c r="BN54" s="65"/>
      <c r="BO54" s="29">
        <f t="shared" si="51"/>
        <v>3</v>
      </c>
      <c r="BP54" s="29">
        <f t="shared" si="37"/>
        <v>3</v>
      </c>
      <c r="BQ54" s="29">
        <f t="shared" si="38"/>
        <v>1</v>
      </c>
      <c r="BR54" s="65"/>
      <c r="BS54" s="29">
        <f t="shared" si="59"/>
        <v>3</v>
      </c>
      <c r="BT54" s="29">
        <f t="shared" si="52"/>
        <v>3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3</v>
      </c>
      <c r="BL55" s="29">
        <v>3</v>
      </c>
      <c r="BM55" s="29">
        <v>1</v>
      </c>
      <c r="BN55" s="65"/>
      <c r="BO55" s="29">
        <f t="shared" si="51"/>
        <v>3</v>
      </c>
      <c r="BP55" s="29">
        <f t="shared" si="37"/>
        <v>3</v>
      </c>
      <c r="BQ55" s="29">
        <f t="shared" si="38"/>
        <v>1</v>
      </c>
      <c r="BR55" s="65"/>
      <c r="BS55" s="29">
        <f t="shared" si="59"/>
        <v>3</v>
      </c>
      <c r="BT55" s="29">
        <f t="shared" si="52"/>
        <v>3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3</v>
      </c>
      <c r="BP56" s="29">
        <f t="shared" si="37"/>
        <v>3</v>
      </c>
      <c r="BQ56" s="29">
        <f t="shared" si="38"/>
        <v>1</v>
      </c>
      <c r="BR56" s="65"/>
      <c r="BS56" s="29">
        <f t="shared" si="59"/>
        <v>3</v>
      </c>
      <c r="BT56" s="29">
        <f t="shared" si="52"/>
        <v>3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3</v>
      </c>
      <c r="BT57" s="29">
        <f t="shared" si="52"/>
        <v>3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3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3</v>
      </c>
      <c r="BM72" s="29">
        <v>1</v>
      </c>
      <c r="BO72" s="29">
        <f t="shared" si="97"/>
        <v>1</v>
      </c>
      <c r="BP72" s="29">
        <f t="shared" si="86"/>
        <v>3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3</v>
      </c>
      <c r="BM73" s="29">
        <v>1</v>
      </c>
      <c r="BO73" s="29">
        <f t="shared" si="97"/>
        <v>1</v>
      </c>
      <c r="BP73" s="29">
        <f t="shared" si="86"/>
        <v>3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3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3</v>
      </c>
      <c r="BM74" s="29">
        <v>1</v>
      </c>
      <c r="BO74" s="29">
        <f t="shared" si="97"/>
        <v>1</v>
      </c>
      <c r="BP74" s="29">
        <f t="shared" si="86"/>
        <v>3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3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3</v>
      </c>
      <c r="BM75" s="29">
        <v>1</v>
      </c>
      <c r="BO75" s="29">
        <f t="shared" si="97"/>
        <v>1</v>
      </c>
      <c r="BP75" s="29">
        <f t="shared" si="86"/>
        <v>3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3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3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3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3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27</v>
      </c>
      <c r="D81" s="77">
        <f t="shared" ref="D81:E81" si="106">SUMIF(X$3:X$211, $A81, BL$3:BL$211)</f>
        <v>63</v>
      </c>
      <c r="E81" s="77">
        <f t="shared" si="106"/>
        <v>63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27</v>
      </c>
      <c r="K81" s="77">
        <f t="shared" ref="K81:L81" ca="1" si="107">SUMIF(X$3:X$211, $H81, BP$3:BP$211)</f>
        <v>63</v>
      </c>
      <c r="L81" s="77">
        <f t="shared" si="107"/>
        <v>63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27</v>
      </c>
      <c r="R81" s="77">
        <f t="shared" ref="R81:S81" ca="1" si="108">SUMIF(X$3:X$211, $H81, BT$3:BT$211)</f>
        <v>63</v>
      </c>
      <c r="S81" s="77">
        <f t="shared" si="108"/>
        <v>63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27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25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31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30</v>
      </c>
      <c r="L83" s="70">
        <f t="shared" si="114"/>
        <v>29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34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29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27</v>
      </c>
      <c r="L84" s="70">
        <f t="shared" si="114"/>
        <v>30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32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46</v>
      </c>
      <c r="E85" s="70">
        <f t="shared" si="111"/>
        <v>27</v>
      </c>
      <c r="F85" s="58">
        <v>4</v>
      </c>
      <c r="H85" s="78" t="str">
        <v>A</v>
      </c>
      <c r="I85" s="58" t="str">
        <v>A</v>
      </c>
      <c r="J85" s="79">
        <f t="shared" si="112"/>
        <v>22</v>
      </c>
      <c r="K85" s="70">
        <f t="shared" si="113"/>
        <v>40</v>
      </c>
      <c r="L85" s="70">
        <f t="shared" si="114"/>
        <v>27</v>
      </c>
      <c r="M85" s="58">
        <v>4</v>
      </c>
      <c r="O85" s="78" t="str">
        <v>A</v>
      </c>
      <c r="P85" s="58" t="str">
        <v>A</v>
      </c>
      <c r="Q85" s="79">
        <f t="shared" si="115"/>
        <v>26</v>
      </c>
      <c r="R85" s="70">
        <f t="shared" si="116"/>
        <v>34</v>
      </c>
      <c r="S85" s="70">
        <f t="shared" si="117"/>
        <v>27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23</v>
      </c>
      <c r="D86" s="70">
        <f t="shared" si="110"/>
        <v>36</v>
      </c>
      <c r="E86" s="70">
        <f t="shared" si="111"/>
        <v>35</v>
      </c>
      <c r="F86" s="58">
        <v>5</v>
      </c>
      <c r="H86" s="78" t="str">
        <v>K</v>
      </c>
      <c r="I86" s="58" t="str">
        <v>K</v>
      </c>
      <c r="J86" s="79">
        <f t="shared" si="112"/>
        <v>21</v>
      </c>
      <c r="K86" s="70">
        <f t="shared" si="113"/>
        <v>32</v>
      </c>
      <c r="L86" s="70">
        <f t="shared" si="114"/>
        <v>31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21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19</v>
      </c>
      <c r="K87" s="70">
        <f t="shared" si="113"/>
        <v>35</v>
      </c>
      <c r="L87" s="70">
        <f t="shared" si="114"/>
        <v>31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41</v>
      </c>
      <c r="S87" s="70">
        <f t="shared" si="117"/>
        <v>35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23</v>
      </c>
      <c r="D88" s="70">
        <f t="shared" si="110"/>
        <v>26</v>
      </c>
      <c r="E88" s="70">
        <f t="shared" si="111"/>
        <v>35</v>
      </c>
      <c r="F88" s="58">
        <v>7</v>
      </c>
      <c r="H88" s="78" t="str">
        <v>J</v>
      </c>
      <c r="I88" s="58" t="str">
        <v>J</v>
      </c>
      <c r="J88" s="79">
        <f t="shared" ca="1" si="112"/>
        <v>23</v>
      </c>
      <c r="K88" s="70">
        <f t="shared" si="113"/>
        <v>28</v>
      </c>
      <c r="L88" s="70">
        <f t="shared" si="114"/>
        <v>37</v>
      </c>
      <c r="M88" s="58">
        <v>7</v>
      </c>
      <c r="O88" s="78" t="str">
        <v>J</v>
      </c>
      <c r="P88" s="58" t="str">
        <v>J</v>
      </c>
      <c r="Q88" s="79">
        <f t="shared" ca="1" si="115"/>
        <v>23</v>
      </c>
      <c r="R88" s="70">
        <f t="shared" si="116"/>
        <v>30</v>
      </c>
      <c r="S88" s="70">
        <f t="shared" si="117"/>
        <v>39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153</v>
      </c>
      <c r="D92" s="155">
        <f>SUM(D81:D91)</f>
        <v>279</v>
      </c>
      <c r="E92" s="155">
        <f>SUM(E81:E91)</f>
        <v>273</v>
      </c>
      <c r="F92" s="155"/>
      <c r="H92" s="60" t="s">
        <v>10</v>
      </c>
      <c r="I92" s="155"/>
      <c r="J92" s="155">
        <f ca="1">SUM(J81:J91)</f>
        <v>153</v>
      </c>
      <c r="K92" s="155">
        <f ca="1">SUM(K81:K91)</f>
        <v>279</v>
      </c>
      <c r="L92" s="155">
        <f ca="1">SUM(L81:L91)</f>
        <v>273</v>
      </c>
      <c r="M92" s="155"/>
      <c r="O92" s="60" t="s">
        <v>10</v>
      </c>
      <c r="P92" s="155"/>
      <c r="Q92" s="155">
        <f ca="1">SUM(Q81:Q91)</f>
        <v>153</v>
      </c>
      <c r="R92" s="155">
        <f ca="1">SUM(R81:R91)</f>
        <v>279</v>
      </c>
      <c r="S92" s="155">
        <f ca="1">SUM(S81:S91)</f>
        <v>273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153</v>
      </c>
      <c r="D96" s="155">
        <f>SUM(D81:D91)</f>
        <v>279</v>
      </c>
      <c r="E96" s="84">
        <f>SUM(E81:E91)</f>
        <v>273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153</v>
      </c>
      <c r="K96" s="155">
        <f ca="1">SUM(K81:K91)</f>
        <v>279</v>
      </c>
      <c r="L96" s="84">
        <f ca="1">SUM(L81:L91)</f>
        <v>273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153</v>
      </c>
      <c r="R96" s="155">
        <f ca="1">SUM(R81:R91)</f>
        <v>279</v>
      </c>
      <c r="S96" s="84">
        <f ca="1">SUM(S81:S91)</f>
        <v>273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41</v>
      </c>
      <c r="D97" s="155">
        <f>D$81+D$82</f>
        <v>87</v>
      </c>
      <c r="E97" s="84">
        <f>E$81+E$82</f>
        <v>90</v>
      </c>
      <c r="F97" s="69"/>
      <c r="H97" s="78" t="str">
        <v>W1</v>
      </c>
      <c r="I97" s="48" t="str">
        <v>WW,M1</v>
      </c>
      <c r="J97" s="155">
        <f>J$81+J$82</f>
        <v>41</v>
      </c>
      <c r="K97" s="155">
        <f ca="1">K$81+K$82</f>
        <v>87</v>
      </c>
      <c r="L97" s="84">
        <f ca="1">L$81+L$82</f>
        <v>88</v>
      </c>
      <c r="M97" s="69"/>
      <c r="O97" s="78" t="str">
        <v>W1</v>
      </c>
      <c r="P97" s="48" t="str">
        <v>WW,M1</v>
      </c>
      <c r="Q97" s="155">
        <f>Q$81+Q$82</f>
        <v>41</v>
      </c>
      <c r="R97" s="155">
        <f ca="1">R$81+R$82</f>
        <v>87</v>
      </c>
      <c r="S97" s="84">
        <f ca="1">S$81+S$82</f>
        <v>86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40</v>
      </c>
      <c r="D98" s="155">
        <f>D$81+D$83</f>
        <v>89</v>
      </c>
      <c r="E98" s="84">
        <f>E$81+E$83</f>
        <v>94</v>
      </c>
      <c r="F98" s="69"/>
      <c r="H98" s="78" t="str">
        <v>W2</v>
      </c>
      <c r="I98" s="48" t="str">
        <v>WW,M2</v>
      </c>
      <c r="J98" s="155">
        <f>J$81+J$83</f>
        <v>40</v>
      </c>
      <c r="K98" s="155">
        <f ca="1">K$81+K$83</f>
        <v>93</v>
      </c>
      <c r="L98" s="84">
        <f>L$81+L$83</f>
        <v>92</v>
      </c>
      <c r="M98" s="69"/>
      <c r="O98" s="78" t="str">
        <v>W2</v>
      </c>
      <c r="P98" s="48" t="str">
        <v>WW,M2</v>
      </c>
      <c r="Q98" s="155">
        <f>Q$81+Q$83</f>
        <v>40</v>
      </c>
      <c r="R98" s="155">
        <f ca="1">R$81+R$83</f>
        <v>97</v>
      </c>
      <c r="S98" s="84">
        <f>S$81+S$83</f>
        <v>90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41</v>
      </c>
      <c r="D99" s="155">
        <f>D$81+D$84</f>
        <v>92</v>
      </c>
      <c r="E99" s="84">
        <f>E$81+E$84</f>
        <v>91</v>
      </c>
      <c r="F99" s="69"/>
      <c r="H99" s="78" t="str">
        <v>W3</v>
      </c>
      <c r="I99" s="48" t="str">
        <v>WW,M3</v>
      </c>
      <c r="J99" s="155">
        <f>J$81+J$84</f>
        <v>41</v>
      </c>
      <c r="K99" s="155">
        <f ca="1">K$81+K$84</f>
        <v>90</v>
      </c>
      <c r="L99" s="84">
        <f>L$81+L$84</f>
        <v>93</v>
      </c>
      <c r="M99" s="69"/>
      <c r="O99" s="78" t="str">
        <v>W3</v>
      </c>
      <c r="P99" s="48" t="str">
        <v>WW,M3</v>
      </c>
      <c r="Q99" s="155">
        <f>Q$81+Q$84</f>
        <v>41</v>
      </c>
      <c r="R99" s="155">
        <f ca="1">R$81+R$84</f>
        <v>88</v>
      </c>
      <c r="S99" s="84">
        <f>S$81+S$84</f>
        <v>95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45</v>
      </c>
      <c r="D100" s="155">
        <f>D$81+D$85</f>
        <v>109</v>
      </c>
      <c r="E100" s="84">
        <f>E$81+E$85</f>
        <v>90</v>
      </c>
      <c r="F100" s="69"/>
      <c r="H100" s="78" t="str">
        <v>WA</v>
      </c>
      <c r="I100" s="48" t="str">
        <v>WW,A</v>
      </c>
      <c r="J100" s="155">
        <f>J$81+J$85</f>
        <v>49</v>
      </c>
      <c r="K100" s="155">
        <f ca="1">K$81+K$85</f>
        <v>103</v>
      </c>
      <c r="L100" s="84">
        <f>L$81+L$85</f>
        <v>90</v>
      </c>
      <c r="M100" s="69"/>
      <c r="O100" s="78" t="str">
        <v>WA</v>
      </c>
      <c r="P100" s="48" t="str">
        <v>WW,A</v>
      </c>
      <c r="Q100" s="155">
        <f>Q$81+Q$85</f>
        <v>53</v>
      </c>
      <c r="R100" s="155">
        <f ca="1">R$81+R$85</f>
        <v>97</v>
      </c>
      <c r="S100" s="84">
        <f>S$81+S$85</f>
        <v>90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50</v>
      </c>
      <c r="D101" s="155">
        <f>D$81+D$86</f>
        <v>99</v>
      </c>
      <c r="E101" s="84">
        <f>E$81+E$86</f>
        <v>98</v>
      </c>
      <c r="F101" s="69"/>
      <c r="H101" s="78" t="str">
        <v>WK</v>
      </c>
      <c r="I101" s="48" t="str">
        <v>WW,K</v>
      </c>
      <c r="J101" s="155">
        <f>J$81+J$86</f>
        <v>48</v>
      </c>
      <c r="K101" s="155">
        <f ca="1">K$81+K$86</f>
        <v>95</v>
      </c>
      <c r="L101" s="84">
        <f>L$81+L$86</f>
        <v>94</v>
      </c>
      <c r="M101" s="69"/>
      <c r="O101" s="78" t="str">
        <v>WK</v>
      </c>
      <c r="P101" s="48" t="str">
        <v>WW,K</v>
      </c>
      <c r="Q101" s="155">
        <f ca="1">Q$81+Q$86</f>
        <v>46</v>
      </c>
      <c r="R101" s="155">
        <f ca="1">R$81+R$86</f>
        <v>91</v>
      </c>
      <c r="S101" s="84">
        <f>S$81+S$86</f>
        <v>90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48</v>
      </c>
      <c r="D102" s="155">
        <f>D$81+D$87</f>
        <v>92</v>
      </c>
      <c r="E102" s="84">
        <f>E$81+E$87</f>
        <v>90</v>
      </c>
      <c r="F102" s="69"/>
      <c r="H102" s="78" t="str">
        <v>WQ</v>
      </c>
      <c r="I102" s="48" t="str">
        <v>WW,Q</v>
      </c>
      <c r="J102" s="155">
        <f>J$81+J$87</f>
        <v>46</v>
      </c>
      <c r="K102" s="155">
        <f ca="1">K$81+K$87</f>
        <v>98</v>
      </c>
      <c r="L102" s="84">
        <f>L$81+L$87</f>
        <v>94</v>
      </c>
      <c r="M102" s="69"/>
      <c r="O102" s="78" t="str">
        <v>WQ</v>
      </c>
      <c r="P102" s="48" t="str">
        <v>WW,Q</v>
      </c>
      <c r="Q102" s="155">
        <f>Q$81+Q$87</f>
        <v>44</v>
      </c>
      <c r="R102" s="155">
        <f ca="1">R$81+R$87</f>
        <v>104</v>
      </c>
      <c r="S102" s="84">
        <f>S$81+S$87</f>
        <v>98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50</v>
      </c>
      <c r="D103" s="154">
        <f>D$81+D$88</f>
        <v>89</v>
      </c>
      <c r="E103" s="17">
        <f>E$81+E$88</f>
        <v>98</v>
      </c>
      <c r="F103" s="69"/>
      <c r="H103" s="73" t="str">
        <v>WJ</v>
      </c>
      <c r="I103" s="53" t="str">
        <v>WW,J</v>
      </c>
      <c r="J103" s="154">
        <f ca="1">J$81+J$88</f>
        <v>50</v>
      </c>
      <c r="K103" s="154">
        <f ca="1">K$81+K$88</f>
        <v>91</v>
      </c>
      <c r="L103" s="17">
        <f>L$81+L$88</f>
        <v>100</v>
      </c>
      <c r="M103" s="69"/>
      <c r="O103" s="73" t="str">
        <v>WJ</v>
      </c>
      <c r="P103" s="53" t="str">
        <v>WW,J</v>
      </c>
      <c r="Q103" s="154">
        <f ca="1">Q$81+Q$88</f>
        <v>50</v>
      </c>
      <c r="R103" s="154">
        <f ca="1">R$81+R$88</f>
        <v>93</v>
      </c>
      <c r="S103" s="17">
        <f>S$81+S$88</f>
        <v>102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3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</v>
      </c>
      <c r="BL121" s="29">
        <v>1</v>
      </c>
      <c r="BM121" s="29">
        <v>1</v>
      </c>
      <c r="BO121" s="29">
        <f t="shared" si="97"/>
        <v>3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3</v>
      </c>
      <c r="BL122" s="29">
        <v>1</v>
      </c>
      <c r="BM122" s="29">
        <v>1</v>
      </c>
      <c r="BO122" s="29">
        <f t="shared" si="97"/>
        <v>3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3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</v>
      </c>
      <c r="BL123" s="29">
        <v>1</v>
      </c>
      <c r="BM123" s="29">
        <v>1</v>
      </c>
      <c r="BO123" s="29">
        <f t="shared" si="97"/>
        <v>3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3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3</v>
      </c>
      <c r="BL124" s="29">
        <v>1</v>
      </c>
      <c r="BM124" s="29">
        <v>1</v>
      </c>
      <c r="BO124" s="29">
        <f t="shared" si="97"/>
        <v>3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3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3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3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3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3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3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3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3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3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3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3</v>
      </c>
      <c r="BO134" s="29" t="str">
        <f t="shared" si="136"/>
        <v/>
      </c>
      <c r="BP134" s="29">
        <f t="shared" si="125"/>
        <v>1</v>
      </c>
      <c r="BQ134" s="29">
        <f t="shared" si="126"/>
        <v>3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3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3</v>
      </c>
      <c r="BO135" s="29" t="str">
        <f t="shared" si="136"/>
        <v/>
      </c>
      <c r="BP135" s="29">
        <f t="shared" si="125"/>
        <v>1</v>
      </c>
      <c r="BQ135" s="29">
        <f t="shared" si="126"/>
        <v>3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3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3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3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3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3</v>
      </c>
      <c r="BM142" s="29">
        <v>3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3</v>
      </c>
      <c r="BM143" s="29">
        <v>3</v>
      </c>
      <c r="BO143" s="29" t="str">
        <f t="shared" si="136"/>
        <v/>
      </c>
      <c r="BP143" s="29">
        <f t="shared" si="125"/>
        <v>3</v>
      </c>
      <c r="BQ143" s="29">
        <f t="shared" si="126"/>
        <v>3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3</v>
      </c>
      <c r="BM144" s="29">
        <v>3</v>
      </c>
      <c r="BO144" s="29" t="str">
        <f t="shared" si="136"/>
        <v/>
      </c>
      <c r="BP144" s="29">
        <f t="shared" si="125"/>
        <v>3</v>
      </c>
      <c r="BQ144" s="29">
        <f t="shared" si="126"/>
        <v>3</v>
      </c>
      <c r="BR144" s="65"/>
      <c r="BS144" s="29" t="str">
        <f t="shared" si="144"/>
        <v/>
      </c>
      <c r="BT144" s="29">
        <f t="shared" si="137"/>
        <v>3</v>
      </c>
      <c r="BU144" s="29">
        <f t="shared" si="138"/>
        <v>3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3</v>
      </c>
      <c r="BM145" s="29">
        <v>3</v>
      </c>
      <c r="BO145" s="29" t="str">
        <f t="shared" si="136"/>
        <v/>
      </c>
      <c r="BP145" s="29">
        <f t="shared" si="125"/>
        <v>3</v>
      </c>
      <c r="BQ145" s="29">
        <f t="shared" si="126"/>
        <v>3</v>
      </c>
      <c r="BR145" s="65"/>
      <c r="BS145" s="29" t="str">
        <f t="shared" si="144"/>
        <v/>
      </c>
      <c r="BT145" s="29">
        <f t="shared" si="137"/>
        <v>3</v>
      </c>
      <c r="BU145" s="29">
        <f t="shared" si="138"/>
        <v>3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3</v>
      </c>
      <c r="BM146" s="29">
        <v>3</v>
      </c>
      <c r="BO146" s="29" t="str">
        <f t="shared" si="136"/>
        <v/>
      </c>
      <c r="BP146" s="29">
        <f t="shared" si="125"/>
        <v>3</v>
      </c>
      <c r="BQ146" s="29">
        <f t="shared" si="126"/>
        <v>3</v>
      </c>
      <c r="BR146" s="65"/>
      <c r="BS146" s="29" t="str">
        <f t="shared" si="144"/>
        <v/>
      </c>
      <c r="BT146" s="29">
        <f t="shared" si="137"/>
        <v>3</v>
      </c>
      <c r="BU146" s="29">
        <f t="shared" si="138"/>
        <v>3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3</v>
      </c>
      <c r="BQ147" s="29">
        <f t="shared" si="126"/>
        <v>3</v>
      </c>
      <c r="BR147" s="65"/>
      <c r="BS147" s="29" t="str">
        <f t="shared" si="144"/>
        <v/>
      </c>
      <c r="BT147" s="29">
        <f t="shared" si="137"/>
        <v>3</v>
      </c>
      <c r="BU147" s="29">
        <f t="shared" si="138"/>
        <v>3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3</v>
      </c>
      <c r="BU148" s="29">
        <f t="shared" si="138"/>
        <v>3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3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3</v>
      </c>
      <c r="BO158" s="29" t="str">
        <f t="shared" si="136"/>
        <v/>
      </c>
      <c r="BP158" s="29">
        <f t="shared" si="125"/>
        <v>1</v>
      </c>
      <c r="BQ158" s="29">
        <f t="shared" si="126"/>
        <v>3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3</v>
      </c>
      <c r="BO159" s="29" t="str">
        <f t="shared" si="136"/>
        <v/>
      </c>
      <c r="BP159" s="29">
        <f t="shared" si="125"/>
        <v>1</v>
      </c>
      <c r="BQ159" s="29">
        <f t="shared" si="126"/>
        <v>3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3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3</v>
      </c>
      <c r="BO160" s="29" t="str">
        <f t="shared" si="136"/>
        <v/>
      </c>
      <c r="BP160" s="29">
        <f t="shared" si="125"/>
        <v>1</v>
      </c>
      <c r="BQ160" s="29">
        <f t="shared" si="126"/>
        <v>3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3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3</v>
      </c>
      <c r="BO161" s="29" t="str">
        <f t="shared" si="136"/>
        <v/>
      </c>
      <c r="BP161" s="29">
        <f t="shared" si="125"/>
        <v>1</v>
      </c>
      <c r="BQ161" s="29">
        <f t="shared" si="126"/>
        <v>3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3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3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3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3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3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3</v>
      </c>
      <c r="BM182" s="29">
        <v>1</v>
      </c>
      <c r="BO182" s="29" t="str">
        <f t="shared" si="136"/>
        <v/>
      </c>
      <c r="BP182" s="29">
        <f t="shared" si="125"/>
        <v>3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3</v>
      </c>
      <c r="BM183" s="29">
        <v>1</v>
      </c>
      <c r="BO183" s="29" t="str">
        <f t="shared" si="136"/>
        <v/>
      </c>
      <c r="BP183" s="29">
        <f t="shared" si="125"/>
        <v>3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3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3</v>
      </c>
      <c r="BM184" s="29">
        <v>1</v>
      </c>
      <c r="BO184" s="29" t="str">
        <f t="shared" si="136"/>
        <v/>
      </c>
      <c r="BP184" s="29">
        <f t="shared" si="125"/>
        <v>3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3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3</v>
      </c>
      <c r="BM185" s="29">
        <v>1</v>
      </c>
      <c r="BO185" s="29" t="str">
        <f t="shared" si="136"/>
        <v/>
      </c>
      <c r="BP185" s="29">
        <f t="shared" si="125"/>
        <v>3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3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3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3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3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3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3</v>
      </c>
      <c r="BO193" s="29" t="str">
        <f t="shared" si="136"/>
        <v/>
      </c>
      <c r="BP193" s="29">
        <f t="shared" si="125"/>
        <v>1</v>
      </c>
      <c r="BQ193" s="29">
        <f t="shared" si="126"/>
        <v>3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3</v>
      </c>
      <c r="BO194" s="29" t="str">
        <f t="shared" si="136"/>
        <v/>
      </c>
      <c r="BP194" s="29">
        <f t="shared" si="125"/>
        <v>1</v>
      </c>
      <c r="BQ194" s="29">
        <f t="shared" si="126"/>
        <v>3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3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3</v>
      </c>
      <c r="BO195" s="29" t="str">
        <f t="shared" si="136"/>
        <v/>
      </c>
      <c r="BP195" s="29">
        <f t="shared" si="125"/>
        <v>1</v>
      </c>
      <c r="BQ195" s="29">
        <f t="shared" si="126"/>
        <v>3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3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3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3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3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3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3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3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3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3</v>
      </c>
      <c r="BO199" s="29" t="str">
        <f t="shared" si="163"/>
        <v/>
      </c>
      <c r="BP199" s="29">
        <f t="shared" si="152"/>
        <v>1</v>
      </c>
      <c r="BQ199" s="29">
        <f t="shared" si="153"/>
        <v>3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3</v>
      </c>
      <c r="BO200" s="29" t="str">
        <f t="shared" si="163"/>
        <v/>
      </c>
      <c r="BP200" s="29">
        <f t="shared" si="152"/>
        <v>1</v>
      </c>
      <c r="BQ200" s="29">
        <f t="shared" si="153"/>
        <v>3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3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3</v>
      </c>
      <c r="BM201" s="29">
        <v>3</v>
      </c>
      <c r="BO201" s="29" t="str">
        <f t="shared" si="163"/>
        <v/>
      </c>
      <c r="BP201" s="29">
        <f t="shared" si="152"/>
        <v>1</v>
      </c>
      <c r="BQ201" s="29">
        <f t="shared" si="153"/>
        <v>3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3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3</v>
      </c>
      <c r="BM202" s="29">
        <v>3</v>
      </c>
      <c r="BO202" s="29" t="str">
        <f t="shared" si="163"/>
        <v/>
      </c>
      <c r="BP202" s="29">
        <f t="shared" si="152"/>
        <v>3</v>
      </c>
      <c r="BQ202" s="29">
        <f t="shared" si="153"/>
        <v>3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3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3</v>
      </c>
      <c r="BM203" s="29">
        <v>1</v>
      </c>
      <c r="BO203" s="29" t="str">
        <f t="shared" si="163"/>
        <v/>
      </c>
      <c r="BP203" s="29">
        <f t="shared" si="152"/>
        <v>3</v>
      </c>
      <c r="BQ203" s="29">
        <f t="shared" si="153"/>
        <v>3</v>
      </c>
      <c r="BR203" s="65"/>
      <c r="BS203" s="29" t="str">
        <f t="shared" si="171"/>
        <v/>
      </c>
      <c r="BT203" s="29">
        <f t="shared" si="164"/>
        <v>3</v>
      </c>
      <c r="BU203" s="29">
        <f t="shared" si="165"/>
        <v>3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3</v>
      </c>
      <c r="BM204" s="29">
        <v>1</v>
      </c>
      <c r="BO204" s="29" t="str">
        <f t="shared" si="163"/>
        <v/>
      </c>
      <c r="BP204" s="29">
        <f t="shared" si="152"/>
        <v>3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3</v>
      </c>
      <c r="BU204" s="29">
        <f t="shared" si="165"/>
        <v>3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3</v>
      </c>
      <c r="BM205" s="29">
        <v>1</v>
      </c>
      <c r="BO205" s="29" t="str">
        <f t="shared" si="163"/>
        <v/>
      </c>
      <c r="BP205" s="29">
        <f t="shared" si="152"/>
        <v>3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3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3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3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3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3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3</v>
      </c>
      <c r="BM211" s="29"/>
      <c r="BO211" s="29" t="str">
        <f t="shared" si="163"/>
        <v/>
      </c>
      <c r="BP211" s="29">
        <f t="shared" si="152"/>
        <v>3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7.3751624032880629E-3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5.3589295799807477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0.42170000000000002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11653551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7.3751624032880629E-3</v>
      </c>
      <c r="N21" s="288">
        <f>$O$15</f>
        <v>78.834601129367201</v>
      </c>
      <c r="O21" s="186" cm="1">
        <f t="array" aca="1" ref="O21:O25" ca="1">M21:M25*N21:N25</f>
        <v>0.58141798632751962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7.3751624032880629E-3</v>
      </c>
      <c r="N22" s="290">
        <f>$O$15+1*$O$15*_xlfn.BINOM.DIST(1,1,$I$4,FALSE)</f>
        <v>112.07915242562134</v>
      </c>
      <c r="O22" s="189">
        <f ca="1"/>
        <v>0.82660195116183466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11653551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7.3751624032880629E-3</v>
      </c>
      <c r="N23" s="290">
        <f>$O$15+1*$O$15*_xlfn.BINOM.DIST(1,2,$I$4,FALSE)+2*$O$15*_xlfn.BINOM.DIST(2,2,$I$4,FALSE)</f>
        <v>145.32370372187549</v>
      </c>
      <c r="O23" s="189">
        <f ca="1"/>
        <v>1.0717859159961496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7.3751624032880629E-3</v>
      </c>
      <c r="N24" s="290">
        <f>$O$15+1*$O$15*_xlfn.BINOM.DIST(1,3,$I$4,FALSE)+2*$O$15*_xlfn.BINOM.DIST(2,3,$I$4,FALSE)+3*$O$15*_xlfn.BINOM.DIST(3,3,$I$4,FALSE)</f>
        <v>178.56825501812963</v>
      </c>
      <c r="O24" s="189">
        <f ca="1"/>
        <v>1.3169698808304646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1.8391475696978544E-4</v>
      </c>
      <c r="J25" s="45">
        <f t="shared" ref="J25:J32" ca="1" si="7">F25/C$11</f>
        <v>9.1957378484892709E-3</v>
      </c>
      <c r="K25" s="34"/>
      <c r="L25" s="68" t="s">
        <v>281</v>
      </c>
      <c r="M25" s="291">
        <f t="shared" ca="1" si="4"/>
        <v>7.3751624032880629E-3</v>
      </c>
      <c r="N25" s="292">
        <f>$O$15+1*$O$15*_xlfn.BINOM.DIST(1,4,$I$4,FALSE)+2*$O$15*_xlfn.BINOM.DIST(2,4,$I$4,FALSE)+3*$O$15*_xlfn.BINOM.DIST(3,4,$I$4,FALSE)+4*$O$15*_xlfn.BINOM.DIST(4,4,$I$4,FALSE)</f>
        <v>211.81280631438381</v>
      </c>
      <c r="O25" s="192">
        <f ca="1"/>
        <v>1.5621538456647799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2.8383863424976644E-4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2.420656158796576E-4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1.9441861111690333E-4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2.3825664812382081E-4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1.7655157642507423E-4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1.0866696340025457E-4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4.7757048473894356E-5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11653551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1.8391475696978544E-4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2.7404385152645749E-4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2.4923253006744469E-4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1.9408085998851338E-4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2.4406431996564824E-4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1.4804867632192112E-4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1.171436929396027E-4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5.0406884562482294E-5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11653551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1.8391475696978544E-4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2.7404385152645749E-4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2.3440443174788526E-4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2.0049813142792268E-4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2.1280174600857714E-4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1.7592550116269281E-4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1.2144933334054143E-4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4.9006453054523901E-5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11653551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1.8391475696978544E-4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2.9363341697307544E-4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2.4972680001143001E-4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1.8833909080588398E-4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2.6371155023906446E-4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1.7634288467094708E-4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9.6422798510085032E-5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4.6507643893264811E-5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1.8437906008220158E-2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14.108681967210122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11653551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4.597868924244636E-4</v>
      </c>
      <c r="J13" s="45">
        <f t="shared" ref="J13:J20" si="2">F13/C$11</f>
        <v>9.1957378484892709E-3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7.3408354243268857E-4</v>
      </c>
      <c r="J14" s="50">
        <f t="shared" si="2"/>
        <v>1.8352088560817215E-2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5.855991877497255E-4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4.8621540335645329E-4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5.7370839154520373E-4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5.1889694394438221E-4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2.4908888286497396E-4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1.1290532816992864E-4</v>
      </c>
      <c r="J20" s="55">
        <f t="shared" si="2"/>
        <v>2.822633204248216E-2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1.8437906008220158E-2</v>
      </c>
      <c r="N21" s="288">
        <f>$O$15</f>
        <v>108.57529814106596</v>
      </c>
      <c r="O21" s="186" cm="1">
        <f t="array" aca="1" ref="O21:O25" ca="1">M21:M25*N21:N25</f>
        <v>2.001901141939455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1.8437906008220158E-2</v>
      </c>
      <c r="N22" s="290">
        <f>$O$15+1*$O$15*_xlfn.BINOM.DIST(1,1,$I$4,FALSE)</f>
        <v>130.80762894742386</v>
      </c>
      <c r="O22" s="189">
        <f ca="1"/>
        <v>2.4118187676907397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11653551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1.8437906008220158E-2</v>
      </c>
      <c r="N23" s="290">
        <f>$O$15+1*$O$15*_xlfn.BINOM.DIST(1,2,$I$4,FALSE)+2*$O$15*_xlfn.BINOM.DIST(2,2,$I$4,FALSE)</f>
        <v>153.03995975378177</v>
      </c>
      <c r="O23" s="189">
        <f ca="1"/>
        <v>2.8217363934420239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1.8437906008220158E-2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3.2316540191933099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4.597868924244636E-4</v>
      </c>
      <c r="J25" s="45">
        <f t="shared" ref="J25:J32" ca="1" si="7">F25/C$11</f>
        <v>9.1957378484892709E-3</v>
      </c>
      <c r="K25" s="34"/>
      <c r="L25" s="68" t="s">
        <v>281</v>
      </c>
      <c r="M25" s="291">
        <f t="shared" ca="1" si="4"/>
        <v>1.8437906008220158E-2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3.6415716449445932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7.095965856244162E-4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6.0516403969914398E-4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4.8604652779225837E-4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5.9564162030955204E-4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4.413789410626856E-4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2.7166740850063643E-4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1.1939262118473589E-4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11653551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4.597868924244636E-4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6.8510962881614373E-4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6.230813251686117E-4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4.8520214997128345E-4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6.1016079991412062E-4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3.7012169080480279E-4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2.9285923234900676E-4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1.2601721140620574E-4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11653551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4.597868924244636E-4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6.8510962881614373E-4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5.8601107936971316E-4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5.0124532856980677E-4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5.3200436502144285E-4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4.3981375290673202E-4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3.0362333335135356E-4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1.2251613263630974E-4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11653551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4.597868924244636E-4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7.3408354243268857E-4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6.2431700002857501E-4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4.7084772701470998E-4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6.5927887559766112E-4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4.408572116773677E-4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2.4105699627521257E-4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1.1626910973316203E-4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1.8437906008220158E-2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23.97215406508932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11653551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4.597868924244636E-4</v>
      </c>
      <c r="J13" s="45">
        <f t="shared" ref="J13:J20" si="2">F13/C$11</f>
        <v>9.1957378484892709E-3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7.3408354243268857E-4</v>
      </c>
      <c r="J14" s="50">
        <f t="shared" si="2"/>
        <v>1.8352088560817215E-2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5.855991877497255E-4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4.8621540335645329E-4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5.7370839154520373E-4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5.1889694394438221E-4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2.4908888286497396E-4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1.1290532816992864E-4</v>
      </c>
      <c r="J20" s="55">
        <f t="shared" si="2"/>
        <v>2.822633204248216E-2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1.8437906008220158E-2</v>
      </c>
      <c r="N21" s="288">
        <f>$O$15</f>
        <v>184.48100118421755</v>
      </c>
      <c r="O21" s="186" cm="1">
        <f t="array" aca="1" ref="O21:O25" ca="1">M21:M25*N21:N25</f>
        <v>3.4014433601369549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1.8437906008220158E-2</v>
      </c>
      <c r="N22" s="290">
        <f>$O$15+1*$O$15*_xlfn.BINOM.DIST(1,1,$I$4,FALSE)</f>
        <v>222.25610027247288</v>
      </c>
      <c r="O22" s="189">
        <f ca="1"/>
        <v>4.0979370865774092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11653551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1.8437906008220158E-2</v>
      </c>
      <c r="N23" s="290">
        <f>$O$15+1*$O$15*_xlfn.BINOM.DIST(1,2,$I$4,FALSE)+2*$O$15*_xlfn.BINOM.DIST(2,2,$I$4,FALSE)</f>
        <v>260.03119936072818</v>
      </c>
      <c r="O23" s="189">
        <f ca="1"/>
        <v>4.7944308130178639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1.8437906008220158E-2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5.4909245394583195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4.597868924244636E-4</v>
      </c>
      <c r="J25" s="45">
        <f t="shared" ref="J25:J32" ca="1" si="7">F25/C$11</f>
        <v>9.1957378484892709E-3</v>
      </c>
      <c r="K25" s="34"/>
      <c r="L25" s="68" t="s">
        <v>281</v>
      </c>
      <c r="M25" s="291">
        <f t="shared" ca="1" si="4"/>
        <v>1.8437906008220158E-2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6.1874182658987724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7.095965856244162E-4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6.0516403969914398E-4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4.8604652779225837E-4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5.9564162030955204E-4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4.413789410626856E-4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2.7166740850063643E-4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1.1939262118473589E-4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11653551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4.597868924244636E-4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6.8510962881614373E-4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6.230813251686117E-4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4.8520214997128345E-4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6.1016079991412062E-4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3.7012169080480279E-4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2.9285923234900676E-4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1.2601721140620574E-4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11653551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4.597868924244636E-4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6.8510962881614373E-4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5.8601107936971316E-4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5.0124532856980677E-4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5.3200436502144285E-4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4.3981375290673202E-4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3.0362333335135356E-4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1.2251613263630974E-4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11653551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4.597868924244636E-4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7.3408354243268857E-4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6.2431700002857501E-4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4.7084772701470998E-4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6.5927887559766112E-4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4.408572116773677E-4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2.4105699627521257E-4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1.1626910973316203E-4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6.1373356636101745E-2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5.6631926476444061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11653551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11653551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279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273</v>
      </c>
      <c r="F25" s="43">
        <f ca="1">C25*D25*E25</f>
        <v>2056509</v>
      </c>
      <c r="G25" s="44">
        <f t="shared" ref="G25:G32" ca="1" si="4">C$11/F25</f>
        <v>5.666666666666667</v>
      </c>
      <c r="H25" s="43" cm="1">
        <f t="array" ref="H25:H32">_xlfn.ANCHORARRAY(H13)</f>
        <v>5</v>
      </c>
      <c r="I25" s="45">
        <f t="shared" ref="I25:I32" ca="1" si="5">J25*H25/$C$1</f>
        <v>3.5294117647058825E-3</v>
      </c>
      <c r="J25" s="45">
        <f t="shared" ref="J25:J32" ca="1" si="6">F25/C$11</f>
        <v>0.17647058823529413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279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273</v>
      </c>
      <c r="F26" s="48">
        <f ca="1">C26*D26*E26-F25</f>
        <v>1066338</v>
      </c>
      <c r="G26" s="49">
        <f t="shared" ca="1" si="4"/>
        <v>10.928571428571429</v>
      </c>
      <c r="H26" s="48">
        <v>4</v>
      </c>
      <c r="I26" s="50">
        <f t="shared" ca="1" si="5"/>
        <v>1.4640522875816993E-3</v>
      </c>
      <c r="J26" s="50">
        <f t="shared" ca="1" si="6"/>
        <v>9.1503267973856203E-2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279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273</v>
      </c>
      <c r="F27" s="48">
        <f ca="1">C27*D27*E27-F25</f>
        <v>990171</v>
      </c>
      <c r="G27" s="49">
        <f t="shared" ca="1" si="4"/>
        <v>11.76923076923077</v>
      </c>
      <c r="H27" s="48">
        <v>3</v>
      </c>
      <c r="I27" s="50">
        <f t="shared" ca="1" si="5"/>
        <v>1.0196078431372547E-3</v>
      </c>
      <c r="J27" s="50">
        <f t="shared" ca="1" si="6"/>
        <v>8.4967320261437912E-2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279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273</v>
      </c>
      <c r="F28" s="48">
        <f ca="1">C28*D28*E28-F25</f>
        <v>1066338</v>
      </c>
      <c r="G28" s="49">
        <f t="shared" ca="1" si="4"/>
        <v>10.928571428571429</v>
      </c>
      <c r="H28" s="48">
        <v>2.4</v>
      </c>
      <c r="I28" s="50">
        <f t="shared" ca="1" si="5"/>
        <v>8.7843137254901946E-4</v>
      </c>
      <c r="J28" s="50">
        <f t="shared" ca="1" si="6"/>
        <v>9.1503267973856203E-2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279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273</v>
      </c>
      <c r="F29" s="48">
        <f ca="1">C29*D29*E29-F25</f>
        <v>1675674</v>
      </c>
      <c r="G29" s="49">
        <f t="shared" ca="1" si="4"/>
        <v>6.9545454545454541</v>
      </c>
      <c r="H29" s="48">
        <v>2</v>
      </c>
      <c r="I29" s="50">
        <f t="shared" ca="1" si="5"/>
        <v>1.1503267973856208E-3</v>
      </c>
      <c r="J29" s="50">
        <f t="shared" ca="1" si="6"/>
        <v>0.1437908496732026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279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273</v>
      </c>
      <c r="F30" s="48">
        <f ca="1">C30*D30*E30-F25</f>
        <v>1599507</v>
      </c>
      <c r="G30" s="49">
        <f t="shared" ca="1" si="4"/>
        <v>7.2857142857142856</v>
      </c>
      <c r="H30" s="48">
        <v>1.6</v>
      </c>
      <c r="I30" s="50">
        <f t="shared" ca="1" si="5"/>
        <v>8.7843137254901968E-4</v>
      </c>
      <c r="J30" s="50">
        <f t="shared" ca="1" si="6"/>
        <v>0.13725490196078433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279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273</v>
      </c>
      <c r="F31" s="48">
        <f ca="1">C31*D31*E31-F25</f>
        <v>1447173</v>
      </c>
      <c r="G31" s="49">
        <f t="shared" ca="1" si="4"/>
        <v>8.0526315789473681</v>
      </c>
      <c r="H31" s="48">
        <v>1</v>
      </c>
      <c r="I31" s="50">
        <f t="shared" ca="1" si="5"/>
        <v>4.9673202614379085E-4</v>
      </c>
      <c r="J31" s="50">
        <f t="shared" ca="1" si="6"/>
        <v>0.12418300653594772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279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273</v>
      </c>
      <c r="F32" s="53">
        <f ca="1">C32*D32*E32-F25</f>
        <v>1751841</v>
      </c>
      <c r="G32" s="54">
        <f t="shared" ca="1" si="4"/>
        <v>6.6521739130434785</v>
      </c>
      <c r="H32" s="53">
        <v>0.4</v>
      </c>
      <c r="I32" s="55">
        <f t="shared" ca="1" si="5"/>
        <v>2.4052287581699346E-4</v>
      </c>
      <c r="J32" s="55">
        <f t="shared" ca="1" si="6"/>
        <v>0.15032679738562091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11653551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63</v>
      </c>
      <c r="F37" s="43">
        <f ca="1">C37*D37*E37</f>
        <v>107163</v>
      </c>
      <c r="G37" s="44">
        <f t="shared" ref="G37:G44" ca="1" si="7">C$11/F37</f>
        <v>108.74603174603175</v>
      </c>
      <c r="H37" s="43" cm="1">
        <f t="array" ref="H37:H44">_xlfn.ANCHORARRAY(H25)</f>
        <v>5</v>
      </c>
      <c r="I37" s="45">
        <f t="shared" ref="I37:I44" ca="1" si="8">J37*H37/$C$1</f>
        <v>1.8391475696978544E-4</v>
      </c>
      <c r="J37" s="45">
        <f t="shared" ref="J37:J44" ca="1" si="9">F37/C$11</f>
        <v>9.1957378484892709E-3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86</v>
      </c>
      <c r="F38" s="48">
        <f ca="1">C38*D38*E38-F37</f>
        <v>199599</v>
      </c>
      <c r="G38" s="49">
        <f t="shared" ca="1" si="7"/>
        <v>58.384816557197183</v>
      </c>
      <c r="H38" s="48">
        <v>4</v>
      </c>
      <c r="I38" s="50">
        <f t="shared" ca="1" si="8"/>
        <v>2.7404385152645749E-4</v>
      </c>
      <c r="J38" s="50">
        <f t="shared" ca="1" si="9"/>
        <v>1.7127740720403593E-2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90</v>
      </c>
      <c r="F39" s="48">
        <f ca="1">C39*D39*E39-F37</f>
        <v>242037</v>
      </c>
      <c r="G39" s="49">
        <f t="shared" ca="1" si="7"/>
        <v>48.147807979771684</v>
      </c>
      <c r="H39" s="48">
        <v>3</v>
      </c>
      <c r="I39" s="50">
        <f t="shared" ca="1" si="8"/>
        <v>2.4923253006744469E-4</v>
      </c>
      <c r="J39" s="50">
        <f t="shared" ca="1" si="9"/>
        <v>2.0769377505620391E-2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95</v>
      </c>
      <c r="F40" s="48">
        <f ca="1">C40*D40*E40-F37</f>
        <v>235597</v>
      </c>
      <c r="G40" s="49">
        <f t="shared" ca="1" si="7"/>
        <v>49.463919319855513</v>
      </c>
      <c r="H40" s="48">
        <v>2.4</v>
      </c>
      <c r="I40" s="50">
        <f t="shared" ca="1" si="8"/>
        <v>1.9408085998851338E-4</v>
      </c>
      <c r="J40" s="50">
        <f t="shared" ca="1" si="9"/>
        <v>2.0216756248803477E-2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90</v>
      </c>
      <c r="F41" s="48">
        <f ca="1">C41*D41*E41-F37</f>
        <v>355527</v>
      </c>
      <c r="G41" s="49">
        <f t="shared" ca="1" si="7"/>
        <v>32.778244690276686</v>
      </c>
      <c r="H41" s="48">
        <v>2</v>
      </c>
      <c r="I41" s="50">
        <f t="shared" ca="1" si="8"/>
        <v>2.4406431996564824E-4</v>
      </c>
      <c r="J41" s="50">
        <f t="shared" ca="1" si="9"/>
        <v>3.0508039995706029E-2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90</v>
      </c>
      <c r="F42" s="48">
        <f ca="1">C42*D42*E42-F37</f>
        <v>269577</v>
      </c>
      <c r="G42" s="49">
        <f t="shared" ca="1" si="7"/>
        <v>43.229025473241414</v>
      </c>
      <c r="H42" s="48">
        <v>1.6</v>
      </c>
      <c r="I42" s="50">
        <f t="shared" ca="1" si="8"/>
        <v>1.4804867632192112E-4</v>
      </c>
      <c r="J42" s="50">
        <f t="shared" ca="1" si="9"/>
        <v>2.3132605675300174E-2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98</v>
      </c>
      <c r="F43" s="48">
        <f ca="1">C43*D43*E43-F37</f>
        <v>341285</v>
      </c>
      <c r="G43" s="49">
        <f t="shared" ca="1" si="7"/>
        <v>34.146097836119374</v>
      </c>
      <c r="H43" s="48">
        <v>1</v>
      </c>
      <c r="I43" s="50">
        <f t="shared" ca="1" si="8"/>
        <v>1.171436929396027E-4</v>
      </c>
      <c r="J43" s="50">
        <f t="shared" ca="1" si="9"/>
        <v>2.9285923234900674E-2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102</v>
      </c>
      <c r="F44" s="53">
        <f ca="1">C44*D44*E44-F37</f>
        <v>367137</v>
      </c>
      <c r="G44" s="54">
        <f t="shared" ca="1" si="7"/>
        <v>31.74169587919496</v>
      </c>
      <c r="H44" s="53">
        <v>0.4</v>
      </c>
      <c r="I44" s="55">
        <f t="shared" ca="1" si="8"/>
        <v>5.0406884562482294E-5</v>
      </c>
      <c r="J44" s="55">
        <f t="shared" ca="1" si="9"/>
        <v>3.1504302851551431E-2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11653551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279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63</v>
      </c>
      <c r="F49" s="43">
        <f ca="1">C49*D49*E49</f>
        <v>474579</v>
      </c>
      <c r="G49" s="44">
        <f t="shared" ref="G49:G56" ca="1" si="10">C$11/F49</f>
        <v>24.555555555555557</v>
      </c>
      <c r="H49" s="43" cm="1">
        <f t="array" ref="H49:H56">_xlfn.ANCHORARRAY(H37)</f>
        <v>5</v>
      </c>
      <c r="I49" s="45">
        <f t="shared" ref="I49:I56" ca="1" si="11">J49*H49/$C$1</f>
        <v>8.1447963800904979E-4</v>
      </c>
      <c r="J49" s="45">
        <f t="shared" ref="J49:J56" ca="1" si="12">F49/C$11</f>
        <v>4.072398190045249E-2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279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86</v>
      </c>
      <c r="F50" s="48">
        <f ca="1">C50*D50*E50-F49</f>
        <v>509175</v>
      </c>
      <c r="G50" s="49">
        <f t="shared" ca="1" si="10"/>
        <v>22.887123287671233</v>
      </c>
      <c r="H50" s="48">
        <v>4</v>
      </c>
      <c r="I50" s="50">
        <f t="shared" ca="1" si="11"/>
        <v>6.9908305202422854E-4</v>
      </c>
      <c r="J50" s="50">
        <f t="shared" ca="1" si="12"/>
        <v>4.3692690751514281E-2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90</v>
      </c>
      <c r="F51" s="48">
        <f ca="1">C51*D51*E51-F49</f>
        <v>529821</v>
      </c>
      <c r="G51" s="49">
        <f t="shared" ca="1" si="10"/>
        <v>21.995260663507111</v>
      </c>
      <c r="H51" s="48">
        <v>3</v>
      </c>
      <c r="I51" s="50">
        <f t="shared" ca="1" si="11"/>
        <v>5.4557207498383959E-4</v>
      </c>
      <c r="J51" s="50">
        <f t="shared" ca="1" si="12"/>
        <v>4.5464339581986639E-2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279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95</v>
      </c>
      <c r="F52" s="48">
        <f ca="1">C52*D52*E52-F49</f>
        <v>612126</v>
      </c>
      <c r="G52" s="49">
        <f t="shared" ca="1" si="10"/>
        <v>19.037830446672743</v>
      </c>
      <c r="H52" s="48">
        <v>2.4</v>
      </c>
      <c r="I52" s="50">
        <f t="shared" ca="1" si="11"/>
        <v>5.0425913955325715E-4</v>
      </c>
      <c r="J52" s="50">
        <f t="shared" ca="1" si="12"/>
        <v>5.2526993703464295E-2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279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90</v>
      </c>
      <c r="F53" s="48">
        <f ca="1">C53*D53*E53-F49</f>
        <v>655371</v>
      </c>
      <c r="G53" s="49">
        <f t="shared" ca="1" si="10"/>
        <v>17.7816091954023</v>
      </c>
      <c r="H53" s="48">
        <v>2</v>
      </c>
      <c r="I53" s="50">
        <f t="shared" ca="1" si="11"/>
        <v>4.4990303813833226E-4</v>
      </c>
      <c r="J53" s="50">
        <f t="shared" ca="1" si="12"/>
        <v>5.6237879767291533E-2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279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90</v>
      </c>
      <c r="F54" s="48">
        <f ca="1">C54*D54*E54-F49</f>
        <v>780921</v>
      </c>
      <c r="G54" s="49">
        <f t="shared" ca="1" si="10"/>
        <v>14.92282958199357</v>
      </c>
      <c r="H54" s="48">
        <v>1.6</v>
      </c>
      <c r="I54" s="50">
        <f t="shared" ca="1" si="11"/>
        <v>4.2887308769661714E-4</v>
      </c>
      <c r="J54" s="50">
        <f t="shared" ca="1" si="12"/>
        <v>6.7011419952596421E-2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279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98</v>
      </c>
      <c r="F55" s="48">
        <f ca="1">C55*D55*E55-F49</f>
        <v>837837</v>
      </c>
      <c r="G55" s="49">
        <f t="shared" ca="1" si="10"/>
        <v>13.909090909090908</v>
      </c>
      <c r="H55" s="48">
        <v>1</v>
      </c>
      <c r="I55" s="50">
        <f t="shared" ca="1" si="11"/>
        <v>2.8758169934640519E-4</v>
      </c>
      <c r="J55" s="50">
        <f t="shared" ca="1" si="12"/>
        <v>7.1895424836601302E-2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279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102</v>
      </c>
      <c r="F56" s="53">
        <f ca="1">C56*D56*E56-F49</f>
        <v>948321</v>
      </c>
      <c r="G56" s="54">
        <f t="shared" ca="1" si="10"/>
        <v>12.288614298323036</v>
      </c>
      <c r="H56" s="53">
        <v>0.4</v>
      </c>
      <c r="I56" s="55">
        <f t="shared" ca="1" si="11"/>
        <v>1.3020182431947139E-4</v>
      </c>
      <c r="J56" s="55">
        <f t="shared" ca="1" si="12"/>
        <v>8.1376140199669614E-2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11653551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279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63</v>
      </c>
      <c r="F61" s="43">
        <f ca="1">C61*D61*E61</f>
        <v>474579</v>
      </c>
      <c r="G61" s="44">
        <f t="shared" ref="G61:G68" ca="1" si="13">C$11/F61</f>
        <v>24.555555555555557</v>
      </c>
      <c r="H61" s="43" cm="1">
        <f t="array" ref="H61:H68">_xlfn.ANCHORARRAY(H49)</f>
        <v>5</v>
      </c>
      <c r="I61" s="45">
        <f t="shared" ref="I61:I68" ca="1" si="14">J61*H61/$C$1</f>
        <v>8.1447963800904979E-4</v>
      </c>
      <c r="J61" s="45">
        <f t="shared" ref="J61:J68" ca="1" si="15">F61/C$11</f>
        <v>4.072398190045249E-2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279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90</v>
      </c>
      <c r="F62" s="48">
        <f ca="1">C62*D62*E62-F61</f>
        <v>554931</v>
      </c>
      <c r="G62" s="49">
        <f t="shared" ca="1" si="13"/>
        <v>21</v>
      </c>
      <c r="H62" s="48">
        <v>4</v>
      </c>
      <c r="I62" s="50">
        <f t="shared" ca="1" si="14"/>
        <v>7.6190476190476182E-4</v>
      </c>
      <c r="J62" s="50">
        <f t="shared" ca="1" si="15"/>
        <v>4.7619047619047616E-2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94</v>
      </c>
      <c r="F63" s="48">
        <f ca="1">C63*D63*E63-F61</f>
        <v>574461</v>
      </c>
      <c r="G63" s="49">
        <f t="shared" ca="1" si="13"/>
        <v>20.286061194754737</v>
      </c>
      <c r="H63" s="48">
        <v>3</v>
      </c>
      <c r="I63" s="50">
        <f t="shared" ca="1" si="14"/>
        <v>5.9153917977447393E-4</v>
      </c>
      <c r="J63" s="50">
        <f t="shared" ca="1" si="15"/>
        <v>4.9294931647872825E-2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279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91</v>
      </c>
      <c r="F64" s="48">
        <f ca="1">C64*D64*E64-F61</f>
        <v>566370</v>
      </c>
      <c r="G64" s="49">
        <f t="shared" ca="1" si="13"/>
        <v>20.575862068965517</v>
      </c>
      <c r="H64" s="48">
        <v>2.4</v>
      </c>
      <c r="I64" s="50">
        <f t="shared" ca="1" si="14"/>
        <v>4.6656611362493711E-4</v>
      </c>
      <c r="J64" s="50">
        <f t="shared" ca="1" si="15"/>
        <v>4.8600636835930952E-2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279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90</v>
      </c>
      <c r="F65" s="48">
        <f ca="1">C65*D65*E65-F61</f>
        <v>856251</v>
      </c>
      <c r="G65" s="49">
        <f t="shared" ca="1" si="13"/>
        <v>13.609970674486803</v>
      </c>
      <c r="H65" s="48">
        <v>2</v>
      </c>
      <c r="I65" s="50">
        <f t="shared" ca="1" si="14"/>
        <v>5.8780435251023491E-4</v>
      </c>
      <c r="J65" s="50">
        <f t="shared" ca="1" si="15"/>
        <v>7.3475544063779361E-2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279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98</v>
      </c>
      <c r="F66" s="48">
        <f ca="1">C66*D66*E66-F61</f>
        <v>783153</v>
      </c>
      <c r="G66" s="49">
        <f t="shared" ca="1" si="13"/>
        <v>14.880299251870325</v>
      </c>
      <c r="H66" s="48">
        <v>1.6</v>
      </c>
      <c r="I66" s="50">
        <f t="shared" ca="1" si="14"/>
        <v>4.3009887715770071E-4</v>
      </c>
      <c r="J66" s="50">
        <f t="shared" ca="1" si="15"/>
        <v>6.7202949555890734E-2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279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90</v>
      </c>
      <c r="F67" s="48">
        <f ca="1">C67*D67*E67-F61</f>
        <v>630261</v>
      </c>
      <c r="G67" s="49">
        <f t="shared" ca="1" si="13"/>
        <v>18.490039840637451</v>
      </c>
      <c r="H67" s="48">
        <v>1</v>
      </c>
      <c r="I67" s="50">
        <f t="shared" ca="1" si="14"/>
        <v>2.1633268692092223E-4</v>
      </c>
      <c r="J67" s="50">
        <f t="shared" ca="1" si="15"/>
        <v>5.4083171730230556E-2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279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98</v>
      </c>
      <c r="F68" s="53">
        <f ca="1">C68*D68*E68-F61</f>
        <v>892521</v>
      </c>
      <c r="G68" s="54">
        <f t="shared" ca="1" si="13"/>
        <v>13.056892778993435</v>
      </c>
      <c r="H68" s="53">
        <v>0.4</v>
      </c>
      <c r="I68" s="55">
        <f t="shared" ca="1" si="14"/>
        <v>1.2254064018769902E-4</v>
      </c>
      <c r="J68" s="55">
        <f t="shared" ca="1" si="15"/>
        <v>7.6587900117311883E-2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0.20457785545367246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7.561450720194661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11653551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11653551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279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273</v>
      </c>
      <c r="F25" s="43">
        <f ca="1">C25*D25*E25</f>
        <v>2056509</v>
      </c>
      <c r="G25" s="44">
        <f t="shared" ref="G25:G32" ca="1" si="4">C$11/F25</f>
        <v>5.666666666666667</v>
      </c>
      <c r="H25" s="43" cm="1">
        <f t="array" ref="H25:H32">_xlfn.ANCHORARRAY(H13)</f>
        <v>5</v>
      </c>
      <c r="I25" s="45">
        <f t="shared" ref="I25:I32" ca="1" si="5">J25*H25/$C$1</f>
        <v>3.5294117647058825E-3</v>
      </c>
      <c r="J25" s="45">
        <f t="shared" ref="J25:J32" ca="1" si="6">F25/C$11</f>
        <v>0.17647058823529413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279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273</v>
      </c>
      <c r="F26" s="48">
        <f ca="1">C26*D26*E26-F25</f>
        <v>1066338</v>
      </c>
      <c r="G26" s="49">
        <f t="shared" ca="1" si="4"/>
        <v>10.928571428571429</v>
      </c>
      <c r="H26" s="48">
        <v>4</v>
      </c>
      <c r="I26" s="50">
        <f t="shared" ca="1" si="5"/>
        <v>1.4640522875816993E-3</v>
      </c>
      <c r="J26" s="50">
        <f t="shared" ca="1" si="6"/>
        <v>9.1503267973856203E-2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279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273</v>
      </c>
      <c r="F27" s="48">
        <f ca="1">C27*D27*E27-F25</f>
        <v>990171</v>
      </c>
      <c r="G27" s="49">
        <f t="shared" ca="1" si="4"/>
        <v>11.76923076923077</v>
      </c>
      <c r="H27" s="48">
        <v>3</v>
      </c>
      <c r="I27" s="50">
        <f t="shared" ca="1" si="5"/>
        <v>1.0196078431372547E-3</v>
      </c>
      <c r="J27" s="50">
        <f t="shared" ca="1" si="6"/>
        <v>8.4967320261437912E-2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279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273</v>
      </c>
      <c r="F28" s="48">
        <f ca="1">C28*D28*E28-F25</f>
        <v>1066338</v>
      </c>
      <c r="G28" s="49">
        <f t="shared" ca="1" si="4"/>
        <v>10.928571428571429</v>
      </c>
      <c r="H28" s="48">
        <v>2.4</v>
      </c>
      <c r="I28" s="50">
        <f t="shared" ca="1" si="5"/>
        <v>8.7843137254901946E-4</v>
      </c>
      <c r="J28" s="50">
        <f t="shared" ca="1" si="6"/>
        <v>9.1503267973856203E-2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279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273</v>
      </c>
      <c r="F29" s="48">
        <f ca="1">C29*D29*E29-F25</f>
        <v>1675674</v>
      </c>
      <c r="G29" s="49">
        <f t="shared" ca="1" si="4"/>
        <v>6.9545454545454541</v>
      </c>
      <c r="H29" s="48">
        <v>2</v>
      </c>
      <c r="I29" s="50">
        <f t="shared" ca="1" si="5"/>
        <v>1.1503267973856208E-3</v>
      </c>
      <c r="J29" s="50">
        <f t="shared" ca="1" si="6"/>
        <v>0.1437908496732026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279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273</v>
      </c>
      <c r="F30" s="48">
        <f ca="1">C30*D30*E30-F25</f>
        <v>1599507</v>
      </c>
      <c r="G30" s="49">
        <f t="shared" ca="1" si="4"/>
        <v>7.2857142857142856</v>
      </c>
      <c r="H30" s="48">
        <v>1.6</v>
      </c>
      <c r="I30" s="50">
        <f t="shared" ca="1" si="5"/>
        <v>8.7843137254901968E-4</v>
      </c>
      <c r="J30" s="50">
        <f t="shared" ca="1" si="6"/>
        <v>0.13725490196078433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279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273</v>
      </c>
      <c r="F31" s="48">
        <f ca="1">C31*D31*E31-F25</f>
        <v>1447173</v>
      </c>
      <c r="G31" s="49">
        <f t="shared" ca="1" si="4"/>
        <v>8.0526315789473681</v>
      </c>
      <c r="H31" s="48">
        <v>1</v>
      </c>
      <c r="I31" s="50">
        <f t="shared" ca="1" si="5"/>
        <v>4.9673202614379085E-4</v>
      </c>
      <c r="J31" s="50">
        <f t="shared" ca="1" si="6"/>
        <v>0.12418300653594772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279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273</v>
      </c>
      <c r="F32" s="53">
        <f ca="1">C32*D32*E32-F25</f>
        <v>1751841</v>
      </c>
      <c r="G32" s="54">
        <f t="shared" ca="1" si="4"/>
        <v>6.6521739130434785</v>
      </c>
      <c r="H32" s="53">
        <v>0.4</v>
      </c>
      <c r="I32" s="55">
        <f t="shared" ca="1" si="5"/>
        <v>2.4052287581699346E-4</v>
      </c>
      <c r="J32" s="55">
        <f t="shared" ca="1" si="6"/>
        <v>0.15032679738562091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11653551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63</v>
      </c>
      <c r="F37" s="43">
        <f ca="1">C37*D37*E37</f>
        <v>107163</v>
      </c>
      <c r="G37" s="44">
        <f t="shared" ref="G37:G44" ca="1" si="7">C$11/F37</f>
        <v>108.74603174603175</v>
      </c>
      <c r="H37" s="43" cm="1">
        <f t="array" ref="H37:H44">_xlfn.ANCHORARRAY(H25)</f>
        <v>5</v>
      </c>
      <c r="I37" s="45">
        <f t="shared" ref="I37:I44" ca="1" si="8">J37*H37/$C$1</f>
        <v>1.8391475696978544E-4</v>
      </c>
      <c r="J37" s="45">
        <f t="shared" ref="J37:J44" ca="1" si="9">F37/C$11</f>
        <v>9.1957378484892709E-3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86</v>
      </c>
      <c r="F38" s="48">
        <f ca="1">C38*D38*E38-F37</f>
        <v>199599</v>
      </c>
      <c r="G38" s="49">
        <f t="shared" ca="1" si="7"/>
        <v>58.384816557197183</v>
      </c>
      <c r="H38" s="48">
        <v>4</v>
      </c>
      <c r="I38" s="50">
        <f t="shared" ca="1" si="8"/>
        <v>2.7404385152645749E-4</v>
      </c>
      <c r="J38" s="50">
        <f t="shared" ca="1" si="9"/>
        <v>1.7127740720403593E-2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90</v>
      </c>
      <c r="F39" s="48">
        <f ca="1">C39*D39*E39-F37</f>
        <v>242037</v>
      </c>
      <c r="G39" s="49">
        <f t="shared" ca="1" si="7"/>
        <v>48.147807979771684</v>
      </c>
      <c r="H39" s="48">
        <v>3</v>
      </c>
      <c r="I39" s="50">
        <f t="shared" ca="1" si="8"/>
        <v>2.4923253006744469E-4</v>
      </c>
      <c r="J39" s="50">
        <f t="shared" ca="1" si="9"/>
        <v>2.0769377505620391E-2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95</v>
      </c>
      <c r="F40" s="48">
        <f ca="1">C40*D40*E40-F37</f>
        <v>235597</v>
      </c>
      <c r="G40" s="49">
        <f t="shared" ca="1" si="7"/>
        <v>49.463919319855513</v>
      </c>
      <c r="H40" s="48">
        <v>2.4</v>
      </c>
      <c r="I40" s="50">
        <f t="shared" ca="1" si="8"/>
        <v>1.9408085998851338E-4</v>
      </c>
      <c r="J40" s="50">
        <f t="shared" ca="1" si="9"/>
        <v>2.0216756248803477E-2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90</v>
      </c>
      <c r="F41" s="48">
        <f ca="1">C41*D41*E41-F37</f>
        <v>355527</v>
      </c>
      <c r="G41" s="49">
        <f t="shared" ca="1" si="7"/>
        <v>32.778244690276686</v>
      </c>
      <c r="H41" s="48">
        <v>2</v>
      </c>
      <c r="I41" s="50">
        <f t="shared" ca="1" si="8"/>
        <v>2.4406431996564824E-4</v>
      </c>
      <c r="J41" s="50">
        <f t="shared" ca="1" si="9"/>
        <v>3.0508039995706029E-2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90</v>
      </c>
      <c r="F42" s="48">
        <f ca="1">C42*D42*E42-F37</f>
        <v>269577</v>
      </c>
      <c r="G42" s="49">
        <f t="shared" ca="1" si="7"/>
        <v>43.229025473241414</v>
      </c>
      <c r="H42" s="48">
        <v>1.6</v>
      </c>
      <c r="I42" s="50">
        <f t="shared" ca="1" si="8"/>
        <v>1.4804867632192112E-4</v>
      </c>
      <c r="J42" s="50">
        <f t="shared" ca="1" si="9"/>
        <v>2.3132605675300174E-2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98</v>
      </c>
      <c r="F43" s="48">
        <f ca="1">C43*D43*E43-F37</f>
        <v>341285</v>
      </c>
      <c r="G43" s="49">
        <f t="shared" ca="1" si="7"/>
        <v>34.146097836119374</v>
      </c>
      <c r="H43" s="48">
        <v>1</v>
      </c>
      <c r="I43" s="50">
        <f t="shared" ca="1" si="8"/>
        <v>1.171436929396027E-4</v>
      </c>
      <c r="J43" s="50">
        <f t="shared" ca="1" si="9"/>
        <v>2.9285923234900674E-2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102</v>
      </c>
      <c r="F44" s="53">
        <f ca="1">C44*D44*E44-F37</f>
        <v>367137</v>
      </c>
      <c r="G44" s="54">
        <f t="shared" ca="1" si="7"/>
        <v>31.74169587919496</v>
      </c>
      <c r="H44" s="53">
        <v>0.4</v>
      </c>
      <c r="I44" s="55">
        <f t="shared" ca="1" si="8"/>
        <v>5.0406884562482294E-5</v>
      </c>
      <c r="J44" s="55">
        <f t="shared" ca="1" si="9"/>
        <v>3.1504302851551431E-2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11653551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279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63</v>
      </c>
      <c r="F49" s="43">
        <f ca="1">C49*D49*E49</f>
        <v>474579</v>
      </c>
      <c r="G49" s="44">
        <f t="shared" ref="G49:G56" ca="1" si="10">C$11/F49</f>
        <v>24.555555555555557</v>
      </c>
      <c r="H49" s="43" cm="1">
        <f t="array" ref="H49:H56">_xlfn.ANCHORARRAY(H37)</f>
        <v>5</v>
      </c>
      <c r="I49" s="45">
        <f t="shared" ref="I49:I56" ca="1" si="11">J49*H49/$C$1</f>
        <v>8.1447963800904979E-4</v>
      </c>
      <c r="J49" s="45">
        <f t="shared" ref="J49:J56" ca="1" si="12">F49/C$11</f>
        <v>4.072398190045249E-2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279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86</v>
      </c>
      <c r="F50" s="48">
        <f ca="1">C50*D50*E50-F49</f>
        <v>509175</v>
      </c>
      <c r="G50" s="49">
        <f t="shared" ca="1" si="10"/>
        <v>22.887123287671233</v>
      </c>
      <c r="H50" s="48">
        <v>4</v>
      </c>
      <c r="I50" s="50">
        <f t="shared" ca="1" si="11"/>
        <v>6.9908305202422854E-4</v>
      </c>
      <c r="J50" s="50">
        <f t="shared" ca="1" si="12"/>
        <v>4.3692690751514281E-2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90</v>
      </c>
      <c r="F51" s="48">
        <f ca="1">C51*D51*E51-F49</f>
        <v>529821</v>
      </c>
      <c r="G51" s="49">
        <f t="shared" ca="1" si="10"/>
        <v>21.995260663507111</v>
      </c>
      <c r="H51" s="48">
        <v>3</v>
      </c>
      <c r="I51" s="50">
        <f t="shared" ca="1" si="11"/>
        <v>5.4557207498383959E-4</v>
      </c>
      <c r="J51" s="50">
        <f t="shared" ca="1" si="12"/>
        <v>4.5464339581986639E-2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279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95</v>
      </c>
      <c r="F52" s="48">
        <f ca="1">C52*D52*E52-F49</f>
        <v>612126</v>
      </c>
      <c r="G52" s="49">
        <f t="shared" ca="1" si="10"/>
        <v>19.037830446672743</v>
      </c>
      <c r="H52" s="48">
        <v>2.4</v>
      </c>
      <c r="I52" s="50">
        <f t="shared" ca="1" si="11"/>
        <v>5.0425913955325715E-4</v>
      </c>
      <c r="J52" s="50">
        <f t="shared" ca="1" si="12"/>
        <v>5.2526993703464295E-2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279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90</v>
      </c>
      <c r="F53" s="48">
        <f ca="1">C53*D53*E53-F49</f>
        <v>655371</v>
      </c>
      <c r="G53" s="49">
        <f t="shared" ca="1" si="10"/>
        <v>17.7816091954023</v>
      </c>
      <c r="H53" s="48">
        <v>2</v>
      </c>
      <c r="I53" s="50">
        <f t="shared" ca="1" si="11"/>
        <v>4.4990303813833226E-4</v>
      </c>
      <c r="J53" s="50">
        <f t="shared" ca="1" si="12"/>
        <v>5.6237879767291533E-2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279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90</v>
      </c>
      <c r="F54" s="48">
        <f ca="1">C54*D54*E54-F49</f>
        <v>780921</v>
      </c>
      <c r="G54" s="49">
        <f t="shared" ca="1" si="10"/>
        <v>14.92282958199357</v>
      </c>
      <c r="H54" s="48">
        <v>1.6</v>
      </c>
      <c r="I54" s="50">
        <f t="shared" ca="1" si="11"/>
        <v>4.2887308769661714E-4</v>
      </c>
      <c r="J54" s="50">
        <f t="shared" ca="1" si="12"/>
        <v>6.7011419952596421E-2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279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98</v>
      </c>
      <c r="F55" s="48">
        <f ca="1">C55*D55*E55-F49</f>
        <v>837837</v>
      </c>
      <c r="G55" s="49">
        <f t="shared" ca="1" si="10"/>
        <v>13.909090909090908</v>
      </c>
      <c r="H55" s="48">
        <v>1</v>
      </c>
      <c r="I55" s="50">
        <f t="shared" ca="1" si="11"/>
        <v>2.8758169934640519E-4</v>
      </c>
      <c r="J55" s="50">
        <f t="shared" ca="1" si="12"/>
        <v>7.1895424836601302E-2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279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102</v>
      </c>
      <c r="F56" s="53">
        <f ca="1">C56*D56*E56-F49</f>
        <v>948321</v>
      </c>
      <c r="G56" s="54">
        <f t="shared" ca="1" si="10"/>
        <v>12.288614298323036</v>
      </c>
      <c r="H56" s="53">
        <v>0.4</v>
      </c>
      <c r="I56" s="55">
        <f t="shared" ca="1" si="11"/>
        <v>1.3020182431947139E-4</v>
      </c>
      <c r="J56" s="55">
        <f t="shared" ca="1" si="12"/>
        <v>8.1376140199669614E-2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11653551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279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63</v>
      </c>
      <c r="F61" s="43">
        <f ca="1">C61*D61*E61</f>
        <v>474579</v>
      </c>
      <c r="G61" s="44">
        <f t="shared" ref="G61:G68" ca="1" si="13">C$11/F61</f>
        <v>24.555555555555557</v>
      </c>
      <c r="H61" s="43" cm="1">
        <f t="array" ref="H61:H68">_xlfn.ANCHORARRAY(H49)</f>
        <v>5</v>
      </c>
      <c r="I61" s="45">
        <f t="shared" ref="I61:I68" ca="1" si="14">J61*H61/$C$1</f>
        <v>8.1447963800904979E-4</v>
      </c>
      <c r="J61" s="45">
        <f t="shared" ref="J61:J68" ca="1" si="15">F61/C$11</f>
        <v>4.072398190045249E-2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279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90</v>
      </c>
      <c r="F62" s="48">
        <f ca="1">C62*D62*E62-F61</f>
        <v>554931</v>
      </c>
      <c r="G62" s="49">
        <f t="shared" ca="1" si="13"/>
        <v>21</v>
      </c>
      <c r="H62" s="48">
        <v>4</v>
      </c>
      <c r="I62" s="50">
        <f t="shared" ca="1" si="14"/>
        <v>7.6190476190476182E-4</v>
      </c>
      <c r="J62" s="50">
        <f t="shared" ca="1" si="15"/>
        <v>4.7619047619047616E-2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94</v>
      </c>
      <c r="F63" s="48">
        <f ca="1">C63*D63*E63-F61</f>
        <v>574461</v>
      </c>
      <c r="G63" s="49">
        <f t="shared" ca="1" si="13"/>
        <v>20.286061194754737</v>
      </c>
      <c r="H63" s="48">
        <v>3</v>
      </c>
      <c r="I63" s="50">
        <f t="shared" ca="1" si="14"/>
        <v>5.9153917977447393E-4</v>
      </c>
      <c r="J63" s="50">
        <f t="shared" ca="1" si="15"/>
        <v>4.9294931647872825E-2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279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91</v>
      </c>
      <c r="F64" s="48">
        <f ca="1">C64*D64*E64-F61</f>
        <v>566370</v>
      </c>
      <c r="G64" s="49">
        <f t="shared" ca="1" si="13"/>
        <v>20.575862068965517</v>
      </c>
      <c r="H64" s="48">
        <v>2.4</v>
      </c>
      <c r="I64" s="50">
        <f t="shared" ca="1" si="14"/>
        <v>4.6656611362493711E-4</v>
      </c>
      <c r="J64" s="50">
        <f t="shared" ca="1" si="15"/>
        <v>4.8600636835930952E-2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279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90</v>
      </c>
      <c r="F65" s="48">
        <f ca="1">C65*D65*E65-F61</f>
        <v>856251</v>
      </c>
      <c r="G65" s="49">
        <f t="shared" ca="1" si="13"/>
        <v>13.609970674486803</v>
      </c>
      <c r="H65" s="48">
        <v>2</v>
      </c>
      <c r="I65" s="50">
        <f t="shared" ca="1" si="14"/>
        <v>5.8780435251023491E-4</v>
      </c>
      <c r="J65" s="50">
        <f t="shared" ca="1" si="15"/>
        <v>7.3475544063779361E-2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279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98</v>
      </c>
      <c r="F66" s="48">
        <f ca="1">C66*D66*E66-F61</f>
        <v>783153</v>
      </c>
      <c r="G66" s="49">
        <f t="shared" ca="1" si="13"/>
        <v>14.880299251870325</v>
      </c>
      <c r="H66" s="48">
        <v>1.6</v>
      </c>
      <c r="I66" s="50">
        <f t="shared" ca="1" si="14"/>
        <v>4.3009887715770071E-4</v>
      </c>
      <c r="J66" s="50">
        <f t="shared" ca="1" si="15"/>
        <v>6.7202949555890734E-2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279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90</v>
      </c>
      <c r="F67" s="48">
        <f ca="1">C67*D67*E67-F61</f>
        <v>630261</v>
      </c>
      <c r="G67" s="49">
        <f t="shared" ca="1" si="13"/>
        <v>18.490039840637451</v>
      </c>
      <c r="H67" s="48">
        <v>1</v>
      </c>
      <c r="I67" s="50">
        <f t="shared" ca="1" si="14"/>
        <v>2.1633268692092223E-4</v>
      </c>
      <c r="J67" s="50">
        <f t="shared" ca="1" si="15"/>
        <v>5.4083171730230556E-2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279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98</v>
      </c>
      <c r="F68" s="53">
        <f ca="1">C68*D68*E68-F61</f>
        <v>892521</v>
      </c>
      <c r="G68" s="54">
        <f t="shared" ca="1" si="13"/>
        <v>13.056892778993435</v>
      </c>
      <c r="H68" s="53">
        <v>0.4</v>
      </c>
      <c r="I68" s="55">
        <f t="shared" ca="1" si="14"/>
        <v>1.2254064018769902E-4</v>
      </c>
      <c r="J68" s="55">
        <f t="shared" ca="1" si="15"/>
        <v>7.6587900117311883E-2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2026-10-16T08:40:33Z</dcterms:modified>
</cp:coreProperties>
</file>