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095BDF1C-7080-4C1A-B9F9-E202A3728064}" xr6:coauthVersionLast="47" xr6:coauthVersionMax="47" xr10:uidLastSave="{00000000-0000-0000-0000-000000000000}"/>
  <bookViews>
    <workbookView xWindow="-28920" yWindow="60" windowWidth="29040" windowHeight="1572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Q69" i="39" l="1" a="1"/>
  <c r="Q69" i="39" s="1"/>
  <c r="P68" i="39" s="1"/>
  <c r="R69" i="39" s="1" a="1"/>
  <c r="I85" i="39"/>
  <c r="I125" i="39"/>
  <c r="I109" i="39"/>
  <c r="I93" i="39"/>
  <c r="I70" i="39"/>
  <c r="I77" i="39"/>
  <c r="I101" i="39"/>
  <c r="Q4" i="39" a="1"/>
  <c r="Q4" i="39" s="1"/>
  <c r="P3" i="39" s="1"/>
  <c r="R4" i="39" s="1" a="1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S70" i="39" a="1"/>
  <c r="S70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84" i="36" l="1"/>
  <c r="I124" i="36"/>
  <c r="I108" i="36"/>
  <c r="I100" i="36"/>
  <c r="Q69" i="36" a="1"/>
  <c r="Q69" i="36" s="1"/>
  <c r="P68" i="36" s="1"/>
  <c r="R69" i="36" s="1" a="1"/>
  <c r="I92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I115" i="34"/>
  <c r="E115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G69" i="34" l="1" a="1"/>
  <c r="G69" i="34" s="1"/>
  <c r="J69" i="34" a="1"/>
  <c r="J69" i="34" s="1"/>
  <c r="L69" i="34" s="1" a="1"/>
  <c r="L69" i="34" s="1"/>
  <c r="M69" i="34" s="1" a="1"/>
  <c r="M69" i="34" s="1"/>
  <c r="N69" i="34" s="1" a="1"/>
  <c r="O129" i="36" a="1"/>
  <c r="O129" i="36" s="1"/>
  <c r="I81" i="34"/>
  <c r="I82" i="34"/>
  <c r="Q69" i="34" a="1"/>
  <c r="Q69" i="34" s="1"/>
  <c r="P68" i="34" s="1"/>
  <c r="R69" i="34" s="1" a="1"/>
  <c r="I83" i="34"/>
  <c r="I107" i="34"/>
  <c r="I122" i="34"/>
  <c r="I97" i="34"/>
  <c r="Q4" i="34" a="1"/>
  <c r="Q4" i="34" s="1"/>
  <c r="P3" i="34" s="1"/>
  <c r="R4" i="34" s="1" a="1"/>
  <c r="R4" i="34" s="1"/>
  <c r="I98" i="34"/>
  <c r="I113" i="34"/>
  <c r="I123" i="34"/>
  <c r="I84" i="34"/>
  <c r="I99" i="34"/>
  <c r="I11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S5" i="34" a="1"/>
  <c r="S5" i="34" s="1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O64" i="36" l="1" a="1"/>
  <c r="O64" i="36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I121" i="28"/>
  <c r="I122" i="28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E81" i="32"/>
  <c r="E111" i="32"/>
  <c r="E122" i="32"/>
  <c r="E91" i="32"/>
  <c r="E121" i="32"/>
  <c r="J69" i="28" a="1"/>
  <c r="J69" i="28" s="1"/>
  <c r="L69" i="28" s="1" a="1"/>
  <c r="L69" i="28" s="1"/>
  <c r="E82" i="32"/>
  <c r="E102" i="32"/>
  <c r="E112" i="32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I190" i="28"/>
  <c r="I188" i="28"/>
  <c r="I191" i="28"/>
  <c r="I187" i="28"/>
  <c r="I186" i="28"/>
  <c r="I189" i="28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1" i="28" l="1"/>
  <c r="I255" i="28"/>
  <c r="I254" i="28"/>
  <c r="I252" i="28"/>
  <c r="A199" i="28"/>
  <c r="H199" i="28" s="1" a="1"/>
  <c r="H199" i="28" s="1"/>
  <c r="I256" i="28"/>
  <c r="I253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58" i="30" l="1" a="1"/>
  <c r="O58" i="30" s="1"/>
  <c r="O4" i="30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45" i="1" l="1"/>
  <c r="C71" i="1"/>
  <c r="C72" i="1"/>
  <c r="C47" i="1"/>
  <c r="C49" i="1"/>
  <c r="C75" i="1"/>
  <c r="C56" i="24"/>
  <c r="C20" i="24"/>
  <c r="C77" i="1"/>
  <c r="C46" i="1"/>
  <c r="C73" i="1"/>
  <c r="C50" i="1"/>
  <c r="C48" i="1"/>
  <c r="C74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02" i="1" l="1"/>
  <c r="E99" i="1"/>
  <c r="J59" i="1"/>
  <c r="C19" i="24"/>
  <c r="C55" i="24"/>
  <c r="R34" i="1"/>
  <c r="C18" i="24"/>
  <c r="C54" i="24"/>
  <c r="C52" i="24"/>
  <c r="C16" i="24"/>
  <c r="C53" i="26"/>
  <c r="C17" i="26"/>
  <c r="C17" i="24"/>
  <c r="C53" i="24"/>
  <c r="C52" i="26"/>
  <c r="C16" i="26"/>
  <c r="C54" i="26"/>
  <c r="C18" i="26"/>
  <c r="C51" i="26"/>
  <c r="C15" i="26"/>
  <c r="C55" i="26"/>
  <c r="C19" i="26"/>
  <c r="C51" i="24"/>
  <c r="C15" i="24"/>
  <c r="C56" i="26"/>
  <c r="C20" i="26"/>
  <c r="C14" i="26"/>
  <c r="C50" i="26"/>
  <c r="C14" i="24"/>
  <c r="C50" i="24"/>
  <c r="E13" i="40"/>
  <c r="E61" i="40"/>
  <c r="E61" i="37"/>
  <c r="E13" i="37"/>
  <c r="E61" i="27"/>
  <c r="E13" i="27"/>
  <c r="E61" i="35"/>
  <c r="E13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E66" i="40" l="1"/>
  <c r="E18" i="40"/>
  <c r="E18" i="37"/>
  <c r="E66" i="37"/>
  <c r="E66" i="27"/>
  <c r="E18" i="27"/>
  <c r="E18" i="35"/>
  <c r="E66" i="35"/>
  <c r="E18" i="33"/>
  <c r="E66" i="33"/>
  <c r="E68" i="40"/>
  <c r="E20" i="40"/>
  <c r="E68" i="37"/>
  <c r="E20" i="37"/>
  <c r="E20" i="27"/>
  <c r="E68" i="27"/>
  <c r="E20" i="35"/>
  <c r="E68" i="35"/>
  <c r="E68" i="33"/>
  <c r="E20" i="33"/>
  <c r="E14" i="40"/>
  <c r="E62" i="40"/>
  <c r="E62" i="37"/>
  <c r="E14" i="37"/>
  <c r="E62" i="27"/>
  <c r="E14" i="27"/>
  <c r="E62" i="35"/>
  <c r="E14" i="35"/>
  <c r="E14" i="33"/>
  <c r="E62" i="33"/>
  <c r="E15" i="40"/>
  <c r="E63" i="40"/>
  <c r="E63" i="37"/>
  <c r="E15" i="37"/>
  <c r="E15" i="27"/>
  <c r="E63" i="27"/>
  <c r="E15" i="35"/>
  <c r="E63" i="35"/>
  <c r="E63" i="33"/>
  <c r="E15" i="33"/>
  <c r="E17" i="40"/>
  <c r="E65" i="40"/>
  <c r="E17" i="37"/>
  <c r="E65" i="37"/>
  <c r="E65" i="27"/>
  <c r="E17" i="27"/>
  <c r="E65" i="35"/>
  <c r="E17" i="35"/>
  <c r="E65" i="33"/>
  <c r="E17" i="33"/>
  <c r="Q21" i="1"/>
  <c r="C40" i="2" s="1"/>
  <c r="Q73" i="1"/>
  <c r="C40" i="26" s="1"/>
  <c r="Q48" i="1"/>
  <c r="C65" i="24" s="1"/>
  <c r="Q47" i="1"/>
  <c r="Q71" i="1"/>
  <c r="C38" i="26" s="1"/>
  <c r="Q76" i="1"/>
  <c r="C67" i="26" s="1"/>
  <c r="Q74" i="1"/>
  <c r="C41" i="26" s="1"/>
  <c r="Q72" i="1"/>
  <c r="C39" i="26" s="1"/>
  <c r="Q46" i="1"/>
  <c r="C63" i="24" s="1"/>
  <c r="Q45" i="1"/>
  <c r="C62" i="24" s="1"/>
  <c r="Q50" i="1"/>
  <c r="Q75" i="1"/>
  <c r="Q51" i="1"/>
  <c r="D97" i="1"/>
  <c r="D100" i="1"/>
  <c r="D102" i="1"/>
  <c r="D99" i="1"/>
  <c r="D101" i="1"/>
  <c r="D103" i="1"/>
  <c r="D98" i="1"/>
  <c r="J24" i="1"/>
  <c r="C31" i="2" s="1"/>
  <c r="J50" i="1"/>
  <c r="C31" i="24" s="1"/>
  <c r="J48" i="1"/>
  <c r="C29" i="24" s="1"/>
  <c r="J71" i="1"/>
  <c r="C26" i="26" s="1"/>
  <c r="J75" i="1"/>
  <c r="C30" i="26" s="1"/>
  <c r="J74" i="1"/>
  <c r="C29" i="26" s="1"/>
  <c r="J73" i="1"/>
  <c r="C28" i="26" s="1"/>
  <c r="J47" i="1"/>
  <c r="C28" i="24" s="1"/>
  <c r="J49" i="1"/>
  <c r="C30" i="24" s="1"/>
  <c r="J72" i="1"/>
  <c r="C27" i="26" s="1"/>
  <c r="J46" i="1"/>
  <c r="C27" i="24" s="1"/>
  <c r="J45" i="1"/>
  <c r="C26" i="24" s="1"/>
  <c r="J76" i="1"/>
  <c r="C31" i="26" s="1"/>
  <c r="J51" i="1"/>
  <c r="C32" i="24" s="1"/>
  <c r="E67" i="40"/>
  <c r="E19" i="40"/>
  <c r="E19" i="37"/>
  <c r="E67" i="37"/>
  <c r="E67" i="27"/>
  <c r="E19" i="27"/>
  <c r="E19" i="35"/>
  <c r="E67" i="35"/>
  <c r="E67" i="33"/>
  <c r="E19" i="33"/>
  <c r="Q49" i="1"/>
  <c r="C66" i="24" s="1"/>
  <c r="C97" i="1"/>
  <c r="C103" i="1"/>
  <c r="C102" i="1"/>
  <c r="C99" i="1"/>
  <c r="C101" i="1"/>
  <c r="C98" i="1"/>
  <c r="C100" i="1"/>
  <c r="E16" i="40"/>
  <c r="E64" i="40"/>
  <c r="E64" i="37"/>
  <c r="E16" i="37"/>
  <c r="E16" i="27"/>
  <c r="E64" i="27"/>
  <c r="E64" i="35"/>
  <c r="E16" i="35"/>
  <c r="E16" i="33"/>
  <c r="E64" i="33"/>
  <c r="C40" i="24"/>
  <c r="C39" i="24"/>
  <c r="C64" i="24"/>
  <c r="C43" i="24"/>
  <c r="C67" i="24"/>
  <c r="Q77" i="1"/>
  <c r="E37" i="24"/>
  <c r="S81" i="1"/>
  <c r="D13" i="40"/>
  <c r="D13" i="37"/>
  <c r="D13" i="27"/>
  <c r="D13" i="35"/>
  <c r="D13" i="33"/>
  <c r="C49" i="40"/>
  <c r="C13" i="40"/>
  <c r="C49" i="37"/>
  <c r="C13" i="37"/>
  <c r="F13" i="37" s="1"/>
  <c r="C13" i="27"/>
  <c r="C49" i="27"/>
  <c r="C49" i="35"/>
  <c r="C13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103" i="1" s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C68" i="24"/>
  <c r="C44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8" i="40" l="1"/>
  <c r="D18" i="37"/>
  <c r="D18" i="27"/>
  <c r="D18" i="35"/>
  <c r="D18" i="33"/>
  <c r="F18" i="33" s="1"/>
  <c r="D17" i="40"/>
  <c r="D17" i="37"/>
  <c r="D17" i="27"/>
  <c r="D17" i="35"/>
  <c r="D17" i="33"/>
  <c r="Q102" i="1"/>
  <c r="Q99" i="1"/>
  <c r="Q98" i="1"/>
  <c r="Q100" i="1"/>
  <c r="Q97" i="1"/>
  <c r="D14" i="40"/>
  <c r="D14" i="37"/>
  <c r="D14" i="27"/>
  <c r="D14" i="35"/>
  <c r="D14" i="33"/>
  <c r="C43" i="26"/>
  <c r="C64" i="26"/>
  <c r="C65" i="26"/>
  <c r="C15" i="40"/>
  <c r="C51" i="40"/>
  <c r="C51" i="37"/>
  <c r="C15" i="37"/>
  <c r="C51" i="27"/>
  <c r="C15" i="27"/>
  <c r="C51" i="35"/>
  <c r="C15" i="35"/>
  <c r="C51" i="33"/>
  <c r="C15" i="33"/>
  <c r="F15" i="33" s="1"/>
  <c r="J15" i="33" s="1"/>
  <c r="F13" i="33"/>
  <c r="J13" i="33" s="1"/>
  <c r="C41" i="24"/>
  <c r="C54" i="40"/>
  <c r="C18" i="40"/>
  <c r="C18" i="37"/>
  <c r="F18" i="37" s="1"/>
  <c r="C54" i="37"/>
  <c r="C18" i="27"/>
  <c r="C54" i="27"/>
  <c r="C54" i="35"/>
  <c r="C18" i="35"/>
  <c r="C18" i="33"/>
  <c r="C54" i="33"/>
  <c r="C14" i="40"/>
  <c r="C50" i="40"/>
  <c r="C14" i="37"/>
  <c r="C50" i="37"/>
  <c r="C14" i="27"/>
  <c r="C50" i="27"/>
  <c r="C50" i="35"/>
  <c r="C14" i="35"/>
  <c r="C50" i="33"/>
  <c r="C14" i="33"/>
  <c r="F14" i="33" s="1"/>
  <c r="J14" i="33" s="1"/>
  <c r="D20" i="40"/>
  <c r="D20" i="37"/>
  <c r="F20" i="37" s="1"/>
  <c r="D20" i="27"/>
  <c r="D20" i="35"/>
  <c r="D20" i="33"/>
  <c r="C42" i="24"/>
  <c r="C63" i="26"/>
  <c r="S103" i="1"/>
  <c r="S101" i="1"/>
  <c r="S98" i="1"/>
  <c r="S102" i="1"/>
  <c r="S99" i="1"/>
  <c r="E40" i="35" s="1"/>
  <c r="S100" i="1"/>
  <c r="C38" i="24"/>
  <c r="C17" i="40"/>
  <c r="C53" i="40"/>
  <c r="C17" i="37"/>
  <c r="C53" i="37"/>
  <c r="C17" i="27"/>
  <c r="C53" i="27"/>
  <c r="C53" i="35"/>
  <c r="C17" i="35"/>
  <c r="F17" i="35" s="1"/>
  <c r="C53" i="33"/>
  <c r="C17" i="33"/>
  <c r="F17" i="33" s="1"/>
  <c r="C52" i="40"/>
  <c r="C16" i="40"/>
  <c r="C52" i="37"/>
  <c r="C16" i="37"/>
  <c r="C16" i="27"/>
  <c r="C52" i="27"/>
  <c r="C52" i="35"/>
  <c r="C16" i="35"/>
  <c r="C16" i="33"/>
  <c r="F16" i="33" s="1"/>
  <c r="C52" i="33"/>
  <c r="C62" i="26"/>
  <c r="Q101" i="1"/>
  <c r="C66" i="35" s="1"/>
  <c r="C65" i="2"/>
  <c r="F13" i="35"/>
  <c r="C55" i="40"/>
  <c r="C19" i="40"/>
  <c r="C19" i="37"/>
  <c r="F19" i="37" s="1"/>
  <c r="C55" i="37"/>
  <c r="C55" i="27"/>
  <c r="C19" i="27"/>
  <c r="C55" i="35"/>
  <c r="C19" i="35"/>
  <c r="C19" i="33"/>
  <c r="C55" i="33"/>
  <c r="D15" i="40"/>
  <c r="D15" i="37"/>
  <c r="D15" i="27"/>
  <c r="D15" i="35"/>
  <c r="D15" i="33"/>
  <c r="D16" i="40"/>
  <c r="D16" i="37"/>
  <c r="D16" i="27"/>
  <c r="D16" i="35"/>
  <c r="D16" i="33"/>
  <c r="D19" i="40"/>
  <c r="D19" i="37"/>
  <c r="D19" i="27"/>
  <c r="D19" i="35"/>
  <c r="D19" i="33"/>
  <c r="F19" i="33" s="1"/>
  <c r="J19" i="33" s="1"/>
  <c r="L100" i="1"/>
  <c r="L102" i="1"/>
  <c r="L99" i="1"/>
  <c r="L101" i="1"/>
  <c r="L103" i="1"/>
  <c r="L98" i="1"/>
  <c r="C64" i="2"/>
  <c r="J97" i="1"/>
  <c r="J102" i="1"/>
  <c r="J99" i="1"/>
  <c r="J101" i="1"/>
  <c r="J98" i="1"/>
  <c r="J100" i="1"/>
  <c r="C56" i="40"/>
  <c r="C20" i="40"/>
  <c r="C20" i="37"/>
  <c r="C56" i="37"/>
  <c r="C56" i="27"/>
  <c r="C20" i="27"/>
  <c r="C20" i="35"/>
  <c r="F20" i="35" s="1"/>
  <c r="C56" i="35"/>
  <c r="C20" i="33"/>
  <c r="F20" i="33" s="1"/>
  <c r="C56" i="33"/>
  <c r="C68" i="37"/>
  <c r="C68" i="35"/>
  <c r="C68" i="33"/>
  <c r="C44" i="40"/>
  <c r="C44" i="35"/>
  <c r="C68" i="40"/>
  <c r="C44" i="37"/>
  <c r="C44" i="27"/>
  <c r="C68" i="27"/>
  <c r="C44" i="33"/>
  <c r="C32" i="35"/>
  <c r="C32" i="33"/>
  <c r="C32" i="40"/>
  <c r="C32" i="27"/>
  <c r="C32" i="37"/>
  <c r="R101" i="1"/>
  <c r="D42" i="27" s="1"/>
  <c r="R102" i="1"/>
  <c r="D43" i="33" s="1"/>
  <c r="K101" i="1"/>
  <c r="D30" i="27" s="1"/>
  <c r="K102" i="1"/>
  <c r="D67" i="37" s="1"/>
  <c r="R99" i="1"/>
  <c r="D40" i="40" s="1"/>
  <c r="R100" i="1"/>
  <c r="D41" i="27" s="1"/>
  <c r="K99" i="1"/>
  <c r="D52" i="40" s="1"/>
  <c r="K100" i="1"/>
  <c r="D65" i="40" s="1"/>
  <c r="R97" i="1"/>
  <c r="D38" i="37" s="1"/>
  <c r="R98" i="1"/>
  <c r="D39" i="40" s="1"/>
  <c r="K97" i="1"/>
  <c r="D62" i="27" s="1"/>
  <c r="K98" i="1"/>
  <c r="D51" i="27" s="1"/>
  <c r="F13" i="40"/>
  <c r="F17" i="40" s="1"/>
  <c r="F13" i="27"/>
  <c r="F19" i="27" s="1"/>
  <c r="E25" i="40"/>
  <c r="E25" i="37"/>
  <c r="E25" i="27"/>
  <c r="E49" i="40"/>
  <c r="E37" i="40"/>
  <c r="E37" i="37"/>
  <c r="E49" i="37"/>
  <c r="E49" i="27"/>
  <c r="E37" i="27"/>
  <c r="E37" i="35"/>
  <c r="E49" i="35"/>
  <c r="E49" i="33"/>
  <c r="E37" i="33"/>
  <c r="F18" i="35"/>
  <c r="F16" i="35"/>
  <c r="F15" i="35"/>
  <c r="F19" i="35"/>
  <c r="F14" i="35"/>
  <c r="C61" i="40"/>
  <c r="C37" i="40"/>
  <c r="C37" i="37"/>
  <c r="C61" i="37"/>
  <c r="C61" i="27"/>
  <c r="C37" i="27"/>
  <c r="C37" i="35"/>
  <c r="C61" i="35"/>
  <c r="C37" i="33"/>
  <c r="C61" i="33"/>
  <c r="G13" i="37"/>
  <c r="F15" i="37"/>
  <c r="J15" i="37" s="1"/>
  <c r="F17" i="37"/>
  <c r="F16" i="37"/>
  <c r="F14" i="37"/>
  <c r="C25" i="40"/>
  <c r="C25" i="37"/>
  <c r="C25" i="27"/>
  <c r="C25" i="35"/>
  <c r="C25" i="33"/>
  <c r="C59" i="40"/>
  <c r="C11" i="40"/>
  <c r="C35" i="40"/>
  <c r="C47" i="40"/>
  <c r="C23" i="40"/>
  <c r="C59" i="37"/>
  <c r="C23" i="37"/>
  <c r="C47" i="37"/>
  <c r="C35" i="37"/>
  <c r="C11" i="37"/>
  <c r="C35" i="35"/>
  <c r="C59" i="35"/>
  <c r="C23" i="35"/>
  <c r="C47" i="35"/>
  <c r="C11" i="35"/>
  <c r="C11" i="33"/>
  <c r="C23" i="33"/>
  <c r="C47" i="33"/>
  <c r="C35" i="33"/>
  <c r="C59" i="33"/>
  <c r="E26" i="40"/>
  <c r="E38" i="40"/>
  <c r="E50" i="40"/>
  <c r="D37" i="37"/>
  <c r="D37" i="40"/>
  <c r="D26" i="40"/>
  <c r="D50" i="40"/>
  <c r="D42" i="37"/>
  <c r="D42" i="40"/>
  <c r="D49" i="40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43" i="33"/>
  <c r="E55" i="33"/>
  <c r="E44" i="27"/>
  <c r="E56" i="27"/>
  <c r="E44" i="35"/>
  <c r="E56" i="35"/>
  <c r="E56" i="33"/>
  <c r="E44" i="33"/>
  <c r="E42" i="27"/>
  <c r="E54" i="27"/>
  <c r="E42" i="35"/>
  <c r="E54" i="35"/>
  <c r="E54" i="33"/>
  <c r="E42" i="33"/>
  <c r="E52" i="27"/>
  <c r="E39" i="27"/>
  <c r="E51" i="27"/>
  <c r="E51" i="35"/>
  <c r="E39" i="35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62" i="27" l="1"/>
  <c r="C62" i="35"/>
  <c r="C62" i="37"/>
  <c r="C38" i="40"/>
  <c r="C62" i="33"/>
  <c r="C38" i="33"/>
  <c r="C62" i="40"/>
  <c r="C38" i="35"/>
  <c r="C38" i="27"/>
  <c r="C38" i="37"/>
  <c r="C43" i="33"/>
  <c r="C43" i="27"/>
  <c r="C67" i="27"/>
  <c r="C43" i="37"/>
  <c r="C43" i="35"/>
  <c r="C67" i="33"/>
  <c r="C67" i="37"/>
  <c r="C67" i="40"/>
  <c r="C43" i="40"/>
  <c r="C67" i="35"/>
  <c r="C30" i="40"/>
  <c r="C30" i="33"/>
  <c r="C30" i="35"/>
  <c r="C30" i="27"/>
  <c r="C30" i="37"/>
  <c r="C42" i="40"/>
  <c r="E41" i="40"/>
  <c r="E53" i="37"/>
  <c r="E53" i="40"/>
  <c r="E41" i="37"/>
  <c r="C66" i="27"/>
  <c r="C42" i="27"/>
  <c r="E55" i="37"/>
  <c r="E43" i="37"/>
  <c r="E55" i="40"/>
  <c r="E43" i="40"/>
  <c r="E52" i="33"/>
  <c r="E40" i="33"/>
  <c r="E27" i="37"/>
  <c r="E27" i="40"/>
  <c r="E27" i="27"/>
  <c r="E42" i="40"/>
  <c r="E54" i="40"/>
  <c r="E42" i="37"/>
  <c r="E54" i="37"/>
  <c r="E52" i="35"/>
  <c r="E43" i="27"/>
  <c r="C66" i="40"/>
  <c r="E32" i="37"/>
  <c r="E32" i="40"/>
  <c r="E32" i="27"/>
  <c r="E44" i="37"/>
  <c r="E56" i="37"/>
  <c r="E56" i="40"/>
  <c r="E44" i="40"/>
  <c r="E31" i="40"/>
  <c r="E31" i="37"/>
  <c r="E31" i="27"/>
  <c r="C63" i="35"/>
  <c r="C39" i="35"/>
  <c r="C63" i="27"/>
  <c r="C63" i="40"/>
  <c r="C63" i="37"/>
  <c r="C39" i="37"/>
  <c r="C63" i="33"/>
  <c r="C39" i="33"/>
  <c r="C39" i="40"/>
  <c r="C39" i="27"/>
  <c r="C64" i="33"/>
  <c r="C40" i="27"/>
  <c r="C40" i="37"/>
  <c r="C40" i="40"/>
  <c r="C64" i="40"/>
  <c r="C64" i="27"/>
  <c r="C64" i="37"/>
  <c r="C40" i="33"/>
  <c r="C40" i="35"/>
  <c r="C64" i="35"/>
  <c r="C29" i="40"/>
  <c r="C29" i="35"/>
  <c r="C29" i="27"/>
  <c r="C29" i="33"/>
  <c r="C29" i="37"/>
  <c r="C66" i="37"/>
  <c r="C27" i="40"/>
  <c r="C27" i="27"/>
  <c r="C27" i="35"/>
  <c r="C27" i="33"/>
  <c r="C27" i="37"/>
  <c r="C42" i="37"/>
  <c r="C28" i="40"/>
  <c r="C28" i="27"/>
  <c r="C28" i="35"/>
  <c r="C28" i="33"/>
  <c r="C28" i="37"/>
  <c r="C31" i="33"/>
  <c r="C31" i="27"/>
  <c r="C31" i="40"/>
  <c r="C31" i="37"/>
  <c r="C31" i="35"/>
  <c r="E55" i="27"/>
  <c r="C42" i="35"/>
  <c r="E30" i="40"/>
  <c r="E30" i="37"/>
  <c r="E30" i="27"/>
  <c r="E29" i="40"/>
  <c r="E29" i="37"/>
  <c r="E29" i="27"/>
  <c r="C65" i="27"/>
  <c r="C41" i="35"/>
  <c r="C65" i="37"/>
  <c r="C65" i="35"/>
  <c r="C41" i="27"/>
  <c r="C65" i="33"/>
  <c r="C65" i="40"/>
  <c r="C41" i="40"/>
  <c r="C41" i="37"/>
  <c r="C41" i="33"/>
  <c r="E40" i="40"/>
  <c r="E52" i="37"/>
  <c r="E40" i="37"/>
  <c r="E52" i="40"/>
  <c r="C26" i="27"/>
  <c r="C26" i="37"/>
  <c r="C26" i="33"/>
  <c r="C26" i="40"/>
  <c r="C26" i="35"/>
  <c r="E55" i="35"/>
  <c r="C42" i="33"/>
  <c r="E51" i="40"/>
  <c r="E51" i="37"/>
  <c r="E39" i="37"/>
  <c r="E39" i="40"/>
  <c r="E43" i="35"/>
  <c r="C66" i="33"/>
  <c r="E40" i="27"/>
  <c r="D55" i="40"/>
  <c r="E28" i="40"/>
  <c r="E28" i="37"/>
  <c r="E28" i="27"/>
  <c r="D64" i="40"/>
  <c r="D42" i="35"/>
  <c r="D28" i="40"/>
  <c r="D43" i="27"/>
  <c r="D43" i="35"/>
  <c r="D66" i="27"/>
  <c r="D54" i="40"/>
  <c r="D30" i="40"/>
  <c r="D43" i="37"/>
  <c r="D30" i="37"/>
  <c r="D66" i="40"/>
  <c r="D54" i="37"/>
  <c r="D31" i="40"/>
  <c r="D42" i="33"/>
  <c r="D43" i="40"/>
  <c r="D66" i="37"/>
  <c r="D67" i="40"/>
  <c r="D54" i="27"/>
  <c r="D31" i="27"/>
  <c r="D55" i="37"/>
  <c r="D67" i="27"/>
  <c r="D55" i="27"/>
  <c r="D31" i="37"/>
  <c r="D41" i="37"/>
  <c r="D62" i="40"/>
  <c r="D41" i="35"/>
  <c r="D52" i="27"/>
  <c r="D64" i="37"/>
  <c r="D28" i="27"/>
  <c r="D52" i="37"/>
  <c r="D41" i="33"/>
  <c r="D53" i="40"/>
  <c r="D29" i="40"/>
  <c r="D28" i="37"/>
  <c r="D64" i="27"/>
  <c r="D41" i="40"/>
  <c r="D65" i="37"/>
  <c r="D29" i="37"/>
  <c r="D40" i="27"/>
  <c r="D40" i="33"/>
  <c r="D40" i="37"/>
  <c r="D53" i="37"/>
  <c r="D40" i="35"/>
  <c r="D53" i="27"/>
  <c r="D29" i="27"/>
  <c r="D65" i="27"/>
  <c r="D27" i="40"/>
  <c r="D63" i="40"/>
  <c r="D38" i="35"/>
  <c r="D38" i="27"/>
  <c r="D27" i="27"/>
  <c r="D51" i="40"/>
  <c r="D50" i="27"/>
  <c r="D26" i="27"/>
  <c r="F16" i="40"/>
  <c r="J16" i="40" s="1"/>
  <c r="D63" i="37"/>
  <c r="D27" i="37"/>
  <c r="D51" i="37"/>
  <c r="D63" i="27"/>
  <c r="F20" i="40"/>
  <c r="J20" i="40" s="1"/>
  <c r="F15" i="40"/>
  <c r="J15" i="40" s="1"/>
  <c r="J13" i="40"/>
  <c r="D62" i="37"/>
  <c r="D50" i="37"/>
  <c r="F17" i="27"/>
  <c r="G17" i="27" s="1"/>
  <c r="F16" i="27"/>
  <c r="G16" i="27" s="1"/>
  <c r="D26" i="37"/>
  <c r="D38" i="33"/>
  <c r="D38" i="40"/>
  <c r="D39" i="37"/>
  <c r="D39" i="27"/>
  <c r="D39" i="35"/>
  <c r="D39" i="33"/>
  <c r="F15" i="27"/>
  <c r="G15" i="27" s="1"/>
  <c r="F49" i="40"/>
  <c r="F56" i="40" s="1"/>
  <c r="F18" i="27"/>
  <c r="J18" i="27" s="1"/>
  <c r="F14" i="27"/>
  <c r="J14" i="27" s="1"/>
  <c r="F20" i="27"/>
  <c r="G20" i="27" s="1"/>
  <c r="F14" i="40"/>
  <c r="J14" i="40" s="1"/>
  <c r="F19" i="40"/>
  <c r="J19" i="40" s="1"/>
  <c r="F61" i="37"/>
  <c r="G61" i="37" s="1"/>
  <c r="F18" i="40"/>
  <c r="J18" i="40" s="1"/>
  <c r="F61" i="40"/>
  <c r="F37" i="40"/>
  <c r="F37" i="37"/>
  <c r="G37" i="37" s="1"/>
  <c r="F25" i="40"/>
  <c r="F49" i="37"/>
  <c r="F25" i="37"/>
  <c r="J17" i="40"/>
  <c r="J16" i="33"/>
  <c r="J14" i="37"/>
  <c r="J18" i="37"/>
  <c r="J16" i="35"/>
  <c r="J20" i="37"/>
  <c r="J20" i="35"/>
  <c r="G16" i="33"/>
  <c r="G15" i="33"/>
  <c r="G14" i="33"/>
  <c r="G13" i="33"/>
  <c r="G18" i="33"/>
  <c r="G20" i="33"/>
  <c r="G17" i="33"/>
  <c r="G19" i="33"/>
  <c r="F37" i="33"/>
  <c r="F37" i="27"/>
  <c r="G19" i="37"/>
  <c r="J19" i="37"/>
  <c r="J17" i="35"/>
  <c r="J20" i="33"/>
  <c r="G13" i="35"/>
  <c r="G18" i="35"/>
  <c r="G14" i="35"/>
  <c r="G16" i="35"/>
  <c r="G15" i="35"/>
  <c r="G19" i="35"/>
  <c r="G17" i="35"/>
  <c r="G20" i="35"/>
  <c r="J19" i="35"/>
  <c r="J15" i="35"/>
  <c r="F37" i="35"/>
  <c r="J37" i="35" s="1"/>
  <c r="G15" i="40"/>
  <c r="G13" i="40"/>
  <c r="G17" i="40"/>
  <c r="J17" i="37"/>
  <c r="J18" i="35"/>
  <c r="J17" i="33"/>
  <c r="J18" i="33"/>
  <c r="G15" i="37"/>
  <c r="G20" i="37"/>
  <c r="G16" i="37"/>
  <c r="G17" i="37"/>
  <c r="G14" i="37"/>
  <c r="G18" i="37"/>
  <c r="J14" i="35"/>
  <c r="J16" i="37"/>
  <c r="J13" i="37"/>
  <c r="J13" i="35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9" i="27"/>
  <c r="G19" i="27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32" i="40" l="1"/>
  <c r="F44" i="40"/>
  <c r="F42" i="27"/>
  <c r="G42" i="27" s="1"/>
  <c r="F67" i="40"/>
  <c r="F28" i="37"/>
  <c r="J28" i="37" s="1"/>
  <c r="G16" i="40"/>
  <c r="G20" i="40"/>
  <c r="F51" i="37"/>
  <c r="G51" i="37" s="1"/>
  <c r="J20" i="27"/>
  <c r="J17" i="27"/>
  <c r="J61" i="37"/>
  <c r="J16" i="27"/>
  <c r="G19" i="40"/>
  <c r="F38" i="33"/>
  <c r="J38" i="33" s="1"/>
  <c r="F41" i="37"/>
  <c r="J41" i="37" s="1"/>
  <c r="G14" i="27"/>
  <c r="F63" i="37"/>
  <c r="J63" i="37" s="1"/>
  <c r="F66" i="37"/>
  <c r="G66" i="37" s="1"/>
  <c r="F64" i="37"/>
  <c r="J64" i="37" s="1"/>
  <c r="F67" i="37"/>
  <c r="J67" i="37" s="1"/>
  <c r="F65" i="37"/>
  <c r="G65" i="37" s="1"/>
  <c r="F68" i="37"/>
  <c r="G68" i="37" s="1"/>
  <c r="F50" i="40"/>
  <c r="J50" i="40" s="1"/>
  <c r="J37" i="37"/>
  <c r="F42" i="37"/>
  <c r="J42" i="37" s="1"/>
  <c r="G14" i="40"/>
  <c r="F44" i="37"/>
  <c r="J44" i="37" s="1"/>
  <c r="F62" i="37"/>
  <c r="G62" i="37" s="1"/>
  <c r="F54" i="40"/>
  <c r="J54" i="40" s="1"/>
  <c r="F43" i="37"/>
  <c r="J43" i="37" s="1"/>
  <c r="G49" i="40"/>
  <c r="F27" i="37"/>
  <c r="G27" i="37" s="1"/>
  <c r="J15" i="27"/>
  <c r="F55" i="40"/>
  <c r="J55" i="40" s="1"/>
  <c r="F53" i="40"/>
  <c r="J53" i="40" s="1"/>
  <c r="J49" i="40"/>
  <c r="F52" i="40"/>
  <c r="G52" i="40" s="1"/>
  <c r="G18" i="27"/>
  <c r="F51" i="40"/>
  <c r="G51" i="40" s="1"/>
  <c r="F38" i="37"/>
  <c r="J38" i="37" s="1"/>
  <c r="F39" i="37"/>
  <c r="J39" i="37" s="1"/>
  <c r="G18" i="40"/>
  <c r="G61" i="40"/>
  <c r="F44" i="27"/>
  <c r="G44" i="27" s="1"/>
  <c r="F41" i="27"/>
  <c r="G41" i="27" s="1"/>
  <c r="F55" i="37"/>
  <c r="J55" i="37" s="1"/>
  <c r="F30" i="37"/>
  <c r="G30" i="37" s="1"/>
  <c r="F54" i="37"/>
  <c r="J54" i="37" s="1"/>
  <c r="F52" i="37"/>
  <c r="G52" i="37" s="1"/>
  <c r="F53" i="37"/>
  <c r="G53" i="37" s="1"/>
  <c r="G25" i="40"/>
  <c r="F29" i="40"/>
  <c r="G29" i="40" s="1"/>
  <c r="J25" i="40"/>
  <c r="F28" i="40"/>
  <c r="J28" i="40" s="1"/>
  <c r="F43" i="40"/>
  <c r="G43" i="40" s="1"/>
  <c r="F39" i="40"/>
  <c r="J39" i="40" s="1"/>
  <c r="F62" i="40"/>
  <c r="J62" i="40" s="1"/>
  <c r="J37" i="40"/>
  <c r="F66" i="40"/>
  <c r="G66" i="40" s="1"/>
  <c r="F38" i="40"/>
  <c r="G38" i="40" s="1"/>
  <c r="F64" i="40"/>
  <c r="G64" i="40" s="1"/>
  <c r="F68" i="40"/>
  <c r="J68" i="40" s="1"/>
  <c r="F65" i="40"/>
  <c r="J65" i="40" s="1"/>
  <c r="F41" i="40"/>
  <c r="G41" i="40" s="1"/>
  <c r="G37" i="40"/>
  <c r="F63" i="40"/>
  <c r="J63" i="40" s="1"/>
  <c r="J61" i="40"/>
  <c r="F40" i="40"/>
  <c r="J40" i="40" s="1"/>
  <c r="F42" i="40"/>
  <c r="G42" i="40" s="1"/>
  <c r="F40" i="37"/>
  <c r="G40" i="37" s="1"/>
  <c r="F31" i="40"/>
  <c r="J31" i="40" s="1"/>
  <c r="F27" i="40"/>
  <c r="J27" i="40" s="1"/>
  <c r="F32" i="37"/>
  <c r="J32" i="37" s="1"/>
  <c r="J49" i="37"/>
  <c r="F26" i="40"/>
  <c r="G26" i="40" s="1"/>
  <c r="F30" i="40"/>
  <c r="J30" i="40" s="1"/>
  <c r="F31" i="37"/>
  <c r="G31" i="37" s="1"/>
  <c r="F43" i="33"/>
  <c r="J43" i="33" s="1"/>
  <c r="F29" i="37"/>
  <c r="G29" i="37" s="1"/>
  <c r="F41" i="33"/>
  <c r="J41" i="33" s="1"/>
  <c r="G49" i="37"/>
  <c r="F56" i="37"/>
  <c r="J56" i="37" s="1"/>
  <c r="F50" i="37"/>
  <c r="J50" i="37" s="1"/>
  <c r="J37" i="27"/>
  <c r="F38" i="27"/>
  <c r="J38" i="27" s="1"/>
  <c r="F39" i="27"/>
  <c r="J39" i="27" s="1"/>
  <c r="G25" i="37"/>
  <c r="F26" i="37"/>
  <c r="J26" i="37" s="1"/>
  <c r="J25" i="37"/>
  <c r="F38" i="35"/>
  <c r="G38" i="35" s="1"/>
  <c r="F44" i="35"/>
  <c r="J44" i="35" s="1"/>
  <c r="F39" i="33"/>
  <c r="J39" i="33" s="1"/>
  <c r="F39" i="35"/>
  <c r="J39" i="35" s="1"/>
  <c r="F42" i="33"/>
  <c r="G42" i="33" s="1"/>
  <c r="F42" i="35"/>
  <c r="J42" i="35" s="1"/>
  <c r="F40" i="33"/>
  <c r="G40" i="33" s="1"/>
  <c r="G37" i="33"/>
  <c r="F43" i="35"/>
  <c r="G43" i="35" s="1"/>
  <c r="F40" i="27"/>
  <c r="J40" i="27" s="1"/>
  <c r="J37" i="33"/>
  <c r="F40" i="35"/>
  <c r="J40" i="35" s="1"/>
  <c r="G37" i="27"/>
  <c r="F41" i="35"/>
  <c r="J41" i="35" s="1"/>
  <c r="F44" i="33"/>
  <c r="J44" i="33" s="1"/>
  <c r="G37" i="35"/>
  <c r="F43" i="27"/>
  <c r="J43" i="27" s="1"/>
  <c r="J32" i="40"/>
  <c r="G32" i="40"/>
  <c r="J67" i="40"/>
  <c r="G67" i="40"/>
  <c r="J56" i="40"/>
  <c r="G56" i="40"/>
  <c r="J44" i="40"/>
  <c r="G44" i="40"/>
  <c r="J51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G38" i="33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42" i="27"/>
  <c r="J32" i="24"/>
  <c r="J50" i="24"/>
  <c r="G50" i="24"/>
  <c r="G26" i="24"/>
  <c r="J26" i="24"/>
  <c r="J38" i="24"/>
  <c r="G38" i="24"/>
  <c r="J66" i="24"/>
  <c r="G66" i="24"/>
  <c r="J42" i="24"/>
  <c r="G42" i="24"/>
  <c r="G28" i="37" l="1"/>
  <c r="J66" i="37"/>
  <c r="G63" i="37"/>
  <c r="G42" i="37"/>
  <c r="G44" i="37"/>
  <c r="G54" i="40"/>
  <c r="G64" i="37"/>
  <c r="J65" i="37"/>
  <c r="J68" i="37"/>
  <c r="J51" i="40"/>
  <c r="J62" i="37"/>
  <c r="G50" i="40"/>
  <c r="G53" i="40"/>
  <c r="G41" i="37"/>
  <c r="J27" i="37"/>
  <c r="G43" i="37"/>
  <c r="G67" i="37"/>
  <c r="G55" i="40"/>
  <c r="G39" i="40"/>
  <c r="J30" i="37"/>
  <c r="J53" i="37"/>
  <c r="J52" i="40"/>
  <c r="G38" i="37"/>
  <c r="G54" i="37"/>
  <c r="G39" i="37"/>
  <c r="J41" i="27"/>
  <c r="J52" i="37"/>
  <c r="G55" i="37"/>
  <c r="J44" i="27"/>
  <c r="J43" i="40"/>
  <c r="G63" i="40"/>
  <c r="J31" i="37"/>
  <c r="J26" i="40"/>
  <c r="J29" i="37"/>
  <c r="J38" i="40"/>
  <c r="G43" i="33"/>
  <c r="G68" i="40"/>
  <c r="G28" i="40"/>
  <c r="G40" i="40"/>
  <c r="G65" i="40"/>
  <c r="J66" i="40"/>
  <c r="J29" i="40"/>
  <c r="G62" i="40"/>
  <c r="G31" i="40"/>
  <c r="G56" i="37"/>
  <c r="J41" i="40"/>
  <c r="J42" i="40"/>
  <c r="G27" i="40"/>
  <c r="G41" i="33"/>
  <c r="G32" i="37"/>
  <c r="J64" i="40"/>
  <c r="J40" i="37"/>
  <c r="G30" i="40"/>
  <c r="G50" i="37"/>
  <c r="G38" i="27"/>
  <c r="G39" i="27"/>
  <c r="J40" i="33"/>
  <c r="G26" i="37"/>
  <c r="G44" i="35"/>
  <c r="G40" i="27"/>
  <c r="J38" i="35"/>
  <c r="G39" i="33"/>
  <c r="G42" i="35"/>
  <c r="J43" i="35"/>
  <c r="J42" i="33"/>
  <c r="G44" i="33"/>
  <c r="G39" i="35"/>
  <c r="G40" i="35"/>
  <c r="G41" i="35"/>
  <c r="G43" i="27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8" i="20"/>
  <c r="AC28" i="20"/>
  <c r="AC49" i="20"/>
  <c r="AC13" i="20"/>
  <c r="AC40" i="20"/>
  <c r="AC60" i="20"/>
  <c r="AC43" i="20"/>
  <c r="AC6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M28" i="20" l="1"/>
  <c r="AC31" i="20"/>
  <c r="AC59" i="20"/>
  <c r="AC61" i="20"/>
  <c r="AC42" i="20"/>
  <c r="AC67" i="20"/>
  <c r="AC50" i="20"/>
  <c r="AC11" i="20"/>
  <c r="AC46" i="20"/>
  <c r="AC27" i="20"/>
  <c r="AC51" i="20"/>
  <c r="AC15" i="20"/>
  <c r="AC10" i="20"/>
  <c r="AC71" i="20"/>
  <c r="AC32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6" i="20"/>
  <c r="AC66" i="20"/>
  <c r="AC52" i="20"/>
  <c r="AC23" i="20"/>
  <c r="AC72" i="20"/>
  <c r="AC33" i="20"/>
  <c r="AM33" i="20"/>
  <c r="AM16" i="20"/>
  <c r="AN48" i="20"/>
  <c r="AD48" i="20"/>
  <c r="AD16" i="20"/>
  <c r="AN16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17" i="20" l="1"/>
  <c r="AC65" i="20"/>
  <c r="AC53" i="20"/>
  <c r="AC34" i="20"/>
  <c r="AC73" i="20"/>
  <c r="AC22" i="20"/>
  <c r="AC45" i="20"/>
  <c r="AC7" i="20"/>
  <c r="AC82" i="20"/>
  <c r="AM79" i="20"/>
  <c r="AD82" i="20"/>
  <c r="AM82" i="20"/>
  <c r="AN82" i="20"/>
  <c r="AM17" i="20"/>
  <c r="AD22" i="20"/>
  <c r="BG73" i="20"/>
  <c r="BG53" i="20"/>
  <c r="AN22" i="20"/>
  <c r="AM53" i="20"/>
  <c r="AM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44" i="20" l="1"/>
  <c r="AC35" i="20"/>
  <c r="AC18" i="20"/>
  <c r="AC9" i="20"/>
  <c r="AC54" i="20"/>
  <c r="AC64" i="20"/>
  <c r="AC26" i="20"/>
  <c r="AC74" i="20"/>
  <c r="AD44" i="20"/>
  <c r="AD64" i="20"/>
  <c r="AN44" i="20"/>
  <c r="AM44" i="20"/>
  <c r="AN64" i="20"/>
  <c r="AM64" i="20"/>
  <c r="AN74" i="20"/>
  <c r="AM35" i="20"/>
  <c r="AM85" i="20"/>
  <c r="AD74" i="20"/>
  <c r="AD18" i="20"/>
  <c r="BH18" i="20"/>
  <c r="BH44" i="20"/>
  <c r="AN18" i="20"/>
  <c r="AX18" i="20"/>
  <c r="AW15" i="20"/>
  <c r="BG44" i="20"/>
  <c r="AW44" i="20"/>
  <c r="AX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8" i="20"/>
  <c r="AC25" i="20"/>
  <c r="AC75" i="20"/>
  <c r="AC19" i="20"/>
  <c r="AC55" i="20"/>
  <c r="AN8" i="20"/>
  <c r="AM8" i="20"/>
  <c r="AD8" i="20"/>
  <c r="AM75" i="20"/>
  <c r="AM19" i="20"/>
  <c r="BG81" i="20"/>
  <c r="AM36" i="20"/>
  <c r="AD36" i="20"/>
  <c r="AX36" i="20"/>
  <c r="AN36" i="20"/>
  <c r="BH36" i="20"/>
  <c r="AW36" i="20"/>
  <c r="BG36" i="20"/>
  <c r="AW19" i="20"/>
  <c r="AW25" i="20"/>
  <c r="BG25" i="20"/>
  <c r="BH8" i="20"/>
  <c r="AX8" i="20"/>
  <c r="AW75" i="20"/>
  <c r="BG8" i="20"/>
  <c r="BG75" i="20"/>
  <c r="BG19" i="20"/>
  <c r="AM25" i="20"/>
  <c r="AW8" i="20"/>
  <c r="AW40" i="20"/>
  <c r="AW59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37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37" i="20"/>
  <c r="AC5" i="20"/>
  <c r="AC20" i="20"/>
  <c r="AC24" i="20"/>
  <c r="AX24" i="20"/>
  <c r="AN24" i="20"/>
  <c r="AM5" i="20"/>
  <c r="AM24" i="20"/>
  <c r="AD24" i="20"/>
  <c r="BG5" i="20"/>
  <c r="AC80" i="20"/>
  <c r="AD80" i="20"/>
  <c r="BG80" i="20"/>
  <c r="BH80" i="20"/>
  <c r="AM80" i="20"/>
  <c r="AX80" i="20"/>
  <c r="AN80" i="20"/>
  <c r="AW80" i="20"/>
  <c r="AW5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39" i="20"/>
  <c r="AC4" i="20"/>
  <c r="AM57" i="20"/>
  <c r="BG57" i="20"/>
  <c r="AW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AW3" i="20"/>
  <c r="BG3" i="20"/>
  <c r="AM58" i="20"/>
  <c r="BH58" i="20"/>
  <c r="AW58" i="20"/>
  <c r="AD58" i="20"/>
  <c r="AN58" i="20"/>
  <c r="BH38" i="20"/>
  <c r="BG58" i="20"/>
  <c r="AX58" i="20"/>
  <c r="AX3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12" i="20"/>
  <c r="AC69" i="20"/>
  <c r="AC48" i="20"/>
  <c r="AM48" i="20"/>
  <c r="AM12" i="20"/>
  <c r="AM69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O21" i="37" s="1" a="1"/>
  <c r="O21" i="37" s="1"/>
  <c r="I2" i="37" s="1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2" i="20" l="1"/>
  <c r="AD53" i="20"/>
  <c r="AN79" i="20"/>
  <c r="BH73" i="20"/>
  <c r="AN53" i="20"/>
  <c r="BH53" i="20"/>
  <c r="AD17" i="20"/>
  <c r="AN17" i="20"/>
  <c r="AX27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N85" i="20"/>
  <c r="AD3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BH37" i="20" s="1"/>
  <c r="AD5" i="20" l="1"/>
  <c r="AN5" i="20"/>
  <c r="BH5" i="20"/>
  <c r="AD37" i="20"/>
  <c r="AX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Q134" i="28" a="1"/>
  <c r="Q134" i="28" s="1"/>
  <c r="O64" i="28" l="1" a="1"/>
  <c r="O64" i="28" s="1"/>
  <c r="O62" i="28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<sst xmlns="http://schemas.openxmlformats.org/spreadsheetml/2006/main" count="12308" uniqueCount="296">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</sst>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8.4789050000000005E-2</c:v>
                      </c:pt>
                      <c:pt idx="19">
                        <c:v>6.7207123999999993E-2</c:v>
                      </c:pt>
                      <c:pt idx="20">
                        <c:v>5.8441093999999999E-2</c:v>
                      </c:pt>
                      <c:pt idx="21">
                        <c:v>7.1342305999999994E-2</c:v>
                      </c:pt>
                      <c:pt idx="22">
                        <c:v>0.13255544499999999</c:v>
                      </c:pt>
                      <c:pt idx="23">
                        <c:v>0.147608609</c:v>
                      </c:pt>
                      <c:pt idx="24">
                        <c:v>7.8429277000000006E-2</c:v>
                      </c:pt>
                      <c:pt idx="25">
                        <c:v>3.6034129999999998E-2</c:v>
                      </c:pt>
                      <c:pt idx="26">
                        <c:v>2.0679761000000001E-2</c:v>
                      </c:pt>
                      <c:pt idx="27">
                        <c:v>3.0509189999999999E-2</c:v>
                      </c:pt>
                      <c:pt idx="28">
                        <c:v>1.304071E-2</c:v>
                      </c:pt>
                      <c:pt idx="29">
                        <c:v>7.643279E-2</c:v>
                      </c:pt>
                      <c:pt idx="30">
                        <c:v>1.1584766E-2</c:v>
                      </c:pt>
                      <c:pt idx="31">
                        <c:v>1.3366179000000001E-2</c:v>
                      </c:pt>
                      <c:pt idx="32">
                        <c:v>1.0477893E-2</c:v>
                      </c:pt>
                      <c:pt idx="33">
                        <c:v>1.3108931000000001E-2</c:v>
                      </c:pt>
                      <c:pt idx="34">
                        <c:v>3.7982613999999998E-2</c:v>
                      </c:pt>
                      <c:pt idx="35">
                        <c:v>2.0096708000000001E-2</c:v>
                      </c:pt>
                      <c:pt idx="36">
                        <c:v>1.3332781E-2</c:v>
                      </c:pt>
                      <c:pt idx="37">
                        <c:v>6.3027819999999998E-3</c:v>
                      </c:pt>
                      <c:pt idx="38">
                        <c:v>5.3506049999999996E-3</c:v>
                      </c:pt>
                      <c:pt idx="39">
                        <c:v>8.8306289999999996E-3</c:v>
                      </c:pt>
                      <c:pt idx="40">
                        <c:v>4.970202E-3</c:v>
                      </c:pt>
                      <c:pt idx="41">
                        <c:v>4.845528E-3</c:v>
                      </c:pt>
                      <c:pt idx="42">
                        <c:v>3.7341850000000001E-3</c:v>
                      </c:pt>
                      <c:pt idx="43">
                        <c:v>6.8355259999999998E-3</c:v>
                      </c:pt>
                      <c:pt idx="44">
                        <c:v>1.7262253000000002E-2</c:v>
                      </c:pt>
                      <c:pt idx="45">
                        <c:v>1.8471119999999999E-3</c:v>
                      </c:pt>
                      <c:pt idx="46">
                        <c:v>1.521959E-3</c:v>
                      </c:pt>
                      <c:pt idx="47">
                        <c:v>1.2263599999999999E-3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0.147608609</c:v>
                      </c:pt>
                      <c:pt idx="1">
                        <c:v>7.8429277000000006E-2</c:v>
                      </c:pt>
                      <c:pt idx="2">
                        <c:v>3.6034129999999998E-2</c:v>
                      </c:pt>
                      <c:pt idx="3">
                        <c:v>2.0679761000000001E-2</c:v>
                      </c:pt>
                      <c:pt idx="4">
                        <c:v>3.0509189999999999E-2</c:v>
                      </c:pt>
                      <c:pt idx="5">
                        <c:v>1.304071E-2</c:v>
                      </c:pt>
                      <c:pt idx="6">
                        <c:v>7.643279E-2</c:v>
                      </c:pt>
                      <c:pt idx="7">
                        <c:v>1.1584766E-2</c:v>
                      </c:pt>
                      <c:pt idx="8">
                        <c:v>1.3366179000000001E-2</c:v>
                      </c:pt>
                      <c:pt idx="9">
                        <c:v>1.0477893E-2</c:v>
                      </c:pt>
                      <c:pt idx="10">
                        <c:v>1.3108931000000001E-2</c:v>
                      </c:pt>
                      <c:pt idx="11">
                        <c:v>3.7982613999999998E-2</c:v>
                      </c:pt>
                      <c:pt idx="12">
                        <c:v>1.7262253000000002E-2</c:v>
                      </c:pt>
                      <c:pt idx="13">
                        <c:v>1.8471119999999999E-3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2.0803076610343297E-2</v>
      </c>
      <c r="D8" s="141">
        <f ca="1">'Pay Combo Super Feature Buy'!$I$2</f>
        <v>1.9543478223116093</v>
      </c>
      <c r="E8" s="142">
        <f ca="1">SUM('Pay Combo Super Feature Buy'!$J$23:$J$32)</f>
        <v>0.49110860494457093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82</v>
      </c>
      <c r="S3" s="100">
        <v>1000</v>
      </c>
      <c r="T3" s="100">
        <v>47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547</v>
      </c>
      <c r="S4" s="101">
        <v>838</v>
      </c>
      <c r="T4" s="101">
        <v>532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663</v>
      </c>
      <c r="S5" s="101">
        <v>294</v>
      </c>
      <c r="T5" s="101">
        <v>657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1000</v>
      </c>
      <c r="S6" s="101">
        <v>77</v>
      </c>
      <c r="T6" s="101">
        <v>1000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657</v>
      </c>
      <c r="S7" s="101">
        <v>74</v>
      </c>
      <c r="T7" s="101">
        <v>680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540</v>
      </c>
      <c r="S8" s="101">
        <v>57</v>
      </c>
      <c r="T8" s="101">
        <v>564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48</v>
      </c>
      <c r="S9" s="101">
        <v>64</v>
      </c>
      <c r="T9" s="101">
        <v>76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72</v>
      </c>
      <c r="S10" s="101">
        <v>61</v>
      </c>
      <c r="T10" s="101">
        <v>94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72</v>
      </c>
      <c r="S11" s="101">
        <v>51</v>
      </c>
      <c r="T11" s="101">
        <v>94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78</v>
      </c>
      <c r="S12" s="101">
        <v>66</v>
      </c>
      <c r="T12" s="101">
        <v>54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80</v>
      </c>
      <c r="S13" s="101">
        <v>77</v>
      </c>
      <c r="T13" s="101">
        <v>97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68</v>
      </c>
      <c r="S14" s="101">
        <v>72</v>
      </c>
      <c r="T14" s="101">
        <v>99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66</v>
      </c>
      <c r="S15" s="101">
        <v>84</v>
      </c>
      <c r="T15" s="101">
        <v>79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38</v>
      </c>
      <c r="S16" s="101">
        <v>73</v>
      </c>
      <c r="T16" s="101">
        <v>94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65</v>
      </c>
      <c r="S17" s="101">
        <v>57</v>
      </c>
      <c r="T17" s="101">
        <v>89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66</v>
      </c>
      <c r="S18" s="101">
        <v>64</v>
      </c>
      <c r="T18" s="101">
        <v>47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72</v>
      </c>
      <c r="S19" s="101">
        <v>61</v>
      </c>
      <c r="T19" s="101">
        <v>78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72</v>
      </c>
      <c r="S20" s="101">
        <v>51</v>
      </c>
      <c r="T20" s="101">
        <v>79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75</v>
      </c>
      <c r="S21" s="101">
        <v>64</v>
      </c>
      <c r="T21" s="101">
        <v>96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75</v>
      </c>
      <c r="S22" s="101">
        <v>67</v>
      </c>
      <c r="T22" s="101">
        <v>98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48</v>
      </c>
      <c r="S23" s="101">
        <v>278</v>
      </c>
      <c r="T23" s="101">
        <v>75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79</v>
      </c>
      <c r="S24" s="101">
        <v>830</v>
      </c>
      <c r="T24" s="101">
        <v>112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79</v>
      </c>
      <c r="S25" s="101">
        <v>1000</v>
      </c>
      <c r="T25" s="101">
        <v>112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79</v>
      </c>
      <c r="S26" s="101">
        <v>833</v>
      </c>
      <c r="T26" s="101">
        <v>76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80</v>
      </c>
      <c r="S27" s="101">
        <v>292</v>
      </c>
      <c r="T27" s="101">
        <v>94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71</v>
      </c>
      <c r="S28" s="101">
        <v>73</v>
      </c>
      <c r="T28" s="101">
        <v>94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69</v>
      </c>
      <c r="S29" s="101">
        <v>72</v>
      </c>
      <c r="T29" s="101">
        <v>85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65</v>
      </c>
      <c r="S30" s="101">
        <v>58</v>
      </c>
      <c r="T30" s="101">
        <v>87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66</v>
      </c>
      <c r="S31" s="101">
        <v>69</v>
      </c>
      <c r="T31" s="101">
        <v>73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72</v>
      </c>
      <c r="S32" s="101">
        <v>72</v>
      </c>
      <c r="T32" s="101">
        <v>560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72</v>
      </c>
      <c r="S33" s="101">
        <v>64</v>
      </c>
      <c r="T33" s="101">
        <v>679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78</v>
      </c>
      <c r="S34" s="101">
        <v>69</v>
      </c>
      <c r="T34" s="101">
        <v>1000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80</v>
      </c>
      <c r="S35" s="101">
        <v>63</v>
      </c>
      <c r="T35" s="101">
        <v>683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68</v>
      </c>
      <c r="S36" s="101">
        <v>51</v>
      </c>
      <c r="T36" s="101">
        <v>563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66</v>
      </c>
      <c r="S37" s="101">
        <v>66</v>
      </c>
      <c r="T37" s="101">
        <v>75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65</v>
      </c>
      <c r="S38" s="101">
        <v>77</v>
      </c>
      <c r="T38" s="101">
        <v>75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66</v>
      </c>
      <c r="S39" s="101">
        <v>71</v>
      </c>
      <c r="T39" s="101">
        <v>112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72</v>
      </c>
      <c r="S40" s="101">
        <v>53</v>
      </c>
      <c r="T40" s="101">
        <v>112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72</v>
      </c>
      <c r="S41" s="101">
        <v>43</v>
      </c>
      <c r="T41" s="101">
        <v>116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77</v>
      </c>
      <c r="S42" s="101">
        <v>56</v>
      </c>
      <c r="T42" s="101">
        <v>116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78</v>
      </c>
      <c r="S43" s="101">
        <v>68</v>
      </c>
      <c r="T43" s="101">
        <v>73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55</v>
      </c>
      <c r="S44" s="101">
        <v>63</v>
      </c>
      <c r="T44" s="101">
        <v>93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88</v>
      </c>
      <c r="S45" s="101">
        <v>74</v>
      </c>
      <c r="T45" s="101">
        <v>91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94</v>
      </c>
      <c r="S46" s="101">
        <v>73</v>
      </c>
      <c r="T46" s="101">
        <v>96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66</v>
      </c>
      <c r="S47" s="101">
        <v>69</v>
      </c>
      <c r="T47" s="101">
        <v>98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38</v>
      </c>
      <c r="S48" s="101">
        <v>72</v>
      </c>
      <c r="T48" s="101">
        <v>75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65</v>
      </c>
      <c r="S49" s="101">
        <v>81</v>
      </c>
      <c r="T49" s="101">
        <v>92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66</v>
      </c>
      <c r="S50" s="101">
        <v>86</v>
      </c>
      <c r="T50" s="101">
        <v>90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544</v>
      </c>
      <c r="S51" s="101">
        <v>304</v>
      </c>
      <c r="T51" s="101">
        <v>54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661</v>
      </c>
      <c r="S52" s="101">
        <v>837</v>
      </c>
      <c r="T52" s="101">
        <v>54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1000</v>
      </c>
      <c r="S53" s="101">
        <v>1000</v>
      </c>
      <c r="T53" s="101">
        <v>95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657</v>
      </c>
      <c r="S54" s="101">
        <v>833</v>
      </c>
      <c r="T54" s="101">
        <v>96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540</v>
      </c>
      <c r="S55" s="101">
        <v>292</v>
      </c>
      <c r="T55" s="101">
        <v>76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79</v>
      </c>
      <c r="S56" s="101">
        <v>76</v>
      </c>
      <c r="T56" s="101">
        <v>99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79</v>
      </c>
      <c r="S57" s="101">
        <v>72</v>
      </c>
      <c r="T57" s="101">
        <v>97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77</v>
      </c>
      <c r="S58" s="101">
        <v>57</v>
      </c>
      <c r="T58" s="101">
        <v>56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79</v>
      </c>
      <c r="S59" s="101">
        <v>64</v>
      </c>
      <c r="T59" s="101">
        <v>96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81</v>
      </c>
      <c r="S60" s="101">
        <v>61</v>
      </c>
      <c r="T60" s="101">
        <v>98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80</v>
      </c>
      <c r="S61" s="101">
        <v>51</v>
      </c>
      <c r="T61" s="101">
        <v>75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77</v>
      </c>
      <c r="S62" s="101">
        <v>66</v>
      </c>
      <c r="T62" s="101">
        <v>92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79</v>
      </c>
      <c r="S63" s="101">
        <v>77</v>
      </c>
      <c r="T63" s="101">
        <v>90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54</v>
      </c>
      <c r="S64" s="101">
        <v>82</v>
      </c>
      <c r="T64" s="101">
        <v>54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68</v>
      </c>
      <c r="S65" s="101">
        <v>69</v>
      </c>
      <c r="T65" s="101">
        <v>94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66</v>
      </c>
      <c r="S66" s="101">
        <v>66</v>
      </c>
      <c r="T66" s="101">
        <v>95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69</v>
      </c>
      <c r="S67" s="101">
        <v>73</v>
      </c>
      <c r="T67" s="101">
        <v>75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71</v>
      </c>
      <c r="S68" s="101">
        <v>74</v>
      </c>
      <c r="T68" s="101">
        <v>92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88</v>
      </c>
      <c r="S69" s="101">
        <v>73</v>
      </c>
      <c r="T69" s="101">
        <v>90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89</v>
      </c>
      <c r="S70" s="101">
        <v>58</v>
      </c>
      <c r="T70" s="101">
        <v>54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83</v>
      </c>
      <c r="S71" s="101">
        <v>283</v>
      </c>
      <c r="T71" s="101">
        <v>77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81</v>
      </c>
      <c r="S72" s="101">
        <v>829</v>
      </c>
      <c r="T72" s="101">
        <v>74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79</v>
      </c>
      <c r="S73" s="101">
        <v>1000</v>
      </c>
      <c r="T73" s="101">
        <v>87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79</v>
      </c>
      <c r="S74" s="101">
        <v>825</v>
      </c>
      <c r="T74" s="101">
        <v>91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74</v>
      </c>
      <c r="S75" s="101">
        <v>272</v>
      </c>
      <c r="T75" s="101">
        <v>94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74</v>
      </c>
      <c r="S76" s="101">
        <v>66</v>
      </c>
      <c r="T76" s="101">
        <v>89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75</v>
      </c>
      <c r="S77" s="101">
        <v>73</v>
      </c>
      <c r="T77" s="101">
        <v>47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74</v>
      </c>
      <c r="S78" s="101">
        <v>71</v>
      </c>
      <c r="T78" s="101">
        <v>86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79</v>
      </c>
      <c r="S79" s="101">
        <v>59</v>
      </c>
      <c r="T79" s="101">
        <v>89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80</v>
      </c>
      <c r="S80" s="101">
        <v>43</v>
      </c>
      <c r="T80" s="101">
        <v>97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78</v>
      </c>
      <c r="S81" s="101">
        <v>57</v>
      </c>
      <c r="T81" s="101">
        <v>94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77</v>
      </c>
      <c r="S82" s="101">
        <v>69</v>
      </c>
      <c r="T82" s="101">
        <v>56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77</v>
      </c>
      <c r="S83" s="101">
        <v>76</v>
      </c>
      <c r="T83" s="101">
        <v>94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79</v>
      </c>
      <c r="S84" s="101">
        <v>72</v>
      </c>
      <c r="T84" s="101">
        <v>96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82</v>
      </c>
      <c r="S85" s="101">
        <v>64</v>
      </c>
      <c r="T85" s="101">
        <v>73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81</v>
      </c>
      <c r="S86" s="101">
        <v>61</v>
      </c>
      <c r="T86" s="101">
        <v>92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65</v>
      </c>
      <c r="S87" s="101">
        <v>66</v>
      </c>
      <c r="T87" s="101">
        <v>90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63</v>
      </c>
      <c r="S88" s="101">
        <v>73</v>
      </c>
      <c r="T88" s="101">
        <v>54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65</v>
      </c>
      <c r="S89" s="101">
        <v>74</v>
      </c>
      <c r="T89" s="101">
        <v>77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66</v>
      </c>
      <c r="S90" s="101">
        <v>73</v>
      </c>
      <c r="T90" s="101">
        <v>74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79</v>
      </c>
      <c r="S91" s="101">
        <v>72</v>
      </c>
      <c r="T91" s="101">
        <v>47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80</v>
      </c>
      <c r="S92" s="101">
        <v>70</v>
      </c>
      <c r="T92" s="101">
        <v>88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78</v>
      </c>
      <c r="S93" s="101">
        <v>57</v>
      </c>
      <c r="T93" s="101">
        <v>92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77</v>
      </c>
      <c r="S94" s="101">
        <v>74</v>
      </c>
      <c r="T94" s="101">
        <v>76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74</v>
      </c>
      <c r="S95" s="101">
        <v>83</v>
      </c>
      <c r="T95" s="101">
        <v>116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74</v>
      </c>
      <c r="S96" s="101">
        <v>72</v>
      </c>
      <c r="T96" s="101">
        <v>116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49</v>
      </c>
      <c r="S97" s="101">
        <v>87</v>
      </c>
      <c r="T97" s="101">
        <v>73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71</v>
      </c>
      <c r="S98" s="101">
        <v>81</v>
      </c>
      <c r="T98" s="101">
        <v>92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71</v>
      </c>
      <c r="S99" s="101">
        <v>76</v>
      </c>
      <c r="T99" s="101">
        <v>90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77</v>
      </c>
      <c r="S100" s="101">
        <v>72</v>
      </c>
      <c r="T100" s="101">
        <v>54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77</v>
      </c>
      <c r="S101" s="101">
        <v>74</v>
      </c>
      <c r="T101" s="101">
        <v>97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80</v>
      </c>
      <c r="S102" s="101">
        <v>83</v>
      </c>
      <c r="T102" s="101">
        <v>99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82</v>
      </c>
      <c r="S103" s="101">
        <v>83</v>
      </c>
      <c r="T103" s="101">
        <v>79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54</v>
      </c>
      <c r="S104" s="101">
        <v>74</v>
      </c>
      <c r="T104" s="101">
        <v>94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89</v>
      </c>
      <c r="S105" s="101">
        <v>58</v>
      </c>
      <c r="T105" s="101">
        <v>89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88</v>
      </c>
      <c r="S106" s="101">
        <v>70</v>
      </c>
      <c r="T106" s="101">
        <v>47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76</v>
      </c>
      <c r="S107" s="101">
        <v>74</v>
      </c>
      <c r="T107" s="101">
        <v>78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75</v>
      </c>
      <c r="S108" s="101">
        <v>63</v>
      </c>
      <c r="T108" s="101">
        <v>79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47</v>
      </c>
      <c r="S109" s="101">
        <v>71</v>
      </c>
      <c r="T109" s="101">
        <v>56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77</v>
      </c>
      <c r="S110" s="101">
        <v>59</v>
      </c>
      <c r="T110" s="101">
        <v>94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78</v>
      </c>
      <c r="S111" s="101">
        <v>43</v>
      </c>
      <c r="T111" s="101">
        <v>96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80</v>
      </c>
      <c r="S112" s="101">
        <v>56</v>
      </c>
      <c r="T112" s="101">
        <v>73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79</v>
      </c>
      <c r="S113" s="101">
        <v>68</v>
      </c>
      <c r="T113" s="101">
        <v>73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72</v>
      </c>
      <c r="S114" s="101">
        <v>63</v>
      </c>
      <c r="T114" s="101">
        <v>115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93</v>
      </c>
      <c r="S115" s="101">
        <v>71</v>
      </c>
      <c r="T115" s="101">
        <v>115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69</v>
      </c>
      <c r="S116" s="101">
        <v>59</v>
      </c>
      <c r="T116" s="101">
        <v>76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72</v>
      </c>
      <c r="S117" s="101">
        <v>43</v>
      </c>
      <c r="T117" s="101">
        <v>99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102</v>
      </c>
      <c r="S118" s="101">
        <v>57</v>
      </c>
      <c r="T118" s="101">
        <v>97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78</v>
      </c>
      <c r="S119" s="101">
        <v>69</v>
      </c>
      <c r="T119" s="101">
        <v>56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545</v>
      </c>
      <c r="S120" s="101">
        <v>69</v>
      </c>
      <c r="T120" s="101">
        <v>96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661</v>
      </c>
      <c r="S121" s="101">
        <v>63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1000</v>
      </c>
      <c r="S122" s="101">
        <v>66</v>
      </c>
      <c r="T122" s="101">
        <v>79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661</v>
      </c>
      <c r="S123" s="101">
        <v>73</v>
      </c>
      <c r="T123" s="101">
        <v>102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544</v>
      </c>
      <c r="S124" s="101">
        <v>74</v>
      </c>
      <c r="T124" s="101">
        <v>99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81</v>
      </c>
      <c r="S125" s="101">
        <v>73</v>
      </c>
      <c r="T125" s="101">
        <v>96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58</v>
      </c>
      <c r="T126" s="101">
        <v>98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69</v>
      </c>
      <c r="T127" s="101">
        <v>75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77</v>
      </c>
      <c r="T128" s="101">
        <v>92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87</v>
      </c>
      <c r="T129" s="101">
        <v>90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81</v>
      </c>
      <c r="T130" s="101">
        <v>54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64</v>
      </c>
      <c r="T131" s="101">
        <v>537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73</v>
      </c>
      <c r="T132" s="101">
        <v>660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72</v>
      </c>
      <c r="T133" s="101">
        <v>1000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58</v>
      </c>
      <c r="T134" s="101">
        <v>683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69</v>
      </c>
      <c r="T135" s="101">
        <v>563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77</v>
      </c>
      <c r="T136" s="101">
        <v>90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72</v>
      </c>
      <c r="T137" s="101">
        <v>87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71</v>
      </c>
      <c r="T138" s="101">
        <v>47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53</v>
      </c>
      <c r="T139" s="101">
        <v>87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56</v>
      </c>
      <c r="T140" s="101">
        <v>91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64</v>
      </c>
      <c r="T141" s="101">
        <v>79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278</v>
      </c>
      <c r="T142" s="101">
        <v>565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830</v>
      </c>
      <c r="T143" s="101">
        <v>682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1000</v>
      </c>
      <c r="T144" s="101">
        <v>1000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825</v>
      </c>
      <c r="T145" s="101">
        <v>682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0.51686299999999996</v>
      </c>
      <c r="AJ145" s="103">
        <v>516863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272</v>
      </c>
      <c r="T146" s="101">
        <v>563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0.11075599999999999</v>
      </c>
      <c r="AJ146" s="103">
        <v>110756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66</v>
      </c>
      <c r="T147" s="101">
        <v>73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5.9069999999999998E-2</v>
      </c>
      <c r="AJ147" s="103">
        <v>59070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73</v>
      </c>
      <c r="T148" s="101">
        <v>93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2.9534999999999999E-2</v>
      </c>
      <c r="AJ148" s="103">
        <v>29535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69</v>
      </c>
      <c r="T149" s="101">
        <v>91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8.8610000000000008E-3</v>
      </c>
      <c r="AJ149" s="103">
        <v>8861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62</v>
      </c>
      <c r="T150" s="101">
        <v>56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5.9069999999999999E-3</v>
      </c>
      <c r="AJ150" s="103">
        <v>5907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66</v>
      </c>
      <c r="T151" s="101">
        <v>96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3.692E-3</v>
      </c>
      <c r="AJ151" s="103">
        <v>3692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73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2.215E-3</v>
      </c>
      <c r="AJ152" s="103">
        <v>2215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63</v>
      </c>
      <c r="T153" s="101">
        <v>79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2.215E-3</v>
      </c>
      <c r="AJ153" s="103">
        <v>2215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71</v>
      </c>
      <c r="T154" s="101">
        <v>121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8.8599999999999996E-4</v>
      </c>
      <c r="AJ154" s="103">
        <v>886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59</v>
      </c>
      <c r="T155" s="101">
        <v>120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0.26</v>
      </c>
      <c r="AJ155" s="103">
        <v>260000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57</v>
      </c>
      <c r="T156" s="101">
        <v>76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69</v>
      </c>
      <c r="T157" s="101">
        <v>570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73</v>
      </c>
      <c r="T158" s="101">
        <v>688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72</v>
      </c>
      <c r="T159" s="101">
        <v>1000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69</v>
      </c>
      <c r="T160" s="101">
        <v>663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77</v>
      </c>
      <c r="T161" s="101">
        <v>539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0.7</v>
      </c>
      <c r="AJ161" s="103">
        <v>7000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72</v>
      </c>
      <c r="T162" s="101">
        <v>56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0.2</v>
      </c>
      <c r="AJ162" s="103">
        <v>2000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71</v>
      </c>
      <c r="T163" s="101">
        <v>56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0.06</v>
      </c>
      <c r="AJ163" s="103">
        <v>600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53</v>
      </c>
      <c r="T164" s="101">
        <v>96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0.02</v>
      </c>
      <c r="AJ164" s="103">
        <v>200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59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8.0000000000000002E-3</v>
      </c>
      <c r="AJ165" s="103">
        <v>80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76</v>
      </c>
      <c r="T166" s="101">
        <v>79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5.0000000000000001E-3</v>
      </c>
      <c r="AJ166" s="103">
        <v>50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72</v>
      </c>
      <c r="T167" s="101">
        <v>94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3.0000000000000001E-3</v>
      </c>
      <c r="AJ167" s="103">
        <v>30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84</v>
      </c>
      <c r="T168" s="101">
        <v>89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3.0000000000000001E-3</v>
      </c>
      <c r="AJ168" s="103">
        <v>30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73</v>
      </c>
      <c r="T169" s="101">
        <v>47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8.0000000000000004E-4</v>
      </c>
      <c r="AJ169" s="103">
        <v>8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65</v>
      </c>
      <c r="T170" s="101">
        <v>78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2.0000000000000001E-4</v>
      </c>
      <c r="AJ170" s="103">
        <v>2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57</v>
      </c>
      <c r="T171" s="101">
        <v>79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56</v>
      </c>
      <c r="T172" s="101">
        <v>56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64</v>
      </c>
      <c r="T173" s="101">
        <v>96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69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74</v>
      </c>
      <c r="T175" s="101">
        <v>79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64</v>
      </c>
      <c r="T176" s="101">
        <v>121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70</v>
      </c>
      <c r="T177" s="101">
        <v>120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8000</v>
      </c>
      <c r="AJ177" s="103">
        <v>8000</v>
      </c>
      <c r="AK177" s="103">
        <v>8000</v>
      </c>
      <c r="AL177" s="103">
        <v>8000</v>
      </c>
      <c r="AM177" s="103">
        <v>8000</v>
      </c>
      <c r="AN177" s="103">
        <v>8000</v>
      </c>
      <c r="AO177" s="103">
        <v>8000</v>
      </c>
      <c r="AP177" s="103">
        <v>8000</v>
      </c>
      <c r="AQ177" s="103">
        <v>8000</v>
      </c>
      <c r="AR177" s="103">
        <v>8000</v>
      </c>
      <c r="AS177" s="103">
        <v>8000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58</v>
      </c>
      <c r="T178" s="101">
        <v>76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1200</v>
      </c>
      <c r="AJ178" s="103">
        <v>1200</v>
      </c>
      <c r="AK178" s="103">
        <v>1200</v>
      </c>
      <c r="AL178" s="103">
        <v>1200</v>
      </c>
      <c r="AM178" s="103">
        <v>1200</v>
      </c>
      <c r="AN178" s="103">
        <v>1200</v>
      </c>
      <c r="AO178" s="103">
        <v>1200</v>
      </c>
      <c r="AP178" s="103">
        <v>1200</v>
      </c>
      <c r="AQ178" s="103">
        <v>1200</v>
      </c>
      <c r="AR178" s="103">
        <v>1200</v>
      </c>
      <c r="AS178" s="103">
        <v>1200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56</v>
      </c>
      <c r="T179" s="101">
        <v>115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500</v>
      </c>
      <c r="AJ179" s="103">
        <v>500</v>
      </c>
      <c r="AK179" s="103">
        <v>500</v>
      </c>
      <c r="AL179" s="103">
        <v>500</v>
      </c>
      <c r="AM179" s="103">
        <v>500</v>
      </c>
      <c r="AN179" s="103">
        <v>500</v>
      </c>
      <c r="AO179" s="103">
        <v>500</v>
      </c>
      <c r="AP179" s="103">
        <v>500</v>
      </c>
      <c r="AQ179" s="103">
        <v>500</v>
      </c>
      <c r="AR179" s="103">
        <v>500</v>
      </c>
      <c r="AS179" s="103">
        <v>500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64</v>
      </c>
      <c r="T180" s="101">
        <v>115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150</v>
      </c>
      <c r="AJ180" s="103">
        <v>150</v>
      </c>
      <c r="AK180" s="103">
        <v>150</v>
      </c>
      <c r="AL180" s="103">
        <v>150</v>
      </c>
      <c r="AM180" s="103">
        <v>150</v>
      </c>
      <c r="AN180" s="103">
        <v>150</v>
      </c>
      <c r="AO180" s="103">
        <v>150</v>
      </c>
      <c r="AP180" s="103">
        <v>150</v>
      </c>
      <c r="AQ180" s="103">
        <v>150</v>
      </c>
      <c r="AR180" s="103">
        <v>150</v>
      </c>
      <c r="AS180" s="103">
        <v>150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278</v>
      </c>
      <c r="T181" s="101">
        <v>75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70</v>
      </c>
      <c r="AJ181" s="103">
        <v>70</v>
      </c>
      <c r="AK181" s="103">
        <v>70</v>
      </c>
      <c r="AL181" s="103">
        <v>70</v>
      </c>
      <c r="AM181" s="103">
        <v>70</v>
      </c>
      <c r="AN181" s="103">
        <v>70</v>
      </c>
      <c r="AO181" s="103">
        <v>70</v>
      </c>
      <c r="AP181" s="103">
        <v>70</v>
      </c>
      <c r="AQ181" s="103">
        <v>70</v>
      </c>
      <c r="AR181" s="103">
        <v>70</v>
      </c>
      <c r="AS181" s="103">
        <v>70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830</v>
      </c>
      <c r="T182" s="101">
        <v>75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40</v>
      </c>
      <c r="AJ182" s="103">
        <v>40</v>
      </c>
      <c r="AK182" s="103">
        <v>40</v>
      </c>
      <c r="AL182" s="103">
        <v>40</v>
      </c>
      <c r="AM182" s="103">
        <v>40</v>
      </c>
      <c r="AN182" s="103">
        <v>40</v>
      </c>
      <c r="AO182" s="103">
        <v>40</v>
      </c>
      <c r="AP182" s="103">
        <v>40</v>
      </c>
      <c r="AQ182" s="103">
        <v>40</v>
      </c>
      <c r="AR182" s="103">
        <v>40</v>
      </c>
      <c r="AS182" s="103">
        <v>40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1000</v>
      </c>
      <c r="T183" s="101">
        <v>92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25</v>
      </c>
      <c r="AJ183" s="103">
        <v>25</v>
      </c>
      <c r="AK183" s="103">
        <v>25</v>
      </c>
      <c r="AL183" s="103">
        <v>25</v>
      </c>
      <c r="AM183" s="103">
        <v>25</v>
      </c>
      <c r="AN183" s="103">
        <v>25</v>
      </c>
      <c r="AO183" s="103">
        <v>25</v>
      </c>
      <c r="AP183" s="103">
        <v>25</v>
      </c>
      <c r="AQ183" s="103">
        <v>25</v>
      </c>
      <c r="AR183" s="103">
        <v>25</v>
      </c>
      <c r="AS183" s="103">
        <v>25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836</v>
      </c>
      <c r="T184" s="101">
        <v>90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15</v>
      </c>
      <c r="AJ184" s="103">
        <v>15</v>
      </c>
      <c r="AK184" s="103">
        <v>15</v>
      </c>
      <c r="AL184" s="103">
        <v>15</v>
      </c>
      <c r="AM184" s="103">
        <v>15</v>
      </c>
      <c r="AN184" s="103">
        <v>15</v>
      </c>
      <c r="AO184" s="103">
        <v>15</v>
      </c>
      <c r="AP184" s="103">
        <v>15</v>
      </c>
      <c r="AQ184" s="103">
        <v>15</v>
      </c>
      <c r="AR184" s="103">
        <v>15</v>
      </c>
      <c r="AS184" s="103">
        <v>15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287</v>
      </c>
      <c r="T185" s="101">
        <v>54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12</v>
      </c>
      <c r="AJ185" s="103">
        <v>12</v>
      </c>
      <c r="AK185" s="103">
        <v>12</v>
      </c>
      <c r="AL185" s="103">
        <v>12</v>
      </c>
      <c r="AM185" s="103">
        <v>12</v>
      </c>
      <c r="AN185" s="103">
        <v>12</v>
      </c>
      <c r="AO185" s="103">
        <v>12</v>
      </c>
      <c r="AP185" s="103">
        <v>12</v>
      </c>
      <c r="AQ185" s="103">
        <v>12</v>
      </c>
      <c r="AR185" s="103">
        <v>12</v>
      </c>
      <c r="AS185" s="103">
        <v>12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69</v>
      </c>
      <c r="T186" s="101">
        <v>85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79</v>
      </c>
      <c r="T187" s="101">
        <v>87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63</v>
      </c>
      <c r="T188" s="101">
        <v>73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63</v>
      </c>
      <c r="T189" s="101">
        <v>116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70</v>
      </c>
      <c r="T190" s="101">
        <v>118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64</v>
      </c>
      <c r="T191" s="101">
        <v>79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73</v>
      </c>
      <c r="T192" s="101">
        <v>565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72</v>
      </c>
      <c r="T193" s="101">
        <v>682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70</v>
      </c>
      <c r="T194" s="101">
        <v>1000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74</v>
      </c>
      <c r="T195" s="101">
        <v>682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74</v>
      </c>
      <c r="T196" s="101">
        <v>563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73</v>
      </c>
      <c r="T197" s="101">
        <v>73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69</v>
      </c>
      <c r="T198" s="101">
        <v>560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77</v>
      </c>
      <c r="T199" s="101">
        <v>679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72</v>
      </c>
      <c r="T200" s="101">
        <v>1000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304</v>
      </c>
      <c r="T201" s="101">
        <v>682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837</v>
      </c>
      <c r="T202" s="101">
        <v>563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1000</v>
      </c>
      <c r="T203" s="101">
        <v>116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833</v>
      </c>
      <c r="T204" s="101">
        <v>108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292</v>
      </c>
      <c r="T205" s="101">
        <v>89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70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58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56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64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278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830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84789050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67207124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58441094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71342306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132555445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147608609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78429277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36034130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20679761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30509190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13040710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76432790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11584766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13366179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10477893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13108931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37982614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20096708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13332781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6302782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5350605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8830629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4970202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4845528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3734185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6835526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17262253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1847112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1521959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1226360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0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0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0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253501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0.924999994550468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8526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8.5260000000000002E-4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1668</v>
      </c>
      <c r="D200" s="30">
        <v>1334.3999999999985</v>
      </c>
      <c r="E200" s="187">
        <f t="shared" ref="E200:E256" si="6">IFERROR((D200/$E$196)/(C200),0)</f>
        <v>3.1999999999999963E-3</v>
      </c>
      <c r="F200" s="188">
        <v>1.6679999999999999E-4</v>
      </c>
      <c r="G200" s="189">
        <v>5.337599999999993E-7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3605</v>
      </c>
      <c r="D201" s="30">
        <v>6505.9999999999973</v>
      </c>
      <c r="E201" s="187">
        <f t="shared" si="6"/>
        <v>7.2188626907073485E-3</v>
      </c>
      <c r="F201" s="188">
        <v>3.6049999999999998E-4</v>
      </c>
      <c r="G201" s="189">
        <v>2.602399999999999E-6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1407</v>
      </c>
      <c r="D202" s="30">
        <v>3667.2000000000025</v>
      </c>
      <c r="E202" s="187">
        <f t="shared" si="6"/>
        <v>1.042558635394457E-2</v>
      </c>
      <c r="F202" s="188">
        <v>1.407E-4</v>
      </c>
      <c r="G202" s="189">
        <v>1.466880000000001E-6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7149</v>
      </c>
      <c r="D203" s="30">
        <v>26095.600000000068</v>
      </c>
      <c r="E203" s="187">
        <f t="shared" si="6"/>
        <v>1.4600979157924224E-2</v>
      </c>
      <c r="F203" s="188">
        <v>7.1489999999999998E-4</v>
      </c>
      <c r="G203" s="189">
        <v>1.0438240000000028E-5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3941</v>
      </c>
      <c r="D204" s="30">
        <v>18867.999999999956</v>
      </c>
      <c r="E204" s="187">
        <f t="shared" si="6"/>
        <v>1.9150469424004016E-2</v>
      </c>
      <c r="F204" s="188">
        <v>3.9409999999999998E-4</v>
      </c>
      <c r="G204" s="189">
        <v>7.5471999999999826E-6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5765</v>
      </c>
      <c r="D205" s="30">
        <v>33644.799999999996</v>
      </c>
      <c r="E205" s="187">
        <f t="shared" si="6"/>
        <v>2.3344180398959233E-2</v>
      </c>
      <c r="F205" s="188">
        <v>5.7649999999999997E-4</v>
      </c>
      <c r="G205" s="189">
        <v>1.3457919999999997E-5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3672</v>
      </c>
      <c r="D206" s="30">
        <v>24102.799999999945</v>
      </c>
      <c r="E206" s="187">
        <f t="shared" si="6"/>
        <v>2.6255773420479245E-2</v>
      </c>
      <c r="F206" s="188">
        <v>3.6719999999999998E-4</v>
      </c>
      <c r="G206" s="189">
        <v>9.6411199999999776E-6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8942</v>
      </c>
      <c r="D207" s="30">
        <v>69294.999999999913</v>
      </c>
      <c r="E207" s="187">
        <f t="shared" si="6"/>
        <v>3.0997539700290726E-2</v>
      </c>
      <c r="F207" s="188">
        <v>8.9420000000000005E-4</v>
      </c>
      <c r="G207" s="189">
        <v>2.7717999999999967E-5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4584</v>
      </c>
      <c r="D208" s="30">
        <v>40093.399999999951</v>
      </c>
      <c r="E208" s="187">
        <f t="shared" si="6"/>
        <v>3.4985514834205894E-2</v>
      </c>
      <c r="F208" s="188">
        <v>4.5839999999999998E-4</v>
      </c>
      <c r="G208" s="189">
        <v>1.603735999999998E-5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8178</v>
      </c>
      <c r="D209" s="30">
        <v>79419.599999999744</v>
      </c>
      <c r="E209" s="187">
        <f t="shared" si="6"/>
        <v>3.8845487894350571E-2</v>
      </c>
      <c r="F209" s="188">
        <v>8.1780000000000004E-4</v>
      </c>
      <c r="G209" s="189">
        <v>3.1767839999999899E-5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35834</v>
      </c>
      <c r="D210" s="30">
        <v>458337.99999999942</v>
      </c>
      <c r="E210" s="187">
        <f t="shared" si="6"/>
        <v>5.1162359770050722E-2</v>
      </c>
      <c r="F210" s="188">
        <v>3.5834E-3</v>
      </c>
      <c r="G210" s="189">
        <v>1.8333519999999976E-4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47058</v>
      </c>
      <c r="D211" s="30">
        <v>836298.59999999905</v>
      </c>
      <c r="E211" s="187">
        <f t="shared" si="6"/>
        <v>7.1086625015937696E-2</v>
      </c>
      <c r="F211" s="188">
        <v>4.7057999999999996E-3</v>
      </c>
      <c r="G211" s="189">
        <v>3.3451943999999957E-4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48983</v>
      </c>
      <c r="D212" s="30">
        <v>1114174.2000000039</v>
      </c>
      <c r="E212" s="187">
        <f t="shared" si="6"/>
        <v>9.0984561990895135E-2</v>
      </c>
      <c r="F212" s="188">
        <v>4.8983000000000004E-3</v>
      </c>
      <c r="G212" s="189">
        <v>4.4566968000000167E-4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12.214174561977154</v>
      </c>
      <c r="S212" s="182"/>
    </row>
    <row r="213" spans="1:24" ht="15.6">
      <c r="A213" s="257">
        <v>25</v>
      </c>
      <c r="B213" s="258">
        <v>30</v>
      </c>
      <c r="C213" s="160">
        <v>60567</v>
      </c>
      <c r="D213" s="30">
        <v>1676410.5999999947</v>
      </c>
      <c r="E213" s="187">
        <f t="shared" si="6"/>
        <v>0.11071445506628988</v>
      </c>
      <c r="F213" s="188">
        <v>6.0566999999999999E-3</v>
      </c>
      <c r="G213" s="189">
        <v>6.7056423999999786E-4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9.5328347075939739</v>
      </c>
      <c r="S213" s="182"/>
    </row>
    <row r="214" spans="1:24" ht="15.6">
      <c r="A214" s="257">
        <v>30</v>
      </c>
      <c r="B214" s="258">
        <v>35</v>
      </c>
      <c r="C214" s="160">
        <v>62845</v>
      </c>
      <c r="D214" s="30">
        <v>2051052.4000000039</v>
      </c>
      <c r="E214" s="187">
        <f t="shared" si="6"/>
        <v>0.13054673561938124</v>
      </c>
      <c r="F214" s="188">
        <v>6.2845000000000002E-3</v>
      </c>
      <c r="G214" s="189">
        <v>8.2042096000000146E-4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6.3156724727540183</v>
      </c>
    </row>
    <row r="215" spans="1:24" ht="15.6">
      <c r="A215" s="257">
        <v>35</v>
      </c>
      <c r="B215" s="258">
        <v>40</v>
      </c>
      <c r="C215" s="160">
        <v>74507</v>
      </c>
      <c r="D215" s="30">
        <v>2806417.9999999981</v>
      </c>
      <c r="E215" s="187">
        <f t="shared" si="6"/>
        <v>0.1506660045364864</v>
      </c>
      <c r="F215" s="188">
        <v>7.4507000000000002E-3</v>
      </c>
      <c r="G215" s="189">
        <v>1.1225671999999993E-3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19.56671422633783</v>
      </c>
    </row>
    <row r="216" spans="1:24" ht="15.6">
      <c r="A216" s="257">
        <v>40</v>
      </c>
      <c r="B216" s="258">
        <v>45</v>
      </c>
      <c r="C216" s="160">
        <v>72801</v>
      </c>
      <c r="D216" s="30">
        <v>3110447.4000000041</v>
      </c>
      <c r="E216" s="187">
        <f t="shared" si="6"/>
        <v>0.17090135575060805</v>
      </c>
      <c r="F216" s="188">
        <v>7.2801000000000003E-3</v>
      </c>
      <c r="G216" s="189">
        <v>1.2441789600000017E-3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6.7378908923648071</v>
      </c>
    </row>
    <row r="217" spans="1:24" ht="15.6">
      <c r="A217" s="257">
        <v>45</v>
      </c>
      <c r="B217" s="258">
        <v>50</v>
      </c>
      <c r="C217" s="160">
        <v>80766</v>
      </c>
      <c r="D217" s="30">
        <v>3851946.8000000161</v>
      </c>
      <c r="E217" s="187">
        <f t="shared" si="6"/>
        <v>0.19077071044746632</v>
      </c>
      <c r="F217" s="188">
        <v>8.0765999999999998E-3</v>
      </c>
      <c r="G217" s="189">
        <v>1.5407787200000065E-3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12.075215217179812</v>
      </c>
    </row>
    <row r="218" spans="1:24" ht="15.6">
      <c r="A218" s="257">
        <v>50</v>
      </c>
      <c r="B218" s="258">
        <v>60</v>
      </c>
      <c r="C218" s="160">
        <v>171270</v>
      </c>
      <c r="D218" s="30">
        <v>9468543.4000000022</v>
      </c>
      <c r="E218" s="187">
        <f t="shared" si="6"/>
        <v>0.22113723127226023</v>
      </c>
      <c r="F218" s="188">
        <v>1.7127E-2</v>
      </c>
      <c r="G218" s="189">
        <v>3.7874173600000011E-3</v>
      </c>
      <c r="H218" s="232">
        <v>0.2</v>
      </c>
      <c r="I218" s="274" t="str">
        <f t="shared" si="7"/>
        <v>(50, 60]</v>
      </c>
      <c r="J218" s="160">
        <v>1</v>
      </c>
      <c r="K218" s="234">
        <v>4.9506072575465643</v>
      </c>
      <c r="L218" s="188">
        <v>8.4789050500000004E-2</v>
      </c>
      <c r="M218" s="233">
        <v>84789050</v>
      </c>
      <c r="N218" s="195">
        <v>8.4789050000000005E-2</v>
      </c>
      <c r="O218" s="211">
        <v>1.8750015759205239E-2</v>
      </c>
      <c r="Q218" s="1">
        <v>0.11195442178961326</v>
      </c>
      <c r="R218" s="1">
        <v>6.5367210713851387</v>
      </c>
    </row>
    <row r="219" spans="1:24" ht="15.6">
      <c r="A219" s="257">
        <v>60</v>
      </c>
      <c r="B219" s="258">
        <v>70</v>
      </c>
      <c r="C219" s="160">
        <v>181783</v>
      </c>
      <c r="D219" s="30">
        <v>11862782.599999983</v>
      </c>
      <c r="E219" s="187">
        <f t="shared" si="6"/>
        <v>0.261031726839143</v>
      </c>
      <c r="F219" s="188">
        <v>1.8178300000000001E-2</v>
      </c>
      <c r="G219" s="189">
        <v>4.7451130399999934E-3</v>
      </c>
      <c r="H219" s="232">
        <v>0.24</v>
      </c>
      <c r="I219" s="274" t="str">
        <f t="shared" si="7"/>
        <v>(60, 70]</v>
      </c>
      <c r="J219" s="160">
        <v>1</v>
      </c>
      <c r="K219" s="234">
        <v>3.6971072377505045</v>
      </c>
      <c r="L219" s="188">
        <v>6.7207124500000007E-2</v>
      </c>
      <c r="M219" s="233">
        <v>67207124</v>
      </c>
      <c r="N219" s="195">
        <v>6.7207123999999993E-2</v>
      </c>
      <c r="O219" s="211">
        <v>1.7543191633612409E-2</v>
      </c>
      <c r="Q219" s="1">
        <v>4.2150854631160924E-2</v>
      </c>
      <c r="R219" s="1">
        <v>2.3187456820033181</v>
      </c>
    </row>
    <row r="220" spans="1:24" ht="15.6">
      <c r="A220" s="257">
        <v>70</v>
      </c>
      <c r="B220" s="258">
        <v>80</v>
      </c>
      <c r="C220" s="160">
        <v>192839</v>
      </c>
      <c r="D220" s="30">
        <v>14505476.800000023</v>
      </c>
      <c r="E220" s="187">
        <f t="shared" si="6"/>
        <v>0.30088263888528821</v>
      </c>
      <c r="F220" s="188">
        <v>1.92839E-2</v>
      </c>
      <c r="G220" s="189">
        <v>5.8021907200000089E-3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3.0305640715830302</v>
      </c>
      <c r="L220" s="188">
        <v>5.8441094499999992E-2</v>
      </c>
      <c r="M220" s="233">
        <v>58441094</v>
      </c>
      <c r="N220" s="195">
        <v>5.8441093999999999E-2</v>
      </c>
      <c r="O220" s="211">
        <v>1.7583910582063184E-2</v>
      </c>
      <c r="Q220" s="1">
        <v>3.6385840192037056E-2</v>
      </c>
      <c r="R220" s="1">
        <v>1.8868506988750748</v>
      </c>
    </row>
    <row r="221" spans="1:24" thickBot="1">
      <c r="A221" s="257">
        <v>80</v>
      </c>
      <c r="B221" s="258">
        <v>90</v>
      </c>
      <c r="C221" s="160">
        <v>198472</v>
      </c>
      <c r="D221" s="30">
        <v>16914790</v>
      </c>
      <c r="E221" s="187">
        <f t="shared" si="6"/>
        <v>0.34090027812487406</v>
      </c>
      <c r="F221" s="188">
        <v>1.9847199999999999E-2</v>
      </c>
      <c r="G221" s="189">
        <v>6.7659160000000003E-3</v>
      </c>
      <c r="H221" s="232">
        <v>0.32</v>
      </c>
      <c r="I221" s="274" t="str">
        <f t="shared" si="7"/>
        <v>(80, 90]</v>
      </c>
      <c r="J221" s="160">
        <v>1</v>
      </c>
      <c r="K221" s="276">
        <v>3.5945779001572009</v>
      </c>
      <c r="L221" s="188">
        <v>7.1342306499999994E-2</v>
      </c>
      <c r="M221" s="233">
        <v>71342306</v>
      </c>
      <c r="N221" s="195">
        <v>7.1342305999999994E-2</v>
      </c>
      <c r="O221" s="211">
        <v>2.432061195746987E-2</v>
      </c>
      <c r="Q221" s="1">
        <v>4.4133565457011449E-2</v>
      </c>
      <c r="R221" s="1">
        <v>2.2236670894136932</v>
      </c>
    </row>
    <row r="222" spans="1:24" ht="16.8" thickBot="1">
      <c r="A222" s="257">
        <v>90</v>
      </c>
      <c r="B222" s="258">
        <v>100</v>
      </c>
      <c r="C222" s="160">
        <v>202219</v>
      </c>
      <c r="D222" s="30">
        <v>19252166.400000006</v>
      </c>
      <c r="E222" s="187">
        <f t="shared" si="6"/>
        <v>0.38081815061888358</v>
      </c>
      <c r="F222" s="188">
        <v>2.0221900000000001E-2</v>
      </c>
      <c r="G222" s="189">
        <v>7.7008665600000019E-3</v>
      </c>
      <c r="H222" s="232">
        <v>0.36</v>
      </c>
      <c r="I222" s="274" t="str">
        <f t="shared" si="7"/>
        <v>(90, 100]</v>
      </c>
      <c r="J222" s="160">
        <v>1</v>
      </c>
      <c r="K222" s="276">
        <v>6.5550440611416336</v>
      </c>
      <c r="L222" s="188">
        <v>0.13255544550000001</v>
      </c>
      <c r="M222" s="233">
        <v>132555445</v>
      </c>
      <c r="N222" s="195">
        <v>0.13255544499999999</v>
      </c>
      <c r="O222" s="211">
        <v>5.0479519419363135E-2</v>
      </c>
      <c r="Q222" s="1">
        <v>8.1534868779438843E-2</v>
      </c>
      <c r="R222" s="1">
        <v>4.0320083068079082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411771</v>
      </c>
      <c r="D223" s="30">
        <v>45376007.200000077</v>
      </c>
      <c r="E223" s="187">
        <f t="shared" si="6"/>
        <v>0.44078876074322942</v>
      </c>
      <c r="F223" s="188">
        <v>4.1177100000000001E-2</v>
      </c>
      <c r="G223" s="189">
        <v>1.8150402880000034E-2</v>
      </c>
      <c r="H223" s="232">
        <v>0.4</v>
      </c>
      <c r="I223" s="274" t="str">
        <f t="shared" si="7"/>
        <v>(100, 120]</v>
      </c>
      <c r="J223" s="160">
        <v>1</v>
      </c>
      <c r="K223" s="276">
        <v>3.5847257213354022</v>
      </c>
      <c r="L223" s="188">
        <v>0.14760860949999999</v>
      </c>
      <c r="M223" s="233">
        <v>147608609</v>
      </c>
      <c r="N223" s="195">
        <v>0.147608609</v>
      </c>
      <c r="O223" s="211">
        <v>6.50642158361419E-2</v>
      </c>
      <c r="Q223" s="1">
        <v>9.0112979805137619E-2</v>
      </c>
      <c r="R223" s="1">
        <v>2.1884246293482934</v>
      </c>
      <c r="U223" s="128" t="s">
        <v>271</v>
      </c>
      <c r="V223" s="185">
        <f>SUM(N199:N228)</f>
        <v>0.74063669599999993</v>
      </c>
      <c r="W223" s="296" cm="1">
        <f t="array" ref="W223:W228">1/V223:V228</f>
        <v>1.3501896481780591</v>
      </c>
      <c r="X223" s="302"/>
    </row>
    <row r="224" spans="1:24" ht="15.6">
      <c r="A224" s="257">
        <v>120</v>
      </c>
      <c r="B224" s="258">
        <v>140</v>
      </c>
      <c r="C224" s="160">
        <v>408246</v>
      </c>
      <c r="D224" s="30">
        <v>53137693.600000009</v>
      </c>
      <c r="E224" s="187">
        <f t="shared" si="6"/>
        <v>0.52064386276901675</v>
      </c>
      <c r="F224" s="188">
        <v>4.0824600000000003E-2</v>
      </c>
      <c r="G224" s="189">
        <v>2.1255077440000002E-2</v>
      </c>
      <c r="H224" s="232">
        <v>0.48</v>
      </c>
      <c r="I224" s="274" t="str">
        <f t="shared" si="7"/>
        <v>(120, 140]</v>
      </c>
      <c r="J224" s="160">
        <v>1</v>
      </c>
      <c r="K224" s="276">
        <v>1.9211278861274819</v>
      </c>
      <c r="L224" s="188">
        <v>7.8429277500000005E-2</v>
      </c>
      <c r="M224" s="233">
        <v>78429277</v>
      </c>
      <c r="N224" s="195">
        <v>7.8429277000000006E-2</v>
      </c>
      <c r="O224" s="211">
        <v>4.0833721731461207E-2</v>
      </c>
      <c r="Q224" s="1">
        <v>4.747126106777233E-2</v>
      </c>
      <c r="R224" s="272">
        <v>1.1628101945339899</v>
      </c>
      <c r="U224" s="124" t="s">
        <v>275</v>
      </c>
      <c r="V224" s="188">
        <f>SUM(N229:N256)</f>
        <v>0.25936330399999996</v>
      </c>
      <c r="W224" s="297">
        <v>3.8555955471634498</v>
      </c>
      <c r="X224" s="303">
        <v>2500</v>
      </c>
    </row>
    <row r="225" spans="1:24" ht="15.6">
      <c r="A225" s="257">
        <v>140</v>
      </c>
      <c r="B225" s="258">
        <v>160</v>
      </c>
      <c r="C225" s="160">
        <v>398022</v>
      </c>
      <c r="D225" s="30">
        <v>59746646.200000048</v>
      </c>
      <c r="E225" s="187">
        <f t="shared" si="6"/>
        <v>0.60043561612172236</v>
      </c>
      <c r="F225" s="188">
        <v>3.9802200000000003E-2</v>
      </c>
      <c r="G225" s="189">
        <v>2.3898658480000019E-2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0.90533011994311874</v>
      </c>
      <c r="L225" s="188">
        <v>3.6034130500000004E-2</v>
      </c>
      <c r="M225" s="233">
        <v>36034130</v>
      </c>
      <c r="N225" s="195">
        <v>3.6034129999999998E-2</v>
      </c>
      <c r="O225" s="211">
        <v>2.1636175047960237E-2</v>
      </c>
      <c r="Q225" s="1">
        <v>2.1651011757170088E-2</v>
      </c>
      <c r="R225" s="272">
        <v>0.54396520185241237</v>
      </c>
      <c r="U225" s="124" t="s">
        <v>272</v>
      </c>
      <c r="V225" s="188">
        <f>SUM(N234:N256)</f>
        <v>0.13439274500000001</v>
      </c>
      <c r="W225" s="297">
        <v>7.4408778539347491</v>
      </c>
      <c r="X225" s="303">
        <v>5000</v>
      </c>
    </row>
    <row r="226" spans="1:24" ht="15.6">
      <c r="A226" s="257">
        <v>160</v>
      </c>
      <c r="B226" s="258">
        <v>180</v>
      </c>
      <c r="C226" s="160">
        <v>385260</v>
      </c>
      <c r="D226" s="30">
        <v>65537394.199999981</v>
      </c>
      <c r="E226" s="187">
        <f t="shared" si="6"/>
        <v>0.6804484680475521</v>
      </c>
      <c r="F226" s="188">
        <v>3.8525999999999998E-2</v>
      </c>
      <c r="G226" s="189">
        <v>2.6214957679999991E-2</v>
      </c>
      <c r="H226" s="232">
        <v>0.64</v>
      </c>
      <c r="I226" s="124" t="str">
        <f t="shared" si="7"/>
        <v>(160, 180]</v>
      </c>
      <c r="J226" s="160">
        <v>1</v>
      </c>
      <c r="K226" s="276">
        <v>0.53677416549862433</v>
      </c>
      <c r="L226" s="188">
        <v>2.0679761500000001E-2</v>
      </c>
      <c r="M226" s="233">
        <v>20679761</v>
      </c>
      <c r="N226" s="195">
        <v>2.0679761000000001E-2</v>
      </c>
      <c r="O226" s="211">
        <v>1.4071511692039514E-2</v>
      </c>
      <c r="Q226" s="1">
        <v>1.2345605360363113E-2</v>
      </c>
      <c r="R226" s="272">
        <v>0.32044866740287375</v>
      </c>
      <c r="U226" s="124" t="s">
        <v>287</v>
      </c>
      <c r="V226" s="188">
        <f>SUM(N245:N256)</f>
        <v>4.8489319999999994E-3</v>
      </c>
      <c r="W226" s="297">
        <v>206.23098034783746</v>
      </c>
      <c r="X226" s="303">
        <v>12500</v>
      </c>
    </row>
    <row r="227" spans="1:24" ht="15.6">
      <c r="A227" s="257">
        <v>180</v>
      </c>
      <c r="B227" s="258">
        <v>200</v>
      </c>
      <c r="C227" s="160">
        <v>367838</v>
      </c>
      <c r="D227" s="30">
        <v>69923378.600000024</v>
      </c>
      <c r="E227" s="187">
        <f t="shared" si="6"/>
        <v>0.76037145265035178</v>
      </c>
      <c r="F227" s="188">
        <v>3.6783799999999998E-2</v>
      </c>
      <c r="G227" s="189">
        <v>2.7969351440000009E-2</v>
      </c>
      <c r="H227" s="232">
        <v>0.72</v>
      </c>
      <c r="I227" s="124" t="str">
        <f t="shared" si="7"/>
        <v>(180, 200]</v>
      </c>
      <c r="J227" s="160">
        <v>1</v>
      </c>
      <c r="K227" s="276">
        <v>0.82941921443679012</v>
      </c>
      <c r="L227" s="188">
        <v>3.0509190499999998E-2</v>
      </c>
      <c r="M227" s="233">
        <v>30509190</v>
      </c>
      <c r="N227" s="195">
        <v>3.0509189999999999E-2</v>
      </c>
      <c r="O227" s="211">
        <v>2.3198317119485584E-2</v>
      </c>
      <c r="Q227" s="1">
        <v>1.8109825476012021E-2</v>
      </c>
      <c r="R227" s="272">
        <v>0.49233155563079456</v>
      </c>
      <c r="U227" s="124" t="s">
        <v>288</v>
      </c>
      <c r="V227" s="188">
        <f>SUM(N246:N256)</f>
        <v>3.0018200000000001E-3</v>
      </c>
      <c r="W227" s="297">
        <v>333.13123371821092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841888</v>
      </c>
      <c r="D228" s="30">
        <v>189082778.59999949</v>
      </c>
      <c r="E228" s="187">
        <f t="shared" si="6"/>
        <v>0.89837497909460406</v>
      </c>
      <c r="F228" s="188">
        <v>8.4188799999999994E-2</v>
      </c>
      <c r="G228" s="189">
        <v>7.5633111439999803E-2</v>
      </c>
      <c r="H228" s="232">
        <v>0.8</v>
      </c>
      <c r="I228" s="124" t="str">
        <f t="shared" si="7"/>
        <v>(200, 250]</v>
      </c>
      <c r="J228" s="160">
        <v>1</v>
      </c>
      <c r="K228" s="276">
        <v>0.15489840097495153</v>
      </c>
      <c r="L228" s="188">
        <v>1.3040710499999998E-2</v>
      </c>
      <c r="M228" s="233">
        <v>13040710</v>
      </c>
      <c r="N228" s="195">
        <v>1.304071E-2</v>
      </c>
      <c r="O228" s="211">
        <v>1.1715447573628794E-2</v>
      </c>
      <c r="Q228" s="1">
        <v>7.674595432961279E-3</v>
      </c>
      <c r="R228" s="272">
        <v>9.1159339876103224E-2</v>
      </c>
      <c r="U228" s="125" t="s">
        <v>273</v>
      </c>
      <c r="V228" s="191">
        <f>SUM(N253)</f>
        <v>2.53501E-4</v>
      </c>
      <c r="W228" s="298">
        <v>3944.757614368385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734008</v>
      </c>
      <c r="D229" s="30">
        <v>201530062.19999975</v>
      </c>
      <c r="E229" s="187">
        <f t="shared" si="6"/>
        <v>1.098244499787467</v>
      </c>
      <c r="F229" s="188">
        <v>7.3400800000000002E-2</v>
      </c>
      <c r="G229" s="189">
        <v>8.0612024879999911E-2</v>
      </c>
      <c r="H229" s="232">
        <v>1</v>
      </c>
      <c r="I229" s="275" t="str">
        <f t="shared" si="7"/>
        <v>(250, 300]</v>
      </c>
      <c r="J229" s="160">
        <v>1</v>
      </c>
      <c r="K229" s="276">
        <v>1.0413073222635176</v>
      </c>
      <c r="L229" s="188">
        <v>7.6432790500000014E-2</v>
      </c>
      <c r="M229" s="233">
        <v>76432790</v>
      </c>
      <c r="N229" s="195">
        <v>7.643279E-2</v>
      </c>
      <c r="O229" s="211">
        <v>8.3941891220910503E-2</v>
      </c>
      <c r="P229" s="1" cm="1">
        <f t="array" ref="P229:P256">2*K229:K256</f>
        <v>2.0826146445270353</v>
      </c>
      <c r="Q229" s="1">
        <v>1.1129664251999793E-2</v>
      </c>
      <c r="R229" s="272">
        <v>0.15162865053241645</v>
      </c>
    </row>
    <row r="230" spans="1:24" ht="15.6">
      <c r="A230" s="257">
        <v>300</v>
      </c>
      <c r="B230" s="258">
        <v>350</v>
      </c>
      <c r="C230" s="160">
        <v>639170</v>
      </c>
      <c r="D230" s="30">
        <v>207466983.39999974</v>
      </c>
      <c r="E230" s="187">
        <f t="shared" si="6"/>
        <v>1.2983524470798049</v>
      </c>
      <c r="F230" s="188">
        <v>6.3917000000000002E-2</v>
      </c>
      <c r="G230" s="189">
        <v>8.2986793359999894E-2</v>
      </c>
      <c r="H230" s="232">
        <v>1.2</v>
      </c>
      <c r="I230" s="124" t="str">
        <f t="shared" si="7"/>
        <v>(300, 350]</v>
      </c>
      <c r="J230" s="160">
        <v>1</v>
      </c>
      <c r="K230" s="276">
        <v>0.18124703130622527</v>
      </c>
      <c r="L230" s="188">
        <v>1.1584766500000001E-2</v>
      </c>
      <c r="M230" s="233">
        <v>11584766</v>
      </c>
      <c r="N230" s="195">
        <v>1.1584766E-2</v>
      </c>
      <c r="O230" s="211">
        <v>1.5041109284946922E-2</v>
      </c>
      <c r="P230" s="1">
        <v>0.36249406261245054</v>
      </c>
      <c r="Q230" s="1">
        <v>1.6724255706989108E-3</v>
      </c>
      <c r="R230" s="272">
        <v>2.616558303266597E-2</v>
      </c>
    </row>
    <row r="231" spans="1:24" ht="15.6">
      <c r="A231" s="257">
        <v>350</v>
      </c>
      <c r="B231" s="258">
        <v>400</v>
      </c>
      <c r="C231" s="160">
        <v>556196</v>
      </c>
      <c r="D231" s="30">
        <v>208327785.40000013</v>
      </c>
      <c r="E231" s="187">
        <f t="shared" si="6"/>
        <v>1.4982328920021011</v>
      </c>
      <c r="F231" s="188">
        <v>5.5619599999999998E-2</v>
      </c>
      <c r="G231" s="189">
        <v>8.3331114160000053E-2</v>
      </c>
      <c r="H231" s="232">
        <v>1.4</v>
      </c>
      <c r="I231" s="124" t="str">
        <f t="shared" si="7"/>
        <v>(350, 400]</v>
      </c>
      <c r="J231" s="160">
        <v>1</v>
      </c>
      <c r="K231" s="276">
        <v>0.24031419679393595</v>
      </c>
      <c r="L231" s="188">
        <v>1.33661795E-2</v>
      </c>
      <c r="M231" s="233">
        <v>13366179</v>
      </c>
      <c r="N231" s="195">
        <v>1.3366179000000001E-2</v>
      </c>
      <c r="O231" s="211">
        <v>2.0025649018187753E-2</v>
      </c>
      <c r="P231" s="1">
        <v>0.4806283935878719</v>
      </c>
      <c r="Q231" s="1">
        <v>1.915424125577387E-3</v>
      </c>
      <c r="R231" s="272">
        <v>3.4437934209835867E-2</v>
      </c>
    </row>
    <row r="232" spans="1:24" ht="15.6">
      <c r="A232" s="257">
        <v>400</v>
      </c>
      <c r="B232" s="258">
        <v>450</v>
      </c>
      <c r="C232" s="160">
        <v>482723</v>
      </c>
      <c r="D232" s="30">
        <v>204919921.99999991</v>
      </c>
      <c r="E232" s="187">
        <f t="shared" si="6"/>
        <v>1.6980332157365603</v>
      </c>
      <c r="F232" s="188">
        <v>4.8272299999999997E-2</v>
      </c>
      <c r="G232" s="189">
        <v>8.1967968799999957E-2</v>
      </c>
      <c r="H232" s="232">
        <v>1.6</v>
      </c>
      <c r="I232" s="124" t="str">
        <f t="shared" si="7"/>
        <v>(400, 450]</v>
      </c>
      <c r="J232" s="160">
        <v>1</v>
      </c>
      <c r="K232" s="276">
        <v>0.21705809542946991</v>
      </c>
      <c r="L232" s="188">
        <v>1.04778935E-2</v>
      </c>
      <c r="M232" s="233">
        <v>10477893</v>
      </c>
      <c r="N232" s="195">
        <v>1.0477893E-2</v>
      </c>
      <c r="O232" s="211">
        <v>1.7791810344933594E-2</v>
      </c>
      <c r="P232" s="1">
        <v>0.43411619085893982</v>
      </c>
      <c r="Q232" s="1">
        <v>1.4918749622586027E-3</v>
      </c>
      <c r="R232" s="272">
        <v>3.0905404595567287E-2</v>
      </c>
    </row>
    <row r="233" spans="1:24" ht="15.6">
      <c r="A233" s="257">
        <v>450</v>
      </c>
      <c r="B233" s="258">
        <v>500</v>
      </c>
      <c r="C233" s="160">
        <v>418675</v>
      </c>
      <c r="D233" s="30">
        <v>198668052.79999998</v>
      </c>
      <c r="E233" s="187">
        <f t="shared" si="6"/>
        <v>1.8980646353376722</v>
      </c>
      <c r="F233" s="188">
        <v>4.1867500000000002E-2</v>
      </c>
      <c r="G233" s="189">
        <v>7.9467221120000001E-2</v>
      </c>
      <c r="H233" s="232">
        <v>1.8</v>
      </c>
      <c r="I233" s="124" t="str">
        <f t="shared" si="7"/>
        <v>(450, 500]</v>
      </c>
      <c r="J233" s="160">
        <v>1</v>
      </c>
      <c r="K233" s="276">
        <v>0.31310518898907269</v>
      </c>
      <c r="L233" s="188">
        <v>1.3108931500000002E-2</v>
      </c>
      <c r="M233" s="233">
        <v>13108931</v>
      </c>
      <c r="N233" s="195">
        <v>1.3108931000000001E-2</v>
      </c>
      <c r="O233" s="211">
        <v>2.488159833818171E-2</v>
      </c>
      <c r="P233" s="1">
        <v>0.62621037797814538</v>
      </c>
      <c r="Q233" s="1">
        <v>1.8558185333071217E-3</v>
      </c>
      <c r="R233" s="272">
        <v>4.4325993510649586E-2</v>
      </c>
    </row>
    <row r="234" spans="1:24" ht="15.6">
      <c r="A234" s="257">
        <v>500</v>
      </c>
      <c r="B234" s="258">
        <v>550</v>
      </c>
      <c r="C234" s="160">
        <v>362242</v>
      </c>
      <c r="D234" s="30">
        <v>189997045.20000008</v>
      </c>
      <c r="E234" s="187">
        <f t="shared" si="6"/>
        <v>2.0980123254619847</v>
      </c>
      <c r="F234" s="188">
        <v>3.6224199999999998E-2</v>
      </c>
      <c r="G234" s="189">
        <v>7.5998818080000016E-2</v>
      </c>
      <c r="H234" s="232">
        <v>2</v>
      </c>
      <c r="I234" s="275" t="str">
        <f t="shared" si="7"/>
        <v>(500, 550]</v>
      </c>
      <c r="J234" s="160">
        <v>1</v>
      </c>
      <c r="K234" s="276">
        <v>1.0485425351008442</v>
      </c>
      <c r="L234" s="188">
        <v>3.7982614499999998E-2</v>
      </c>
      <c r="M234" s="233">
        <v>37982614</v>
      </c>
      <c r="N234" s="195">
        <v>3.7982613999999998E-2</v>
      </c>
      <c r="O234" s="211">
        <v>7.9687992325264925E-2</v>
      </c>
      <c r="P234" s="1">
        <v>2.0970850702016883</v>
      </c>
      <c r="Q234" s="1">
        <v>5.3495038293716922E-3</v>
      </c>
      <c r="R234" s="272">
        <v>0.14767762516140295</v>
      </c>
    </row>
    <row r="235" spans="1:24" ht="15.6">
      <c r="A235" s="257">
        <v>550</v>
      </c>
      <c r="B235" s="258">
        <v>600</v>
      </c>
      <c r="C235" s="160">
        <v>311715</v>
      </c>
      <c r="D235" s="30">
        <v>179083589.39999998</v>
      </c>
      <c r="E235" s="187">
        <f t="shared" si="6"/>
        <v>2.2980426274000285</v>
      </c>
      <c r="F235" s="188">
        <v>3.1171500000000001E-2</v>
      </c>
      <c r="G235" s="189">
        <v>7.1633435759999989E-2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0.64471419405546737</v>
      </c>
      <c r="L235" s="188">
        <v>2.0096708500000001E-2</v>
      </c>
      <c r="M235" s="233">
        <v>20096708</v>
      </c>
      <c r="N235" s="195">
        <v>2.0096708000000001E-2</v>
      </c>
      <c r="O235" s="211">
        <v>4.6183091654411174E-2</v>
      </c>
      <c r="P235" s="1">
        <v>1.2894283881109347</v>
      </c>
      <c r="Q235" s="1">
        <v>2.8171970608689904E-3</v>
      </c>
      <c r="R235" s="272">
        <v>9.0377333810339258E-2</v>
      </c>
    </row>
    <row r="236" spans="1:24" ht="15.6">
      <c r="A236" s="257">
        <v>600</v>
      </c>
      <c r="B236" s="258">
        <v>650</v>
      </c>
      <c r="C236" s="160">
        <v>267834</v>
      </c>
      <c r="D236" s="30">
        <v>167274518.1999999</v>
      </c>
      <c r="E236" s="187">
        <f t="shared" si="6"/>
        <v>2.4981819813765229</v>
      </c>
      <c r="F236" s="188">
        <v>2.6783399999999999E-2</v>
      </c>
      <c r="G236" s="189">
        <v>6.6909807279999955E-2</v>
      </c>
      <c r="H236" s="232">
        <v>2.4</v>
      </c>
      <c r="I236" s="124" t="str">
        <f t="shared" si="7"/>
        <v>(600, 650]</v>
      </c>
      <c r="J236" s="160">
        <v>1</v>
      </c>
      <c r="K236" s="276">
        <v>0.4978001859360649</v>
      </c>
      <c r="L236" s="188">
        <v>1.33327815E-2</v>
      </c>
      <c r="M236" s="233">
        <v>13332781</v>
      </c>
      <c r="N236" s="195">
        <v>1.3332781E-2</v>
      </c>
      <c r="O236" s="211">
        <v>3.3307713255839262E-2</v>
      </c>
      <c r="P236" s="1">
        <v>0.9956003718721298</v>
      </c>
      <c r="Q236" s="1">
        <v>1.8609975223638686E-3</v>
      </c>
      <c r="R236" s="272">
        <v>6.9483244187215534E-2</v>
      </c>
    </row>
    <row r="237" spans="1:24" ht="15.6">
      <c r="A237" s="257">
        <v>650</v>
      </c>
      <c r="B237" s="258">
        <v>700</v>
      </c>
      <c r="C237" s="160">
        <v>232107</v>
      </c>
      <c r="D237" s="30">
        <v>156552655.40000001</v>
      </c>
      <c r="E237" s="187">
        <f t="shared" si="6"/>
        <v>2.6979394055327934</v>
      </c>
      <c r="F237" s="188">
        <v>2.3210700000000001E-2</v>
      </c>
      <c r="G237" s="189">
        <v>6.2621062160000004E-2</v>
      </c>
      <c r="H237" s="232">
        <v>2.6</v>
      </c>
      <c r="I237" s="124" t="str">
        <f t="shared" si="7"/>
        <v>(650, 700]</v>
      </c>
      <c r="J237" s="160">
        <v>1</v>
      </c>
      <c r="K237" s="276">
        <v>0.2715464204009358</v>
      </c>
      <c r="L237" s="188">
        <v>6.3027825000000004E-3</v>
      </c>
      <c r="M237" s="233">
        <v>6302782</v>
      </c>
      <c r="N237" s="195">
        <v>6.3027819999999998E-3</v>
      </c>
      <c r="O237" s="211">
        <v>1.7004523922282789E-2</v>
      </c>
      <c r="P237" s="1">
        <v>0.54309284080187159</v>
      </c>
      <c r="Q237" s="1">
        <v>8.762685323830589E-4</v>
      </c>
      <c r="R237" s="272">
        <v>3.775278351721658E-2</v>
      </c>
    </row>
    <row r="238" spans="1:24" ht="15.6">
      <c r="A238" s="257">
        <v>700</v>
      </c>
      <c r="B238" s="258">
        <v>750</v>
      </c>
      <c r="C238" s="160">
        <v>199842</v>
      </c>
      <c r="D238" s="30">
        <v>144795117.79999998</v>
      </c>
      <c r="E238" s="187">
        <f t="shared" si="6"/>
        <v>2.8981919276228214</v>
      </c>
      <c r="F238" s="188">
        <v>1.9984200000000001E-2</v>
      </c>
      <c r="G238" s="189">
        <v>5.7918047119999989E-2</v>
      </c>
      <c r="H238" s="232">
        <v>2.8</v>
      </c>
      <c r="I238" s="124" t="str">
        <f t="shared" si="7"/>
        <v>(700, 750]</v>
      </c>
      <c r="J238" s="160">
        <v>1</v>
      </c>
      <c r="K238" s="276">
        <v>0.26774179101490175</v>
      </c>
      <c r="L238" s="188">
        <v>5.3506055000000002E-3</v>
      </c>
      <c r="M238" s="233">
        <v>5350605</v>
      </c>
      <c r="N238" s="195">
        <v>5.3506049999999996E-3</v>
      </c>
      <c r="O238" s="211">
        <v>1.5507080218898305E-2</v>
      </c>
      <c r="P238" s="1">
        <v>0.53548358202980351</v>
      </c>
      <c r="Q238" s="1">
        <v>7.4115146154725073E-4</v>
      </c>
      <c r="R238" s="272">
        <v>3.7086871706010285E-2</v>
      </c>
    </row>
    <row r="239" spans="1:24" ht="15.6">
      <c r="A239" s="257">
        <v>750</v>
      </c>
      <c r="B239" s="258">
        <v>800</v>
      </c>
      <c r="C239" s="160">
        <v>171582</v>
      </c>
      <c r="D239" s="30">
        <v>132903822.39999998</v>
      </c>
      <c r="E239" s="187">
        <f t="shared" si="6"/>
        <v>3.0983161963376107</v>
      </c>
      <c r="F239" s="188">
        <v>1.7158199999999998E-2</v>
      </c>
      <c r="G239" s="189">
        <v>5.3161528959999989E-2</v>
      </c>
      <c r="H239" s="232">
        <v>3</v>
      </c>
      <c r="I239" s="124" t="str">
        <f t="shared" si="7"/>
        <v>(750, 800]</v>
      </c>
      <c r="J239" s="160">
        <v>1</v>
      </c>
      <c r="K239" s="276">
        <v>0.51465943397326064</v>
      </c>
      <c r="L239" s="188">
        <v>8.8306294999999993E-3</v>
      </c>
      <c r="M239" s="233">
        <v>8830629</v>
      </c>
      <c r="N239" s="195">
        <v>8.8306289999999996E-3</v>
      </c>
      <c r="O239" s="211">
        <v>2.7360080854548597E-2</v>
      </c>
      <c r="P239" s="1">
        <v>1.0293188679465213</v>
      </c>
      <c r="Q239" s="1">
        <v>1.2189966059970045E-3</v>
      </c>
      <c r="R239" s="272">
        <v>7.1044550477148222E-2</v>
      </c>
    </row>
    <row r="240" spans="1:24" ht="15.6">
      <c r="A240" s="257">
        <v>800</v>
      </c>
      <c r="B240" s="258">
        <v>850</v>
      </c>
      <c r="C240" s="160">
        <v>149724</v>
      </c>
      <c r="D240" s="30">
        <v>123452367.99999991</v>
      </c>
      <c r="E240" s="187">
        <f t="shared" si="6"/>
        <v>3.298131709011245</v>
      </c>
      <c r="F240" s="188">
        <v>1.49724E-2</v>
      </c>
      <c r="G240" s="189">
        <v>4.9380947199999962E-2</v>
      </c>
      <c r="H240" s="232">
        <v>3.2</v>
      </c>
      <c r="I240" s="124" t="str">
        <f t="shared" si="7"/>
        <v>(800, 850]</v>
      </c>
      <c r="J240" s="160">
        <v>1</v>
      </c>
      <c r="K240" s="276">
        <v>0.331957635382437</v>
      </c>
      <c r="L240" s="188">
        <v>4.9702024999999997E-3</v>
      </c>
      <c r="M240" s="233">
        <v>4970202</v>
      </c>
      <c r="N240" s="195">
        <v>4.970202E-3</v>
      </c>
      <c r="O240" s="211">
        <v>1.6392380816391109E-2</v>
      </c>
      <c r="P240" s="1">
        <v>0.663915270764874</v>
      </c>
      <c r="Q240" s="1">
        <v>6.8389177127303735E-4</v>
      </c>
      <c r="R240" s="272">
        <v>4.5676830118954702E-2</v>
      </c>
    </row>
    <row r="241" spans="1:19" ht="15.6">
      <c r="A241" s="257">
        <v>850</v>
      </c>
      <c r="B241" s="258">
        <v>900</v>
      </c>
      <c r="C241" s="160">
        <v>128987</v>
      </c>
      <c r="D241" s="30">
        <v>112802180.79999995</v>
      </c>
      <c r="E241" s="187">
        <f t="shared" si="6"/>
        <v>3.4980945614674335</v>
      </c>
      <c r="F241" s="188">
        <v>1.2898700000000001E-2</v>
      </c>
      <c r="G241" s="189">
        <v>4.5120872319999984E-2</v>
      </c>
      <c r="H241" s="232">
        <v>3.4</v>
      </c>
      <c r="I241" s="124" t="str">
        <f t="shared" si="7"/>
        <v>(850, 900]</v>
      </c>
      <c r="J241" s="160">
        <v>1</v>
      </c>
      <c r="K241" s="276">
        <v>0.37566022157271661</v>
      </c>
      <c r="L241" s="188">
        <v>4.8455284999999997E-3</v>
      </c>
      <c r="M241" s="233">
        <v>4845528</v>
      </c>
      <c r="N241" s="195">
        <v>4.845528E-3</v>
      </c>
      <c r="O241" s="211">
        <v>1.6950115144238168E-2</v>
      </c>
      <c r="P241" s="1">
        <v>0.75132044314543323</v>
      </c>
      <c r="Q241" s="1">
        <v>6.6471945033239174E-4</v>
      </c>
      <c r="R241" s="272">
        <v>5.1533832892647451E-2</v>
      </c>
    </row>
    <row r="242" spans="1:19" ht="15.6">
      <c r="A242" s="257">
        <v>900</v>
      </c>
      <c r="B242" s="258">
        <v>950</v>
      </c>
      <c r="C242" s="160">
        <v>111028</v>
      </c>
      <c r="D242" s="30">
        <v>102636593.2</v>
      </c>
      <c r="E242" s="187">
        <f t="shared" si="6"/>
        <v>3.6976832222502432</v>
      </c>
      <c r="F242" s="188">
        <v>1.1102799999999999E-2</v>
      </c>
      <c r="G242" s="189">
        <v>4.105463728E-2</v>
      </c>
      <c r="H242" s="232">
        <v>3.6</v>
      </c>
      <c r="I242" s="124" t="str">
        <f t="shared" si="7"/>
        <v>(900, 950]</v>
      </c>
      <c r="J242" s="160">
        <v>1</v>
      </c>
      <c r="K242" s="276">
        <v>0.33632826854487158</v>
      </c>
      <c r="L242" s="188">
        <v>3.7341854999999998E-3</v>
      </c>
      <c r="M242" s="233">
        <v>3734185</v>
      </c>
      <c r="N242" s="195">
        <v>3.7341850000000001E-3</v>
      </c>
      <c r="O242" s="211">
        <v>1.3807833223278524E-2</v>
      </c>
      <c r="P242" s="1">
        <v>0.67265653708974316</v>
      </c>
      <c r="Q242" s="1">
        <v>5.1080162542589203E-4</v>
      </c>
      <c r="R242" s="272">
        <v>4.6006559194607853E-2</v>
      </c>
    </row>
    <row r="243" spans="1:19" ht="15.6">
      <c r="A243" s="257">
        <v>950</v>
      </c>
      <c r="B243" s="258">
        <v>1000</v>
      </c>
      <c r="C243" s="160">
        <v>96267</v>
      </c>
      <c r="D243" s="30">
        <v>93814118.400000021</v>
      </c>
      <c r="E243" s="187">
        <f t="shared" si="6"/>
        <v>3.8980800648197209</v>
      </c>
      <c r="F243" s="188">
        <v>9.6267000000000002E-3</v>
      </c>
      <c r="G243" s="189">
        <v>3.7525647360000011E-2</v>
      </c>
      <c r="H243" s="232">
        <v>3.8</v>
      </c>
      <c r="I243" s="124" t="str">
        <f t="shared" si="7"/>
        <v>(950, 1000]</v>
      </c>
      <c r="J243" s="160">
        <v>1</v>
      </c>
      <c r="K243" s="276">
        <v>0.71005915838241562</v>
      </c>
      <c r="L243" s="188">
        <v>6.8355265000000004E-3</v>
      </c>
      <c r="M243" s="233">
        <v>6835526</v>
      </c>
      <c r="N243" s="195">
        <v>6.8355259999999998E-3</v>
      </c>
      <c r="O243" s="211">
        <v>2.6645427633156887E-2</v>
      </c>
      <c r="P243" s="1">
        <v>1.4201183167648312</v>
      </c>
      <c r="Q243" s="1">
        <v>9.3249869117555866E-4</v>
      </c>
      <c r="R243" s="272">
        <v>9.686587212394264E-2</v>
      </c>
    </row>
    <row r="244" spans="1:19" ht="15.6">
      <c r="A244" s="257">
        <v>1000</v>
      </c>
      <c r="B244" s="258">
        <v>2000</v>
      </c>
      <c r="C244" s="160">
        <v>642101</v>
      </c>
      <c r="D244" s="30">
        <v>844536431.80000007</v>
      </c>
      <c r="E244" s="187">
        <f t="shared" si="6"/>
        <v>5.2610815544595013</v>
      </c>
      <c r="F244" s="188">
        <v>6.4210100000000006E-2</v>
      </c>
      <c r="G244" s="189">
        <v>0.33781457272000004</v>
      </c>
      <c r="H244" s="232">
        <v>4</v>
      </c>
      <c r="I244" s="275" t="str">
        <f t="shared" si="7"/>
        <v>(1000, 2000]</v>
      </c>
      <c r="J244" s="160">
        <v>1</v>
      </c>
      <c r="K244" s="276">
        <v>0.26884015910269565</v>
      </c>
      <c r="L244" s="188">
        <v>1.7262253500000001E-2</v>
      </c>
      <c r="M244" s="233">
        <v>17262253</v>
      </c>
      <c r="N244" s="195">
        <v>1.7262253000000002E-2</v>
      </c>
      <c r="O244" s="211">
        <v>9.0818120846713202E-2</v>
      </c>
      <c r="P244" s="1">
        <v>0.53768031820539131</v>
      </c>
      <c r="Q244" s="1">
        <v>2.3188292455711568E-3</v>
      </c>
      <c r="R244" s="272">
        <v>3.611315424786999E-2</v>
      </c>
    </row>
    <row r="245" spans="1:19" ht="15.6">
      <c r="A245" s="257">
        <v>2000</v>
      </c>
      <c r="B245" s="258">
        <v>3000</v>
      </c>
      <c r="C245" s="160">
        <v>90667</v>
      </c>
      <c r="D245" s="30">
        <v>216787621.99999997</v>
      </c>
      <c r="E245" s="187">
        <f t="shared" si="6"/>
        <v>9.5641246318947353</v>
      </c>
      <c r="F245" s="188">
        <v>9.0667000000000005E-3</v>
      </c>
      <c r="G245" s="189">
        <v>8.67150488E-2</v>
      </c>
      <c r="H245" s="232">
        <v>8</v>
      </c>
      <c r="I245" s="124" t="str">
        <f t="shared" si="7"/>
        <v>(2000, 3000]</v>
      </c>
      <c r="J245" s="160">
        <v>1</v>
      </c>
      <c r="K245" s="276">
        <v>0.20372489439377062</v>
      </c>
      <c r="L245" s="188">
        <v>1.8471125000000001E-3</v>
      </c>
      <c r="M245" s="233">
        <v>1847112</v>
      </c>
      <c r="N245" s="195">
        <v>1.8471119999999999E-3</v>
      </c>
      <c r="O245" s="211">
        <v>1.7666009377068349E-2</v>
      </c>
      <c r="P245" s="1">
        <v>0.40744978878754123</v>
      </c>
      <c r="Q245" s="1">
        <v>2.4060234572901006E-4</v>
      </c>
      <c r="R245" s="272">
        <v>2.6536925863766315E-2</v>
      </c>
    </row>
    <row r="246" spans="1:19" ht="15.6">
      <c r="A246" s="257">
        <v>3000</v>
      </c>
      <c r="B246" s="258">
        <v>4000</v>
      </c>
      <c r="C246" s="160">
        <v>31266</v>
      </c>
      <c r="D246" s="30">
        <v>107310213.80000006</v>
      </c>
      <c r="E246" s="187">
        <f t="shared" si="6"/>
        <v>13.72867828311905</v>
      </c>
      <c r="F246" s="188">
        <v>3.1266000000000002E-3</v>
      </c>
      <c r="G246" s="189">
        <v>4.2924085520000023E-2</v>
      </c>
      <c r="H246" s="232">
        <v>12</v>
      </c>
      <c r="I246" s="124" t="str">
        <f t="shared" si="7"/>
        <v>(3000, 4000]</v>
      </c>
      <c r="J246" s="160">
        <v>1</v>
      </c>
      <c r="K246" s="276">
        <v>0.48677780976140217</v>
      </c>
      <c r="L246" s="188">
        <v>1.5219595000000002E-3</v>
      </c>
      <c r="M246" s="233">
        <v>1521959</v>
      </c>
      <c r="N246" s="195">
        <v>1.521959E-3</v>
      </c>
      <c r="O246" s="211">
        <v>2.0894485471097589E-2</v>
      </c>
      <c r="P246" s="1">
        <v>0.97355561952280434</v>
      </c>
      <c r="Q246" s="1">
        <v>1.9459292360516313E-4</v>
      </c>
      <c r="R246" s="272">
        <v>6.2237869764332862E-2</v>
      </c>
    </row>
    <row r="247" spans="1:19" ht="15.6">
      <c r="A247" s="257">
        <v>4000</v>
      </c>
      <c r="B247" s="258">
        <v>5000</v>
      </c>
      <c r="C247" s="160">
        <v>15228</v>
      </c>
      <c r="D247" s="30">
        <v>67721119.200000018</v>
      </c>
      <c r="E247" s="187">
        <f t="shared" si="6"/>
        <v>17.78857872340426</v>
      </c>
      <c r="F247" s="188">
        <v>1.5227999999999999E-3</v>
      </c>
      <c r="G247" s="189">
        <v>2.7088447680000006E-2</v>
      </c>
      <c r="H247" s="232">
        <v>16</v>
      </c>
      <c r="I247" s="124" t="str">
        <f t="shared" si="7"/>
        <v>(4000, 5000]</v>
      </c>
      <c r="J247" s="160">
        <v>1</v>
      </c>
      <c r="K247" s="276">
        <v>0.80533261097977415</v>
      </c>
      <c r="L247" s="188">
        <v>1.2263605000000001E-3</v>
      </c>
      <c r="M247" s="233">
        <v>1226360</v>
      </c>
      <c r="N247" s="195">
        <v>1.2263599999999999E-3</v>
      </c>
      <c r="O247" s="211">
        <v>2.1815201403234046E-2</v>
      </c>
      <c r="P247" s="1">
        <v>1.6106652219595483</v>
      </c>
      <c r="Q247" s="1">
        <v>1.5472097419784935E-4</v>
      </c>
      <c r="R247" s="272">
        <v>0.10160295127255671</v>
      </c>
    </row>
    <row r="248" spans="1:19" ht="15.6">
      <c r="A248" s="257">
        <v>5000</v>
      </c>
      <c r="B248" s="258">
        <v>6000</v>
      </c>
      <c r="C248" s="160">
        <v>8899</v>
      </c>
      <c r="D248" s="30">
        <v>48623366.200000003</v>
      </c>
      <c r="E248" s="187">
        <f t="shared" si="6"/>
        <v>21.855653983593665</v>
      </c>
      <c r="F248" s="188">
        <v>8.899E-4</v>
      </c>
      <c r="G248" s="189">
        <v>1.9449346480000004E-2</v>
      </c>
      <c r="H248" s="232">
        <v>20</v>
      </c>
      <c r="I248" s="124" t="str">
        <f t="shared" si="7"/>
        <v>(5000, 6000]</v>
      </c>
      <c r="J248" s="160">
        <v>1</v>
      </c>
      <c r="K248" s="276">
        <v>0</v>
      </c>
      <c r="L248" s="188">
        <v>0</v>
      </c>
      <c r="M248" s="233">
        <v>0</v>
      </c>
      <c r="N248" s="195">
        <v>0</v>
      </c>
      <c r="O248" s="211">
        <v>0</v>
      </c>
      <c r="P248" s="1">
        <v>0</v>
      </c>
      <c r="Q248" s="1">
        <v>5.1339773931655664E-5</v>
      </c>
      <c r="R248" s="272">
        <v>5.7691621453709027E-2</v>
      </c>
    </row>
    <row r="249" spans="1:19" ht="15.6">
      <c r="A249" s="257">
        <v>6000</v>
      </c>
      <c r="B249" s="258">
        <v>7000</v>
      </c>
      <c r="C249" s="160">
        <v>6265</v>
      </c>
      <c r="D249" s="30">
        <v>40636221.599999987</v>
      </c>
      <c r="E249" s="187">
        <f t="shared" si="6"/>
        <v>25.944914030327208</v>
      </c>
      <c r="F249" s="188">
        <v>6.265E-4</v>
      </c>
      <c r="G249" s="189">
        <v>1.6254488639999995E-2</v>
      </c>
      <c r="H249" s="232">
        <v>24</v>
      </c>
      <c r="I249" s="124" t="str">
        <f t="shared" si="7"/>
        <v>(6000, 7000]</v>
      </c>
      <c r="J249" s="160">
        <v>1</v>
      </c>
      <c r="K249" s="276">
        <v>0</v>
      </c>
      <c r="L249" s="188">
        <v>0</v>
      </c>
      <c r="M249" s="233">
        <v>0</v>
      </c>
      <c r="N249" s="195">
        <v>0</v>
      </c>
      <c r="O249" s="211">
        <v>0</v>
      </c>
      <c r="P249" s="1">
        <v>0</v>
      </c>
      <c r="Q249" s="1">
        <v>4.8522573340460124E-5</v>
      </c>
      <c r="R249" s="272">
        <v>7.745023677647267E-2</v>
      </c>
    </row>
    <row r="250" spans="1:19" ht="15.6">
      <c r="A250" s="257">
        <v>7000</v>
      </c>
      <c r="B250" s="258">
        <v>8000</v>
      </c>
      <c r="C250" s="160">
        <v>5342</v>
      </c>
      <c r="D250" s="30">
        <v>39969124.399999991</v>
      </c>
      <c r="E250" s="187">
        <f t="shared" si="6"/>
        <v>29.928209958816918</v>
      </c>
      <c r="F250" s="188">
        <v>5.3419999999999997E-4</v>
      </c>
      <c r="G250" s="189">
        <v>1.5987649759999997E-2</v>
      </c>
      <c r="H250" s="232">
        <v>28</v>
      </c>
      <c r="I250" s="124" t="str">
        <f t="shared" si="7"/>
        <v>(7000, 8000]</v>
      </c>
      <c r="J250" s="160">
        <v>1</v>
      </c>
      <c r="K250" s="276">
        <v>0</v>
      </c>
      <c r="L250" s="188">
        <v>0</v>
      </c>
      <c r="M250" s="233">
        <v>0</v>
      </c>
      <c r="N250" s="195">
        <v>0</v>
      </c>
      <c r="O250" s="211">
        <v>0</v>
      </c>
      <c r="P250" s="1">
        <v>0</v>
      </c>
      <c r="Q250" s="1">
        <v>4.5230985118384998E-5</v>
      </c>
      <c r="R250" s="272">
        <v>8.4670507522248223E-2</v>
      </c>
    </row>
    <row r="251" spans="1:19" ht="15.6">
      <c r="A251" s="257">
        <v>8000</v>
      </c>
      <c r="B251" s="258">
        <v>9000</v>
      </c>
      <c r="C251" s="160">
        <v>4793</v>
      </c>
      <c r="D251" s="30">
        <v>40716839.199999996</v>
      </c>
      <c r="E251" s="187">
        <f t="shared" si="6"/>
        <v>33.980253870227408</v>
      </c>
      <c r="F251" s="188">
        <v>4.793E-4</v>
      </c>
      <c r="G251" s="189">
        <v>1.6286735679999997E-2</v>
      </c>
      <c r="H251" s="232">
        <v>32</v>
      </c>
      <c r="I251" s="124" t="str">
        <f t="shared" si="7"/>
        <v>(8000, 9000]</v>
      </c>
      <c r="J251" s="160">
        <v>1</v>
      </c>
      <c r="K251" s="276">
        <v>0</v>
      </c>
      <c r="L251" s="188">
        <v>0</v>
      </c>
      <c r="M251" s="233">
        <v>0</v>
      </c>
      <c r="N251" s="195">
        <v>0</v>
      </c>
      <c r="O251" s="211">
        <v>0</v>
      </c>
      <c r="P251" s="198">
        <v>0</v>
      </c>
      <c r="Q251" s="198">
        <v>3.6435176505648529E-5</v>
      </c>
      <c r="R251" s="272">
        <v>7.6017476540055348E-2</v>
      </c>
      <c r="S251" s="182"/>
    </row>
    <row r="252" spans="1:19" ht="15.6">
      <c r="A252" s="257">
        <v>9000</v>
      </c>
      <c r="B252" s="258">
        <v>10000</v>
      </c>
      <c r="C252" s="160">
        <v>4293</v>
      </c>
      <c r="D252" s="30">
        <v>40725774.999999993</v>
      </c>
      <c r="E252" s="187">
        <f t="shared" si="6"/>
        <v>37.946214768227343</v>
      </c>
      <c r="F252" s="188">
        <v>4.2930000000000003E-4</v>
      </c>
      <c r="G252" s="189">
        <v>1.6290309999999999E-2</v>
      </c>
      <c r="H252" s="232">
        <v>36</v>
      </c>
      <c r="I252" s="124" t="str">
        <f t="shared" si="7"/>
        <v>(9000, 10000]</v>
      </c>
      <c r="J252" s="160">
        <v>1</v>
      </c>
      <c r="K252" s="276">
        <v>0</v>
      </c>
      <c r="L252" s="188">
        <v>0</v>
      </c>
      <c r="M252" s="233">
        <v>0</v>
      </c>
      <c r="N252" s="195">
        <v>0</v>
      </c>
      <c r="O252" s="211">
        <v>0</v>
      </c>
      <c r="P252" s="198">
        <v>0</v>
      </c>
      <c r="Q252" s="198">
        <v>1.1525633621686288E-5</v>
      </c>
      <c r="R252" s="272">
        <v>2.684750435985625E-2</v>
      </c>
      <c r="S252" s="182"/>
    </row>
    <row r="253" spans="1:19" ht="15.6">
      <c r="A253" s="257">
        <v>10000</v>
      </c>
      <c r="B253" s="258">
        <v>20000</v>
      </c>
      <c r="C253" s="160">
        <v>24425</v>
      </c>
      <c r="D253" s="30">
        <v>339184393.80000007</v>
      </c>
      <c r="E253" s="187">
        <f t="shared" si="6"/>
        <v>55.547085985670435</v>
      </c>
      <c r="F253" s="188">
        <v>2.4424999999999998E-3</v>
      </c>
      <c r="G253" s="189">
        <v>0.13567375752000002</v>
      </c>
      <c r="H253" s="232">
        <v>40</v>
      </c>
      <c r="I253" s="275" t="str">
        <f t="shared" si="7"/>
        <v>(10000, 20000]</v>
      </c>
      <c r="J253" s="160">
        <v>1</v>
      </c>
      <c r="K253" s="276">
        <v>0.10378771750255886</v>
      </c>
      <c r="L253" s="188">
        <v>2.5350150000000001E-4</v>
      </c>
      <c r="M253" s="233">
        <v>253501</v>
      </c>
      <c r="N253" s="195">
        <v>2.53501E-4</v>
      </c>
      <c r="O253" s="211">
        <v>1.4081241844453441E-2</v>
      </c>
      <c r="P253" s="198">
        <v>0.20757543500511771</v>
      </c>
      <c r="Q253" s="198">
        <v>3.0161344925913713E-5</v>
      </c>
      <c r="R253" s="272">
        <v>1.2348554729135605E-2</v>
      </c>
      <c r="S253" s="182"/>
    </row>
    <row r="254" spans="1:19" ht="15.6">
      <c r="A254" s="257">
        <v>20000</v>
      </c>
      <c r="B254" s="258">
        <v>30000</v>
      </c>
      <c r="C254" s="160">
        <v>3942</v>
      </c>
      <c r="D254" s="30">
        <v>91379892.400000036</v>
      </c>
      <c r="E254" s="187">
        <f t="shared" si="6"/>
        <v>92.72439614408934</v>
      </c>
      <c r="F254" s="188">
        <v>3.9419999999999999E-4</v>
      </c>
      <c r="G254" s="189">
        <v>3.6551956960000014E-2</v>
      </c>
      <c r="H254" s="232">
        <v>80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273</v>
      </c>
      <c r="D255" s="30">
        <v>9238407.8000000007</v>
      </c>
      <c r="E255" s="187">
        <f t="shared" si="6"/>
        <v>135.36128644688645</v>
      </c>
      <c r="F255" s="188">
        <v>2.73E-5</v>
      </c>
      <c r="G255" s="189">
        <v>3.6953631200000001E-3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 t="e">
        <f>1/N251</f>
        <v>#DIV/0!</v>
      </c>
      <c r="O257" s="10">
        <f>SUM(O240:O250)</f>
        <v>0.22498957391517788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45.225979521224211</v>
      </c>
      <c r="O259" s="220" cm="1">
        <f t="array" ref="O259:O260">N261/N259:N260</f>
        <v>309.55659000000003</v>
      </c>
    </row>
    <row r="260" spans="13:15" ht="16.8" thickBot="1">
      <c r="M260" s="124" t="s">
        <v>179</v>
      </c>
      <c r="N260" s="218" t="e">
        <f>1/SUM(N257)</f>
        <v>#DIV/0!</v>
      </c>
      <c r="O260" s="220" t="e">
        <v>#DIV/0!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82</v>
      </c>
      <c r="BL3" s="29">
        <v>1000</v>
      </c>
      <c r="BM3" s="29">
        <v>47</v>
      </c>
      <c r="BN3" s="65"/>
      <c r="BO3" s="29">
        <f ca="1">OFFSET(BK$2,COUNTA(BK$3:BK$211),0)</f>
        <v>81</v>
      </c>
      <c r="BP3" s="29">
        <f t="shared" ref="BP3" ca="1" si="11">OFFSET(BL$2,COUNTA(BL$3:BL$211),0)</f>
        <v>830</v>
      </c>
      <c r="BQ3" s="29">
        <f t="shared" ref="BQ3" ca="1" si="12">OFFSET(BM$2,COUNTA(BM$3:BM$211),0)</f>
        <v>89</v>
      </c>
      <c r="BR3" s="65"/>
      <c r="BS3" s="29">
        <f ca="1">OFFSET(BK$2,COUNTA(BK$3:BK$211)-1,0)</f>
        <v>544</v>
      </c>
      <c r="BT3" s="29">
        <f t="shared" ref="BT3" ca="1" si="13">OFFSET(BL$2,COUNTA(BL$3:BL$211)-1,0)</f>
        <v>278</v>
      </c>
      <c r="BU3" s="29">
        <f t="shared" ref="BU3" ca="1" si="14">OFFSET(BM$2,COUNTA(BM$3:BM$211)-1,0)</f>
        <v>108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547</v>
      </c>
      <c r="BL4" s="29">
        <v>838</v>
      </c>
      <c r="BM4" s="29">
        <v>532</v>
      </c>
      <c r="BN4" s="65"/>
      <c r="BO4" s="29">
        <f>IF(BK3="","",BK3)</f>
        <v>82</v>
      </c>
      <c r="BP4" s="29">
        <f t="shared" ref="BP4:BP67" si="37">IF(BL3="","",BL3)</f>
        <v>1000</v>
      </c>
      <c r="BQ4" s="29">
        <f t="shared" ref="BQ4:BQ67" si="38">IF(BM3="","",BM3)</f>
        <v>47</v>
      </c>
      <c r="BR4" s="65"/>
      <c r="BS4" s="29">
        <f ca="1">OFFSET(BK$2,COUNTA(BK$3:BK$211),0)</f>
        <v>81</v>
      </c>
      <c r="BT4" s="29">
        <f t="shared" ref="BT4" ca="1" si="39">OFFSET(BL$2,COUNTA(BL$3:BL$211),0)</f>
        <v>830</v>
      </c>
      <c r="BU4" s="29">
        <f t="shared" ref="BU4" ca="1" si="40">OFFSET(BM$2,COUNTA(BM$3:BM$211),0)</f>
        <v>89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663</v>
      </c>
      <c r="BL5" s="29">
        <v>294</v>
      </c>
      <c r="BM5" s="29">
        <v>657</v>
      </c>
      <c r="BN5" s="65"/>
      <c r="BO5" s="29">
        <f t="shared" ref="BO5:BO68" si="51">IF(BK4="","",BK4)</f>
        <v>547</v>
      </c>
      <c r="BP5" s="29">
        <f t="shared" si="37"/>
        <v>838</v>
      </c>
      <c r="BQ5" s="29">
        <f t="shared" si="38"/>
        <v>532</v>
      </c>
      <c r="BR5" s="65"/>
      <c r="BS5" s="29">
        <f>IF(BK3="","",BK3)</f>
        <v>82</v>
      </c>
      <c r="BT5" s="29">
        <f t="shared" ref="BT5:BT68" si="52">IF(BL3="","",BL3)</f>
        <v>1000</v>
      </c>
      <c r="BU5" s="29">
        <f t="shared" ref="BU5:BU68" si="53">IF(BM3="","",BM3)</f>
        <v>47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1000</v>
      </c>
      <c r="BL6" s="29">
        <v>77</v>
      </c>
      <c r="BM6" s="29">
        <v>1000</v>
      </c>
      <c r="BN6" s="65"/>
      <c r="BO6" s="29">
        <f t="shared" si="51"/>
        <v>663</v>
      </c>
      <c r="BP6" s="29">
        <f t="shared" si="37"/>
        <v>294</v>
      </c>
      <c r="BQ6" s="29">
        <f t="shared" si="38"/>
        <v>657</v>
      </c>
      <c r="BR6" s="65"/>
      <c r="BS6" s="29">
        <f t="shared" ref="BS6:BS69" si="59">IF(BK4="","",BK4)</f>
        <v>547</v>
      </c>
      <c r="BT6" s="29">
        <f t="shared" si="52"/>
        <v>838</v>
      </c>
      <c r="BU6" s="29">
        <f t="shared" si="53"/>
        <v>532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657</v>
      </c>
      <c r="BL7" s="29">
        <v>74</v>
      </c>
      <c r="BM7" s="29">
        <v>680</v>
      </c>
      <c r="BN7" s="65"/>
      <c r="BO7" s="29">
        <f t="shared" si="51"/>
        <v>1000</v>
      </c>
      <c r="BP7" s="29">
        <f t="shared" si="37"/>
        <v>77</v>
      </c>
      <c r="BQ7" s="29">
        <f t="shared" si="38"/>
        <v>1000</v>
      </c>
      <c r="BR7" s="65"/>
      <c r="BS7" s="29">
        <f t="shared" si="59"/>
        <v>663</v>
      </c>
      <c r="BT7" s="29">
        <f t="shared" si="52"/>
        <v>294</v>
      </c>
      <c r="BU7" s="29">
        <f t="shared" si="53"/>
        <v>657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540</v>
      </c>
      <c r="BL8" s="29">
        <v>57</v>
      </c>
      <c r="BM8" s="29">
        <v>564</v>
      </c>
      <c r="BN8" s="65"/>
      <c r="BO8" s="29">
        <f t="shared" si="51"/>
        <v>657</v>
      </c>
      <c r="BP8" s="29">
        <f t="shared" si="37"/>
        <v>74</v>
      </c>
      <c r="BQ8" s="29">
        <f t="shared" si="38"/>
        <v>680</v>
      </c>
      <c r="BR8" s="65"/>
      <c r="BS8" s="29">
        <f t="shared" si="59"/>
        <v>1000</v>
      </c>
      <c r="BT8" s="29">
        <f t="shared" si="52"/>
        <v>77</v>
      </c>
      <c r="BU8" s="29">
        <f t="shared" si="53"/>
        <v>1000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48</v>
      </c>
      <c r="BL9" s="29">
        <v>64</v>
      </c>
      <c r="BM9" s="29">
        <v>76</v>
      </c>
      <c r="BN9" s="65"/>
      <c r="BO9" s="29">
        <f t="shared" si="51"/>
        <v>540</v>
      </c>
      <c r="BP9" s="29">
        <f t="shared" si="37"/>
        <v>57</v>
      </c>
      <c r="BQ9" s="29">
        <f t="shared" si="38"/>
        <v>564</v>
      </c>
      <c r="BR9" s="65"/>
      <c r="BS9" s="29">
        <f t="shared" si="59"/>
        <v>657</v>
      </c>
      <c r="BT9" s="29">
        <f t="shared" si="52"/>
        <v>74</v>
      </c>
      <c r="BU9" s="29">
        <f t="shared" si="53"/>
        <v>680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72</v>
      </c>
      <c r="BL10" s="29">
        <v>61</v>
      </c>
      <c r="BM10" s="29">
        <v>94</v>
      </c>
      <c r="BN10" s="65"/>
      <c r="BO10" s="29">
        <f t="shared" si="51"/>
        <v>48</v>
      </c>
      <c r="BP10" s="29">
        <f t="shared" si="37"/>
        <v>64</v>
      </c>
      <c r="BQ10" s="29">
        <f t="shared" si="38"/>
        <v>76</v>
      </c>
      <c r="BR10" s="65"/>
      <c r="BS10" s="29">
        <f t="shared" si="59"/>
        <v>540</v>
      </c>
      <c r="BT10" s="29">
        <f t="shared" si="52"/>
        <v>57</v>
      </c>
      <c r="BU10" s="29">
        <f t="shared" si="53"/>
        <v>564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72</v>
      </c>
      <c r="BL11" s="29">
        <v>51</v>
      </c>
      <c r="BM11" s="29">
        <v>94</v>
      </c>
      <c r="BN11" s="65"/>
      <c r="BO11" s="29">
        <f t="shared" si="51"/>
        <v>72</v>
      </c>
      <c r="BP11" s="29">
        <f t="shared" si="37"/>
        <v>61</v>
      </c>
      <c r="BQ11" s="29">
        <f t="shared" si="38"/>
        <v>94</v>
      </c>
      <c r="BR11" s="65"/>
      <c r="BS11" s="29">
        <f t="shared" si="59"/>
        <v>48</v>
      </c>
      <c r="BT11" s="29">
        <f t="shared" si="52"/>
        <v>64</v>
      </c>
      <c r="BU11" s="29">
        <f t="shared" si="53"/>
        <v>76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78</v>
      </c>
      <c r="BL12" s="29">
        <v>66</v>
      </c>
      <c r="BM12" s="29">
        <v>54</v>
      </c>
      <c r="BN12" s="65"/>
      <c r="BO12" s="29">
        <f t="shared" si="51"/>
        <v>72</v>
      </c>
      <c r="BP12" s="29">
        <f t="shared" si="37"/>
        <v>51</v>
      </c>
      <c r="BQ12" s="29">
        <f t="shared" si="38"/>
        <v>94</v>
      </c>
      <c r="BR12" s="65"/>
      <c r="BS12" s="29">
        <f t="shared" si="59"/>
        <v>72</v>
      </c>
      <c r="BT12" s="29">
        <f t="shared" si="52"/>
        <v>61</v>
      </c>
      <c r="BU12" s="29">
        <f t="shared" si="53"/>
        <v>94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80</v>
      </c>
      <c r="BL13" s="29">
        <v>77</v>
      </c>
      <c r="BM13" s="29">
        <v>97</v>
      </c>
      <c r="BN13" s="65"/>
      <c r="BO13" s="29">
        <f t="shared" si="51"/>
        <v>78</v>
      </c>
      <c r="BP13" s="29">
        <f t="shared" si="37"/>
        <v>66</v>
      </c>
      <c r="BQ13" s="29">
        <f t="shared" si="38"/>
        <v>54</v>
      </c>
      <c r="BR13" s="65"/>
      <c r="BS13" s="29">
        <f t="shared" si="59"/>
        <v>72</v>
      </c>
      <c r="BT13" s="29">
        <f t="shared" si="52"/>
        <v>51</v>
      </c>
      <c r="BU13" s="29">
        <f t="shared" si="53"/>
        <v>94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68</v>
      </c>
      <c r="BL14" s="29">
        <v>72</v>
      </c>
      <c r="BM14" s="29">
        <v>99</v>
      </c>
      <c r="BN14" s="65"/>
      <c r="BO14" s="29">
        <f t="shared" si="51"/>
        <v>80</v>
      </c>
      <c r="BP14" s="29">
        <f t="shared" si="37"/>
        <v>77</v>
      </c>
      <c r="BQ14" s="29">
        <f t="shared" si="38"/>
        <v>97</v>
      </c>
      <c r="BR14" s="65"/>
      <c r="BS14" s="29">
        <f t="shared" si="59"/>
        <v>78</v>
      </c>
      <c r="BT14" s="29">
        <f t="shared" si="52"/>
        <v>66</v>
      </c>
      <c r="BU14" s="29">
        <f t="shared" si="53"/>
        <v>54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66</v>
      </c>
      <c r="BL15" s="29">
        <v>84</v>
      </c>
      <c r="BM15" s="29">
        <v>79</v>
      </c>
      <c r="BN15" s="65"/>
      <c r="BO15" s="29">
        <f t="shared" si="51"/>
        <v>68</v>
      </c>
      <c r="BP15" s="29">
        <f t="shared" si="37"/>
        <v>72</v>
      </c>
      <c r="BQ15" s="29">
        <f t="shared" si="38"/>
        <v>99</v>
      </c>
      <c r="BR15" s="65"/>
      <c r="BS15" s="29">
        <f t="shared" si="59"/>
        <v>80</v>
      </c>
      <c r="BT15" s="29">
        <f t="shared" si="52"/>
        <v>77</v>
      </c>
      <c r="BU15" s="29">
        <f t="shared" si="53"/>
        <v>97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38</v>
      </c>
      <c r="BL16" s="29">
        <v>73</v>
      </c>
      <c r="BM16" s="29">
        <v>94</v>
      </c>
      <c r="BN16" s="65"/>
      <c r="BO16" s="29">
        <f t="shared" si="51"/>
        <v>66</v>
      </c>
      <c r="BP16" s="29">
        <f t="shared" si="37"/>
        <v>84</v>
      </c>
      <c r="BQ16" s="29">
        <f t="shared" si="38"/>
        <v>79</v>
      </c>
      <c r="BR16" s="65"/>
      <c r="BS16" s="29">
        <f t="shared" si="59"/>
        <v>68</v>
      </c>
      <c r="BT16" s="29">
        <f t="shared" si="52"/>
        <v>72</v>
      </c>
      <c r="BU16" s="29">
        <f t="shared" si="53"/>
        <v>99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65</v>
      </c>
      <c r="BL17" s="29">
        <v>57</v>
      </c>
      <c r="BM17" s="29">
        <v>89</v>
      </c>
      <c r="BN17" s="65"/>
      <c r="BO17" s="29">
        <f t="shared" si="51"/>
        <v>38</v>
      </c>
      <c r="BP17" s="29">
        <f t="shared" si="37"/>
        <v>73</v>
      </c>
      <c r="BQ17" s="29">
        <f t="shared" si="38"/>
        <v>94</v>
      </c>
      <c r="BR17" s="65"/>
      <c r="BS17" s="29">
        <f t="shared" si="59"/>
        <v>66</v>
      </c>
      <c r="BT17" s="29">
        <f t="shared" si="52"/>
        <v>84</v>
      </c>
      <c r="BU17" s="29">
        <f t="shared" si="53"/>
        <v>79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66</v>
      </c>
      <c r="BL18" s="29">
        <v>64</v>
      </c>
      <c r="BM18" s="29">
        <v>47</v>
      </c>
      <c r="BN18" s="65"/>
      <c r="BO18" s="29">
        <f t="shared" si="51"/>
        <v>65</v>
      </c>
      <c r="BP18" s="29">
        <f t="shared" si="37"/>
        <v>57</v>
      </c>
      <c r="BQ18" s="29">
        <f t="shared" si="38"/>
        <v>89</v>
      </c>
      <c r="BR18" s="65"/>
      <c r="BS18" s="29">
        <f t="shared" si="59"/>
        <v>38</v>
      </c>
      <c r="BT18" s="29">
        <f t="shared" si="52"/>
        <v>73</v>
      </c>
      <c r="BU18" s="29">
        <f t="shared" si="53"/>
        <v>94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72</v>
      </c>
      <c r="BL19" s="29">
        <v>61</v>
      </c>
      <c r="BM19" s="29">
        <v>78</v>
      </c>
      <c r="BN19" s="65"/>
      <c r="BO19" s="29">
        <f t="shared" si="51"/>
        <v>66</v>
      </c>
      <c r="BP19" s="29">
        <f t="shared" si="37"/>
        <v>64</v>
      </c>
      <c r="BQ19" s="29">
        <f t="shared" si="38"/>
        <v>47</v>
      </c>
      <c r="BR19" s="65"/>
      <c r="BS19" s="29">
        <f t="shared" si="59"/>
        <v>65</v>
      </c>
      <c r="BT19" s="29">
        <f t="shared" si="52"/>
        <v>57</v>
      </c>
      <c r="BU19" s="29">
        <f t="shared" si="53"/>
        <v>89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72</v>
      </c>
      <c r="BL20" s="29">
        <v>51</v>
      </c>
      <c r="BM20" s="29">
        <v>79</v>
      </c>
      <c r="BN20" s="65"/>
      <c r="BO20" s="29">
        <f t="shared" si="51"/>
        <v>72</v>
      </c>
      <c r="BP20" s="29">
        <f t="shared" si="37"/>
        <v>61</v>
      </c>
      <c r="BQ20" s="29">
        <f t="shared" si="38"/>
        <v>78</v>
      </c>
      <c r="BR20" s="65"/>
      <c r="BS20" s="29">
        <f t="shared" si="59"/>
        <v>66</v>
      </c>
      <c r="BT20" s="29">
        <f t="shared" si="52"/>
        <v>64</v>
      </c>
      <c r="BU20" s="29">
        <f t="shared" si="53"/>
        <v>47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75</v>
      </c>
      <c r="BL21" s="29">
        <v>64</v>
      </c>
      <c r="BM21" s="29">
        <v>96</v>
      </c>
      <c r="BN21" s="65"/>
      <c r="BO21" s="29">
        <f t="shared" si="51"/>
        <v>72</v>
      </c>
      <c r="BP21" s="29">
        <f t="shared" si="37"/>
        <v>51</v>
      </c>
      <c r="BQ21" s="29">
        <f t="shared" si="38"/>
        <v>79</v>
      </c>
      <c r="BR21" s="65"/>
      <c r="BS21" s="29">
        <f t="shared" si="59"/>
        <v>72</v>
      </c>
      <c r="BT21" s="29">
        <f t="shared" si="52"/>
        <v>61</v>
      </c>
      <c r="BU21" s="29">
        <f t="shared" si="53"/>
        <v>78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75</v>
      </c>
      <c r="BL22" s="29">
        <v>67</v>
      </c>
      <c r="BM22" s="29">
        <v>98</v>
      </c>
      <c r="BN22" s="65"/>
      <c r="BO22" s="29">
        <f t="shared" si="51"/>
        <v>75</v>
      </c>
      <c r="BP22" s="29">
        <f t="shared" si="37"/>
        <v>64</v>
      </c>
      <c r="BQ22" s="29">
        <f t="shared" si="38"/>
        <v>96</v>
      </c>
      <c r="BR22" s="65"/>
      <c r="BS22" s="29">
        <f t="shared" si="59"/>
        <v>72</v>
      </c>
      <c r="BT22" s="29">
        <f t="shared" si="52"/>
        <v>51</v>
      </c>
      <c r="BU22" s="29">
        <f t="shared" si="53"/>
        <v>79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48</v>
      </c>
      <c r="BL23" s="29">
        <v>278</v>
      </c>
      <c r="BM23" s="29">
        <v>75</v>
      </c>
      <c r="BN23" s="65"/>
      <c r="BO23" s="29">
        <f t="shared" si="51"/>
        <v>75</v>
      </c>
      <c r="BP23" s="29">
        <f t="shared" si="37"/>
        <v>67</v>
      </c>
      <c r="BQ23" s="29">
        <f t="shared" si="38"/>
        <v>98</v>
      </c>
      <c r="BR23" s="65"/>
      <c r="BS23" s="29">
        <f t="shared" si="59"/>
        <v>75</v>
      </c>
      <c r="BT23" s="29">
        <f t="shared" si="52"/>
        <v>64</v>
      </c>
      <c r="BU23" s="29">
        <f t="shared" si="53"/>
        <v>96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79</v>
      </c>
      <c r="BL24" s="29">
        <v>830</v>
      </c>
      <c r="BM24" s="29">
        <v>112</v>
      </c>
      <c r="BN24" s="65"/>
      <c r="BO24" s="29">
        <f t="shared" si="51"/>
        <v>48</v>
      </c>
      <c r="BP24" s="29">
        <f t="shared" si="37"/>
        <v>278</v>
      </c>
      <c r="BQ24" s="29">
        <f t="shared" si="38"/>
        <v>75</v>
      </c>
      <c r="BR24" s="65"/>
      <c r="BS24" s="29">
        <f t="shared" si="59"/>
        <v>75</v>
      </c>
      <c r="BT24" s="29">
        <f t="shared" si="52"/>
        <v>67</v>
      </c>
      <c r="BU24" s="29">
        <f t="shared" si="53"/>
        <v>98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79</v>
      </c>
      <c r="BL25" s="29">
        <v>1000</v>
      </c>
      <c r="BM25" s="29">
        <v>112</v>
      </c>
      <c r="BN25" s="65"/>
      <c r="BO25" s="29">
        <f t="shared" si="51"/>
        <v>79</v>
      </c>
      <c r="BP25" s="29">
        <f t="shared" si="37"/>
        <v>830</v>
      </c>
      <c r="BQ25" s="29">
        <f t="shared" si="38"/>
        <v>112</v>
      </c>
      <c r="BR25" s="65"/>
      <c r="BS25" s="29">
        <f t="shared" si="59"/>
        <v>48</v>
      </c>
      <c r="BT25" s="29">
        <f t="shared" si="52"/>
        <v>278</v>
      </c>
      <c r="BU25" s="29">
        <f t="shared" si="53"/>
        <v>75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79</v>
      </c>
      <c r="BL26" s="29">
        <v>833</v>
      </c>
      <c r="BM26" s="29">
        <v>76</v>
      </c>
      <c r="BN26" s="65"/>
      <c r="BO26" s="29">
        <f t="shared" si="51"/>
        <v>79</v>
      </c>
      <c r="BP26" s="29">
        <f t="shared" si="37"/>
        <v>1000</v>
      </c>
      <c r="BQ26" s="29">
        <f t="shared" si="38"/>
        <v>112</v>
      </c>
      <c r="BR26" s="65"/>
      <c r="BS26" s="29">
        <f t="shared" si="59"/>
        <v>79</v>
      </c>
      <c r="BT26" s="29">
        <f t="shared" si="52"/>
        <v>830</v>
      </c>
      <c r="BU26" s="29">
        <f t="shared" si="53"/>
        <v>112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80</v>
      </c>
      <c r="BL27" s="29">
        <v>292</v>
      </c>
      <c r="BM27" s="29">
        <v>94</v>
      </c>
      <c r="BN27" s="65"/>
      <c r="BO27" s="29">
        <f t="shared" si="51"/>
        <v>79</v>
      </c>
      <c r="BP27" s="29">
        <f t="shared" si="37"/>
        <v>833</v>
      </c>
      <c r="BQ27" s="29">
        <f t="shared" si="38"/>
        <v>76</v>
      </c>
      <c r="BR27" s="65"/>
      <c r="BS27" s="29">
        <f t="shared" si="59"/>
        <v>79</v>
      </c>
      <c r="BT27" s="29">
        <f t="shared" si="52"/>
        <v>1000</v>
      </c>
      <c r="BU27" s="29">
        <f t="shared" si="53"/>
        <v>112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71</v>
      </c>
      <c r="BL28" s="29">
        <v>73</v>
      </c>
      <c r="BM28" s="29">
        <v>94</v>
      </c>
      <c r="BN28" s="65"/>
      <c r="BO28" s="29">
        <f t="shared" si="51"/>
        <v>80</v>
      </c>
      <c r="BP28" s="29">
        <f t="shared" si="37"/>
        <v>292</v>
      </c>
      <c r="BQ28" s="29">
        <f t="shared" si="38"/>
        <v>94</v>
      </c>
      <c r="BR28" s="65"/>
      <c r="BS28" s="29">
        <f t="shared" si="59"/>
        <v>79</v>
      </c>
      <c r="BT28" s="29">
        <f t="shared" si="52"/>
        <v>833</v>
      </c>
      <c r="BU28" s="29">
        <f t="shared" si="53"/>
        <v>76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69</v>
      </c>
      <c r="BL29" s="29">
        <v>72</v>
      </c>
      <c r="BM29" s="29">
        <v>85</v>
      </c>
      <c r="BN29" s="65"/>
      <c r="BO29" s="29">
        <f t="shared" si="51"/>
        <v>71</v>
      </c>
      <c r="BP29" s="29">
        <f t="shared" si="37"/>
        <v>73</v>
      </c>
      <c r="BQ29" s="29">
        <f t="shared" si="38"/>
        <v>94</v>
      </c>
      <c r="BR29" s="65"/>
      <c r="BS29" s="29">
        <f t="shared" si="59"/>
        <v>80</v>
      </c>
      <c r="BT29" s="29">
        <f t="shared" si="52"/>
        <v>292</v>
      </c>
      <c r="BU29" s="29">
        <f t="shared" si="53"/>
        <v>94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65</v>
      </c>
      <c r="BL30" s="29">
        <v>58</v>
      </c>
      <c r="BM30" s="29">
        <v>87</v>
      </c>
      <c r="BN30" s="65"/>
      <c r="BO30" s="29">
        <f t="shared" si="51"/>
        <v>69</v>
      </c>
      <c r="BP30" s="29">
        <f t="shared" si="37"/>
        <v>72</v>
      </c>
      <c r="BQ30" s="29">
        <f t="shared" si="38"/>
        <v>85</v>
      </c>
      <c r="BR30" s="65"/>
      <c r="BS30" s="29">
        <f t="shared" si="59"/>
        <v>71</v>
      </c>
      <c r="BT30" s="29">
        <f t="shared" si="52"/>
        <v>73</v>
      </c>
      <c r="BU30" s="29">
        <f t="shared" si="53"/>
        <v>94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66</v>
      </c>
      <c r="BL31" s="29">
        <v>69</v>
      </c>
      <c r="BM31" s="29">
        <v>73</v>
      </c>
      <c r="BN31" s="65"/>
      <c r="BO31" s="29">
        <f t="shared" si="51"/>
        <v>65</v>
      </c>
      <c r="BP31" s="29">
        <f t="shared" si="37"/>
        <v>58</v>
      </c>
      <c r="BQ31" s="29">
        <f t="shared" si="38"/>
        <v>87</v>
      </c>
      <c r="BR31" s="65"/>
      <c r="BS31" s="29">
        <f t="shared" si="59"/>
        <v>69</v>
      </c>
      <c r="BT31" s="29">
        <f t="shared" si="52"/>
        <v>72</v>
      </c>
      <c r="BU31" s="29">
        <f t="shared" si="53"/>
        <v>85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72</v>
      </c>
      <c r="BL32" s="29">
        <v>72</v>
      </c>
      <c r="BM32" s="29">
        <v>560</v>
      </c>
      <c r="BN32" s="65"/>
      <c r="BO32" s="29">
        <f t="shared" si="51"/>
        <v>66</v>
      </c>
      <c r="BP32" s="29">
        <f t="shared" si="37"/>
        <v>69</v>
      </c>
      <c r="BQ32" s="29">
        <f t="shared" si="38"/>
        <v>73</v>
      </c>
      <c r="BR32" s="65"/>
      <c r="BS32" s="29">
        <f t="shared" si="59"/>
        <v>65</v>
      </c>
      <c r="BT32" s="29">
        <f t="shared" si="52"/>
        <v>58</v>
      </c>
      <c r="BU32" s="29">
        <f t="shared" si="53"/>
        <v>87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72</v>
      </c>
      <c r="BL33" s="29">
        <v>64</v>
      </c>
      <c r="BM33" s="29">
        <v>679</v>
      </c>
      <c r="BN33" s="65"/>
      <c r="BO33" s="29">
        <f t="shared" si="51"/>
        <v>72</v>
      </c>
      <c r="BP33" s="29">
        <f t="shared" si="37"/>
        <v>72</v>
      </c>
      <c r="BQ33" s="29">
        <f t="shared" si="38"/>
        <v>560</v>
      </c>
      <c r="BR33" s="65"/>
      <c r="BS33" s="29">
        <f t="shared" si="59"/>
        <v>66</v>
      </c>
      <c r="BT33" s="29">
        <f t="shared" si="52"/>
        <v>69</v>
      </c>
      <c r="BU33" s="29">
        <f t="shared" si="53"/>
        <v>73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78</v>
      </c>
      <c r="BL34" s="29">
        <v>69</v>
      </c>
      <c r="BM34" s="29">
        <v>1000</v>
      </c>
      <c r="BN34" s="65"/>
      <c r="BO34" s="29">
        <f t="shared" si="51"/>
        <v>72</v>
      </c>
      <c r="BP34" s="29">
        <f t="shared" si="37"/>
        <v>64</v>
      </c>
      <c r="BQ34" s="29">
        <f t="shared" si="38"/>
        <v>679</v>
      </c>
      <c r="BR34" s="65"/>
      <c r="BS34" s="29">
        <f t="shared" si="59"/>
        <v>72</v>
      </c>
      <c r="BT34" s="29">
        <f t="shared" si="52"/>
        <v>72</v>
      </c>
      <c r="BU34" s="29">
        <f t="shared" si="53"/>
        <v>560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80</v>
      </c>
      <c r="BL35" s="29">
        <v>63</v>
      </c>
      <c r="BM35" s="29">
        <v>683</v>
      </c>
      <c r="BN35" s="65"/>
      <c r="BO35" s="29">
        <f t="shared" si="51"/>
        <v>78</v>
      </c>
      <c r="BP35" s="29">
        <f t="shared" si="37"/>
        <v>69</v>
      </c>
      <c r="BQ35" s="29">
        <f t="shared" si="38"/>
        <v>1000</v>
      </c>
      <c r="BR35" s="65"/>
      <c r="BS35" s="29">
        <f t="shared" si="59"/>
        <v>72</v>
      </c>
      <c r="BT35" s="29">
        <f t="shared" si="52"/>
        <v>64</v>
      </c>
      <c r="BU35" s="29">
        <f t="shared" si="53"/>
        <v>679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68</v>
      </c>
      <c r="BL36" s="29">
        <v>51</v>
      </c>
      <c r="BM36" s="29">
        <v>563</v>
      </c>
      <c r="BN36" s="65"/>
      <c r="BO36" s="29">
        <f t="shared" si="51"/>
        <v>80</v>
      </c>
      <c r="BP36" s="29">
        <f t="shared" si="37"/>
        <v>63</v>
      </c>
      <c r="BQ36" s="29">
        <f t="shared" si="38"/>
        <v>683</v>
      </c>
      <c r="BR36" s="65"/>
      <c r="BS36" s="29">
        <f t="shared" si="59"/>
        <v>78</v>
      </c>
      <c r="BT36" s="29">
        <f t="shared" si="52"/>
        <v>69</v>
      </c>
      <c r="BU36" s="29">
        <f t="shared" si="53"/>
        <v>1000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66</v>
      </c>
      <c r="BL37" s="29">
        <v>66</v>
      </c>
      <c r="BM37" s="29">
        <v>75</v>
      </c>
      <c r="BN37" s="65"/>
      <c r="BO37" s="29">
        <f t="shared" si="51"/>
        <v>68</v>
      </c>
      <c r="BP37" s="29">
        <f t="shared" si="37"/>
        <v>51</v>
      </c>
      <c r="BQ37" s="29">
        <f t="shared" si="38"/>
        <v>563</v>
      </c>
      <c r="BR37" s="65"/>
      <c r="BS37" s="29">
        <f t="shared" si="59"/>
        <v>80</v>
      </c>
      <c r="BT37" s="29">
        <f t="shared" si="52"/>
        <v>63</v>
      </c>
      <c r="BU37" s="29">
        <f t="shared" si="53"/>
        <v>683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65</v>
      </c>
      <c r="BL38" s="29">
        <v>77</v>
      </c>
      <c r="BM38" s="29">
        <v>75</v>
      </c>
      <c r="BN38" s="65"/>
      <c r="BO38" s="29">
        <f t="shared" si="51"/>
        <v>66</v>
      </c>
      <c r="BP38" s="29">
        <f t="shared" si="37"/>
        <v>66</v>
      </c>
      <c r="BQ38" s="29">
        <f t="shared" si="38"/>
        <v>75</v>
      </c>
      <c r="BR38" s="65"/>
      <c r="BS38" s="29">
        <f t="shared" si="59"/>
        <v>68</v>
      </c>
      <c r="BT38" s="29">
        <f t="shared" si="52"/>
        <v>51</v>
      </c>
      <c r="BU38" s="29">
        <f t="shared" si="53"/>
        <v>563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66</v>
      </c>
      <c r="BL39" s="29">
        <v>71</v>
      </c>
      <c r="BM39" s="29">
        <v>112</v>
      </c>
      <c r="BN39" s="65"/>
      <c r="BO39" s="29">
        <f t="shared" si="51"/>
        <v>65</v>
      </c>
      <c r="BP39" s="29">
        <f t="shared" si="37"/>
        <v>77</v>
      </c>
      <c r="BQ39" s="29">
        <f t="shared" si="38"/>
        <v>75</v>
      </c>
      <c r="BR39" s="65"/>
      <c r="BS39" s="29">
        <f t="shared" si="59"/>
        <v>66</v>
      </c>
      <c r="BT39" s="29">
        <f t="shared" si="52"/>
        <v>66</v>
      </c>
      <c r="BU39" s="29">
        <f t="shared" si="53"/>
        <v>75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72</v>
      </c>
      <c r="BL40" s="29">
        <v>53</v>
      </c>
      <c r="BM40" s="29">
        <v>112</v>
      </c>
      <c r="BN40" s="65"/>
      <c r="BO40" s="29">
        <f t="shared" si="51"/>
        <v>66</v>
      </c>
      <c r="BP40" s="29">
        <f t="shared" si="37"/>
        <v>71</v>
      </c>
      <c r="BQ40" s="29">
        <f t="shared" si="38"/>
        <v>112</v>
      </c>
      <c r="BR40" s="65"/>
      <c r="BS40" s="29">
        <f t="shared" si="59"/>
        <v>65</v>
      </c>
      <c r="BT40" s="29">
        <f t="shared" si="52"/>
        <v>77</v>
      </c>
      <c r="BU40" s="29">
        <f t="shared" si="53"/>
        <v>75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72</v>
      </c>
      <c r="BL41" s="29">
        <v>43</v>
      </c>
      <c r="BM41" s="29">
        <v>116</v>
      </c>
      <c r="BN41" s="65"/>
      <c r="BO41" s="29">
        <f t="shared" si="51"/>
        <v>72</v>
      </c>
      <c r="BP41" s="29">
        <f t="shared" si="37"/>
        <v>53</v>
      </c>
      <c r="BQ41" s="29">
        <f t="shared" si="38"/>
        <v>112</v>
      </c>
      <c r="BR41" s="65"/>
      <c r="BS41" s="29">
        <f t="shared" si="59"/>
        <v>66</v>
      </c>
      <c r="BT41" s="29">
        <f t="shared" si="52"/>
        <v>71</v>
      </c>
      <c r="BU41" s="29">
        <f t="shared" si="53"/>
        <v>112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77</v>
      </c>
      <c r="BL42" s="29">
        <v>56</v>
      </c>
      <c r="BM42" s="29">
        <v>116</v>
      </c>
      <c r="BN42" s="65"/>
      <c r="BO42" s="29">
        <f t="shared" si="51"/>
        <v>72</v>
      </c>
      <c r="BP42" s="29">
        <f t="shared" si="37"/>
        <v>43</v>
      </c>
      <c r="BQ42" s="29">
        <f t="shared" si="38"/>
        <v>116</v>
      </c>
      <c r="BR42" s="65"/>
      <c r="BS42" s="29">
        <f t="shared" si="59"/>
        <v>72</v>
      </c>
      <c r="BT42" s="29">
        <f t="shared" si="52"/>
        <v>53</v>
      </c>
      <c r="BU42" s="29">
        <f t="shared" si="53"/>
        <v>112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78</v>
      </c>
      <c r="BL43" s="29">
        <v>68</v>
      </c>
      <c r="BM43" s="29">
        <v>73</v>
      </c>
      <c r="BN43" s="65"/>
      <c r="BO43" s="29">
        <f t="shared" si="51"/>
        <v>77</v>
      </c>
      <c r="BP43" s="29">
        <f t="shared" si="37"/>
        <v>56</v>
      </c>
      <c r="BQ43" s="29">
        <f t="shared" si="38"/>
        <v>116</v>
      </c>
      <c r="BR43" s="65"/>
      <c r="BS43" s="29">
        <f t="shared" si="59"/>
        <v>72</v>
      </c>
      <c r="BT43" s="29">
        <f t="shared" si="52"/>
        <v>43</v>
      </c>
      <c r="BU43" s="29">
        <f t="shared" si="53"/>
        <v>116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55</v>
      </c>
      <c r="BL44" s="29">
        <v>63</v>
      </c>
      <c r="BM44" s="29">
        <v>93</v>
      </c>
      <c r="BN44" s="65"/>
      <c r="BO44" s="29">
        <f t="shared" si="51"/>
        <v>78</v>
      </c>
      <c r="BP44" s="29">
        <f t="shared" si="37"/>
        <v>68</v>
      </c>
      <c r="BQ44" s="29">
        <f t="shared" si="38"/>
        <v>73</v>
      </c>
      <c r="BR44" s="65"/>
      <c r="BS44" s="29">
        <f t="shared" si="59"/>
        <v>77</v>
      </c>
      <c r="BT44" s="29">
        <f t="shared" si="52"/>
        <v>56</v>
      </c>
      <c r="BU44" s="29">
        <f t="shared" si="53"/>
        <v>116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88</v>
      </c>
      <c r="BL45" s="29">
        <v>74</v>
      </c>
      <c r="BM45" s="29">
        <v>91</v>
      </c>
      <c r="BN45" s="65"/>
      <c r="BO45" s="29">
        <f t="shared" si="51"/>
        <v>55</v>
      </c>
      <c r="BP45" s="29">
        <f t="shared" si="37"/>
        <v>63</v>
      </c>
      <c r="BQ45" s="29">
        <f t="shared" si="38"/>
        <v>93</v>
      </c>
      <c r="BR45" s="65"/>
      <c r="BS45" s="29">
        <f t="shared" si="59"/>
        <v>78</v>
      </c>
      <c r="BT45" s="29">
        <f t="shared" si="52"/>
        <v>68</v>
      </c>
      <c r="BU45" s="29">
        <f t="shared" si="53"/>
        <v>73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94</v>
      </c>
      <c r="BL46" s="29">
        <v>73</v>
      </c>
      <c r="BM46" s="29">
        <v>96</v>
      </c>
      <c r="BN46" s="65"/>
      <c r="BO46" s="29">
        <f t="shared" si="51"/>
        <v>88</v>
      </c>
      <c r="BP46" s="29">
        <f t="shared" si="37"/>
        <v>74</v>
      </c>
      <c r="BQ46" s="29">
        <f t="shared" si="38"/>
        <v>91</v>
      </c>
      <c r="BR46" s="65"/>
      <c r="BS46" s="29">
        <f t="shared" si="59"/>
        <v>55</v>
      </c>
      <c r="BT46" s="29">
        <f t="shared" si="52"/>
        <v>63</v>
      </c>
      <c r="BU46" s="29">
        <f t="shared" si="53"/>
        <v>93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66</v>
      </c>
      <c r="BL47" s="29">
        <v>69</v>
      </c>
      <c r="BM47" s="29">
        <v>98</v>
      </c>
      <c r="BN47" s="65"/>
      <c r="BO47" s="29">
        <f t="shared" si="51"/>
        <v>94</v>
      </c>
      <c r="BP47" s="29">
        <f t="shared" si="37"/>
        <v>73</v>
      </c>
      <c r="BQ47" s="29">
        <f t="shared" si="38"/>
        <v>96</v>
      </c>
      <c r="BR47" s="65"/>
      <c r="BS47" s="29">
        <f t="shared" si="59"/>
        <v>88</v>
      </c>
      <c r="BT47" s="29">
        <f t="shared" si="52"/>
        <v>74</v>
      </c>
      <c r="BU47" s="29">
        <f t="shared" si="53"/>
        <v>91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38</v>
      </c>
      <c r="BL48" s="29">
        <v>72</v>
      </c>
      <c r="BM48" s="29">
        <v>75</v>
      </c>
      <c r="BN48" s="65"/>
      <c r="BO48" s="29">
        <f t="shared" si="51"/>
        <v>66</v>
      </c>
      <c r="BP48" s="29">
        <f t="shared" si="37"/>
        <v>69</v>
      </c>
      <c r="BQ48" s="29">
        <f t="shared" si="38"/>
        <v>98</v>
      </c>
      <c r="BR48" s="65"/>
      <c r="BS48" s="29">
        <f t="shared" si="59"/>
        <v>94</v>
      </c>
      <c r="BT48" s="29">
        <f t="shared" si="52"/>
        <v>73</v>
      </c>
      <c r="BU48" s="29">
        <f t="shared" si="53"/>
        <v>96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65</v>
      </c>
      <c r="BL49" s="29">
        <v>81</v>
      </c>
      <c r="BM49" s="29">
        <v>92</v>
      </c>
      <c r="BN49" s="65"/>
      <c r="BO49" s="29">
        <f t="shared" si="51"/>
        <v>38</v>
      </c>
      <c r="BP49" s="29">
        <f t="shared" si="37"/>
        <v>72</v>
      </c>
      <c r="BQ49" s="29">
        <f t="shared" si="38"/>
        <v>75</v>
      </c>
      <c r="BR49" s="65"/>
      <c r="BS49" s="29">
        <f t="shared" si="59"/>
        <v>66</v>
      </c>
      <c r="BT49" s="29">
        <f t="shared" si="52"/>
        <v>69</v>
      </c>
      <c r="BU49" s="29">
        <f t="shared" si="53"/>
        <v>98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66</v>
      </c>
      <c r="BL50" s="29">
        <v>86</v>
      </c>
      <c r="BM50" s="29">
        <v>90</v>
      </c>
      <c r="BN50" s="65"/>
      <c r="BO50" s="29">
        <f t="shared" si="51"/>
        <v>65</v>
      </c>
      <c r="BP50" s="29">
        <f t="shared" si="37"/>
        <v>81</v>
      </c>
      <c r="BQ50" s="29">
        <f t="shared" si="38"/>
        <v>92</v>
      </c>
      <c r="BR50" s="65"/>
      <c r="BS50" s="29">
        <f t="shared" si="59"/>
        <v>38</v>
      </c>
      <c r="BT50" s="29">
        <f t="shared" si="52"/>
        <v>72</v>
      </c>
      <c r="BU50" s="29">
        <f t="shared" si="53"/>
        <v>75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544</v>
      </c>
      <c r="BL51" s="29">
        <v>304</v>
      </c>
      <c r="BM51" s="29">
        <v>54</v>
      </c>
      <c r="BN51" s="65"/>
      <c r="BO51" s="29">
        <f t="shared" si="51"/>
        <v>66</v>
      </c>
      <c r="BP51" s="29">
        <f t="shared" si="37"/>
        <v>86</v>
      </c>
      <c r="BQ51" s="29">
        <f t="shared" si="38"/>
        <v>90</v>
      </c>
      <c r="BR51" s="65"/>
      <c r="BS51" s="29">
        <f t="shared" si="59"/>
        <v>65</v>
      </c>
      <c r="BT51" s="29">
        <f t="shared" si="52"/>
        <v>81</v>
      </c>
      <c r="BU51" s="29">
        <f t="shared" si="53"/>
        <v>92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661</v>
      </c>
      <c r="BL52" s="29">
        <v>837</v>
      </c>
      <c r="BM52" s="29">
        <v>54</v>
      </c>
      <c r="BN52" s="65"/>
      <c r="BO52" s="29">
        <f t="shared" si="51"/>
        <v>544</v>
      </c>
      <c r="BP52" s="29">
        <f t="shared" si="37"/>
        <v>304</v>
      </c>
      <c r="BQ52" s="29">
        <f t="shared" si="38"/>
        <v>54</v>
      </c>
      <c r="BR52" s="65"/>
      <c r="BS52" s="29">
        <f t="shared" si="59"/>
        <v>66</v>
      </c>
      <c r="BT52" s="29">
        <f t="shared" si="52"/>
        <v>86</v>
      </c>
      <c r="BU52" s="29">
        <f t="shared" si="53"/>
        <v>90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1000</v>
      </c>
      <c r="BL53" s="29">
        <v>1000</v>
      </c>
      <c r="BM53" s="29">
        <v>95</v>
      </c>
      <c r="BN53" s="65"/>
      <c r="BO53" s="29">
        <f t="shared" si="51"/>
        <v>661</v>
      </c>
      <c r="BP53" s="29">
        <f t="shared" si="37"/>
        <v>837</v>
      </c>
      <c r="BQ53" s="29">
        <f t="shared" si="38"/>
        <v>54</v>
      </c>
      <c r="BR53" s="65"/>
      <c r="BS53" s="29">
        <f t="shared" si="59"/>
        <v>544</v>
      </c>
      <c r="BT53" s="29">
        <f t="shared" si="52"/>
        <v>304</v>
      </c>
      <c r="BU53" s="29">
        <f t="shared" si="53"/>
        <v>54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657</v>
      </c>
      <c r="BL54" s="29">
        <v>833</v>
      </c>
      <c r="BM54" s="29">
        <v>96</v>
      </c>
      <c r="BN54" s="65"/>
      <c r="BO54" s="29">
        <f t="shared" si="51"/>
        <v>1000</v>
      </c>
      <c r="BP54" s="29">
        <f t="shared" si="37"/>
        <v>1000</v>
      </c>
      <c r="BQ54" s="29">
        <f t="shared" si="38"/>
        <v>95</v>
      </c>
      <c r="BR54" s="65"/>
      <c r="BS54" s="29">
        <f t="shared" si="59"/>
        <v>661</v>
      </c>
      <c r="BT54" s="29">
        <f t="shared" si="52"/>
        <v>837</v>
      </c>
      <c r="BU54" s="29">
        <f t="shared" si="53"/>
        <v>54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540</v>
      </c>
      <c r="BL55" s="29">
        <v>292</v>
      </c>
      <c r="BM55" s="29">
        <v>76</v>
      </c>
      <c r="BN55" s="65"/>
      <c r="BO55" s="29">
        <f t="shared" si="51"/>
        <v>657</v>
      </c>
      <c r="BP55" s="29">
        <f t="shared" si="37"/>
        <v>833</v>
      </c>
      <c r="BQ55" s="29">
        <f t="shared" si="38"/>
        <v>96</v>
      </c>
      <c r="BR55" s="65"/>
      <c r="BS55" s="29">
        <f t="shared" si="59"/>
        <v>1000</v>
      </c>
      <c r="BT55" s="29">
        <f t="shared" si="52"/>
        <v>1000</v>
      </c>
      <c r="BU55" s="29">
        <f t="shared" si="53"/>
        <v>95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79</v>
      </c>
      <c r="BL56" s="29">
        <v>76</v>
      </c>
      <c r="BM56" s="29">
        <v>99</v>
      </c>
      <c r="BN56" s="65"/>
      <c r="BO56" s="29">
        <f t="shared" si="51"/>
        <v>540</v>
      </c>
      <c r="BP56" s="29">
        <f t="shared" si="37"/>
        <v>292</v>
      </c>
      <c r="BQ56" s="29">
        <f t="shared" si="38"/>
        <v>76</v>
      </c>
      <c r="BR56" s="65"/>
      <c r="BS56" s="29">
        <f t="shared" si="59"/>
        <v>657</v>
      </c>
      <c r="BT56" s="29">
        <f t="shared" si="52"/>
        <v>833</v>
      </c>
      <c r="BU56" s="29">
        <f t="shared" si="53"/>
        <v>96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79</v>
      </c>
      <c r="BL57" s="29">
        <v>72</v>
      </c>
      <c r="BM57" s="29">
        <v>97</v>
      </c>
      <c r="BN57" s="65"/>
      <c r="BO57" s="29">
        <f t="shared" si="51"/>
        <v>79</v>
      </c>
      <c r="BP57" s="29">
        <f t="shared" si="37"/>
        <v>76</v>
      </c>
      <c r="BQ57" s="29">
        <f t="shared" si="38"/>
        <v>99</v>
      </c>
      <c r="BR57" s="65"/>
      <c r="BS57" s="29">
        <f t="shared" si="59"/>
        <v>540</v>
      </c>
      <c r="BT57" s="29">
        <f t="shared" si="52"/>
        <v>292</v>
      </c>
      <c r="BU57" s="29">
        <f t="shared" si="53"/>
        <v>76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77</v>
      </c>
      <c r="BL58" s="29">
        <v>57</v>
      </c>
      <c r="BM58" s="29">
        <v>56</v>
      </c>
      <c r="BN58" s="65"/>
      <c r="BO58" s="29">
        <f t="shared" si="51"/>
        <v>79</v>
      </c>
      <c r="BP58" s="29">
        <f t="shared" si="37"/>
        <v>72</v>
      </c>
      <c r="BQ58" s="29">
        <f t="shared" si="38"/>
        <v>97</v>
      </c>
      <c r="BR58" s="65"/>
      <c r="BS58" s="29">
        <f t="shared" si="59"/>
        <v>79</v>
      </c>
      <c r="BT58" s="29">
        <f t="shared" si="52"/>
        <v>76</v>
      </c>
      <c r="BU58" s="29">
        <f t="shared" si="53"/>
        <v>99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79</v>
      </c>
      <c r="BL59" s="29">
        <v>64</v>
      </c>
      <c r="BM59" s="29">
        <v>96</v>
      </c>
      <c r="BN59" s="65"/>
      <c r="BO59" s="29">
        <f t="shared" si="51"/>
        <v>77</v>
      </c>
      <c r="BP59" s="29">
        <f t="shared" si="37"/>
        <v>57</v>
      </c>
      <c r="BQ59" s="29">
        <f t="shared" si="38"/>
        <v>56</v>
      </c>
      <c r="BR59" s="65"/>
      <c r="BS59" s="29">
        <f t="shared" si="59"/>
        <v>79</v>
      </c>
      <c r="BT59" s="29">
        <f t="shared" si="52"/>
        <v>72</v>
      </c>
      <c r="BU59" s="29">
        <f t="shared" si="53"/>
        <v>97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81</v>
      </c>
      <c r="BL60" s="29">
        <v>61</v>
      </c>
      <c r="BM60" s="29">
        <v>98</v>
      </c>
      <c r="BN60" s="65"/>
      <c r="BO60" s="29">
        <f t="shared" si="51"/>
        <v>79</v>
      </c>
      <c r="BP60" s="29">
        <f t="shared" si="37"/>
        <v>64</v>
      </c>
      <c r="BQ60" s="29">
        <f t="shared" si="38"/>
        <v>96</v>
      </c>
      <c r="BR60" s="65"/>
      <c r="BS60" s="29">
        <f t="shared" si="59"/>
        <v>77</v>
      </c>
      <c r="BT60" s="29">
        <f t="shared" si="52"/>
        <v>57</v>
      </c>
      <c r="BU60" s="29">
        <f t="shared" si="53"/>
        <v>56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80</v>
      </c>
      <c r="BL61" s="29">
        <v>51</v>
      </c>
      <c r="BM61" s="29">
        <v>75</v>
      </c>
      <c r="BN61" s="65"/>
      <c r="BO61" s="29">
        <f t="shared" si="51"/>
        <v>81</v>
      </c>
      <c r="BP61" s="29">
        <f t="shared" si="37"/>
        <v>61</v>
      </c>
      <c r="BQ61" s="29">
        <f t="shared" si="38"/>
        <v>98</v>
      </c>
      <c r="BR61" s="65"/>
      <c r="BS61" s="29">
        <f t="shared" si="59"/>
        <v>79</v>
      </c>
      <c r="BT61" s="29">
        <f t="shared" si="52"/>
        <v>64</v>
      </c>
      <c r="BU61" s="29">
        <f t="shared" si="53"/>
        <v>96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77</v>
      </c>
      <c r="BL62" s="29">
        <v>66</v>
      </c>
      <c r="BM62" s="29">
        <v>92</v>
      </c>
      <c r="BN62" s="65"/>
      <c r="BO62" s="29">
        <f t="shared" si="51"/>
        <v>80</v>
      </c>
      <c r="BP62" s="29">
        <f t="shared" si="37"/>
        <v>51</v>
      </c>
      <c r="BQ62" s="29">
        <f t="shared" si="38"/>
        <v>75</v>
      </c>
      <c r="BR62" s="65"/>
      <c r="BS62" s="29">
        <f t="shared" si="59"/>
        <v>81</v>
      </c>
      <c r="BT62" s="29">
        <f t="shared" si="52"/>
        <v>61</v>
      </c>
      <c r="BU62" s="29">
        <f t="shared" si="53"/>
        <v>98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79</v>
      </c>
      <c r="BL63" s="29">
        <v>77</v>
      </c>
      <c r="BM63" s="29">
        <v>90</v>
      </c>
      <c r="BN63" s="65"/>
      <c r="BO63" s="29">
        <f t="shared" si="51"/>
        <v>77</v>
      </c>
      <c r="BP63" s="29">
        <f t="shared" si="37"/>
        <v>66</v>
      </c>
      <c r="BQ63" s="29">
        <f t="shared" si="38"/>
        <v>92</v>
      </c>
      <c r="BR63" s="65"/>
      <c r="BS63" s="29">
        <f t="shared" si="59"/>
        <v>80</v>
      </c>
      <c r="BT63" s="29">
        <f t="shared" si="52"/>
        <v>51</v>
      </c>
      <c r="BU63" s="29">
        <f t="shared" si="53"/>
        <v>75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54</v>
      </c>
      <c r="BL64" s="29">
        <v>82</v>
      </c>
      <c r="BM64" s="29">
        <v>54</v>
      </c>
      <c r="BN64" s="65"/>
      <c r="BO64" s="29">
        <f t="shared" si="51"/>
        <v>79</v>
      </c>
      <c r="BP64" s="29">
        <f t="shared" si="37"/>
        <v>77</v>
      </c>
      <c r="BQ64" s="29">
        <f t="shared" si="38"/>
        <v>90</v>
      </c>
      <c r="BR64" s="65"/>
      <c r="BS64" s="29">
        <f t="shared" si="59"/>
        <v>77</v>
      </c>
      <c r="BT64" s="29">
        <f t="shared" si="52"/>
        <v>66</v>
      </c>
      <c r="BU64" s="29">
        <f t="shared" si="53"/>
        <v>92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68</v>
      </c>
      <c r="BL65" s="29">
        <v>69</v>
      </c>
      <c r="BM65" s="29">
        <v>94</v>
      </c>
      <c r="BN65" s="65"/>
      <c r="BO65" s="29">
        <f t="shared" si="51"/>
        <v>54</v>
      </c>
      <c r="BP65" s="29">
        <f t="shared" si="37"/>
        <v>82</v>
      </c>
      <c r="BQ65" s="29">
        <f t="shared" si="38"/>
        <v>54</v>
      </c>
      <c r="BR65" s="65"/>
      <c r="BS65" s="29">
        <f t="shared" si="59"/>
        <v>79</v>
      </c>
      <c r="BT65" s="29">
        <f t="shared" si="52"/>
        <v>77</v>
      </c>
      <c r="BU65" s="29">
        <f t="shared" si="53"/>
        <v>90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66</v>
      </c>
      <c r="BL66" s="29">
        <v>66</v>
      </c>
      <c r="BM66" s="29">
        <v>95</v>
      </c>
      <c r="BO66" s="29">
        <f t="shared" si="51"/>
        <v>68</v>
      </c>
      <c r="BP66" s="29">
        <f t="shared" si="37"/>
        <v>69</v>
      </c>
      <c r="BQ66" s="29">
        <f t="shared" si="38"/>
        <v>94</v>
      </c>
      <c r="BR66" s="65"/>
      <c r="BS66" s="29">
        <f t="shared" si="59"/>
        <v>54</v>
      </c>
      <c r="BT66" s="29">
        <f t="shared" si="52"/>
        <v>82</v>
      </c>
      <c r="BU66" s="29">
        <f t="shared" si="53"/>
        <v>54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69</v>
      </c>
      <c r="BL67" s="29">
        <v>73</v>
      </c>
      <c r="BM67" s="29">
        <v>75</v>
      </c>
      <c r="BO67" s="29">
        <f t="shared" si="51"/>
        <v>66</v>
      </c>
      <c r="BP67" s="29">
        <f t="shared" si="37"/>
        <v>66</v>
      </c>
      <c r="BQ67" s="29">
        <f t="shared" si="38"/>
        <v>95</v>
      </c>
      <c r="BR67" s="65"/>
      <c r="BS67" s="29">
        <f t="shared" si="59"/>
        <v>68</v>
      </c>
      <c r="BT67" s="29">
        <f t="shared" si="52"/>
        <v>69</v>
      </c>
      <c r="BU67" s="29">
        <f t="shared" si="53"/>
        <v>94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71</v>
      </c>
      <c r="BL68" s="29">
        <v>74</v>
      </c>
      <c r="BM68" s="29">
        <v>92</v>
      </c>
      <c r="BO68" s="29">
        <f t="shared" si="51"/>
        <v>69</v>
      </c>
      <c r="BP68" s="29">
        <f t="shared" ref="BP68:BP131" si="86">IF(BL67="","",BL67)</f>
        <v>73</v>
      </c>
      <c r="BQ68" s="29">
        <f t="shared" ref="BQ68:BQ131" si="87">IF(BM67="","",BM67)</f>
        <v>75</v>
      </c>
      <c r="BR68" s="65"/>
      <c r="BS68" s="29">
        <f t="shared" si="59"/>
        <v>66</v>
      </c>
      <c r="BT68" s="29">
        <f t="shared" si="52"/>
        <v>66</v>
      </c>
      <c r="BU68" s="29">
        <f t="shared" si="53"/>
        <v>95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88</v>
      </c>
      <c r="BL69" s="29">
        <v>73</v>
      </c>
      <c r="BM69" s="29">
        <v>90</v>
      </c>
      <c r="BO69" s="29">
        <f t="shared" ref="BO69:BO132" si="97">IF(BK68="","",BK68)</f>
        <v>71</v>
      </c>
      <c r="BP69" s="29">
        <f t="shared" si="86"/>
        <v>74</v>
      </c>
      <c r="BQ69" s="29">
        <f t="shared" si="87"/>
        <v>92</v>
      </c>
      <c r="BR69" s="65"/>
      <c r="BS69" s="29">
        <f t="shared" si="59"/>
        <v>69</v>
      </c>
      <c r="BT69" s="29">
        <f t="shared" ref="BT69:BT132" si="98">IF(BL67="","",BL67)</f>
        <v>73</v>
      </c>
      <c r="BU69" s="29">
        <f t="shared" ref="BU69:BU132" si="99">IF(BM67="","",BM67)</f>
        <v>75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89</v>
      </c>
      <c r="BL70" s="29">
        <v>58</v>
      </c>
      <c r="BM70" s="29">
        <v>54</v>
      </c>
      <c r="BO70" s="29">
        <f t="shared" si="97"/>
        <v>88</v>
      </c>
      <c r="BP70" s="29">
        <f t="shared" si="86"/>
        <v>73</v>
      </c>
      <c r="BQ70" s="29">
        <f t="shared" si="87"/>
        <v>90</v>
      </c>
      <c r="BR70" s="65"/>
      <c r="BS70" s="29">
        <f t="shared" ref="BS70:BS133" si="105">IF(BK68="","",BK68)</f>
        <v>71</v>
      </c>
      <c r="BT70" s="29">
        <f t="shared" si="98"/>
        <v>74</v>
      </c>
      <c r="BU70" s="29">
        <f t="shared" si="99"/>
        <v>92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83</v>
      </c>
      <c r="BL71" s="29">
        <v>283</v>
      </c>
      <c r="BM71" s="29">
        <v>77</v>
      </c>
      <c r="BO71" s="29">
        <f t="shared" si="97"/>
        <v>89</v>
      </c>
      <c r="BP71" s="29">
        <f t="shared" si="86"/>
        <v>58</v>
      </c>
      <c r="BQ71" s="29">
        <f t="shared" si="87"/>
        <v>54</v>
      </c>
      <c r="BR71" s="65"/>
      <c r="BS71" s="29">
        <f t="shared" si="105"/>
        <v>88</v>
      </c>
      <c r="BT71" s="29">
        <f t="shared" si="98"/>
        <v>73</v>
      </c>
      <c r="BU71" s="29">
        <f t="shared" si="99"/>
        <v>90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81</v>
      </c>
      <c r="BL72" s="29">
        <v>829</v>
      </c>
      <c r="BM72" s="29">
        <v>74</v>
      </c>
      <c r="BO72" s="29">
        <f t="shared" si="97"/>
        <v>83</v>
      </c>
      <c r="BP72" s="29">
        <f t="shared" si="86"/>
        <v>283</v>
      </c>
      <c r="BQ72" s="29">
        <f t="shared" si="87"/>
        <v>77</v>
      </c>
      <c r="BR72" s="65"/>
      <c r="BS72" s="29">
        <f t="shared" si="105"/>
        <v>89</v>
      </c>
      <c r="BT72" s="29">
        <f t="shared" si="98"/>
        <v>58</v>
      </c>
      <c r="BU72" s="29">
        <f t="shared" si="99"/>
        <v>54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79</v>
      </c>
      <c r="BL73" s="29">
        <v>1000</v>
      </c>
      <c r="BM73" s="29">
        <v>87</v>
      </c>
      <c r="BO73" s="29">
        <f t="shared" si="97"/>
        <v>81</v>
      </c>
      <c r="BP73" s="29">
        <f t="shared" si="86"/>
        <v>829</v>
      </c>
      <c r="BQ73" s="29">
        <f t="shared" si="87"/>
        <v>74</v>
      </c>
      <c r="BR73" s="65"/>
      <c r="BS73" s="29">
        <f t="shared" si="105"/>
        <v>83</v>
      </c>
      <c r="BT73" s="29">
        <f t="shared" si="98"/>
        <v>283</v>
      </c>
      <c r="BU73" s="29">
        <f t="shared" si="99"/>
        <v>77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79</v>
      </c>
      <c r="BL74" s="29">
        <v>825</v>
      </c>
      <c r="BM74" s="29">
        <v>91</v>
      </c>
      <c r="BO74" s="29">
        <f t="shared" si="97"/>
        <v>79</v>
      </c>
      <c r="BP74" s="29">
        <f t="shared" si="86"/>
        <v>1000</v>
      </c>
      <c r="BQ74" s="29">
        <f t="shared" si="87"/>
        <v>87</v>
      </c>
      <c r="BR74" s="65"/>
      <c r="BS74" s="29">
        <f t="shared" si="105"/>
        <v>81</v>
      </c>
      <c r="BT74" s="29">
        <f t="shared" si="98"/>
        <v>829</v>
      </c>
      <c r="BU74" s="29">
        <f t="shared" si="99"/>
        <v>74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74</v>
      </c>
      <c r="BL75" s="29">
        <v>272</v>
      </c>
      <c r="BM75" s="29">
        <v>94</v>
      </c>
      <c r="BO75" s="29">
        <f t="shared" si="97"/>
        <v>79</v>
      </c>
      <c r="BP75" s="29">
        <f t="shared" si="86"/>
        <v>825</v>
      </c>
      <c r="BQ75" s="29">
        <f t="shared" si="87"/>
        <v>91</v>
      </c>
      <c r="BR75" s="65"/>
      <c r="BS75" s="29">
        <f t="shared" si="105"/>
        <v>79</v>
      </c>
      <c r="BT75" s="29">
        <f t="shared" si="98"/>
        <v>1000</v>
      </c>
      <c r="BU75" s="29">
        <f t="shared" si="99"/>
        <v>87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74</v>
      </c>
      <c r="BL76" s="29">
        <v>66</v>
      </c>
      <c r="BM76" s="29">
        <v>89</v>
      </c>
      <c r="BO76" s="29">
        <f t="shared" si="97"/>
        <v>74</v>
      </c>
      <c r="BP76" s="29">
        <f t="shared" si="86"/>
        <v>272</v>
      </c>
      <c r="BQ76" s="29">
        <f t="shared" si="87"/>
        <v>94</v>
      </c>
      <c r="BR76" s="65"/>
      <c r="BS76" s="29">
        <f t="shared" si="105"/>
        <v>79</v>
      </c>
      <c r="BT76" s="29">
        <f t="shared" si="98"/>
        <v>825</v>
      </c>
      <c r="BU76" s="29">
        <f t="shared" si="99"/>
        <v>91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75</v>
      </c>
      <c r="BL77" s="29">
        <v>73</v>
      </c>
      <c r="BM77" s="29">
        <v>47</v>
      </c>
      <c r="BO77" s="29">
        <f t="shared" si="97"/>
        <v>74</v>
      </c>
      <c r="BP77" s="29">
        <f t="shared" si="86"/>
        <v>66</v>
      </c>
      <c r="BQ77" s="29">
        <f t="shared" si="87"/>
        <v>89</v>
      </c>
      <c r="BR77" s="65"/>
      <c r="BS77" s="29">
        <f t="shared" si="105"/>
        <v>74</v>
      </c>
      <c r="BT77" s="29">
        <f t="shared" si="98"/>
        <v>272</v>
      </c>
      <c r="BU77" s="29">
        <f t="shared" si="99"/>
        <v>94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74</v>
      </c>
      <c r="BL78" s="29">
        <v>71</v>
      </c>
      <c r="BM78" s="29">
        <v>86</v>
      </c>
      <c r="BO78" s="29">
        <f t="shared" si="97"/>
        <v>75</v>
      </c>
      <c r="BP78" s="29">
        <f t="shared" si="86"/>
        <v>73</v>
      </c>
      <c r="BQ78" s="29">
        <f t="shared" si="87"/>
        <v>47</v>
      </c>
      <c r="BR78" s="65"/>
      <c r="BS78" s="29">
        <f t="shared" si="105"/>
        <v>74</v>
      </c>
      <c r="BT78" s="29">
        <f t="shared" si="98"/>
        <v>66</v>
      </c>
      <c r="BU78" s="29">
        <f t="shared" si="99"/>
        <v>89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79</v>
      </c>
      <c r="BL79" s="29">
        <v>59</v>
      </c>
      <c r="BM79" s="29">
        <v>89</v>
      </c>
      <c r="BO79" s="29">
        <f t="shared" si="97"/>
        <v>74</v>
      </c>
      <c r="BP79" s="29">
        <f t="shared" si="86"/>
        <v>71</v>
      </c>
      <c r="BQ79" s="29">
        <f t="shared" si="87"/>
        <v>86</v>
      </c>
      <c r="BR79" s="65"/>
      <c r="BS79" s="29">
        <f t="shared" si="105"/>
        <v>75</v>
      </c>
      <c r="BT79" s="29">
        <f t="shared" si="98"/>
        <v>73</v>
      </c>
      <c r="BU79" s="29">
        <f t="shared" si="99"/>
        <v>47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80</v>
      </c>
      <c r="BL80" s="29">
        <v>43</v>
      </c>
      <c r="BM80" s="29">
        <v>97</v>
      </c>
      <c r="BO80" s="29">
        <f t="shared" si="97"/>
        <v>79</v>
      </c>
      <c r="BP80" s="29">
        <f t="shared" si="86"/>
        <v>59</v>
      </c>
      <c r="BQ80" s="29">
        <f t="shared" si="87"/>
        <v>89</v>
      </c>
      <c r="BR80" s="65"/>
      <c r="BS80" s="29">
        <f t="shared" si="105"/>
        <v>74</v>
      </c>
      <c r="BT80" s="29">
        <f t="shared" si="98"/>
        <v>71</v>
      </c>
      <c r="BU80" s="29">
        <f t="shared" si="99"/>
        <v>86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6599</v>
      </c>
      <c r="D81" s="77">
        <f t="shared" ref="D81:E81" si="106">SUMIF(X$3:X$211, $A81, BL$3:BL$211)</f>
        <v>14824</v>
      </c>
      <c r="E81" s="77">
        <f t="shared" si="106"/>
        <v>15673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6960</v>
      </c>
      <c r="K81" s="77">
        <f t="shared" ref="K81:L81" ca="1" si="107">SUMIF(X$3:X$211, $H81, BP$3:BP$211)</f>
        <v>18646</v>
      </c>
      <c r="L81" s="77">
        <f t="shared" si="107"/>
        <v>16482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6621</v>
      </c>
      <c r="R81" s="77">
        <f t="shared" ref="R81:S81" ca="1" si="108">SUMIF(X$3:X$211, $H81, BT$3:BT$211)</f>
        <v>14826</v>
      </c>
      <c r="S81" s="77">
        <f t="shared" si="108"/>
        <v>15616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78</v>
      </c>
      <c r="BL81" s="29">
        <v>57</v>
      </c>
      <c r="BM81" s="29">
        <v>94</v>
      </c>
      <c r="BO81" s="29">
        <f t="shared" si="97"/>
        <v>80</v>
      </c>
      <c r="BP81" s="29">
        <f t="shared" si="86"/>
        <v>43</v>
      </c>
      <c r="BQ81" s="29">
        <f t="shared" si="87"/>
        <v>97</v>
      </c>
      <c r="BR81" s="65"/>
      <c r="BS81" s="29">
        <f t="shared" si="105"/>
        <v>79</v>
      </c>
      <c r="BT81" s="29">
        <f t="shared" si="98"/>
        <v>59</v>
      </c>
      <c r="BU81" s="29">
        <f t="shared" si="99"/>
        <v>89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871</v>
      </c>
      <c r="D82" s="70">
        <f t="shared" ref="D82:D88" si="110">SUMIF(X$3:X$211, $A82, BL$3:BL$211)</f>
        <v>1413</v>
      </c>
      <c r="E82" s="70">
        <f t="shared" ref="E82:E88" si="111">SUMIF(Y$3:Y$211, $A82, BM$3:BM$211)</f>
        <v>2700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866</v>
      </c>
      <c r="K82" s="70">
        <f t="shared" ref="K82:K88" si="113">SUMIF(X$3:X$211, $H82, BP$3:BP$211)</f>
        <v>1306</v>
      </c>
      <c r="L82" s="70">
        <f t="shared" ref="L82:L88" ca="1" si="114">SUMIF(Y$3:Y$211, $H82, BQ$3:BQ$211)</f>
        <v>2123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906</v>
      </c>
      <c r="R82" s="70">
        <f t="shared" ref="R82:R88" si="116">SUMIF(X$3:X$211, $H82, BT$3:BT$211)</f>
        <v>1442</v>
      </c>
      <c r="S82" s="70">
        <f t="shared" ref="S82:S88" ca="1" si="117">SUMIF(Y$3:Y$211, $H82, BU$3:BU$211)</f>
        <v>1737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77</v>
      </c>
      <c r="BL82" s="29">
        <v>69</v>
      </c>
      <c r="BM82" s="29">
        <v>56</v>
      </c>
      <c r="BO82" s="29">
        <f t="shared" si="97"/>
        <v>78</v>
      </c>
      <c r="BP82" s="29">
        <f t="shared" si="86"/>
        <v>57</v>
      </c>
      <c r="BQ82" s="29">
        <f t="shared" si="87"/>
        <v>94</v>
      </c>
      <c r="BR82" s="65"/>
      <c r="BS82" s="29">
        <f t="shared" si="105"/>
        <v>80</v>
      </c>
      <c r="BT82" s="29">
        <f t="shared" si="98"/>
        <v>43</v>
      </c>
      <c r="BU82" s="29">
        <f t="shared" si="99"/>
        <v>97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970</v>
      </c>
      <c r="D83" s="70">
        <f t="shared" si="110"/>
        <v>1731</v>
      </c>
      <c r="E83" s="70">
        <f t="shared" si="111"/>
        <v>3101</v>
      </c>
      <c r="F83" s="58">
        <v>2</v>
      </c>
      <c r="H83" s="78" t="str">
        <v>M2</v>
      </c>
      <c r="I83" s="58" t="str">
        <v>M2</v>
      </c>
      <c r="J83" s="79">
        <f t="shared" si="112"/>
        <v>990</v>
      </c>
      <c r="K83" s="70">
        <f t="shared" si="113"/>
        <v>2033</v>
      </c>
      <c r="L83" s="70">
        <f t="shared" si="114"/>
        <v>2548</v>
      </c>
      <c r="M83" s="58">
        <v>2</v>
      </c>
      <c r="O83" s="78" t="str">
        <v>M2</v>
      </c>
      <c r="P83" s="58" t="str">
        <v>M2</v>
      </c>
      <c r="Q83" s="79">
        <f t="shared" si="115"/>
        <v>918</v>
      </c>
      <c r="R83" s="70">
        <f t="shared" si="116"/>
        <v>3586</v>
      </c>
      <c r="S83" s="70">
        <f t="shared" si="117"/>
        <v>2136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77</v>
      </c>
      <c r="BL83" s="29">
        <v>76</v>
      </c>
      <c r="BM83" s="29">
        <v>94</v>
      </c>
      <c r="BO83" s="29">
        <f t="shared" si="97"/>
        <v>77</v>
      </c>
      <c r="BP83" s="29">
        <f t="shared" si="86"/>
        <v>69</v>
      </c>
      <c r="BQ83" s="29">
        <f t="shared" si="87"/>
        <v>56</v>
      </c>
      <c r="BR83" s="65"/>
      <c r="BS83" s="29">
        <f t="shared" si="105"/>
        <v>78</v>
      </c>
      <c r="BT83" s="29">
        <f t="shared" si="98"/>
        <v>57</v>
      </c>
      <c r="BU83" s="29">
        <f t="shared" si="99"/>
        <v>94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1077</v>
      </c>
      <c r="D84" s="70">
        <f t="shared" si="110"/>
        <v>2698</v>
      </c>
      <c r="E84" s="70">
        <f t="shared" si="111"/>
        <v>2388</v>
      </c>
      <c r="F84" s="58">
        <v>3</v>
      </c>
      <c r="H84" s="78" t="str">
        <v>M3</v>
      </c>
      <c r="I84" s="58" t="str">
        <v>M3</v>
      </c>
      <c r="J84" s="79">
        <f t="shared" si="112"/>
        <v>1077</v>
      </c>
      <c r="K84" s="70">
        <f t="shared" si="113"/>
        <v>1926</v>
      </c>
      <c r="L84" s="70">
        <f t="shared" si="114"/>
        <v>2749</v>
      </c>
      <c r="M84" s="58">
        <v>3</v>
      </c>
      <c r="O84" s="78" t="str">
        <v>M3</v>
      </c>
      <c r="P84" s="58" t="str">
        <v>M3</v>
      </c>
      <c r="Q84" s="79">
        <f t="shared" si="115"/>
        <v>1087</v>
      </c>
      <c r="R84" s="70">
        <f t="shared" si="116"/>
        <v>1762</v>
      </c>
      <c r="S84" s="70">
        <f t="shared" si="117"/>
        <v>3273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79</v>
      </c>
      <c r="BL84" s="29">
        <v>72</v>
      </c>
      <c r="BM84" s="29">
        <v>96</v>
      </c>
      <c r="BO84" s="29">
        <f t="shared" si="97"/>
        <v>77</v>
      </c>
      <c r="BP84" s="29">
        <f t="shared" si="86"/>
        <v>76</v>
      </c>
      <c r="BQ84" s="29">
        <f t="shared" si="87"/>
        <v>94</v>
      </c>
      <c r="BR84" s="65"/>
      <c r="BS84" s="29">
        <f t="shared" si="105"/>
        <v>77</v>
      </c>
      <c r="BT84" s="29">
        <f t="shared" si="98"/>
        <v>69</v>
      </c>
      <c r="BU84" s="29">
        <f t="shared" si="99"/>
        <v>56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1359</v>
      </c>
      <c r="D85" s="70">
        <f t="shared" si="110"/>
        <v>5887</v>
      </c>
      <c r="E85" s="70">
        <f t="shared" si="111"/>
        <v>3252</v>
      </c>
      <c r="F85" s="58">
        <v>4</v>
      </c>
      <c r="H85" s="78" t="str">
        <v>A</v>
      </c>
      <c r="I85" s="58" t="str">
        <v>A</v>
      </c>
      <c r="J85" s="79">
        <f t="shared" si="112"/>
        <v>2247</v>
      </c>
      <c r="K85" s="70">
        <f t="shared" si="113"/>
        <v>3063</v>
      </c>
      <c r="L85" s="70">
        <f t="shared" si="114"/>
        <v>3166</v>
      </c>
      <c r="M85" s="58">
        <v>4</v>
      </c>
      <c r="O85" s="78" t="str">
        <v>A</v>
      </c>
      <c r="P85" s="58" t="str">
        <v>A</v>
      </c>
      <c r="Q85" s="79">
        <f t="shared" si="115"/>
        <v>3397</v>
      </c>
      <c r="R85" s="70">
        <f t="shared" si="116"/>
        <v>3013</v>
      </c>
      <c r="S85" s="70">
        <f t="shared" si="117"/>
        <v>3307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82</v>
      </c>
      <c r="BL85" s="29">
        <v>64</v>
      </c>
      <c r="BM85" s="29">
        <v>73</v>
      </c>
      <c r="BO85" s="29">
        <f t="shared" si="97"/>
        <v>79</v>
      </c>
      <c r="BP85" s="29">
        <f t="shared" si="86"/>
        <v>72</v>
      </c>
      <c r="BQ85" s="29">
        <f t="shared" si="87"/>
        <v>96</v>
      </c>
      <c r="BR85" s="65"/>
      <c r="BS85" s="29">
        <f t="shared" si="105"/>
        <v>77</v>
      </c>
      <c r="BT85" s="29">
        <f t="shared" si="98"/>
        <v>76</v>
      </c>
      <c r="BU85" s="29">
        <f t="shared" si="99"/>
        <v>94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2451</v>
      </c>
      <c r="D86" s="70">
        <f t="shared" si="110"/>
        <v>4044</v>
      </c>
      <c r="E86" s="70">
        <f t="shared" si="111"/>
        <v>4630</v>
      </c>
      <c r="F86" s="58">
        <v>5</v>
      </c>
      <c r="H86" s="78" t="str">
        <v>K</v>
      </c>
      <c r="I86" s="58" t="str">
        <v>K</v>
      </c>
      <c r="J86" s="79">
        <f t="shared" si="112"/>
        <v>1938</v>
      </c>
      <c r="K86" s="70">
        <f t="shared" si="113"/>
        <v>2627</v>
      </c>
      <c r="L86" s="70">
        <f t="shared" si="114"/>
        <v>3488</v>
      </c>
      <c r="M86" s="58">
        <v>5</v>
      </c>
      <c r="O86" s="78" t="str">
        <v>K</v>
      </c>
      <c r="P86" s="58" t="str">
        <v>K</v>
      </c>
      <c r="Q86" s="79">
        <f t="shared" ca="1" si="115"/>
        <v>1482</v>
      </c>
      <c r="R86" s="70">
        <f t="shared" si="116"/>
        <v>2061</v>
      </c>
      <c r="S86" s="70">
        <f t="shared" si="117"/>
        <v>2514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81</v>
      </c>
      <c r="BL86" s="29">
        <v>61</v>
      </c>
      <c r="BM86" s="29">
        <v>92</v>
      </c>
      <c r="BO86" s="29">
        <f t="shared" si="97"/>
        <v>82</v>
      </c>
      <c r="BP86" s="29">
        <f t="shared" si="86"/>
        <v>64</v>
      </c>
      <c r="BQ86" s="29">
        <f t="shared" si="87"/>
        <v>73</v>
      </c>
      <c r="BR86" s="65"/>
      <c r="BS86" s="29">
        <f t="shared" si="105"/>
        <v>79</v>
      </c>
      <c r="BT86" s="29">
        <f t="shared" si="98"/>
        <v>72</v>
      </c>
      <c r="BU86" s="29">
        <f t="shared" si="99"/>
        <v>96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2380</v>
      </c>
      <c r="D87" s="70">
        <f t="shared" si="110"/>
        <v>2030</v>
      </c>
      <c r="E87" s="70">
        <f t="shared" si="111"/>
        <v>2401</v>
      </c>
      <c r="F87" s="58">
        <v>6</v>
      </c>
      <c r="H87" s="78" t="str">
        <v>Q</v>
      </c>
      <c r="I87" s="58" t="str">
        <v>Q</v>
      </c>
      <c r="J87" s="79">
        <f t="shared" si="112"/>
        <v>1792</v>
      </c>
      <c r="K87" s="70">
        <f t="shared" si="113"/>
        <v>2747</v>
      </c>
      <c r="L87" s="70">
        <f t="shared" si="114"/>
        <v>3363</v>
      </c>
      <c r="M87" s="58">
        <v>6</v>
      </c>
      <c r="O87" s="78" t="str">
        <v>Q</v>
      </c>
      <c r="P87" s="58" t="str">
        <v>Q</v>
      </c>
      <c r="Q87" s="79">
        <f t="shared" si="115"/>
        <v>1339</v>
      </c>
      <c r="R87" s="70">
        <f t="shared" si="116"/>
        <v>4972</v>
      </c>
      <c r="S87" s="70">
        <f t="shared" si="117"/>
        <v>4537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65</v>
      </c>
      <c r="BL87" s="29">
        <v>66</v>
      </c>
      <c r="BM87" s="29">
        <v>90</v>
      </c>
      <c r="BO87" s="29">
        <f t="shared" si="97"/>
        <v>81</v>
      </c>
      <c r="BP87" s="29">
        <f t="shared" si="86"/>
        <v>61</v>
      </c>
      <c r="BQ87" s="29">
        <f t="shared" si="87"/>
        <v>92</v>
      </c>
      <c r="BR87" s="65"/>
      <c r="BS87" s="29">
        <f t="shared" si="105"/>
        <v>82</v>
      </c>
      <c r="BT87" s="29">
        <f t="shared" si="98"/>
        <v>64</v>
      </c>
      <c r="BU87" s="29">
        <f t="shared" si="99"/>
        <v>73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2442</v>
      </c>
      <c r="D88" s="70">
        <f t="shared" si="110"/>
        <v>1789</v>
      </c>
      <c r="E88" s="70">
        <f t="shared" si="111"/>
        <v>4555</v>
      </c>
      <c r="F88" s="58">
        <v>7</v>
      </c>
      <c r="H88" s="78" t="str">
        <v>J</v>
      </c>
      <c r="I88" s="58" t="str">
        <v>J</v>
      </c>
      <c r="J88" s="79">
        <f t="shared" ca="1" si="112"/>
        <v>2279</v>
      </c>
      <c r="K88" s="70">
        <f t="shared" si="113"/>
        <v>2068</v>
      </c>
      <c r="L88" s="70">
        <f t="shared" si="114"/>
        <v>4781</v>
      </c>
      <c r="M88" s="58">
        <v>7</v>
      </c>
      <c r="O88" s="78" t="str">
        <v>J</v>
      </c>
      <c r="P88" s="58" t="str">
        <v>J</v>
      </c>
      <c r="Q88" s="79">
        <f t="shared" ca="1" si="115"/>
        <v>2399</v>
      </c>
      <c r="R88" s="70">
        <f t="shared" si="116"/>
        <v>2754</v>
      </c>
      <c r="S88" s="70">
        <f t="shared" si="117"/>
        <v>5580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63</v>
      </c>
      <c r="BL88" s="29">
        <v>73</v>
      </c>
      <c r="BM88" s="29">
        <v>54</v>
      </c>
      <c r="BO88" s="29">
        <f t="shared" si="97"/>
        <v>65</v>
      </c>
      <c r="BP88" s="29">
        <f t="shared" si="86"/>
        <v>66</v>
      </c>
      <c r="BQ88" s="29">
        <f t="shared" si="87"/>
        <v>90</v>
      </c>
      <c r="BR88" s="65"/>
      <c r="BS88" s="29">
        <f t="shared" si="105"/>
        <v>81</v>
      </c>
      <c r="BT88" s="29">
        <f t="shared" si="98"/>
        <v>61</v>
      </c>
      <c r="BU88" s="29">
        <f t="shared" si="99"/>
        <v>92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65</v>
      </c>
      <c r="BL89" s="29">
        <v>74</v>
      </c>
      <c r="BM89" s="29">
        <v>77</v>
      </c>
      <c r="BO89" s="29">
        <f t="shared" si="97"/>
        <v>63</v>
      </c>
      <c r="BP89" s="29">
        <f t="shared" si="86"/>
        <v>73</v>
      </c>
      <c r="BQ89" s="29">
        <f t="shared" si="87"/>
        <v>54</v>
      </c>
      <c r="BR89" s="65"/>
      <c r="BS89" s="29">
        <f t="shared" si="105"/>
        <v>65</v>
      </c>
      <c r="BT89" s="29">
        <f t="shared" si="98"/>
        <v>66</v>
      </c>
      <c r="BU89" s="29">
        <f t="shared" si="99"/>
        <v>90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66</v>
      </c>
      <c r="BL90" s="29">
        <v>73</v>
      </c>
      <c r="BM90" s="29">
        <v>74</v>
      </c>
      <c r="BO90" s="29">
        <f t="shared" si="97"/>
        <v>65</v>
      </c>
      <c r="BP90" s="29">
        <f t="shared" si="86"/>
        <v>74</v>
      </c>
      <c r="BQ90" s="29">
        <f t="shared" si="87"/>
        <v>77</v>
      </c>
      <c r="BR90" s="65"/>
      <c r="BS90" s="29">
        <f t="shared" si="105"/>
        <v>63</v>
      </c>
      <c r="BT90" s="29">
        <f t="shared" si="98"/>
        <v>73</v>
      </c>
      <c r="BU90" s="29">
        <f t="shared" si="99"/>
        <v>54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79</v>
      </c>
      <c r="BL91" s="29">
        <v>72</v>
      </c>
      <c r="BM91" s="29">
        <v>47</v>
      </c>
      <c r="BO91" s="29">
        <f t="shared" si="97"/>
        <v>66</v>
      </c>
      <c r="BP91" s="29">
        <f t="shared" si="86"/>
        <v>73</v>
      </c>
      <c r="BQ91" s="29">
        <f t="shared" si="87"/>
        <v>74</v>
      </c>
      <c r="BR91" s="65"/>
      <c r="BS91" s="29">
        <f t="shared" si="105"/>
        <v>65</v>
      </c>
      <c r="BT91" s="29">
        <f t="shared" si="98"/>
        <v>74</v>
      </c>
      <c r="BU91" s="29">
        <f t="shared" si="99"/>
        <v>77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18149</v>
      </c>
      <c r="D92" s="155">
        <f>SUM(D81:D91)</f>
        <v>34416</v>
      </c>
      <c r="E92" s="155">
        <f>SUM(E81:E91)</f>
        <v>38700</v>
      </c>
      <c r="F92" s="155"/>
      <c r="H92" s="60" t="s">
        <v>10</v>
      </c>
      <c r="I92" s="155"/>
      <c r="J92" s="155">
        <f ca="1">SUM(J81:J91)</f>
        <v>18149</v>
      </c>
      <c r="K92" s="155">
        <f ca="1">SUM(K81:K91)</f>
        <v>34416</v>
      </c>
      <c r="L92" s="155">
        <f ca="1">SUM(L81:L91)</f>
        <v>38700</v>
      </c>
      <c r="M92" s="155"/>
      <c r="O92" s="60" t="s">
        <v>10</v>
      </c>
      <c r="P92" s="155"/>
      <c r="Q92" s="155">
        <f ca="1">SUM(Q81:Q91)</f>
        <v>18149</v>
      </c>
      <c r="R92" s="155">
        <f ca="1">SUM(R81:R91)</f>
        <v>34416</v>
      </c>
      <c r="S92" s="155">
        <f ca="1">SUM(S81:S91)</f>
        <v>38700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80</v>
      </c>
      <c r="BL92" s="29">
        <v>70</v>
      </c>
      <c r="BM92" s="29">
        <v>88</v>
      </c>
      <c r="BO92" s="29">
        <f t="shared" si="97"/>
        <v>79</v>
      </c>
      <c r="BP92" s="29">
        <f t="shared" si="86"/>
        <v>72</v>
      </c>
      <c r="BQ92" s="29">
        <f t="shared" si="87"/>
        <v>47</v>
      </c>
      <c r="BR92" s="65"/>
      <c r="BS92" s="29">
        <f t="shared" si="105"/>
        <v>66</v>
      </c>
      <c r="BT92" s="29">
        <f t="shared" si="98"/>
        <v>73</v>
      </c>
      <c r="BU92" s="29">
        <f t="shared" si="99"/>
        <v>74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78</v>
      </c>
      <c r="BL93" s="29">
        <v>57</v>
      </c>
      <c r="BM93" s="29">
        <v>92</v>
      </c>
      <c r="BO93" s="29">
        <f t="shared" si="97"/>
        <v>80</v>
      </c>
      <c r="BP93" s="29">
        <f t="shared" si="86"/>
        <v>70</v>
      </c>
      <c r="BQ93" s="29">
        <f t="shared" si="87"/>
        <v>88</v>
      </c>
      <c r="BR93" s="65"/>
      <c r="BS93" s="29">
        <f t="shared" si="105"/>
        <v>79</v>
      </c>
      <c r="BT93" s="29">
        <f t="shared" si="98"/>
        <v>72</v>
      </c>
      <c r="BU93" s="29">
        <f t="shared" si="99"/>
        <v>47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77</v>
      </c>
      <c r="BL94" s="29">
        <v>74</v>
      </c>
      <c r="BM94" s="29">
        <v>76</v>
      </c>
      <c r="BO94" s="29">
        <f t="shared" si="97"/>
        <v>78</v>
      </c>
      <c r="BP94" s="29">
        <f t="shared" si="86"/>
        <v>57</v>
      </c>
      <c r="BQ94" s="29">
        <f t="shared" si="87"/>
        <v>92</v>
      </c>
      <c r="BR94" s="65"/>
      <c r="BS94" s="29">
        <f t="shared" si="105"/>
        <v>80</v>
      </c>
      <c r="BT94" s="29">
        <f t="shared" si="98"/>
        <v>70</v>
      </c>
      <c r="BU94" s="29">
        <f t="shared" si="99"/>
        <v>88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74</v>
      </c>
      <c r="BL95" s="29">
        <v>83</v>
      </c>
      <c r="BM95" s="29">
        <v>116</v>
      </c>
      <c r="BO95" s="29">
        <f t="shared" si="97"/>
        <v>77</v>
      </c>
      <c r="BP95" s="29">
        <f t="shared" si="86"/>
        <v>74</v>
      </c>
      <c r="BQ95" s="29">
        <f t="shared" si="87"/>
        <v>76</v>
      </c>
      <c r="BR95" s="65"/>
      <c r="BS95" s="29">
        <f t="shared" si="105"/>
        <v>78</v>
      </c>
      <c r="BT95" s="29">
        <f t="shared" si="98"/>
        <v>57</v>
      </c>
      <c r="BU95" s="29">
        <f t="shared" si="99"/>
        <v>92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18149</v>
      </c>
      <c r="D96" s="155">
        <f>SUM(D81:D91)</f>
        <v>34416</v>
      </c>
      <c r="E96" s="84">
        <f>SUM(E81:E91)</f>
        <v>38700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18149</v>
      </c>
      <c r="K96" s="155">
        <f ca="1">SUM(K81:K91)</f>
        <v>34416</v>
      </c>
      <c r="L96" s="84">
        <f ca="1">SUM(L81:L91)</f>
        <v>38700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18149</v>
      </c>
      <c r="R96" s="155">
        <f ca="1">SUM(R81:R91)</f>
        <v>34416</v>
      </c>
      <c r="S96" s="84">
        <f ca="1">SUM(S81:S91)</f>
        <v>38700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74</v>
      </c>
      <c r="BL96" s="29">
        <v>72</v>
      </c>
      <c r="BM96" s="29">
        <v>116</v>
      </c>
      <c r="BO96" s="29">
        <f t="shared" si="97"/>
        <v>74</v>
      </c>
      <c r="BP96" s="29">
        <f t="shared" si="86"/>
        <v>83</v>
      </c>
      <c r="BQ96" s="29">
        <f t="shared" si="87"/>
        <v>116</v>
      </c>
      <c r="BR96" s="65"/>
      <c r="BS96" s="29">
        <f t="shared" si="105"/>
        <v>77</v>
      </c>
      <c r="BT96" s="29">
        <f t="shared" si="98"/>
        <v>74</v>
      </c>
      <c r="BU96" s="29">
        <f t="shared" si="99"/>
        <v>76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7470</v>
      </c>
      <c r="D97" s="155">
        <f>D$81+D$82</f>
        <v>16237</v>
      </c>
      <c r="E97" s="84">
        <f>E$81+E$82</f>
        <v>18373</v>
      </c>
      <c r="F97" s="69"/>
      <c r="H97" s="78" t="str">
        <v>W1</v>
      </c>
      <c r="I97" s="48" t="str">
        <v>WW,M1</v>
      </c>
      <c r="J97" s="155">
        <f>J$81+J$82</f>
        <v>7826</v>
      </c>
      <c r="K97" s="155">
        <f ca="1">K$81+K$82</f>
        <v>19952</v>
      </c>
      <c r="L97" s="84">
        <f ca="1">L$81+L$82</f>
        <v>18605</v>
      </c>
      <c r="M97" s="69"/>
      <c r="O97" s="78" t="str">
        <v>W1</v>
      </c>
      <c r="P97" s="48" t="str">
        <v>WW,M1</v>
      </c>
      <c r="Q97" s="155">
        <f>Q$81+Q$82</f>
        <v>7527</v>
      </c>
      <c r="R97" s="155">
        <f ca="1">R$81+R$82</f>
        <v>16268</v>
      </c>
      <c r="S97" s="84">
        <f ca="1">S$81+S$82</f>
        <v>17353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49</v>
      </c>
      <c r="BL97" s="29">
        <v>87</v>
      </c>
      <c r="BM97" s="29">
        <v>73</v>
      </c>
      <c r="BO97" s="29">
        <f t="shared" si="97"/>
        <v>74</v>
      </c>
      <c r="BP97" s="29">
        <f t="shared" si="86"/>
        <v>72</v>
      </c>
      <c r="BQ97" s="29">
        <f t="shared" si="87"/>
        <v>116</v>
      </c>
      <c r="BR97" s="65"/>
      <c r="BS97" s="29">
        <f t="shared" si="105"/>
        <v>74</v>
      </c>
      <c r="BT97" s="29">
        <f t="shared" si="98"/>
        <v>83</v>
      </c>
      <c r="BU97" s="29">
        <f t="shared" si="99"/>
        <v>116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7569</v>
      </c>
      <c r="D98" s="155">
        <f>D$81+D$83</f>
        <v>16555</v>
      </c>
      <c r="E98" s="84">
        <f>E$81+E$83</f>
        <v>18774</v>
      </c>
      <c r="F98" s="69"/>
      <c r="H98" s="78" t="str">
        <v>W2</v>
      </c>
      <c r="I98" s="48" t="str">
        <v>WW,M2</v>
      </c>
      <c r="J98" s="155">
        <f>J$81+J$83</f>
        <v>7950</v>
      </c>
      <c r="K98" s="155">
        <f ca="1">K$81+K$83</f>
        <v>20679</v>
      </c>
      <c r="L98" s="84">
        <f>L$81+L$83</f>
        <v>19030</v>
      </c>
      <c r="M98" s="69"/>
      <c r="O98" s="78" t="str">
        <v>W2</v>
      </c>
      <c r="P98" s="48" t="str">
        <v>WW,M2</v>
      </c>
      <c r="Q98" s="155">
        <f>Q$81+Q$83</f>
        <v>7539</v>
      </c>
      <c r="R98" s="155">
        <f ca="1">R$81+R$83</f>
        <v>18412</v>
      </c>
      <c r="S98" s="84">
        <f>S$81+S$83</f>
        <v>17752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71</v>
      </c>
      <c r="BL98" s="29">
        <v>81</v>
      </c>
      <c r="BM98" s="29">
        <v>92</v>
      </c>
      <c r="BO98" s="29">
        <f t="shared" si="97"/>
        <v>49</v>
      </c>
      <c r="BP98" s="29">
        <f t="shared" si="86"/>
        <v>87</v>
      </c>
      <c r="BQ98" s="29">
        <f t="shared" si="87"/>
        <v>73</v>
      </c>
      <c r="BR98" s="65"/>
      <c r="BS98" s="29">
        <f t="shared" si="105"/>
        <v>74</v>
      </c>
      <c r="BT98" s="29">
        <f t="shared" si="98"/>
        <v>72</v>
      </c>
      <c r="BU98" s="29">
        <f t="shared" si="99"/>
        <v>116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7676</v>
      </c>
      <c r="D99" s="155">
        <f>D$81+D$84</f>
        <v>17522</v>
      </c>
      <c r="E99" s="84">
        <f>E$81+E$84</f>
        <v>18061</v>
      </c>
      <c r="F99" s="69"/>
      <c r="H99" s="78" t="str">
        <v>W3</v>
      </c>
      <c r="I99" s="48" t="str">
        <v>WW,M3</v>
      </c>
      <c r="J99" s="155">
        <f>J$81+J$84</f>
        <v>8037</v>
      </c>
      <c r="K99" s="155">
        <f ca="1">K$81+K$84</f>
        <v>20572</v>
      </c>
      <c r="L99" s="84">
        <f>L$81+L$84</f>
        <v>19231</v>
      </c>
      <c r="M99" s="69"/>
      <c r="O99" s="78" t="str">
        <v>W3</v>
      </c>
      <c r="P99" s="48" t="str">
        <v>WW,M3</v>
      </c>
      <c r="Q99" s="155">
        <f>Q$81+Q$84</f>
        <v>7708</v>
      </c>
      <c r="R99" s="155">
        <f ca="1">R$81+R$84</f>
        <v>16588</v>
      </c>
      <c r="S99" s="84">
        <f>S$81+S$84</f>
        <v>18889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71</v>
      </c>
      <c r="BL99" s="29">
        <v>76</v>
      </c>
      <c r="BM99" s="29">
        <v>90</v>
      </c>
      <c r="BO99" s="29">
        <f t="shared" si="97"/>
        <v>71</v>
      </c>
      <c r="BP99" s="29">
        <f t="shared" si="86"/>
        <v>81</v>
      </c>
      <c r="BQ99" s="29">
        <f t="shared" si="87"/>
        <v>92</v>
      </c>
      <c r="BR99" s="65"/>
      <c r="BS99" s="29">
        <f t="shared" si="105"/>
        <v>49</v>
      </c>
      <c r="BT99" s="29">
        <f t="shared" si="98"/>
        <v>87</v>
      </c>
      <c r="BU99" s="29">
        <f t="shared" si="99"/>
        <v>73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7958</v>
      </c>
      <c r="D100" s="155">
        <f>D$81+D$85</f>
        <v>20711</v>
      </c>
      <c r="E100" s="84">
        <f>E$81+E$85</f>
        <v>18925</v>
      </c>
      <c r="F100" s="69"/>
      <c r="H100" s="78" t="str">
        <v>WA</v>
      </c>
      <c r="I100" s="48" t="str">
        <v>WW,A</v>
      </c>
      <c r="J100" s="155">
        <f>J$81+J$85</f>
        <v>9207</v>
      </c>
      <c r="K100" s="155">
        <f ca="1">K$81+K$85</f>
        <v>21709</v>
      </c>
      <c r="L100" s="84">
        <f>L$81+L$85</f>
        <v>19648</v>
      </c>
      <c r="M100" s="69"/>
      <c r="O100" s="78" t="str">
        <v>WA</v>
      </c>
      <c r="P100" s="48" t="str">
        <v>WW,A</v>
      </c>
      <c r="Q100" s="155">
        <f>Q$81+Q$85</f>
        <v>10018</v>
      </c>
      <c r="R100" s="155">
        <f ca="1">R$81+R$85</f>
        <v>17839</v>
      </c>
      <c r="S100" s="84">
        <f>S$81+S$85</f>
        <v>18923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77</v>
      </c>
      <c r="BL100" s="29">
        <v>72</v>
      </c>
      <c r="BM100" s="29">
        <v>54</v>
      </c>
      <c r="BO100" s="29">
        <f t="shared" si="97"/>
        <v>71</v>
      </c>
      <c r="BP100" s="29">
        <f t="shared" si="86"/>
        <v>76</v>
      </c>
      <c r="BQ100" s="29">
        <f t="shared" si="87"/>
        <v>90</v>
      </c>
      <c r="BR100" s="65"/>
      <c r="BS100" s="29">
        <f t="shared" si="105"/>
        <v>71</v>
      </c>
      <c r="BT100" s="29">
        <f t="shared" si="98"/>
        <v>81</v>
      </c>
      <c r="BU100" s="29">
        <f t="shared" si="99"/>
        <v>92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9050</v>
      </c>
      <c r="D101" s="155">
        <f>D$81+D$86</f>
        <v>18868</v>
      </c>
      <c r="E101" s="84">
        <f>E$81+E$86</f>
        <v>20303</v>
      </c>
      <c r="F101" s="69"/>
      <c r="H101" s="78" t="str">
        <v>WK</v>
      </c>
      <c r="I101" s="48" t="str">
        <v>WW,K</v>
      </c>
      <c r="J101" s="155">
        <f>J$81+J$86</f>
        <v>8898</v>
      </c>
      <c r="K101" s="155">
        <f ca="1">K$81+K$86</f>
        <v>21273</v>
      </c>
      <c r="L101" s="84">
        <f>L$81+L$86</f>
        <v>19970</v>
      </c>
      <c r="M101" s="69"/>
      <c r="O101" s="78" t="str">
        <v>WK</v>
      </c>
      <c r="P101" s="48" t="str">
        <v>WW,K</v>
      </c>
      <c r="Q101" s="155">
        <f ca="1">Q$81+Q$86</f>
        <v>8103</v>
      </c>
      <c r="R101" s="155">
        <f ca="1">R$81+R$86</f>
        <v>16887</v>
      </c>
      <c r="S101" s="84">
        <f>S$81+S$86</f>
        <v>18130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77</v>
      </c>
      <c r="BL101" s="29">
        <v>74</v>
      </c>
      <c r="BM101" s="29">
        <v>97</v>
      </c>
      <c r="BO101" s="29">
        <f t="shared" si="97"/>
        <v>77</v>
      </c>
      <c r="BP101" s="29">
        <f t="shared" si="86"/>
        <v>72</v>
      </c>
      <c r="BQ101" s="29">
        <f t="shared" si="87"/>
        <v>54</v>
      </c>
      <c r="BR101" s="65"/>
      <c r="BS101" s="29">
        <f t="shared" si="105"/>
        <v>71</v>
      </c>
      <c r="BT101" s="29">
        <f t="shared" si="98"/>
        <v>76</v>
      </c>
      <c r="BU101" s="29">
        <f t="shared" si="99"/>
        <v>90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8979</v>
      </c>
      <c r="D102" s="155">
        <f>D$81+D$87</f>
        <v>16854</v>
      </c>
      <c r="E102" s="84">
        <f>E$81+E$87</f>
        <v>18074</v>
      </c>
      <c r="F102" s="69"/>
      <c r="H102" s="78" t="str">
        <v>WQ</v>
      </c>
      <c r="I102" s="48" t="str">
        <v>WW,Q</v>
      </c>
      <c r="J102" s="155">
        <f>J$81+J$87</f>
        <v>8752</v>
      </c>
      <c r="K102" s="155">
        <f ca="1">K$81+K$87</f>
        <v>21393</v>
      </c>
      <c r="L102" s="84">
        <f>L$81+L$87</f>
        <v>19845</v>
      </c>
      <c r="M102" s="69"/>
      <c r="O102" s="78" t="str">
        <v>WQ</v>
      </c>
      <c r="P102" s="48" t="str">
        <v>WW,Q</v>
      </c>
      <c r="Q102" s="155">
        <f>Q$81+Q$87</f>
        <v>7960</v>
      </c>
      <c r="R102" s="155">
        <f ca="1">R$81+R$87</f>
        <v>19798</v>
      </c>
      <c r="S102" s="84">
        <f>S$81+S$87</f>
        <v>20153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80</v>
      </c>
      <c r="BL102" s="29">
        <v>83</v>
      </c>
      <c r="BM102" s="29">
        <v>99</v>
      </c>
      <c r="BO102" s="29">
        <f t="shared" si="97"/>
        <v>77</v>
      </c>
      <c r="BP102" s="29">
        <f t="shared" si="86"/>
        <v>74</v>
      </c>
      <c r="BQ102" s="29">
        <f t="shared" si="87"/>
        <v>97</v>
      </c>
      <c r="BR102" s="65"/>
      <c r="BS102" s="29">
        <f t="shared" si="105"/>
        <v>77</v>
      </c>
      <c r="BT102" s="29">
        <f t="shared" si="98"/>
        <v>72</v>
      </c>
      <c r="BU102" s="29">
        <f t="shared" si="99"/>
        <v>54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9041</v>
      </c>
      <c r="D103" s="154">
        <f>D$81+D$88</f>
        <v>16613</v>
      </c>
      <c r="E103" s="17">
        <f>E$81+E$88</f>
        <v>20228</v>
      </c>
      <c r="F103" s="69"/>
      <c r="H103" s="73" t="str">
        <v>WJ</v>
      </c>
      <c r="I103" s="53" t="str">
        <v>WW,J</v>
      </c>
      <c r="J103" s="154">
        <f ca="1">J$81+J$88</f>
        <v>9239</v>
      </c>
      <c r="K103" s="154">
        <f ca="1">K$81+K$88</f>
        <v>20714</v>
      </c>
      <c r="L103" s="17">
        <f>L$81+L$88</f>
        <v>21263</v>
      </c>
      <c r="M103" s="69"/>
      <c r="O103" s="73" t="str">
        <v>WJ</v>
      </c>
      <c r="P103" s="53" t="str">
        <v>WW,J</v>
      </c>
      <c r="Q103" s="154">
        <f ca="1">Q$81+Q$88</f>
        <v>9020</v>
      </c>
      <c r="R103" s="154">
        <f ca="1">R$81+R$88</f>
        <v>17580</v>
      </c>
      <c r="S103" s="17">
        <f>S$81+S$88</f>
        <v>21196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82</v>
      </c>
      <c r="BL103" s="29">
        <v>83</v>
      </c>
      <c r="BM103" s="29">
        <v>79</v>
      </c>
      <c r="BO103" s="29">
        <f t="shared" si="97"/>
        <v>80</v>
      </c>
      <c r="BP103" s="29">
        <f t="shared" si="86"/>
        <v>83</v>
      </c>
      <c r="BQ103" s="29">
        <f t="shared" si="87"/>
        <v>99</v>
      </c>
      <c r="BR103" s="65"/>
      <c r="BS103" s="29">
        <f t="shared" si="105"/>
        <v>77</v>
      </c>
      <c r="BT103" s="29">
        <f t="shared" si="98"/>
        <v>74</v>
      </c>
      <c r="BU103" s="29">
        <f t="shared" si="99"/>
        <v>97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54</v>
      </c>
      <c r="BL104" s="29">
        <v>74</v>
      </c>
      <c r="BM104" s="29">
        <v>94</v>
      </c>
      <c r="BO104" s="29">
        <f t="shared" si="97"/>
        <v>82</v>
      </c>
      <c r="BP104" s="29">
        <f t="shared" si="86"/>
        <v>83</v>
      </c>
      <c r="BQ104" s="29">
        <f t="shared" si="87"/>
        <v>79</v>
      </c>
      <c r="BR104" s="65"/>
      <c r="BS104" s="29">
        <f t="shared" si="105"/>
        <v>80</v>
      </c>
      <c r="BT104" s="29">
        <f t="shared" si="98"/>
        <v>83</v>
      </c>
      <c r="BU104" s="29">
        <f t="shared" si="99"/>
        <v>99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89</v>
      </c>
      <c r="BL105" s="29">
        <v>58</v>
      </c>
      <c r="BM105" s="29">
        <v>89</v>
      </c>
      <c r="BO105" s="29">
        <f t="shared" si="97"/>
        <v>54</v>
      </c>
      <c r="BP105" s="29">
        <f t="shared" si="86"/>
        <v>74</v>
      </c>
      <c r="BQ105" s="29">
        <f t="shared" si="87"/>
        <v>94</v>
      </c>
      <c r="BR105" s="65"/>
      <c r="BS105" s="29">
        <f t="shared" si="105"/>
        <v>82</v>
      </c>
      <c r="BT105" s="29">
        <f t="shared" si="98"/>
        <v>83</v>
      </c>
      <c r="BU105" s="29">
        <f t="shared" si="99"/>
        <v>79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88</v>
      </c>
      <c r="BL106" s="29">
        <v>70</v>
      </c>
      <c r="BM106" s="29">
        <v>47</v>
      </c>
      <c r="BO106" s="29">
        <f t="shared" si="97"/>
        <v>89</v>
      </c>
      <c r="BP106" s="29">
        <f t="shared" si="86"/>
        <v>58</v>
      </c>
      <c r="BQ106" s="29">
        <f t="shared" si="87"/>
        <v>89</v>
      </c>
      <c r="BR106" s="65"/>
      <c r="BS106" s="29">
        <f t="shared" si="105"/>
        <v>54</v>
      </c>
      <c r="BT106" s="29">
        <f t="shared" si="98"/>
        <v>74</v>
      </c>
      <c r="BU106" s="29">
        <f t="shared" si="99"/>
        <v>94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76</v>
      </c>
      <c r="BL107" s="29">
        <v>74</v>
      </c>
      <c r="BM107" s="29">
        <v>78</v>
      </c>
      <c r="BO107" s="29">
        <f t="shared" si="97"/>
        <v>88</v>
      </c>
      <c r="BP107" s="29">
        <f t="shared" si="86"/>
        <v>70</v>
      </c>
      <c r="BQ107" s="29">
        <f t="shared" si="87"/>
        <v>47</v>
      </c>
      <c r="BR107" s="65"/>
      <c r="BS107" s="29">
        <f t="shared" si="105"/>
        <v>89</v>
      </c>
      <c r="BT107" s="29">
        <f t="shared" si="98"/>
        <v>58</v>
      </c>
      <c r="BU107" s="29">
        <f t="shared" si="99"/>
        <v>89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75</v>
      </c>
      <c r="BL108" s="29">
        <v>63</v>
      </c>
      <c r="BM108" s="29">
        <v>79</v>
      </c>
      <c r="BO108" s="29">
        <f t="shared" si="97"/>
        <v>76</v>
      </c>
      <c r="BP108" s="29">
        <f t="shared" si="86"/>
        <v>74</v>
      </c>
      <c r="BQ108" s="29">
        <f t="shared" si="87"/>
        <v>78</v>
      </c>
      <c r="BR108" s="65"/>
      <c r="BS108" s="29">
        <f t="shared" si="105"/>
        <v>88</v>
      </c>
      <c r="BT108" s="29">
        <f t="shared" si="98"/>
        <v>70</v>
      </c>
      <c r="BU108" s="29">
        <f t="shared" si="99"/>
        <v>47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47</v>
      </c>
      <c r="BL109" s="29">
        <v>71</v>
      </c>
      <c r="BM109" s="29">
        <v>56</v>
      </c>
      <c r="BO109" s="29">
        <f t="shared" si="97"/>
        <v>75</v>
      </c>
      <c r="BP109" s="29">
        <f t="shared" si="86"/>
        <v>63</v>
      </c>
      <c r="BQ109" s="29">
        <f t="shared" si="87"/>
        <v>79</v>
      </c>
      <c r="BR109" s="65"/>
      <c r="BS109" s="29">
        <f t="shared" si="105"/>
        <v>76</v>
      </c>
      <c r="BT109" s="29">
        <f t="shared" si="98"/>
        <v>74</v>
      </c>
      <c r="BU109" s="29">
        <f t="shared" si="99"/>
        <v>78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77</v>
      </c>
      <c r="BL110" s="29">
        <v>59</v>
      </c>
      <c r="BM110" s="29">
        <v>94</v>
      </c>
      <c r="BO110" s="29">
        <f t="shared" si="97"/>
        <v>47</v>
      </c>
      <c r="BP110" s="29">
        <f t="shared" si="86"/>
        <v>71</v>
      </c>
      <c r="BQ110" s="29">
        <f t="shared" si="87"/>
        <v>56</v>
      </c>
      <c r="BR110" s="65"/>
      <c r="BS110" s="29">
        <f t="shared" si="105"/>
        <v>75</v>
      </c>
      <c r="BT110" s="29">
        <f t="shared" si="98"/>
        <v>63</v>
      </c>
      <c r="BU110" s="29">
        <f t="shared" si="99"/>
        <v>79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78</v>
      </c>
      <c r="BL111" s="29">
        <v>43</v>
      </c>
      <c r="BM111" s="29">
        <v>96</v>
      </c>
      <c r="BO111" s="29">
        <f t="shared" si="97"/>
        <v>77</v>
      </c>
      <c r="BP111" s="29">
        <f t="shared" si="86"/>
        <v>59</v>
      </c>
      <c r="BQ111" s="29">
        <f t="shared" si="87"/>
        <v>94</v>
      </c>
      <c r="BR111" s="65"/>
      <c r="BS111" s="29">
        <f t="shared" si="105"/>
        <v>47</v>
      </c>
      <c r="BT111" s="29">
        <f t="shared" si="98"/>
        <v>71</v>
      </c>
      <c r="BU111" s="29">
        <f t="shared" si="99"/>
        <v>56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80</v>
      </c>
      <c r="BL112" s="29">
        <v>56</v>
      </c>
      <c r="BM112" s="29">
        <v>73</v>
      </c>
      <c r="BO112" s="29">
        <f t="shared" si="97"/>
        <v>78</v>
      </c>
      <c r="BP112" s="29">
        <f t="shared" si="86"/>
        <v>43</v>
      </c>
      <c r="BQ112" s="29">
        <f t="shared" si="87"/>
        <v>96</v>
      </c>
      <c r="BR112" s="65"/>
      <c r="BS112" s="29">
        <f t="shared" si="105"/>
        <v>77</v>
      </c>
      <c r="BT112" s="29">
        <f t="shared" si="98"/>
        <v>59</v>
      </c>
      <c r="BU112" s="29">
        <f t="shared" si="99"/>
        <v>94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79</v>
      </c>
      <c r="BL113" s="29">
        <v>68</v>
      </c>
      <c r="BM113" s="29">
        <v>73</v>
      </c>
      <c r="BO113" s="29">
        <f t="shared" si="97"/>
        <v>80</v>
      </c>
      <c r="BP113" s="29">
        <f t="shared" si="86"/>
        <v>56</v>
      </c>
      <c r="BQ113" s="29">
        <f t="shared" si="87"/>
        <v>73</v>
      </c>
      <c r="BR113" s="65"/>
      <c r="BS113" s="29">
        <f t="shared" si="105"/>
        <v>78</v>
      </c>
      <c r="BT113" s="29">
        <f t="shared" si="98"/>
        <v>43</v>
      </c>
      <c r="BU113" s="29">
        <f t="shared" si="99"/>
        <v>96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72</v>
      </c>
      <c r="BL114" s="29">
        <v>63</v>
      </c>
      <c r="BM114" s="29">
        <v>115</v>
      </c>
      <c r="BO114" s="29">
        <f t="shared" si="97"/>
        <v>79</v>
      </c>
      <c r="BP114" s="29">
        <f t="shared" si="86"/>
        <v>68</v>
      </c>
      <c r="BQ114" s="29">
        <f t="shared" si="87"/>
        <v>73</v>
      </c>
      <c r="BR114" s="65"/>
      <c r="BS114" s="29">
        <f t="shared" si="105"/>
        <v>80</v>
      </c>
      <c r="BT114" s="29">
        <f t="shared" si="98"/>
        <v>56</v>
      </c>
      <c r="BU114" s="29">
        <f t="shared" si="99"/>
        <v>73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93</v>
      </c>
      <c r="BL115" s="29">
        <v>71</v>
      </c>
      <c r="BM115" s="29">
        <v>115</v>
      </c>
      <c r="BO115" s="29">
        <f t="shared" si="97"/>
        <v>72</v>
      </c>
      <c r="BP115" s="29">
        <f t="shared" si="86"/>
        <v>63</v>
      </c>
      <c r="BQ115" s="29">
        <f t="shared" si="87"/>
        <v>115</v>
      </c>
      <c r="BR115" s="65"/>
      <c r="BS115" s="29">
        <f t="shared" si="105"/>
        <v>79</v>
      </c>
      <c r="BT115" s="29">
        <f t="shared" si="98"/>
        <v>68</v>
      </c>
      <c r="BU115" s="29">
        <f t="shared" si="99"/>
        <v>73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69</v>
      </c>
      <c r="BL116" s="29">
        <v>59</v>
      </c>
      <c r="BM116" s="29">
        <v>76</v>
      </c>
      <c r="BO116" s="29">
        <f t="shared" si="97"/>
        <v>93</v>
      </c>
      <c r="BP116" s="29">
        <f t="shared" si="86"/>
        <v>71</v>
      </c>
      <c r="BQ116" s="29">
        <f t="shared" si="87"/>
        <v>115</v>
      </c>
      <c r="BR116" s="65"/>
      <c r="BS116" s="29">
        <f t="shared" si="105"/>
        <v>72</v>
      </c>
      <c r="BT116" s="29">
        <f t="shared" si="98"/>
        <v>63</v>
      </c>
      <c r="BU116" s="29">
        <f t="shared" si="99"/>
        <v>115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72</v>
      </c>
      <c r="BL117" s="29">
        <v>43</v>
      </c>
      <c r="BM117" s="29">
        <v>99</v>
      </c>
      <c r="BO117" s="29">
        <f t="shared" si="97"/>
        <v>69</v>
      </c>
      <c r="BP117" s="29">
        <f t="shared" si="86"/>
        <v>59</v>
      </c>
      <c r="BQ117" s="29">
        <f t="shared" si="87"/>
        <v>76</v>
      </c>
      <c r="BR117" s="65"/>
      <c r="BS117" s="29">
        <f t="shared" si="105"/>
        <v>93</v>
      </c>
      <c r="BT117" s="29">
        <f t="shared" si="98"/>
        <v>71</v>
      </c>
      <c r="BU117" s="29">
        <f t="shared" si="99"/>
        <v>115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102</v>
      </c>
      <c r="BL118" s="29">
        <v>57</v>
      </c>
      <c r="BM118" s="29">
        <v>97</v>
      </c>
      <c r="BO118" s="29">
        <f t="shared" si="97"/>
        <v>72</v>
      </c>
      <c r="BP118" s="29">
        <f t="shared" si="86"/>
        <v>43</v>
      </c>
      <c r="BQ118" s="29">
        <f t="shared" si="87"/>
        <v>99</v>
      </c>
      <c r="BR118" s="65"/>
      <c r="BS118" s="29">
        <f t="shared" si="105"/>
        <v>69</v>
      </c>
      <c r="BT118" s="29">
        <f t="shared" si="98"/>
        <v>59</v>
      </c>
      <c r="BU118" s="29">
        <f t="shared" si="99"/>
        <v>76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78</v>
      </c>
      <c r="BL119" s="29">
        <v>69</v>
      </c>
      <c r="BM119" s="29">
        <v>56</v>
      </c>
      <c r="BO119" s="29">
        <f t="shared" si="97"/>
        <v>102</v>
      </c>
      <c r="BP119" s="29">
        <f t="shared" si="86"/>
        <v>57</v>
      </c>
      <c r="BQ119" s="29">
        <f t="shared" si="87"/>
        <v>97</v>
      </c>
      <c r="BR119" s="65"/>
      <c r="BS119" s="29">
        <f t="shared" si="105"/>
        <v>72</v>
      </c>
      <c r="BT119" s="29">
        <f t="shared" si="98"/>
        <v>43</v>
      </c>
      <c r="BU119" s="29">
        <f t="shared" si="99"/>
        <v>99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545</v>
      </c>
      <c r="BL120" s="29">
        <v>69</v>
      </c>
      <c r="BM120" s="29">
        <v>96</v>
      </c>
      <c r="BO120" s="29">
        <f t="shared" si="97"/>
        <v>78</v>
      </c>
      <c r="BP120" s="29">
        <f t="shared" si="86"/>
        <v>69</v>
      </c>
      <c r="BQ120" s="29">
        <f t="shared" si="87"/>
        <v>56</v>
      </c>
      <c r="BR120" s="65"/>
      <c r="BS120" s="29">
        <f t="shared" si="105"/>
        <v>102</v>
      </c>
      <c r="BT120" s="29">
        <f t="shared" si="98"/>
        <v>57</v>
      </c>
      <c r="BU120" s="29">
        <f t="shared" si="99"/>
        <v>97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661</v>
      </c>
      <c r="BL121" s="29">
        <v>63</v>
      </c>
      <c r="BM121" s="29">
        <v>100</v>
      </c>
      <c r="BO121" s="29">
        <f t="shared" si="97"/>
        <v>545</v>
      </c>
      <c r="BP121" s="29">
        <f t="shared" si="86"/>
        <v>69</v>
      </c>
      <c r="BQ121" s="29">
        <f t="shared" si="87"/>
        <v>96</v>
      </c>
      <c r="BR121" s="65"/>
      <c r="BS121" s="29">
        <f t="shared" si="105"/>
        <v>78</v>
      </c>
      <c r="BT121" s="29">
        <f t="shared" si="98"/>
        <v>69</v>
      </c>
      <c r="BU121" s="29">
        <f t="shared" si="99"/>
        <v>56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1000</v>
      </c>
      <c r="BL122" s="29">
        <v>66</v>
      </c>
      <c r="BM122" s="29">
        <v>79</v>
      </c>
      <c r="BO122" s="29">
        <f t="shared" si="97"/>
        <v>661</v>
      </c>
      <c r="BP122" s="29">
        <f t="shared" si="86"/>
        <v>63</v>
      </c>
      <c r="BQ122" s="29">
        <f t="shared" si="87"/>
        <v>100</v>
      </c>
      <c r="BR122" s="65"/>
      <c r="BS122" s="29">
        <f t="shared" si="105"/>
        <v>545</v>
      </c>
      <c r="BT122" s="29">
        <f t="shared" si="98"/>
        <v>69</v>
      </c>
      <c r="BU122" s="29">
        <f t="shared" si="99"/>
        <v>96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661</v>
      </c>
      <c r="BL123" s="29">
        <v>73</v>
      </c>
      <c r="BM123" s="29">
        <v>102</v>
      </c>
      <c r="BO123" s="29">
        <f t="shared" si="97"/>
        <v>1000</v>
      </c>
      <c r="BP123" s="29">
        <f t="shared" si="86"/>
        <v>66</v>
      </c>
      <c r="BQ123" s="29">
        <f t="shared" si="87"/>
        <v>79</v>
      </c>
      <c r="BR123" s="65"/>
      <c r="BS123" s="29">
        <f t="shared" si="105"/>
        <v>661</v>
      </c>
      <c r="BT123" s="29">
        <f t="shared" si="98"/>
        <v>63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544</v>
      </c>
      <c r="BL124" s="29">
        <v>74</v>
      </c>
      <c r="BM124" s="29">
        <v>99</v>
      </c>
      <c r="BO124" s="29">
        <f t="shared" si="97"/>
        <v>661</v>
      </c>
      <c r="BP124" s="29">
        <f t="shared" si="86"/>
        <v>73</v>
      </c>
      <c r="BQ124" s="29">
        <f t="shared" si="87"/>
        <v>102</v>
      </c>
      <c r="BR124" s="65"/>
      <c r="BS124" s="29">
        <f t="shared" si="105"/>
        <v>1000</v>
      </c>
      <c r="BT124" s="29">
        <f t="shared" si="98"/>
        <v>66</v>
      </c>
      <c r="BU124" s="29">
        <f t="shared" si="99"/>
        <v>79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81</v>
      </c>
      <c r="BL125" s="29">
        <v>73</v>
      </c>
      <c r="BM125" s="29">
        <v>96</v>
      </c>
      <c r="BO125" s="29">
        <f t="shared" si="97"/>
        <v>544</v>
      </c>
      <c r="BP125" s="29">
        <f t="shared" si="86"/>
        <v>74</v>
      </c>
      <c r="BQ125" s="29">
        <f t="shared" si="87"/>
        <v>99</v>
      </c>
      <c r="BR125" s="65"/>
      <c r="BS125" s="29">
        <f t="shared" si="105"/>
        <v>661</v>
      </c>
      <c r="BT125" s="29">
        <f t="shared" si="98"/>
        <v>73</v>
      </c>
      <c r="BU125" s="29">
        <f t="shared" si="99"/>
        <v>102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58</v>
      </c>
      <c r="BM126" s="29">
        <v>98</v>
      </c>
      <c r="BO126" s="29">
        <f t="shared" si="97"/>
        <v>81</v>
      </c>
      <c r="BP126" s="29">
        <f t="shared" si="86"/>
        <v>73</v>
      </c>
      <c r="BQ126" s="29">
        <f t="shared" si="87"/>
        <v>96</v>
      </c>
      <c r="BR126" s="65"/>
      <c r="BS126" s="29">
        <f t="shared" si="105"/>
        <v>544</v>
      </c>
      <c r="BT126" s="29">
        <f t="shared" si="98"/>
        <v>74</v>
      </c>
      <c r="BU126" s="29">
        <f t="shared" si="99"/>
        <v>99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69</v>
      </c>
      <c r="BM127" s="29">
        <v>75</v>
      </c>
      <c r="BO127" s="29" t="str">
        <f t="shared" si="97"/>
        <v/>
      </c>
      <c r="BP127" s="29">
        <f t="shared" si="86"/>
        <v>58</v>
      </c>
      <c r="BQ127" s="29">
        <f t="shared" si="87"/>
        <v>98</v>
      </c>
      <c r="BR127" s="65"/>
      <c r="BS127" s="29">
        <f t="shared" si="105"/>
        <v>81</v>
      </c>
      <c r="BT127" s="29">
        <f t="shared" si="98"/>
        <v>73</v>
      </c>
      <c r="BU127" s="29">
        <f t="shared" si="99"/>
        <v>96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77</v>
      </c>
      <c r="BM128" s="29">
        <v>92</v>
      </c>
      <c r="BO128" s="29" t="str">
        <f t="shared" si="97"/>
        <v/>
      </c>
      <c r="BP128" s="29">
        <f t="shared" si="86"/>
        <v>69</v>
      </c>
      <c r="BQ128" s="29">
        <f t="shared" si="87"/>
        <v>75</v>
      </c>
      <c r="BR128" s="65"/>
      <c r="BS128" s="29" t="str">
        <f t="shared" si="105"/>
        <v/>
      </c>
      <c r="BT128" s="29">
        <f t="shared" si="98"/>
        <v>58</v>
      </c>
      <c r="BU128" s="29">
        <f t="shared" si="99"/>
        <v>98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87</v>
      </c>
      <c r="BM129" s="29">
        <v>90</v>
      </c>
      <c r="BO129" s="29" t="str">
        <f t="shared" si="97"/>
        <v/>
      </c>
      <c r="BP129" s="29">
        <f t="shared" si="86"/>
        <v>77</v>
      </c>
      <c r="BQ129" s="29">
        <f t="shared" si="87"/>
        <v>92</v>
      </c>
      <c r="BR129" s="65"/>
      <c r="BS129" s="29" t="str">
        <f t="shared" si="105"/>
        <v/>
      </c>
      <c r="BT129" s="29">
        <f t="shared" si="98"/>
        <v>69</v>
      </c>
      <c r="BU129" s="29">
        <f t="shared" si="99"/>
        <v>75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81</v>
      </c>
      <c r="BM130" s="29">
        <v>54</v>
      </c>
      <c r="BO130" s="29" t="str">
        <f t="shared" si="97"/>
        <v/>
      </c>
      <c r="BP130" s="29">
        <f t="shared" si="86"/>
        <v>87</v>
      </c>
      <c r="BQ130" s="29">
        <f t="shared" si="87"/>
        <v>90</v>
      </c>
      <c r="BR130" s="65"/>
      <c r="BS130" s="29" t="str">
        <f t="shared" si="105"/>
        <v/>
      </c>
      <c r="BT130" s="29">
        <f t="shared" si="98"/>
        <v>77</v>
      </c>
      <c r="BU130" s="29">
        <f t="shared" si="99"/>
        <v>92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64</v>
      </c>
      <c r="BM131" s="29">
        <v>537</v>
      </c>
      <c r="BO131" s="29" t="str">
        <f t="shared" si="97"/>
        <v/>
      </c>
      <c r="BP131" s="29">
        <f t="shared" si="86"/>
        <v>81</v>
      </c>
      <c r="BQ131" s="29">
        <f t="shared" si="87"/>
        <v>54</v>
      </c>
      <c r="BR131" s="65"/>
      <c r="BS131" s="29" t="str">
        <f t="shared" si="105"/>
        <v/>
      </c>
      <c r="BT131" s="29">
        <f t="shared" si="98"/>
        <v>87</v>
      </c>
      <c r="BU131" s="29">
        <f t="shared" si="99"/>
        <v>90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73</v>
      </c>
      <c r="BM132" s="29">
        <v>660</v>
      </c>
      <c r="BO132" s="29" t="str">
        <f t="shared" si="97"/>
        <v/>
      </c>
      <c r="BP132" s="29">
        <f t="shared" ref="BP132:BP195" si="125">IF(BL131="","",BL131)</f>
        <v>64</v>
      </c>
      <c r="BQ132" s="29">
        <f t="shared" ref="BQ132:BQ195" si="126">IF(BM131="","",BM131)</f>
        <v>537</v>
      </c>
      <c r="BR132" s="65"/>
      <c r="BS132" s="29" t="str">
        <f t="shared" si="105"/>
        <v/>
      </c>
      <c r="BT132" s="29">
        <f t="shared" si="98"/>
        <v>81</v>
      </c>
      <c r="BU132" s="29">
        <f t="shared" si="99"/>
        <v>54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72</v>
      </c>
      <c r="BM133" s="29">
        <v>1000</v>
      </c>
      <c r="BO133" s="29" t="str">
        <f t="shared" ref="BO133:BO196" si="136">IF(BK132="","",BK132)</f>
        <v/>
      </c>
      <c r="BP133" s="29">
        <f t="shared" si="125"/>
        <v>73</v>
      </c>
      <c r="BQ133" s="29">
        <f t="shared" si="126"/>
        <v>660</v>
      </c>
      <c r="BR133" s="65"/>
      <c r="BS133" s="29" t="str">
        <f t="shared" si="105"/>
        <v/>
      </c>
      <c r="BT133" s="29">
        <f t="shared" ref="BT133:BT196" si="137">IF(BL131="","",BL131)</f>
        <v>64</v>
      </c>
      <c r="BU133" s="29">
        <f t="shared" ref="BU133:BU196" si="138">IF(BM131="","",BM131)</f>
        <v>537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58</v>
      </c>
      <c r="BM134" s="29">
        <v>683</v>
      </c>
      <c r="BO134" s="29" t="str">
        <f t="shared" si="136"/>
        <v/>
      </c>
      <c r="BP134" s="29">
        <f t="shared" si="125"/>
        <v>72</v>
      </c>
      <c r="BQ134" s="29">
        <f t="shared" si="126"/>
        <v>1000</v>
      </c>
      <c r="BR134" s="65"/>
      <c r="BS134" s="29" t="str">
        <f t="shared" ref="BS134:BS197" si="144">IF(BK132="","",BK132)</f>
        <v/>
      </c>
      <c r="BT134" s="29">
        <f t="shared" si="137"/>
        <v>73</v>
      </c>
      <c r="BU134" s="29">
        <f t="shared" si="138"/>
        <v>660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69</v>
      </c>
      <c r="BM135" s="29">
        <v>563</v>
      </c>
      <c r="BO135" s="29" t="str">
        <f t="shared" si="136"/>
        <v/>
      </c>
      <c r="BP135" s="29">
        <f t="shared" si="125"/>
        <v>58</v>
      </c>
      <c r="BQ135" s="29">
        <f t="shared" si="126"/>
        <v>683</v>
      </c>
      <c r="BR135" s="65"/>
      <c r="BS135" s="29" t="str">
        <f t="shared" si="144"/>
        <v/>
      </c>
      <c r="BT135" s="29">
        <f t="shared" si="137"/>
        <v>72</v>
      </c>
      <c r="BU135" s="29">
        <f t="shared" si="138"/>
        <v>1000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77</v>
      </c>
      <c r="BM136" s="29">
        <v>90</v>
      </c>
      <c r="BO136" s="29" t="str">
        <f t="shared" si="136"/>
        <v/>
      </c>
      <c r="BP136" s="29">
        <f t="shared" si="125"/>
        <v>69</v>
      </c>
      <c r="BQ136" s="29">
        <f t="shared" si="126"/>
        <v>563</v>
      </c>
      <c r="BR136" s="65"/>
      <c r="BS136" s="29" t="str">
        <f t="shared" si="144"/>
        <v/>
      </c>
      <c r="BT136" s="29">
        <f t="shared" si="137"/>
        <v>58</v>
      </c>
      <c r="BU136" s="29">
        <f t="shared" si="138"/>
        <v>683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72</v>
      </c>
      <c r="BM137" s="29">
        <v>87</v>
      </c>
      <c r="BO137" s="29" t="str">
        <f t="shared" si="136"/>
        <v/>
      </c>
      <c r="BP137" s="29">
        <f t="shared" si="125"/>
        <v>77</v>
      </c>
      <c r="BQ137" s="29">
        <f t="shared" si="126"/>
        <v>90</v>
      </c>
      <c r="BR137" s="65"/>
      <c r="BS137" s="29" t="str">
        <f t="shared" si="144"/>
        <v/>
      </c>
      <c r="BT137" s="29">
        <f t="shared" si="137"/>
        <v>69</v>
      </c>
      <c r="BU137" s="29">
        <f t="shared" si="138"/>
        <v>563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71</v>
      </c>
      <c r="BM138" s="29">
        <v>47</v>
      </c>
      <c r="BO138" s="29" t="str">
        <f t="shared" si="136"/>
        <v/>
      </c>
      <c r="BP138" s="29">
        <f t="shared" si="125"/>
        <v>72</v>
      </c>
      <c r="BQ138" s="29">
        <f t="shared" si="126"/>
        <v>87</v>
      </c>
      <c r="BR138" s="65"/>
      <c r="BS138" s="29" t="str">
        <f t="shared" si="144"/>
        <v/>
      </c>
      <c r="BT138" s="29">
        <f t="shared" si="137"/>
        <v>77</v>
      </c>
      <c r="BU138" s="29">
        <f t="shared" si="138"/>
        <v>90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53</v>
      </c>
      <c r="BM139" s="29">
        <v>87</v>
      </c>
      <c r="BO139" s="29" t="str">
        <f t="shared" si="136"/>
        <v/>
      </c>
      <c r="BP139" s="29">
        <f t="shared" si="125"/>
        <v>71</v>
      </c>
      <c r="BQ139" s="29">
        <f t="shared" si="126"/>
        <v>47</v>
      </c>
      <c r="BR139" s="65"/>
      <c r="BS139" s="29" t="str">
        <f t="shared" si="144"/>
        <v/>
      </c>
      <c r="BT139" s="29">
        <f t="shared" si="137"/>
        <v>72</v>
      </c>
      <c r="BU139" s="29">
        <f t="shared" si="138"/>
        <v>87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56</v>
      </c>
      <c r="BM140" s="29">
        <v>91</v>
      </c>
      <c r="BO140" s="29" t="str">
        <f t="shared" si="136"/>
        <v/>
      </c>
      <c r="BP140" s="29">
        <f t="shared" si="125"/>
        <v>53</v>
      </c>
      <c r="BQ140" s="29">
        <f t="shared" si="126"/>
        <v>87</v>
      </c>
      <c r="BR140" s="65"/>
      <c r="BS140" s="29" t="str">
        <f t="shared" si="144"/>
        <v/>
      </c>
      <c r="BT140" s="29">
        <f t="shared" si="137"/>
        <v>71</v>
      </c>
      <c r="BU140" s="29">
        <f t="shared" si="138"/>
        <v>47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64</v>
      </c>
      <c r="BM141" s="29">
        <v>79</v>
      </c>
      <c r="BO141" s="29" t="str">
        <f t="shared" si="136"/>
        <v/>
      </c>
      <c r="BP141" s="29">
        <f t="shared" si="125"/>
        <v>56</v>
      </c>
      <c r="BQ141" s="29">
        <f t="shared" si="126"/>
        <v>91</v>
      </c>
      <c r="BR141" s="65"/>
      <c r="BS141" s="29" t="str">
        <f t="shared" si="144"/>
        <v/>
      </c>
      <c r="BT141" s="29">
        <f t="shared" si="137"/>
        <v>53</v>
      </c>
      <c r="BU141" s="29">
        <f t="shared" si="138"/>
        <v>87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278</v>
      </c>
      <c r="BM142" s="29">
        <v>565</v>
      </c>
      <c r="BO142" s="29" t="str">
        <f t="shared" si="136"/>
        <v/>
      </c>
      <c r="BP142" s="29">
        <f t="shared" si="125"/>
        <v>64</v>
      </c>
      <c r="BQ142" s="29">
        <f t="shared" si="126"/>
        <v>79</v>
      </c>
      <c r="BR142" s="65"/>
      <c r="BS142" s="29" t="str">
        <f t="shared" si="144"/>
        <v/>
      </c>
      <c r="BT142" s="29">
        <f t="shared" si="137"/>
        <v>56</v>
      </c>
      <c r="BU142" s="29">
        <f t="shared" si="138"/>
        <v>91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830</v>
      </c>
      <c r="BM143" s="29">
        <v>682</v>
      </c>
      <c r="BO143" s="29" t="str">
        <f t="shared" si="136"/>
        <v/>
      </c>
      <c r="BP143" s="29">
        <f t="shared" si="125"/>
        <v>278</v>
      </c>
      <c r="BQ143" s="29">
        <f t="shared" si="126"/>
        <v>565</v>
      </c>
      <c r="BR143" s="65"/>
      <c r="BS143" s="29" t="str">
        <f t="shared" si="144"/>
        <v/>
      </c>
      <c r="BT143" s="29">
        <f t="shared" si="137"/>
        <v>64</v>
      </c>
      <c r="BU143" s="29">
        <f t="shared" si="138"/>
        <v>79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1000</v>
      </c>
      <c r="BM144" s="29">
        <v>1000</v>
      </c>
      <c r="BO144" s="29" t="str">
        <f t="shared" si="136"/>
        <v/>
      </c>
      <c r="BP144" s="29">
        <f t="shared" si="125"/>
        <v>830</v>
      </c>
      <c r="BQ144" s="29">
        <f t="shared" si="126"/>
        <v>682</v>
      </c>
      <c r="BR144" s="65"/>
      <c r="BS144" s="29" t="str">
        <f t="shared" si="144"/>
        <v/>
      </c>
      <c r="BT144" s="29">
        <f t="shared" si="137"/>
        <v>278</v>
      </c>
      <c r="BU144" s="29">
        <f t="shared" si="138"/>
        <v>565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825</v>
      </c>
      <c r="BM145" s="29">
        <v>682</v>
      </c>
      <c r="BO145" s="29" t="str">
        <f t="shared" si="136"/>
        <v/>
      </c>
      <c r="BP145" s="29">
        <f t="shared" si="125"/>
        <v>1000</v>
      </c>
      <c r="BQ145" s="29">
        <f t="shared" si="126"/>
        <v>1000</v>
      </c>
      <c r="BR145" s="65"/>
      <c r="BS145" s="29" t="str">
        <f t="shared" si="144"/>
        <v/>
      </c>
      <c r="BT145" s="29">
        <f t="shared" si="137"/>
        <v>830</v>
      </c>
      <c r="BU145" s="29">
        <f t="shared" si="138"/>
        <v>682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272</v>
      </c>
      <c r="BM146" s="29">
        <v>563</v>
      </c>
      <c r="BO146" s="29" t="str">
        <f t="shared" si="136"/>
        <v/>
      </c>
      <c r="BP146" s="29">
        <f t="shared" si="125"/>
        <v>825</v>
      </c>
      <c r="BQ146" s="29">
        <f t="shared" si="126"/>
        <v>682</v>
      </c>
      <c r="BR146" s="65"/>
      <c r="BS146" s="29" t="str">
        <f t="shared" si="144"/>
        <v/>
      </c>
      <c r="BT146" s="29">
        <f t="shared" si="137"/>
        <v>1000</v>
      </c>
      <c r="BU146" s="29">
        <f t="shared" si="138"/>
        <v>1000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66</v>
      </c>
      <c r="BM147" s="29">
        <v>73</v>
      </c>
      <c r="BO147" s="29" t="str">
        <f t="shared" si="136"/>
        <v/>
      </c>
      <c r="BP147" s="29">
        <f t="shared" si="125"/>
        <v>272</v>
      </c>
      <c r="BQ147" s="29">
        <f t="shared" si="126"/>
        <v>563</v>
      </c>
      <c r="BR147" s="65"/>
      <c r="BS147" s="29" t="str">
        <f t="shared" si="144"/>
        <v/>
      </c>
      <c r="BT147" s="29">
        <f t="shared" si="137"/>
        <v>825</v>
      </c>
      <c r="BU147" s="29">
        <f t="shared" si="138"/>
        <v>682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73</v>
      </c>
      <c r="BM148" s="29">
        <v>93</v>
      </c>
      <c r="BO148" s="29" t="str">
        <f t="shared" si="136"/>
        <v/>
      </c>
      <c r="BP148" s="29">
        <f t="shared" si="125"/>
        <v>66</v>
      </c>
      <c r="BQ148" s="29">
        <f t="shared" si="126"/>
        <v>73</v>
      </c>
      <c r="BR148" s="65"/>
      <c r="BS148" s="29" t="str">
        <f t="shared" si="144"/>
        <v/>
      </c>
      <c r="BT148" s="29">
        <f t="shared" si="137"/>
        <v>272</v>
      </c>
      <c r="BU148" s="29">
        <f t="shared" si="138"/>
        <v>563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69</v>
      </c>
      <c r="BM149" s="29">
        <v>91</v>
      </c>
      <c r="BO149" s="29" t="str">
        <f t="shared" si="136"/>
        <v/>
      </c>
      <c r="BP149" s="29">
        <f t="shared" si="125"/>
        <v>73</v>
      </c>
      <c r="BQ149" s="29">
        <f t="shared" si="126"/>
        <v>93</v>
      </c>
      <c r="BR149" s="65"/>
      <c r="BS149" s="29" t="str">
        <f t="shared" si="144"/>
        <v/>
      </c>
      <c r="BT149" s="29">
        <f t="shared" si="137"/>
        <v>66</v>
      </c>
      <c r="BU149" s="29">
        <f t="shared" si="138"/>
        <v>73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62</v>
      </c>
      <c r="BM150" s="29">
        <v>56</v>
      </c>
      <c r="BO150" s="29" t="str">
        <f t="shared" si="136"/>
        <v/>
      </c>
      <c r="BP150" s="29">
        <f t="shared" si="125"/>
        <v>69</v>
      </c>
      <c r="BQ150" s="29">
        <f t="shared" si="126"/>
        <v>91</v>
      </c>
      <c r="BR150" s="65"/>
      <c r="BS150" s="29" t="str">
        <f t="shared" si="144"/>
        <v/>
      </c>
      <c r="BT150" s="29">
        <f t="shared" si="137"/>
        <v>73</v>
      </c>
      <c r="BU150" s="29">
        <f t="shared" si="138"/>
        <v>93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66</v>
      </c>
      <c r="BM151" s="29">
        <v>96</v>
      </c>
      <c r="BO151" s="29" t="str">
        <f t="shared" si="136"/>
        <v/>
      </c>
      <c r="BP151" s="29">
        <f t="shared" si="125"/>
        <v>62</v>
      </c>
      <c r="BQ151" s="29">
        <f t="shared" si="126"/>
        <v>56</v>
      </c>
      <c r="BR151" s="65"/>
      <c r="BS151" s="29" t="str">
        <f t="shared" si="144"/>
        <v/>
      </c>
      <c r="BT151" s="29">
        <f t="shared" si="137"/>
        <v>69</v>
      </c>
      <c r="BU151" s="29">
        <f t="shared" si="138"/>
        <v>91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73</v>
      </c>
      <c r="BM152" s="29">
        <v>100</v>
      </c>
      <c r="BO152" s="29" t="str">
        <f t="shared" si="136"/>
        <v/>
      </c>
      <c r="BP152" s="29">
        <f t="shared" si="125"/>
        <v>66</v>
      </c>
      <c r="BQ152" s="29">
        <f t="shared" si="126"/>
        <v>96</v>
      </c>
      <c r="BR152" s="65"/>
      <c r="BS152" s="29" t="str">
        <f t="shared" si="144"/>
        <v/>
      </c>
      <c r="BT152" s="29">
        <f t="shared" si="137"/>
        <v>62</v>
      </c>
      <c r="BU152" s="29">
        <f t="shared" si="138"/>
        <v>56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63</v>
      </c>
      <c r="BM153" s="29">
        <v>79</v>
      </c>
      <c r="BO153" s="29" t="str">
        <f t="shared" si="136"/>
        <v/>
      </c>
      <c r="BP153" s="29">
        <f t="shared" si="125"/>
        <v>73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66</v>
      </c>
      <c r="BU153" s="29">
        <f t="shared" si="138"/>
        <v>96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71</v>
      </c>
      <c r="BM154" s="29">
        <v>121</v>
      </c>
      <c r="BO154" s="29" t="str">
        <f t="shared" si="136"/>
        <v/>
      </c>
      <c r="BP154" s="29">
        <f t="shared" si="125"/>
        <v>63</v>
      </c>
      <c r="BQ154" s="29">
        <f t="shared" si="126"/>
        <v>79</v>
      </c>
      <c r="BR154" s="65"/>
      <c r="BS154" s="29" t="str">
        <f t="shared" si="144"/>
        <v/>
      </c>
      <c r="BT154" s="29">
        <f t="shared" si="137"/>
        <v>73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59</v>
      </c>
      <c r="BM155" s="29">
        <v>120</v>
      </c>
      <c r="BO155" s="29" t="str">
        <f t="shared" si="136"/>
        <v/>
      </c>
      <c r="BP155" s="29">
        <f t="shared" si="125"/>
        <v>71</v>
      </c>
      <c r="BQ155" s="29">
        <f t="shared" si="126"/>
        <v>121</v>
      </c>
      <c r="BR155" s="65"/>
      <c r="BS155" s="29" t="str">
        <f t="shared" si="144"/>
        <v/>
      </c>
      <c r="BT155" s="29">
        <f t="shared" si="137"/>
        <v>63</v>
      </c>
      <c r="BU155" s="29">
        <f t="shared" si="138"/>
        <v>79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57</v>
      </c>
      <c r="BM156" s="29">
        <v>76</v>
      </c>
      <c r="BO156" s="29" t="str">
        <f t="shared" si="136"/>
        <v/>
      </c>
      <c r="BP156" s="29">
        <f t="shared" si="125"/>
        <v>59</v>
      </c>
      <c r="BQ156" s="29">
        <f t="shared" si="126"/>
        <v>120</v>
      </c>
      <c r="BR156" s="65"/>
      <c r="BS156" s="29" t="str">
        <f t="shared" si="144"/>
        <v/>
      </c>
      <c r="BT156" s="29">
        <f t="shared" si="137"/>
        <v>71</v>
      </c>
      <c r="BU156" s="29">
        <f t="shared" si="138"/>
        <v>121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69</v>
      </c>
      <c r="BM157" s="29">
        <v>570</v>
      </c>
      <c r="BO157" s="29" t="str">
        <f t="shared" si="136"/>
        <v/>
      </c>
      <c r="BP157" s="29">
        <f t="shared" si="125"/>
        <v>57</v>
      </c>
      <c r="BQ157" s="29">
        <f t="shared" si="126"/>
        <v>76</v>
      </c>
      <c r="BR157" s="65"/>
      <c r="BS157" s="29" t="str">
        <f t="shared" si="144"/>
        <v/>
      </c>
      <c r="BT157" s="29">
        <f t="shared" si="137"/>
        <v>59</v>
      </c>
      <c r="BU157" s="29">
        <f t="shared" si="138"/>
        <v>120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73</v>
      </c>
      <c r="BM158" s="29">
        <v>688</v>
      </c>
      <c r="BO158" s="29" t="str">
        <f t="shared" si="136"/>
        <v/>
      </c>
      <c r="BP158" s="29">
        <f t="shared" si="125"/>
        <v>69</v>
      </c>
      <c r="BQ158" s="29">
        <f t="shared" si="126"/>
        <v>570</v>
      </c>
      <c r="BR158" s="65"/>
      <c r="BS158" s="29" t="str">
        <f t="shared" si="144"/>
        <v/>
      </c>
      <c r="BT158" s="29">
        <f t="shared" si="137"/>
        <v>57</v>
      </c>
      <c r="BU158" s="29">
        <f t="shared" si="138"/>
        <v>76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72</v>
      </c>
      <c r="BM159" s="29">
        <v>1000</v>
      </c>
      <c r="BO159" s="29" t="str">
        <f t="shared" si="136"/>
        <v/>
      </c>
      <c r="BP159" s="29">
        <f t="shared" si="125"/>
        <v>73</v>
      </c>
      <c r="BQ159" s="29">
        <f t="shared" si="126"/>
        <v>688</v>
      </c>
      <c r="BR159" s="65"/>
      <c r="BS159" s="29" t="str">
        <f t="shared" si="144"/>
        <v/>
      </c>
      <c r="BT159" s="29">
        <f t="shared" si="137"/>
        <v>69</v>
      </c>
      <c r="BU159" s="29">
        <f t="shared" si="138"/>
        <v>570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69</v>
      </c>
      <c r="BM160" s="29">
        <v>663</v>
      </c>
      <c r="BO160" s="29" t="str">
        <f t="shared" si="136"/>
        <v/>
      </c>
      <c r="BP160" s="29">
        <f t="shared" si="125"/>
        <v>72</v>
      </c>
      <c r="BQ160" s="29">
        <f t="shared" si="126"/>
        <v>1000</v>
      </c>
      <c r="BR160" s="65"/>
      <c r="BS160" s="29" t="str">
        <f t="shared" si="144"/>
        <v/>
      </c>
      <c r="BT160" s="29">
        <f t="shared" si="137"/>
        <v>73</v>
      </c>
      <c r="BU160" s="29">
        <f t="shared" si="138"/>
        <v>688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77</v>
      </c>
      <c r="BM161" s="29">
        <v>539</v>
      </c>
      <c r="BO161" s="29" t="str">
        <f t="shared" si="136"/>
        <v/>
      </c>
      <c r="BP161" s="29">
        <f t="shared" si="125"/>
        <v>69</v>
      </c>
      <c r="BQ161" s="29">
        <f t="shared" si="126"/>
        <v>663</v>
      </c>
      <c r="BR161" s="65"/>
      <c r="BS161" s="29" t="str">
        <f t="shared" si="144"/>
        <v/>
      </c>
      <c r="BT161" s="29">
        <f t="shared" si="137"/>
        <v>72</v>
      </c>
      <c r="BU161" s="29">
        <f t="shared" si="138"/>
        <v>1000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72</v>
      </c>
      <c r="BM162" s="29">
        <v>56</v>
      </c>
      <c r="BO162" s="29" t="str">
        <f t="shared" si="136"/>
        <v/>
      </c>
      <c r="BP162" s="29">
        <f t="shared" si="125"/>
        <v>77</v>
      </c>
      <c r="BQ162" s="29">
        <f t="shared" si="126"/>
        <v>539</v>
      </c>
      <c r="BR162" s="65"/>
      <c r="BS162" s="29" t="str">
        <f t="shared" si="144"/>
        <v/>
      </c>
      <c r="BT162" s="29">
        <f t="shared" si="137"/>
        <v>69</v>
      </c>
      <c r="BU162" s="29">
        <f t="shared" si="138"/>
        <v>663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71</v>
      </c>
      <c r="BM163" s="29">
        <v>56</v>
      </c>
      <c r="BO163" s="29" t="str">
        <f t="shared" si="136"/>
        <v/>
      </c>
      <c r="BP163" s="29">
        <f t="shared" si="125"/>
        <v>72</v>
      </c>
      <c r="BQ163" s="29">
        <f t="shared" si="126"/>
        <v>56</v>
      </c>
      <c r="BR163" s="65"/>
      <c r="BS163" s="29" t="str">
        <f t="shared" si="144"/>
        <v/>
      </c>
      <c r="BT163" s="29">
        <f t="shared" si="137"/>
        <v>77</v>
      </c>
      <c r="BU163" s="29">
        <f t="shared" si="138"/>
        <v>539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53</v>
      </c>
      <c r="BM164" s="29">
        <v>96</v>
      </c>
      <c r="BO164" s="29" t="str">
        <f t="shared" si="136"/>
        <v/>
      </c>
      <c r="BP164" s="29">
        <f t="shared" si="125"/>
        <v>71</v>
      </c>
      <c r="BQ164" s="29">
        <f t="shared" si="126"/>
        <v>56</v>
      </c>
      <c r="BR164" s="65"/>
      <c r="BS164" s="29" t="str">
        <f t="shared" si="144"/>
        <v/>
      </c>
      <c r="BT164" s="29">
        <f t="shared" si="137"/>
        <v>72</v>
      </c>
      <c r="BU164" s="29">
        <f t="shared" si="138"/>
        <v>56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59</v>
      </c>
      <c r="BM165" s="29">
        <v>100</v>
      </c>
      <c r="BO165" s="29" t="str">
        <f t="shared" si="136"/>
        <v/>
      </c>
      <c r="BP165" s="29">
        <f t="shared" si="125"/>
        <v>53</v>
      </c>
      <c r="BQ165" s="29">
        <f t="shared" si="126"/>
        <v>96</v>
      </c>
      <c r="BR165" s="65"/>
      <c r="BS165" s="29" t="str">
        <f t="shared" si="144"/>
        <v/>
      </c>
      <c r="BT165" s="29">
        <f t="shared" si="137"/>
        <v>71</v>
      </c>
      <c r="BU165" s="29">
        <f t="shared" si="138"/>
        <v>56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76</v>
      </c>
      <c r="BM166" s="29">
        <v>79</v>
      </c>
      <c r="BO166" s="29" t="str">
        <f t="shared" si="136"/>
        <v/>
      </c>
      <c r="BP166" s="29">
        <f t="shared" si="125"/>
        <v>59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53</v>
      </c>
      <c r="BU166" s="29">
        <f t="shared" si="138"/>
        <v>96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72</v>
      </c>
      <c r="BM167" s="29">
        <v>94</v>
      </c>
      <c r="BO167" s="29" t="str">
        <f t="shared" si="136"/>
        <v/>
      </c>
      <c r="BP167" s="29">
        <f t="shared" si="125"/>
        <v>76</v>
      </c>
      <c r="BQ167" s="29">
        <f t="shared" si="126"/>
        <v>79</v>
      </c>
      <c r="BR167" s="65"/>
      <c r="BS167" s="29" t="str">
        <f t="shared" si="144"/>
        <v/>
      </c>
      <c r="BT167" s="29">
        <f t="shared" si="137"/>
        <v>59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84</v>
      </c>
      <c r="BM168" s="29">
        <v>89</v>
      </c>
      <c r="BO168" s="29" t="str">
        <f t="shared" si="136"/>
        <v/>
      </c>
      <c r="BP168" s="29">
        <f t="shared" si="125"/>
        <v>72</v>
      </c>
      <c r="BQ168" s="29">
        <f t="shared" si="126"/>
        <v>94</v>
      </c>
      <c r="BR168" s="65"/>
      <c r="BS168" s="29" t="str">
        <f t="shared" si="144"/>
        <v/>
      </c>
      <c r="BT168" s="29">
        <f t="shared" si="137"/>
        <v>76</v>
      </c>
      <c r="BU168" s="29">
        <f t="shared" si="138"/>
        <v>79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73</v>
      </c>
      <c r="BM169" s="29">
        <v>47</v>
      </c>
      <c r="BO169" s="29" t="str">
        <f t="shared" si="136"/>
        <v/>
      </c>
      <c r="BP169" s="29">
        <f t="shared" si="125"/>
        <v>84</v>
      </c>
      <c r="BQ169" s="29">
        <f t="shared" si="126"/>
        <v>89</v>
      </c>
      <c r="BR169" s="65"/>
      <c r="BS169" s="29" t="str">
        <f t="shared" si="144"/>
        <v/>
      </c>
      <c r="BT169" s="29">
        <f t="shared" si="137"/>
        <v>72</v>
      </c>
      <c r="BU169" s="29">
        <f t="shared" si="138"/>
        <v>94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65</v>
      </c>
      <c r="BM170" s="29">
        <v>78</v>
      </c>
      <c r="BO170" s="29" t="str">
        <f t="shared" si="136"/>
        <v/>
      </c>
      <c r="BP170" s="29">
        <f t="shared" si="125"/>
        <v>73</v>
      </c>
      <c r="BQ170" s="29">
        <f t="shared" si="126"/>
        <v>47</v>
      </c>
      <c r="BR170" s="65"/>
      <c r="BS170" s="29" t="str">
        <f t="shared" si="144"/>
        <v/>
      </c>
      <c r="BT170" s="29">
        <f t="shared" si="137"/>
        <v>84</v>
      </c>
      <c r="BU170" s="29">
        <f t="shared" si="138"/>
        <v>89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57</v>
      </c>
      <c r="BM171" s="29">
        <v>79</v>
      </c>
      <c r="BO171" s="29" t="str">
        <f t="shared" si="136"/>
        <v/>
      </c>
      <c r="BP171" s="29">
        <f t="shared" si="125"/>
        <v>65</v>
      </c>
      <c r="BQ171" s="29">
        <f t="shared" si="126"/>
        <v>78</v>
      </c>
      <c r="BR171" s="65"/>
      <c r="BS171" s="29" t="str">
        <f t="shared" si="144"/>
        <v/>
      </c>
      <c r="BT171" s="29">
        <f t="shared" si="137"/>
        <v>73</v>
      </c>
      <c r="BU171" s="29">
        <f t="shared" si="138"/>
        <v>47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56</v>
      </c>
      <c r="BM172" s="29">
        <v>56</v>
      </c>
      <c r="BO172" s="29" t="str">
        <f t="shared" si="136"/>
        <v/>
      </c>
      <c r="BP172" s="29">
        <f t="shared" si="125"/>
        <v>57</v>
      </c>
      <c r="BQ172" s="29">
        <f t="shared" si="126"/>
        <v>79</v>
      </c>
      <c r="BR172" s="65"/>
      <c r="BS172" s="29" t="str">
        <f t="shared" si="144"/>
        <v/>
      </c>
      <c r="BT172" s="29">
        <f t="shared" si="137"/>
        <v>65</v>
      </c>
      <c r="BU172" s="29">
        <f t="shared" si="138"/>
        <v>78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64</v>
      </c>
      <c r="BM173" s="29">
        <v>96</v>
      </c>
      <c r="BO173" s="29" t="str">
        <f t="shared" si="136"/>
        <v/>
      </c>
      <c r="BP173" s="29">
        <f t="shared" si="125"/>
        <v>56</v>
      </c>
      <c r="BQ173" s="29">
        <f t="shared" si="126"/>
        <v>56</v>
      </c>
      <c r="BR173" s="65"/>
      <c r="BS173" s="29" t="str">
        <f t="shared" si="144"/>
        <v/>
      </c>
      <c r="BT173" s="29">
        <f t="shared" si="137"/>
        <v>57</v>
      </c>
      <c r="BU173" s="29">
        <f t="shared" si="138"/>
        <v>79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69</v>
      </c>
      <c r="BM174" s="29">
        <v>100</v>
      </c>
      <c r="BO174" s="29" t="str">
        <f t="shared" si="136"/>
        <v/>
      </c>
      <c r="BP174" s="29">
        <f t="shared" si="125"/>
        <v>64</v>
      </c>
      <c r="BQ174" s="29">
        <f t="shared" si="126"/>
        <v>96</v>
      </c>
      <c r="BR174" s="65"/>
      <c r="BS174" s="29" t="str">
        <f t="shared" si="144"/>
        <v/>
      </c>
      <c r="BT174" s="29">
        <f t="shared" si="137"/>
        <v>56</v>
      </c>
      <c r="BU174" s="29">
        <f t="shared" si="138"/>
        <v>56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74</v>
      </c>
      <c r="BM175" s="29">
        <v>79</v>
      </c>
      <c r="BO175" s="29" t="str">
        <f t="shared" si="136"/>
        <v/>
      </c>
      <c r="BP175" s="29">
        <f t="shared" si="125"/>
        <v>69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64</v>
      </c>
      <c r="BU175" s="29">
        <f t="shared" si="138"/>
        <v>96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64</v>
      </c>
      <c r="BM176" s="29">
        <v>121</v>
      </c>
      <c r="BO176" s="29" t="str">
        <f t="shared" si="136"/>
        <v/>
      </c>
      <c r="BP176" s="29">
        <f t="shared" si="125"/>
        <v>74</v>
      </c>
      <c r="BQ176" s="29">
        <f t="shared" si="126"/>
        <v>79</v>
      </c>
      <c r="BR176" s="65"/>
      <c r="BS176" s="29" t="str">
        <f t="shared" si="144"/>
        <v/>
      </c>
      <c r="BT176" s="29">
        <f t="shared" si="137"/>
        <v>69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70</v>
      </c>
      <c r="BM177" s="29">
        <v>120</v>
      </c>
      <c r="BO177" s="29" t="str">
        <f t="shared" si="136"/>
        <v/>
      </c>
      <c r="BP177" s="29">
        <f t="shared" si="125"/>
        <v>64</v>
      </c>
      <c r="BQ177" s="29">
        <f t="shared" si="126"/>
        <v>121</v>
      </c>
      <c r="BR177" s="65"/>
      <c r="BS177" s="29" t="str">
        <f t="shared" si="144"/>
        <v/>
      </c>
      <c r="BT177" s="29">
        <f t="shared" si="137"/>
        <v>74</v>
      </c>
      <c r="BU177" s="29">
        <f t="shared" si="138"/>
        <v>79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58</v>
      </c>
      <c r="BM178" s="29">
        <v>76</v>
      </c>
      <c r="BO178" s="29" t="str">
        <f t="shared" si="136"/>
        <v/>
      </c>
      <c r="BP178" s="29">
        <f t="shared" si="125"/>
        <v>70</v>
      </c>
      <c r="BQ178" s="29">
        <f t="shared" si="126"/>
        <v>120</v>
      </c>
      <c r="BR178" s="65"/>
      <c r="BS178" s="29" t="str">
        <f t="shared" si="144"/>
        <v/>
      </c>
      <c r="BT178" s="29">
        <f t="shared" si="137"/>
        <v>64</v>
      </c>
      <c r="BU178" s="29">
        <f t="shared" si="138"/>
        <v>121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56</v>
      </c>
      <c r="BM179" s="29">
        <v>115</v>
      </c>
      <c r="BO179" s="29" t="str">
        <f t="shared" si="136"/>
        <v/>
      </c>
      <c r="BP179" s="29">
        <f t="shared" si="125"/>
        <v>58</v>
      </c>
      <c r="BQ179" s="29">
        <f t="shared" si="126"/>
        <v>76</v>
      </c>
      <c r="BR179" s="65"/>
      <c r="BS179" s="29" t="str">
        <f t="shared" si="144"/>
        <v/>
      </c>
      <c r="BT179" s="29">
        <f t="shared" si="137"/>
        <v>70</v>
      </c>
      <c r="BU179" s="29">
        <f t="shared" si="138"/>
        <v>120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64</v>
      </c>
      <c r="BM180" s="29">
        <v>115</v>
      </c>
      <c r="BO180" s="29" t="str">
        <f t="shared" si="136"/>
        <v/>
      </c>
      <c r="BP180" s="29">
        <f t="shared" si="125"/>
        <v>56</v>
      </c>
      <c r="BQ180" s="29">
        <f t="shared" si="126"/>
        <v>115</v>
      </c>
      <c r="BR180" s="65"/>
      <c r="BS180" s="29" t="str">
        <f t="shared" si="144"/>
        <v/>
      </c>
      <c r="BT180" s="29">
        <f t="shared" si="137"/>
        <v>58</v>
      </c>
      <c r="BU180" s="29">
        <f t="shared" si="138"/>
        <v>76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278</v>
      </c>
      <c r="BM181" s="29">
        <v>75</v>
      </c>
      <c r="BO181" s="29" t="str">
        <f t="shared" si="136"/>
        <v/>
      </c>
      <c r="BP181" s="29">
        <f t="shared" si="125"/>
        <v>64</v>
      </c>
      <c r="BQ181" s="29">
        <f t="shared" si="126"/>
        <v>115</v>
      </c>
      <c r="BR181" s="65"/>
      <c r="BS181" s="29" t="str">
        <f t="shared" si="144"/>
        <v/>
      </c>
      <c r="BT181" s="29">
        <f t="shared" si="137"/>
        <v>56</v>
      </c>
      <c r="BU181" s="29">
        <f t="shared" si="138"/>
        <v>115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830</v>
      </c>
      <c r="BM182" s="29">
        <v>75</v>
      </c>
      <c r="BO182" s="29" t="str">
        <f t="shared" si="136"/>
        <v/>
      </c>
      <c r="BP182" s="29">
        <f t="shared" si="125"/>
        <v>278</v>
      </c>
      <c r="BQ182" s="29">
        <f t="shared" si="126"/>
        <v>75</v>
      </c>
      <c r="BR182" s="65"/>
      <c r="BS182" s="29" t="str">
        <f t="shared" si="144"/>
        <v/>
      </c>
      <c r="BT182" s="29">
        <f t="shared" si="137"/>
        <v>64</v>
      </c>
      <c r="BU182" s="29">
        <f t="shared" si="138"/>
        <v>115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1000</v>
      </c>
      <c r="BM183" s="29">
        <v>92</v>
      </c>
      <c r="BO183" s="29" t="str">
        <f t="shared" si="136"/>
        <v/>
      </c>
      <c r="BP183" s="29">
        <f t="shared" si="125"/>
        <v>830</v>
      </c>
      <c r="BQ183" s="29">
        <f t="shared" si="126"/>
        <v>75</v>
      </c>
      <c r="BR183" s="65"/>
      <c r="BS183" s="29" t="str">
        <f t="shared" si="144"/>
        <v/>
      </c>
      <c r="BT183" s="29">
        <f t="shared" si="137"/>
        <v>278</v>
      </c>
      <c r="BU183" s="29">
        <f t="shared" si="138"/>
        <v>75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836</v>
      </c>
      <c r="BM184" s="29">
        <v>90</v>
      </c>
      <c r="BO184" s="29" t="str">
        <f t="shared" si="136"/>
        <v/>
      </c>
      <c r="BP184" s="29">
        <f t="shared" si="125"/>
        <v>1000</v>
      </c>
      <c r="BQ184" s="29">
        <f t="shared" si="126"/>
        <v>92</v>
      </c>
      <c r="BR184" s="65"/>
      <c r="BS184" s="29" t="str">
        <f t="shared" si="144"/>
        <v/>
      </c>
      <c r="BT184" s="29">
        <f t="shared" si="137"/>
        <v>830</v>
      </c>
      <c r="BU184" s="29">
        <f t="shared" si="138"/>
        <v>75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287</v>
      </c>
      <c r="BM185" s="29">
        <v>54</v>
      </c>
      <c r="BO185" s="29" t="str">
        <f t="shared" si="136"/>
        <v/>
      </c>
      <c r="BP185" s="29">
        <f t="shared" si="125"/>
        <v>836</v>
      </c>
      <c r="BQ185" s="29">
        <f t="shared" si="126"/>
        <v>90</v>
      </c>
      <c r="BR185" s="65"/>
      <c r="BS185" s="29" t="str">
        <f t="shared" si="144"/>
        <v/>
      </c>
      <c r="BT185" s="29">
        <f t="shared" si="137"/>
        <v>1000</v>
      </c>
      <c r="BU185" s="29">
        <f t="shared" si="138"/>
        <v>92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69</v>
      </c>
      <c r="BM186" s="29">
        <v>85</v>
      </c>
      <c r="BO186" s="29" t="str">
        <f t="shared" si="136"/>
        <v/>
      </c>
      <c r="BP186" s="29">
        <f t="shared" si="125"/>
        <v>287</v>
      </c>
      <c r="BQ186" s="29">
        <f t="shared" si="126"/>
        <v>54</v>
      </c>
      <c r="BR186" s="65"/>
      <c r="BS186" s="29" t="str">
        <f t="shared" si="144"/>
        <v/>
      </c>
      <c r="BT186" s="29">
        <f t="shared" si="137"/>
        <v>836</v>
      </c>
      <c r="BU186" s="29">
        <f t="shared" si="138"/>
        <v>90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79</v>
      </c>
      <c r="BM187" s="29">
        <v>87</v>
      </c>
      <c r="BO187" s="29" t="str">
        <f t="shared" si="136"/>
        <v/>
      </c>
      <c r="BP187" s="29">
        <f t="shared" si="125"/>
        <v>69</v>
      </c>
      <c r="BQ187" s="29">
        <f t="shared" si="126"/>
        <v>85</v>
      </c>
      <c r="BR187" s="65"/>
      <c r="BS187" s="29" t="str">
        <f t="shared" si="144"/>
        <v/>
      </c>
      <c r="BT187" s="29">
        <f t="shared" si="137"/>
        <v>287</v>
      </c>
      <c r="BU187" s="29">
        <f t="shared" si="138"/>
        <v>54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63</v>
      </c>
      <c r="BM188" s="29">
        <v>73</v>
      </c>
      <c r="BO188" s="29" t="str">
        <f t="shared" si="136"/>
        <v/>
      </c>
      <c r="BP188" s="29">
        <f t="shared" si="125"/>
        <v>79</v>
      </c>
      <c r="BQ188" s="29">
        <f t="shared" si="126"/>
        <v>87</v>
      </c>
      <c r="BR188" s="65"/>
      <c r="BS188" s="29" t="str">
        <f t="shared" si="144"/>
        <v/>
      </c>
      <c r="BT188" s="29">
        <f t="shared" si="137"/>
        <v>69</v>
      </c>
      <c r="BU188" s="29">
        <f t="shared" si="138"/>
        <v>85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63</v>
      </c>
      <c r="BM189" s="29">
        <v>116</v>
      </c>
      <c r="BO189" s="29" t="str">
        <f t="shared" si="136"/>
        <v/>
      </c>
      <c r="BP189" s="29">
        <f t="shared" si="125"/>
        <v>63</v>
      </c>
      <c r="BQ189" s="29">
        <f t="shared" si="126"/>
        <v>73</v>
      </c>
      <c r="BR189" s="65"/>
      <c r="BS189" s="29" t="str">
        <f t="shared" si="144"/>
        <v/>
      </c>
      <c r="BT189" s="29">
        <f t="shared" si="137"/>
        <v>79</v>
      </c>
      <c r="BU189" s="29">
        <f t="shared" si="138"/>
        <v>87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70</v>
      </c>
      <c r="BM190" s="29">
        <v>118</v>
      </c>
      <c r="BO190" s="29" t="str">
        <f t="shared" si="136"/>
        <v/>
      </c>
      <c r="BP190" s="29">
        <f t="shared" si="125"/>
        <v>63</v>
      </c>
      <c r="BQ190" s="29">
        <f t="shared" si="126"/>
        <v>116</v>
      </c>
      <c r="BR190" s="65"/>
      <c r="BS190" s="29" t="str">
        <f t="shared" si="144"/>
        <v/>
      </c>
      <c r="BT190" s="29">
        <f t="shared" si="137"/>
        <v>63</v>
      </c>
      <c r="BU190" s="29">
        <f t="shared" si="138"/>
        <v>73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64</v>
      </c>
      <c r="BM191" s="29">
        <v>79</v>
      </c>
      <c r="BO191" s="29" t="str">
        <f t="shared" si="136"/>
        <v/>
      </c>
      <c r="BP191" s="29">
        <f t="shared" si="125"/>
        <v>70</v>
      </c>
      <c r="BQ191" s="29">
        <f t="shared" si="126"/>
        <v>118</v>
      </c>
      <c r="BR191" s="65"/>
      <c r="BS191" s="29" t="str">
        <f t="shared" si="144"/>
        <v/>
      </c>
      <c r="BT191" s="29">
        <f t="shared" si="137"/>
        <v>63</v>
      </c>
      <c r="BU191" s="29">
        <f t="shared" si="138"/>
        <v>116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73</v>
      </c>
      <c r="BM192" s="29">
        <v>565</v>
      </c>
      <c r="BO192" s="29" t="str">
        <f t="shared" si="136"/>
        <v/>
      </c>
      <c r="BP192" s="29">
        <f t="shared" si="125"/>
        <v>64</v>
      </c>
      <c r="BQ192" s="29">
        <f t="shared" si="126"/>
        <v>79</v>
      </c>
      <c r="BR192" s="65"/>
      <c r="BS192" s="29" t="str">
        <f t="shared" si="144"/>
        <v/>
      </c>
      <c r="BT192" s="29">
        <f t="shared" si="137"/>
        <v>70</v>
      </c>
      <c r="BU192" s="29">
        <f t="shared" si="138"/>
        <v>118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72</v>
      </c>
      <c r="BM193" s="29">
        <v>682</v>
      </c>
      <c r="BO193" s="29" t="str">
        <f t="shared" si="136"/>
        <v/>
      </c>
      <c r="BP193" s="29">
        <f t="shared" si="125"/>
        <v>73</v>
      </c>
      <c r="BQ193" s="29">
        <f t="shared" si="126"/>
        <v>565</v>
      </c>
      <c r="BR193" s="65"/>
      <c r="BS193" s="29" t="str">
        <f t="shared" si="144"/>
        <v/>
      </c>
      <c r="BT193" s="29">
        <f t="shared" si="137"/>
        <v>64</v>
      </c>
      <c r="BU193" s="29">
        <f t="shared" si="138"/>
        <v>79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70</v>
      </c>
      <c r="BM194" s="29">
        <v>1000</v>
      </c>
      <c r="BO194" s="29" t="str">
        <f t="shared" si="136"/>
        <v/>
      </c>
      <c r="BP194" s="29">
        <f t="shared" si="125"/>
        <v>72</v>
      </c>
      <c r="BQ194" s="29">
        <f t="shared" si="126"/>
        <v>682</v>
      </c>
      <c r="BR194" s="65"/>
      <c r="BS194" s="29" t="str">
        <f t="shared" si="144"/>
        <v/>
      </c>
      <c r="BT194" s="29">
        <f t="shared" si="137"/>
        <v>73</v>
      </c>
      <c r="BU194" s="29">
        <f t="shared" si="138"/>
        <v>565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74</v>
      </c>
      <c r="BM195" s="29">
        <v>682</v>
      </c>
      <c r="BO195" s="29" t="str">
        <f t="shared" si="136"/>
        <v/>
      </c>
      <c r="BP195" s="29">
        <f t="shared" si="125"/>
        <v>70</v>
      </c>
      <c r="BQ195" s="29">
        <f t="shared" si="126"/>
        <v>1000</v>
      </c>
      <c r="BR195" s="65"/>
      <c r="BS195" s="29" t="str">
        <f t="shared" si="144"/>
        <v/>
      </c>
      <c r="BT195" s="29">
        <f t="shared" si="137"/>
        <v>72</v>
      </c>
      <c r="BU195" s="29">
        <f t="shared" si="138"/>
        <v>682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74</v>
      </c>
      <c r="BM196" s="29">
        <v>563</v>
      </c>
      <c r="BO196" s="29" t="str">
        <f t="shared" si="136"/>
        <v/>
      </c>
      <c r="BP196" s="29">
        <f t="shared" ref="BP196:BP211" si="152">IF(BL195="","",BL195)</f>
        <v>74</v>
      </c>
      <c r="BQ196" s="29">
        <f t="shared" ref="BQ196:BQ211" si="153">IF(BM195="","",BM195)</f>
        <v>682</v>
      </c>
      <c r="BR196" s="65"/>
      <c r="BS196" s="29" t="str">
        <f t="shared" si="144"/>
        <v/>
      </c>
      <c r="BT196" s="29">
        <f t="shared" si="137"/>
        <v>70</v>
      </c>
      <c r="BU196" s="29">
        <f t="shared" si="138"/>
        <v>1000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73</v>
      </c>
      <c r="BM197" s="29">
        <v>73</v>
      </c>
      <c r="BO197" s="29" t="str">
        <f t="shared" ref="BO197:BO211" si="163">IF(BK196="","",BK196)</f>
        <v/>
      </c>
      <c r="BP197" s="29">
        <f t="shared" si="152"/>
        <v>74</v>
      </c>
      <c r="BQ197" s="29">
        <f t="shared" si="153"/>
        <v>563</v>
      </c>
      <c r="BR197" s="65"/>
      <c r="BS197" s="29" t="str">
        <f t="shared" si="144"/>
        <v/>
      </c>
      <c r="BT197" s="29">
        <f t="shared" ref="BT197:BT211" si="164">IF(BL195="","",BL195)</f>
        <v>74</v>
      </c>
      <c r="BU197" s="29">
        <f t="shared" ref="BU197:BU211" si="165">IF(BM195="","",BM195)</f>
        <v>682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69</v>
      </c>
      <c r="BM198" s="29">
        <v>560</v>
      </c>
      <c r="BO198" s="29" t="str">
        <f t="shared" si="163"/>
        <v/>
      </c>
      <c r="BP198" s="29">
        <f t="shared" si="152"/>
        <v>73</v>
      </c>
      <c r="BQ198" s="29">
        <f t="shared" si="153"/>
        <v>73</v>
      </c>
      <c r="BR198" s="65"/>
      <c r="BS198" s="29" t="str">
        <f t="shared" ref="BS198:BS211" si="171">IF(BK196="","",BK196)</f>
        <v/>
      </c>
      <c r="BT198" s="29">
        <f t="shared" si="164"/>
        <v>74</v>
      </c>
      <c r="BU198" s="29">
        <f t="shared" si="165"/>
        <v>563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77</v>
      </c>
      <c r="BM199" s="29">
        <v>679</v>
      </c>
      <c r="BO199" s="29" t="str">
        <f t="shared" si="163"/>
        <v/>
      </c>
      <c r="BP199" s="29">
        <f t="shared" si="152"/>
        <v>69</v>
      </c>
      <c r="BQ199" s="29">
        <f t="shared" si="153"/>
        <v>560</v>
      </c>
      <c r="BR199" s="65"/>
      <c r="BS199" s="29" t="str">
        <f t="shared" si="171"/>
        <v/>
      </c>
      <c r="BT199" s="29">
        <f t="shared" si="164"/>
        <v>73</v>
      </c>
      <c r="BU199" s="29">
        <f t="shared" si="165"/>
        <v>73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72</v>
      </c>
      <c r="BM200" s="29">
        <v>1000</v>
      </c>
      <c r="BO200" s="29" t="str">
        <f t="shared" si="163"/>
        <v/>
      </c>
      <c r="BP200" s="29">
        <f t="shared" si="152"/>
        <v>77</v>
      </c>
      <c r="BQ200" s="29">
        <f t="shared" si="153"/>
        <v>679</v>
      </c>
      <c r="BR200" s="65"/>
      <c r="BS200" s="29" t="str">
        <f t="shared" si="171"/>
        <v/>
      </c>
      <c r="BT200" s="29">
        <f t="shared" si="164"/>
        <v>69</v>
      </c>
      <c r="BU200" s="29">
        <f t="shared" si="165"/>
        <v>560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304</v>
      </c>
      <c r="BM201" s="29">
        <v>682</v>
      </c>
      <c r="BO201" s="29" t="str">
        <f t="shared" si="163"/>
        <v/>
      </c>
      <c r="BP201" s="29">
        <f t="shared" si="152"/>
        <v>72</v>
      </c>
      <c r="BQ201" s="29">
        <f t="shared" si="153"/>
        <v>1000</v>
      </c>
      <c r="BR201" s="65"/>
      <c r="BS201" s="29" t="str">
        <f t="shared" si="171"/>
        <v/>
      </c>
      <c r="BT201" s="29">
        <f t="shared" si="164"/>
        <v>77</v>
      </c>
      <c r="BU201" s="29">
        <f t="shared" si="165"/>
        <v>679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837</v>
      </c>
      <c r="BM202" s="29">
        <v>563</v>
      </c>
      <c r="BO202" s="29" t="str">
        <f t="shared" si="163"/>
        <v/>
      </c>
      <c r="BP202" s="29">
        <f t="shared" si="152"/>
        <v>304</v>
      </c>
      <c r="BQ202" s="29">
        <f t="shared" si="153"/>
        <v>682</v>
      </c>
      <c r="BR202" s="65"/>
      <c r="BS202" s="29" t="str">
        <f t="shared" si="171"/>
        <v/>
      </c>
      <c r="BT202" s="29">
        <f t="shared" si="164"/>
        <v>72</v>
      </c>
      <c r="BU202" s="29">
        <f t="shared" si="165"/>
        <v>1000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1000</v>
      </c>
      <c r="BM203" s="29">
        <v>116</v>
      </c>
      <c r="BO203" s="29" t="str">
        <f t="shared" si="163"/>
        <v/>
      </c>
      <c r="BP203" s="29">
        <f t="shared" si="152"/>
        <v>837</v>
      </c>
      <c r="BQ203" s="29">
        <f t="shared" si="153"/>
        <v>563</v>
      </c>
      <c r="BR203" s="65"/>
      <c r="BS203" s="29" t="str">
        <f t="shared" si="171"/>
        <v/>
      </c>
      <c r="BT203" s="29">
        <f t="shared" si="164"/>
        <v>304</v>
      </c>
      <c r="BU203" s="29">
        <f t="shared" si="165"/>
        <v>682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833</v>
      </c>
      <c r="BM204" s="29">
        <v>108</v>
      </c>
      <c r="BO204" s="29" t="str">
        <f t="shared" si="163"/>
        <v/>
      </c>
      <c r="BP204" s="29">
        <f t="shared" si="152"/>
        <v>1000</v>
      </c>
      <c r="BQ204" s="29">
        <f t="shared" si="153"/>
        <v>116</v>
      </c>
      <c r="BR204" s="65"/>
      <c r="BS204" s="29" t="str">
        <f t="shared" si="171"/>
        <v/>
      </c>
      <c r="BT204" s="29">
        <f t="shared" si="164"/>
        <v>837</v>
      </c>
      <c r="BU204" s="29">
        <f t="shared" si="165"/>
        <v>563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292</v>
      </c>
      <c r="BM205" s="29">
        <v>89</v>
      </c>
      <c r="BO205" s="29" t="str">
        <f t="shared" si="163"/>
        <v/>
      </c>
      <c r="BP205" s="29">
        <f t="shared" si="152"/>
        <v>833</v>
      </c>
      <c r="BQ205" s="29">
        <f t="shared" si="153"/>
        <v>108</v>
      </c>
      <c r="BR205" s="65"/>
      <c r="BS205" s="29" t="str">
        <f t="shared" si="171"/>
        <v/>
      </c>
      <c r="BT205" s="29">
        <f t="shared" si="164"/>
        <v>1000</v>
      </c>
      <c r="BU205" s="29">
        <f t="shared" si="165"/>
        <v>116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70</v>
      </c>
      <c r="BM206" s="29"/>
      <c r="BO206" s="29" t="str">
        <f t="shared" si="163"/>
        <v/>
      </c>
      <c r="BP206" s="29">
        <f t="shared" si="152"/>
        <v>292</v>
      </c>
      <c r="BQ206" s="29">
        <f t="shared" si="153"/>
        <v>89</v>
      </c>
      <c r="BR206" s="65"/>
      <c r="BS206" s="29" t="str">
        <f t="shared" si="171"/>
        <v/>
      </c>
      <c r="BT206" s="29">
        <f t="shared" si="164"/>
        <v>833</v>
      </c>
      <c r="BU206" s="29">
        <f t="shared" si="165"/>
        <v>108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58</v>
      </c>
      <c r="BM207" s="29"/>
      <c r="BO207" s="29" t="str">
        <f t="shared" si="163"/>
        <v/>
      </c>
      <c r="BP207" s="29">
        <f t="shared" si="152"/>
        <v>70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292</v>
      </c>
      <c r="BU207" s="29">
        <f t="shared" si="165"/>
        <v>89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56</v>
      </c>
      <c r="BM208" s="29"/>
      <c r="BO208" s="29" t="str">
        <f t="shared" si="163"/>
        <v/>
      </c>
      <c r="BP208" s="29">
        <f t="shared" si="152"/>
        <v>58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70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64</v>
      </c>
      <c r="BM209" s="29"/>
      <c r="BO209" s="29" t="str">
        <f t="shared" si="163"/>
        <v/>
      </c>
      <c r="BP209" s="29">
        <f t="shared" si="152"/>
        <v>56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58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278</v>
      </c>
      <c r="BM210" s="29"/>
      <c r="BO210" s="29" t="str">
        <f t="shared" si="163"/>
        <v/>
      </c>
      <c r="BP210" s="29">
        <f t="shared" si="152"/>
        <v>64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56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830</v>
      </c>
      <c r="BM211" s="29"/>
      <c r="BO211" s="29" t="str">
        <f t="shared" si="163"/>
        <v/>
      </c>
      <c r="BP211" s="29">
        <f t="shared" si="152"/>
        <v>278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64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2.0803076610343297E-2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1.9543478223116093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4.8341989612465035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0.7571</v>
      </c>
      <c r="K4" s="33"/>
      <c r="L4" s="124">
        <v>2</v>
      </c>
      <c r="M4" s="108">
        <v>0.51686299999999996</v>
      </c>
      <c r="N4" s="170">
        <v>516863</v>
      </c>
      <c r="O4" s="124">
        <v>2</v>
      </c>
      <c r="P4" s="26"/>
      <c r="Q4" s="116">
        <v>3</v>
      </c>
      <c r="R4" s="108">
        <v>0.7</v>
      </c>
      <c r="S4" s="173">
        <v>7000</v>
      </c>
      <c r="T4" s="116">
        <v>4.8341989612465035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0.11075599999999999</v>
      </c>
      <c r="N5" s="170">
        <v>110756</v>
      </c>
      <c r="O5" s="124">
        <v>3</v>
      </c>
      <c r="P5" s="26"/>
      <c r="Q5" s="116">
        <v>4</v>
      </c>
      <c r="R5" s="108">
        <v>0.2</v>
      </c>
      <c r="S5" s="173">
        <v>2000</v>
      </c>
      <c r="T5" s="116">
        <v>4.8341989612465035</v>
      </c>
      <c r="U5" s="1"/>
      <c r="V5" s="116">
        <v>3</v>
      </c>
      <c r="W5" s="122">
        <v>0.79904115061925685</v>
      </c>
      <c r="X5" s="92">
        <v>0.79904115061925685</v>
      </c>
      <c r="Y5" s="92">
        <v>0.79904115061925685</v>
      </c>
      <c r="Z5" s="92">
        <v>0.79904115061925685</v>
      </c>
      <c r="AA5" s="92">
        <v>0.79904115061925685</v>
      </c>
      <c r="AB5" s="92">
        <v>0.79904115061925685</v>
      </c>
      <c r="AC5" s="92">
        <v>0.79904115061925685</v>
      </c>
      <c r="AD5" s="92">
        <v>0.79904115061925685</v>
      </c>
      <c r="AE5" s="92">
        <v>0.79904115061925685</v>
      </c>
      <c r="AF5" s="110">
        <v>0.79904115061925685</v>
      </c>
      <c r="AG5" s="110">
        <v>0.79904115061925685</v>
      </c>
      <c r="AH5" s="174">
        <v>8000</v>
      </c>
      <c r="AI5" s="278">
        <v>8000</v>
      </c>
      <c r="AJ5" s="278">
        <v>8000</v>
      </c>
      <c r="AK5" s="278">
        <v>8000</v>
      </c>
      <c r="AL5" s="278">
        <v>8000</v>
      </c>
      <c r="AM5" s="278">
        <v>8000</v>
      </c>
      <c r="AN5" s="278">
        <v>8000</v>
      </c>
      <c r="AO5" s="278">
        <v>8000</v>
      </c>
      <c r="AP5" s="278">
        <v>8000</v>
      </c>
      <c r="AQ5" s="278">
        <v>8000</v>
      </c>
      <c r="AR5" s="278">
        <v>8000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5.9069999999999998E-2</v>
      </c>
      <c r="N6" s="170">
        <v>59070</v>
      </c>
      <c r="O6" s="124">
        <v>5</v>
      </c>
      <c r="P6" s="26"/>
      <c r="Q6" s="116">
        <v>5</v>
      </c>
      <c r="R6" s="108">
        <v>0.06</v>
      </c>
      <c r="S6" s="173">
        <v>600</v>
      </c>
      <c r="T6" s="116">
        <v>4.8341989612465035</v>
      </c>
      <c r="U6" s="26"/>
      <c r="V6" s="116">
        <v>5</v>
      </c>
      <c r="W6" s="122">
        <v>0.11985617259288853</v>
      </c>
      <c r="X6" s="92">
        <v>0.11985617259288853</v>
      </c>
      <c r="Y6" s="92">
        <v>0.11985617259288853</v>
      </c>
      <c r="Z6" s="92">
        <v>0.11985617259288853</v>
      </c>
      <c r="AA6" s="92">
        <v>0.11985617259288853</v>
      </c>
      <c r="AB6" s="92">
        <v>0.11985617259288853</v>
      </c>
      <c r="AC6" s="92">
        <v>0.11985617259288853</v>
      </c>
      <c r="AD6" s="92">
        <v>0.11985617259288853</v>
      </c>
      <c r="AE6" s="92">
        <v>0.11985617259288853</v>
      </c>
      <c r="AF6" s="110">
        <v>0.11985617259288853</v>
      </c>
      <c r="AG6" s="110">
        <v>0.11985617259288853</v>
      </c>
      <c r="AH6" s="174">
        <v>1200</v>
      </c>
      <c r="AI6" s="278">
        <v>1200</v>
      </c>
      <c r="AJ6" s="278">
        <v>1200</v>
      </c>
      <c r="AK6" s="278">
        <v>1200</v>
      </c>
      <c r="AL6" s="278">
        <v>1200</v>
      </c>
      <c r="AM6" s="278">
        <v>1200</v>
      </c>
      <c r="AN6" s="278">
        <v>1200</v>
      </c>
      <c r="AO6" s="278">
        <v>1200</v>
      </c>
      <c r="AP6" s="278">
        <v>1200</v>
      </c>
      <c r="AQ6" s="281">
        <v>1200</v>
      </c>
      <c r="AR6" s="281">
        <v>1200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2.9534999999999999E-2</v>
      </c>
      <c r="N7" s="170">
        <v>29535</v>
      </c>
      <c r="O7" s="124">
        <v>10</v>
      </c>
      <c r="P7" s="26"/>
      <c r="Q7" s="116">
        <v>6</v>
      </c>
      <c r="R7" s="108">
        <v>0.02</v>
      </c>
      <c r="S7" s="173">
        <v>200</v>
      </c>
      <c r="T7" s="116">
        <v>4.8341989612465035</v>
      </c>
      <c r="U7" s="1"/>
      <c r="V7" s="116">
        <v>10</v>
      </c>
      <c r="W7" s="122">
        <v>4.9940071913703553E-2</v>
      </c>
      <c r="X7" s="92">
        <v>4.9940071913703553E-2</v>
      </c>
      <c r="Y7" s="92">
        <v>4.9940071913703553E-2</v>
      </c>
      <c r="Z7" s="92">
        <v>4.9940071913703553E-2</v>
      </c>
      <c r="AA7" s="92">
        <v>4.9940071913703553E-2</v>
      </c>
      <c r="AB7" s="92">
        <v>4.9940071913703553E-2</v>
      </c>
      <c r="AC7" s="92">
        <v>4.9940071913703553E-2</v>
      </c>
      <c r="AD7" s="92">
        <v>4.9940071913703553E-2</v>
      </c>
      <c r="AE7" s="92">
        <v>4.9940071913703553E-2</v>
      </c>
      <c r="AF7" s="110">
        <v>4.9940071913703553E-2</v>
      </c>
      <c r="AG7" s="110">
        <v>4.9940071913703553E-2</v>
      </c>
      <c r="AH7" s="174">
        <v>500</v>
      </c>
      <c r="AI7" s="278">
        <v>500</v>
      </c>
      <c r="AJ7" s="278">
        <v>500</v>
      </c>
      <c r="AK7" s="278">
        <v>500</v>
      </c>
      <c r="AL7" s="278">
        <v>500</v>
      </c>
      <c r="AM7" s="278">
        <v>500</v>
      </c>
      <c r="AN7" s="278">
        <v>500</v>
      </c>
      <c r="AO7" s="278">
        <v>500</v>
      </c>
      <c r="AP7" s="278">
        <v>500</v>
      </c>
      <c r="AQ7" s="281">
        <v>500</v>
      </c>
      <c r="AR7" s="281">
        <v>500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8.8610000000000008E-3</v>
      </c>
      <c r="N8" s="170">
        <v>8861</v>
      </c>
      <c r="O8" s="124">
        <v>15</v>
      </c>
      <c r="P8" s="26"/>
      <c r="Q8" s="116">
        <v>7</v>
      </c>
      <c r="R8" s="108">
        <v>8.0000000000000002E-3</v>
      </c>
      <c r="S8" s="173">
        <v>80</v>
      </c>
      <c r="T8" s="116">
        <v>4.8341989612465035</v>
      </c>
      <c r="U8" s="1"/>
      <c r="V8" s="116">
        <v>15</v>
      </c>
      <c r="W8" s="122">
        <v>1.4982021574111066E-2</v>
      </c>
      <c r="X8" s="92">
        <v>1.4982021574111066E-2</v>
      </c>
      <c r="Y8" s="92">
        <v>1.4982021574111066E-2</v>
      </c>
      <c r="Z8" s="92">
        <v>1.4982021574111066E-2</v>
      </c>
      <c r="AA8" s="92">
        <v>1.4982021574111066E-2</v>
      </c>
      <c r="AB8" s="92">
        <v>1.4982021574111066E-2</v>
      </c>
      <c r="AC8" s="92">
        <v>1.4982021574111066E-2</v>
      </c>
      <c r="AD8" s="92">
        <v>1.4982021574111066E-2</v>
      </c>
      <c r="AE8" s="92">
        <v>1.4982021574111066E-2</v>
      </c>
      <c r="AF8" s="110">
        <v>1.4982021574111066E-2</v>
      </c>
      <c r="AG8" s="110">
        <v>1.4982021574111066E-2</v>
      </c>
      <c r="AH8" s="174">
        <v>150</v>
      </c>
      <c r="AI8" s="278">
        <v>150</v>
      </c>
      <c r="AJ8" s="278">
        <v>150</v>
      </c>
      <c r="AK8" s="278">
        <v>150</v>
      </c>
      <c r="AL8" s="278">
        <v>150</v>
      </c>
      <c r="AM8" s="278">
        <v>150</v>
      </c>
      <c r="AN8" s="278">
        <v>150</v>
      </c>
      <c r="AO8" s="278">
        <v>150</v>
      </c>
      <c r="AP8" s="278">
        <v>150</v>
      </c>
      <c r="AQ8" s="281">
        <v>150</v>
      </c>
      <c r="AR8" s="281">
        <v>150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5.9069999999999999E-3</v>
      </c>
      <c r="N9" s="170">
        <v>5907</v>
      </c>
      <c r="O9" s="124">
        <v>20</v>
      </c>
      <c r="P9" s="26"/>
      <c r="Q9" s="116">
        <v>8</v>
      </c>
      <c r="R9" s="108">
        <v>5.0000000000000001E-3</v>
      </c>
      <c r="S9" s="173">
        <v>50</v>
      </c>
      <c r="T9" s="116">
        <v>4.8341989612465035</v>
      </c>
      <c r="U9" s="1"/>
      <c r="V9" s="116">
        <v>20</v>
      </c>
      <c r="W9" s="122">
        <v>6.9916100679184977E-3</v>
      </c>
      <c r="X9" s="92">
        <v>6.9916100679184977E-3</v>
      </c>
      <c r="Y9" s="92">
        <v>6.9916100679184977E-3</v>
      </c>
      <c r="Z9" s="92">
        <v>6.9916100679184977E-3</v>
      </c>
      <c r="AA9" s="92">
        <v>6.9916100679184977E-3</v>
      </c>
      <c r="AB9" s="92">
        <v>6.9916100679184977E-3</v>
      </c>
      <c r="AC9" s="92">
        <v>6.9916100679184977E-3</v>
      </c>
      <c r="AD9" s="92">
        <v>6.9916100679184977E-3</v>
      </c>
      <c r="AE9" s="92">
        <v>6.9916100679184977E-3</v>
      </c>
      <c r="AF9" s="110">
        <v>6.9916100679184977E-3</v>
      </c>
      <c r="AG9" s="110">
        <v>6.9916100679184977E-3</v>
      </c>
      <c r="AH9" s="174">
        <v>70</v>
      </c>
      <c r="AI9" s="278">
        <v>70</v>
      </c>
      <c r="AJ9" s="278">
        <v>70</v>
      </c>
      <c r="AK9" s="278">
        <v>70</v>
      </c>
      <c r="AL9" s="278">
        <v>70</v>
      </c>
      <c r="AM9" s="278">
        <v>70</v>
      </c>
      <c r="AN9" s="278">
        <v>70</v>
      </c>
      <c r="AO9" s="278">
        <v>70</v>
      </c>
      <c r="AP9" s="278">
        <v>70</v>
      </c>
      <c r="AQ9" s="281">
        <v>70</v>
      </c>
      <c r="AR9" s="281">
        <v>70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3.692E-3</v>
      </c>
      <c r="N10" s="170">
        <v>3692</v>
      </c>
      <c r="O10" s="124">
        <v>25</v>
      </c>
      <c r="P10" s="26"/>
      <c r="Q10" s="116">
        <v>9</v>
      </c>
      <c r="R10" s="108">
        <v>3.0000000000000001E-3</v>
      </c>
      <c r="S10" s="173">
        <v>30</v>
      </c>
      <c r="T10" s="116">
        <v>4.8341989612465035</v>
      </c>
      <c r="U10" s="1"/>
      <c r="V10" s="116">
        <v>25</v>
      </c>
      <c r="W10" s="122">
        <v>3.9952057530962841E-3</v>
      </c>
      <c r="X10" s="92">
        <v>3.9952057530962841E-3</v>
      </c>
      <c r="Y10" s="92">
        <v>3.9952057530962841E-3</v>
      </c>
      <c r="Z10" s="92">
        <v>3.9952057530962841E-3</v>
      </c>
      <c r="AA10" s="92">
        <v>3.9952057530962841E-3</v>
      </c>
      <c r="AB10" s="92">
        <v>3.9952057530962841E-3</v>
      </c>
      <c r="AC10" s="92">
        <v>3.9952057530962841E-3</v>
      </c>
      <c r="AD10" s="92">
        <v>3.9952057530962841E-3</v>
      </c>
      <c r="AE10" s="92">
        <v>3.9952057530962841E-3</v>
      </c>
      <c r="AF10" s="110">
        <v>3.9952057530962841E-3</v>
      </c>
      <c r="AG10" s="110">
        <v>3.9952057530962841E-3</v>
      </c>
      <c r="AH10" s="174">
        <v>40</v>
      </c>
      <c r="AI10" s="278">
        <v>40</v>
      </c>
      <c r="AJ10" s="278">
        <v>40</v>
      </c>
      <c r="AK10" s="278">
        <v>40</v>
      </c>
      <c r="AL10" s="278">
        <v>40</v>
      </c>
      <c r="AM10" s="278">
        <v>40</v>
      </c>
      <c r="AN10" s="278">
        <v>40</v>
      </c>
      <c r="AO10" s="278">
        <v>40</v>
      </c>
      <c r="AP10" s="278">
        <v>40</v>
      </c>
      <c r="AQ10" s="281">
        <v>40</v>
      </c>
      <c r="AR10" s="281">
        <v>40</v>
      </c>
    </row>
    <row r="11" spans="1:44" ht="16.8" thickBot="1">
      <c r="A11" s="1"/>
      <c r="B11" s="61" t="s">
        <v>53</v>
      </c>
      <c r="C11" s="321">
        <f>PRODUCT('Regular Symbol'!C96:E96)</f>
        <v>24172638580800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2.215E-3</v>
      </c>
      <c r="N11" s="170">
        <v>2215</v>
      </c>
      <c r="O11" s="124">
        <v>50</v>
      </c>
      <c r="P11" s="26"/>
      <c r="Q11" s="116">
        <v>10</v>
      </c>
      <c r="R11" s="108">
        <v>3.0000000000000001E-3</v>
      </c>
      <c r="S11" s="173">
        <v>30</v>
      </c>
      <c r="T11" s="116">
        <v>4.8341989612465035</v>
      </c>
      <c r="U11" s="1"/>
      <c r="V11" s="116">
        <v>50</v>
      </c>
      <c r="W11" s="122">
        <v>2.4970035956851776E-3</v>
      </c>
      <c r="X11" s="92">
        <v>2.4970035956851776E-3</v>
      </c>
      <c r="Y11" s="92">
        <v>2.4970035956851776E-3</v>
      </c>
      <c r="Z11" s="92">
        <v>2.4970035956851776E-3</v>
      </c>
      <c r="AA11" s="92">
        <v>2.4970035956851776E-3</v>
      </c>
      <c r="AB11" s="92">
        <v>2.4970035956851776E-3</v>
      </c>
      <c r="AC11" s="92">
        <v>2.4970035956851776E-3</v>
      </c>
      <c r="AD11" s="92">
        <v>2.4970035956851776E-3</v>
      </c>
      <c r="AE11" s="92">
        <v>2.4970035956851776E-3</v>
      </c>
      <c r="AF11" s="110">
        <v>2.4970035956851776E-3</v>
      </c>
      <c r="AG11" s="110">
        <v>2.4970035956851776E-3</v>
      </c>
      <c r="AH11" s="174">
        <v>25</v>
      </c>
      <c r="AI11" s="278">
        <v>25</v>
      </c>
      <c r="AJ11" s="278">
        <v>25</v>
      </c>
      <c r="AK11" s="278">
        <v>25</v>
      </c>
      <c r="AL11" s="278">
        <v>25</v>
      </c>
      <c r="AM11" s="278">
        <v>25</v>
      </c>
      <c r="AN11" s="278">
        <v>25</v>
      </c>
      <c r="AO11" s="278">
        <v>25</v>
      </c>
      <c r="AP11" s="278">
        <v>25</v>
      </c>
      <c r="AQ11" s="281">
        <v>25</v>
      </c>
      <c r="AR11" s="281">
        <v>25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2.215E-3</v>
      </c>
      <c r="N12" s="170">
        <v>2215</v>
      </c>
      <c r="O12" s="124">
        <v>100</v>
      </c>
      <c r="P12" s="26"/>
      <c r="Q12" s="124">
        <v>20</v>
      </c>
      <c r="R12" s="108">
        <v>8.0000000000000004E-4</v>
      </c>
      <c r="S12" s="170">
        <v>8</v>
      </c>
      <c r="T12" s="124">
        <v>4.8341989612465035</v>
      </c>
      <c r="U12" s="1"/>
      <c r="V12" s="116">
        <v>100</v>
      </c>
      <c r="W12" s="122">
        <v>1.4982021574111066E-3</v>
      </c>
      <c r="X12" s="92">
        <v>1.4982021574111066E-3</v>
      </c>
      <c r="Y12" s="92">
        <v>1.4982021574111066E-3</v>
      </c>
      <c r="Z12" s="92">
        <v>1.4982021574111066E-3</v>
      </c>
      <c r="AA12" s="92">
        <v>1.4982021574111066E-3</v>
      </c>
      <c r="AB12" s="92">
        <v>1.4982021574111066E-3</v>
      </c>
      <c r="AC12" s="92">
        <v>1.4982021574111066E-3</v>
      </c>
      <c r="AD12" s="92">
        <v>1.4982021574111066E-3</v>
      </c>
      <c r="AE12" s="92">
        <v>1.4982021574111066E-3</v>
      </c>
      <c r="AF12" s="110">
        <v>1.4982021574111066E-3</v>
      </c>
      <c r="AG12" s="110">
        <v>1.4982021574111066E-3</v>
      </c>
      <c r="AH12" s="174">
        <v>15</v>
      </c>
      <c r="AI12" s="278">
        <v>15</v>
      </c>
      <c r="AJ12" s="278">
        <v>15</v>
      </c>
      <c r="AK12" s="278">
        <v>15</v>
      </c>
      <c r="AL12" s="278">
        <v>15</v>
      </c>
      <c r="AM12" s="278">
        <v>15</v>
      </c>
      <c r="AN12" s="278">
        <v>15</v>
      </c>
      <c r="AO12" s="278">
        <v>15</v>
      </c>
      <c r="AP12" s="278">
        <v>15</v>
      </c>
      <c r="AQ12" s="281">
        <v>15</v>
      </c>
      <c r="AR12" s="281">
        <v>15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8.8599999999999996E-4</v>
      </c>
      <c r="N13" s="170">
        <v>886</v>
      </c>
      <c r="O13" s="124">
        <v>500</v>
      </c>
      <c r="P13" s="26"/>
      <c r="Q13" s="125">
        <v>50</v>
      </c>
      <c r="R13" s="109">
        <v>2.0000000000000001E-4</v>
      </c>
      <c r="S13" s="171">
        <v>2</v>
      </c>
      <c r="T13" s="125">
        <v>4.8341989612465035</v>
      </c>
      <c r="U13" s="1"/>
      <c r="V13" s="117">
        <v>500</v>
      </c>
      <c r="W13" s="123">
        <v>1.1985617259288853E-3</v>
      </c>
      <c r="X13" s="112">
        <v>1.1985617259288853E-3</v>
      </c>
      <c r="Y13" s="112">
        <v>1.1985617259288853E-3</v>
      </c>
      <c r="Z13" s="112">
        <v>1.1985617259288853E-3</v>
      </c>
      <c r="AA13" s="112">
        <v>1.1985617259288853E-3</v>
      </c>
      <c r="AB13" s="112">
        <v>1.1985617259288853E-3</v>
      </c>
      <c r="AC13" s="112">
        <v>1.1985617259288853E-3</v>
      </c>
      <c r="AD13" s="112">
        <v>1.1985617259288853E-3</v>
      </c>
      <c r="AE13" s="112">
        <v>1.1985617259288853E-3</v>
      </c>
      <c r="AF13" s="113">
        <v>1.1985617259288853E-3</v>
      </c>
      <c r="AG13" s="113">
        <v>1.1985617259288853E-3</v>
      </c>
      <c r="AH13" s="175">
        <v>12</v>
      </c>
      <c r="AI13" s="279">
        <v>12</v>
      </c>
      <c r="AJ13" s="279">
        <v>12</v>
      </c>
      <c r="AK13" s="279">
        <v>12</v>
      </c>
      <c r="AL13" s="279">
        <v>12</v>
      </c>
      <c r="AM13" s="279">
        <v>12</v>
      </c>
      <c r="AN13" s="279">
        <v>12</v>
      </c>
      <c r="AO13" s="279">
        <v>12</v>
      </c>
      <c r="AP13" s="279">
        <v>12</v>
      </c>
      <c r="AQ13" s="282">
        <v>12</v>
      </c>
      <c r="AR13" s="282">
        <v>12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0.26</v>
      </c>
      <c r="N14" s="171">
        <v>260000</v>
      </c>
      <c r="O14" s="130">
        <f>T16</f>
        <v>16.914862165401509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7.4731631630043918</v>
      </c>
      <c r="P15" s="1"/>
      <c r="Q15" s="1"/>
      <c r="R15" s="1"/>
      <c r="S15" s="1" t="s">
        <v>89</v>
      </c>
      <c r="T15" s="1">
        <f>SUMPRODUCT(Q3:Q13, R3:R13)</f>
        <v>3.4989999999999992</v>
      </c>
      <c r="U15" s="1"/>
      <c r="V15" s="1" t="s">
        <v>90</v>
      </c>
      <c r="W15" s="93">
        <f t="shared" ref="W15:AG15" si="3">SUMPRODUCT($V$3:$V$13,_xlfn.ANCHORARRAY(W3))</f>
        <v>4.8341989612465035</v>
      </c>
      <c r="X15" s="93">
        <f t="shared" si="3"/>
        <v>4.8341989612465035</v>
      </c>
      <c r="Y15" s="93">
        <f t="shared" si="3"/>
        <v>4.8341989612465035</v>
      </c>
      <c r="Z15" s="93">
        <f t="shared" si="3"/>
        <v>4.8341989612465035</v>
      </c>
      <c r="AA15" s="93">
        <f t="shared" si="3"/>
        <v>4.8341989612465035</v>
      </c>
      <c r="AB15" s="93">
        <f t="shared" si="3"/>
        <v>4.8341989612465035</v>
      </c>
      <c r="AC15" s="93">
        <f t="shared" si="3"/>
        <v>4.8341989612465035</v>
      </c>
      <c r="AD15" s="93">
        <f t="shared" si="3"/>
        <v>4.8341989612465035</v>
      </c>
      <c r="AE15" s="93">
        <f t="shared" si="3"/>
        <v>4.8341989612465035</v>
      </c>
      <c r="AF15" s="93">
        <f t="shared" si="3"/>
        <v>4.8341989612465035</v>
      </c>
      <c r="AG15" s="93">
        <f t="shared" si="3"/>
        <v>4.8341989612465035</v>
      </c>
      <c r="AH15" s="1" cm="1">
        <f t="array" ref="AH15">AH2*SMALL(_xlfn.UNIQUE($V$3:$V$13*--(AH3:AH13&gt;0)),2)</f>
        <v>6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16.914862165401509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2.0803076610343297E-2</v>
      </c>
      <c r="N21" s="288">
        <f>$O$15</f>
        <v>7.4731631630043918</v>
      </c>
      <c r="O21" s="186" cm="1">
        <f t="array" aca="1" ref="O21:O25" ca="1">M21:M25*N21:N25</f>
        <v>0.1554647858015758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2.0803076610343297E-2</v>
      </c>
      <c r="N22" s="290">
        <f>$O$15+1*$O$15*_xlfn.BINOM.DIST(1,1,$I$4,FALSE)</f>
        <v>13.131094993715017</v>
      </c>
      <c r="O22" s="189">
        <f ca="1"/>
        <v>0.27316717513194883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24172638580800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2.0803076610343297E-2</v>
      </c>
      <c r="N23" s="290">
        <f>$O$15+1*$O$15*_xlfn.BINOM.DIST(1,2,$I$4,FALSE)+2*$O$15*_xlfn.BINOM.DIST(2,2,$I$4,FALSE)</f>
        <v>18.78902682442564</v>
      </c>
      <c r="O23" s="189">
        <f ca="1"/>
        <v>0.39086956446232185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2.0803076610343297E-2</v>
      </c>
      <c r="N24" s="290">
        <f>$O$15+1*$O$15*_xlfn.BINOM.DIST(1,3,$I$4,FALSE)+2*$O$15*_xlfn.BINOM.DIST(2,3,$I$4,FALSE)+3*$O$15*_xlfn.BINOM.DIST(3,3,$I$4,FALSE)</f>
        <v>24.446958655136267</v>
      </c>
      <c r="O24" s="189">
        <f ca="1"/>
        <v>0.50857195379269493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1.7697452944329839E-3</v>
      </c>
      <c r="J25" s="45">
        <f t="shared" ref="J25:J32" ca="1" si="7">F25/C$11</f>
        <v>8.8487264721649195E-2</v>
      </c>
      <c r="K25" s="34"/>
      <c r="L25" s="68" t="s">
        <v>281</v>
      </c>
      <c r="M25" s="291">
        <f t="shared" ca="1" si="4"/>
        <v>2.0803076610343297E-2</v>
      </c>
      <c r="N25" s="292">
        <f>$O$15+1*$O$15*_xlfn.BINOM.DIST(1,4,$I$4,FALSE)+2*$O$15*_xlfn.BINOM.DIST(2,4,$I$4,FALSE)+3*$O$15*_xlfn.BINOM.DIST(3,4,$I$4,FALSE)+4*$O$15*_xlfn.BINOM.DIST(4,4,$I$4,FALSE)</f>
        <v>30.104890485846891</v>
      </c>
      <c r="O25" s="192">
        <f ca="1"/>
        <v>0.62627434312306796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5.0708241702566894E-4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4.9122856939546472E-4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4.1327850708318398E-4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5.9179925048788613E-4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4.3449953801925418E-4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2.608964937824046E-4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1.277656767721626E-4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24172638580800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1.2683038797043627E-3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3.9181425765720231E-4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4.6227883081310597E-4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3.5037593682136207E-4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6.1187780133477255E-4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2.5097136884594181E-4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2.7188436512827274E-4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1.2100763019332723E-4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24172638580800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1.5897892116669445E-3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4.4006522792035008E-4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4.254702345827083E-4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4.214899797010579E-4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4.4601558071113924E-4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4.1539313205658687E-4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3.2262499720251477E-4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1.3555933162657467E-4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24172638580800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1.6009115515050764E-3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5.4562219783734931E-4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4.9242517696709224E-4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3.68946649114945E-4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7.2177825249553605E-4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4.1430491761558274E-4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1.8911920635917209E-4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1.2208794573792572E-4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5.2007691525858254E-2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39.79627509002222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24172638580800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3.1713312998974618E-3</v>
      </c>
      <c r="J13" s="45">
        <f t="shared" ref="J13:J20" si="2">F13/C$11</f>
        <v>6.3426625997949238E-2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1.1505230204769637E-3</v>
      </c>
      <c r="J14" s="50">
        <f t="shared" si="2"/>
        <v>2.8763075511924092E-2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1.0167900934067815E-3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8.8959611178467883E-4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1.3122227842034043E-3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1.279898657708226E-3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4.9725099319141851E-4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2.4904503869452072E-4</v>
      </c>
      <c r="J20" s="55">
        <f t="shared" si="2"/>
        <v>6.2261259673630179E-2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5.2007691525858254E-2</v>
      </c>
      <c r="N21" s="288">
        <f>$O$15</f>
        <v>108.57529814106596</v>
      </c>
      <c r="O21" s="186" cm="1">
        <f t="array" aca="1" ref="O21:O25" ca="1">M21:M25*N21:N25</f>
        <v>5.6467506130486491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5.2007691525858254E-2</v>
      </c>
      <c r="N22" s="290">
        <f>$O$15+1*$O$15*_xlfn.BINOM.DIST(1,1,$I$4,FALSE)</f>
        <v>130.80762894742386</v>
      </c>
      <c r="O22" s="189">
        <f ca="1"/>
        <v>6.803002815526547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24172638580800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5.2007691525858254E-2</v>
      </c>
      <c r="N23" s="290">
        <f>$O$15+1*$O$15*_xlfn.BINOM.DIST(1,2,$I$4,FALSE)+2*$O$15*_xlfn.BINOM.DIST(2,2,$I$4,FALSE)</f>
        <v>153.03995975378177</v>
      </c>
      <c r="O23" s="189">
        <f ca="1"/>
        <v>7.9592550180044448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5.2007691525858254E-2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9.1155072204823444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4.4243632360824597E-3</v>
      </c>
      <c r="J25" s="45">
        <f t="shared" ref="J25:J32" ca="1" si="7">F25/C$11</f>
        <v>8.8487264721649195E-2</v>
      </c>
      <c r="K25" s="34"/>
      <c r="L25" s="68" t="s">
        <v>281</v>
      </c>
      <c r="M25" s="291">
        <f t="shared" ca="1" si="4"/>
        <v>5.2007691525858254E-2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10.27175942296024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1.2677060425641722E-3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1.2280714234886617E-3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1.0331962677079599E-3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1.4794981262197153E-3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1.0862488450481354E-3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6.5224123445601148E-4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3.1941419193040653E-4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24172638580800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3.1707596992609065E-3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9.7953564414300577E-4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1.155697077032765E-3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8.7593984205340525E-4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1.5296945033369314E-3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6.2742842211485443E-4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6.7971091282068182E-4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3.0251907548331806E-4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24172638580800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3.9744730291673613E-3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1.1001630698008753E-3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1.0636755864567708E-3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1.0537249492526448E-3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1.115038951777848E-3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1.0384828301414671E-3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8.0656249300628687E-4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3.3889832906643666E-4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24172638580800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4.0022788787626908E-3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1.3640554945933733E-3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1.2310629424177304E-3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9.2236662278736257E-4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1.8044456312388401E-3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1.0357622940389568E-3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4.7279801589793024E-4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3.0521986434481433E-4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5.2007691525858254E-2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67.618112017258511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24172638580800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3.1713312998974618E-3</v>
      </c>
      <c r="J13" s="45">
        <f t="shared" ref="J13:J20" si="2">F13/C$11</f>
        <v>6.3426625997949238E-2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1.1505230204769637E-3</v>
      </c>
      <c r="J14" s="50">
        <f t="shared" si="2"/>
        <v>2.8763075511924092E-2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1.0167900934067815E-3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8.8959611178467883E-4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1.3122227842034043E-3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1.279898657708226E-3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4.9725099319141851E-4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2.4904503869452072E-4</v>
      </c>
      <c r="J20" s="55">
        <f t="shared" si="2"/>
        <v>6.2261259673630179E-2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5.2007691525858254E-2</v>
      </c>
      <c r="N21" s="288">
        <f>$O$15</f>
        <v>184.48100118421755</v>
      </c>
      <c r="O21" s="186" cm="1">
        <f t="array" aca="1" ref="O21:O25" ca="1">M21:M25*N21:N25</f>
        <v>9.5944310019702783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5.2007691525858254E-2</v>
      </c>
      <c r="N22" s="290">
        <f>$O$15+1*$O$15*_xlfn.BINOM.DIST(1,1,$I$4,FALSE)</f>
        <v>222.25610027247288</v>
      </c>
      <c r="O22" s="189">
        <f ca="1"/>
        <v>11.559026702710991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24172638580800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5.2007691525858254E-2</v>
      </c>
      <c r="N23" s="290">
        <f>$O$15+1*$O$15*_xlfn.BINOM.DIST(1,2,$I$4,FALSE)+2*$O$15*_xlfn.BINOM.DIST(2,2,$I$4,FALSE)</f>
        <v>260.03119936072818</v>
      </c>
      <c r="O23" s="189">
        <f ca="1"/>
        <v>13.523622403451702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5.2007691525858254E-2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15.488218104192416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4.4243632360824597E-3</v>
      </c>
      <c r="J25" s="45">
        <f t="shared" ref="J25:J32" ca="1" si="7">F25/C$11</f>
        <v>8.8487264721649195E-2</v>
      </c>
      <c r="K25" s="34"/>
      <c r="L25" s="68" t="s">
        <v>281</v>
      </c>
      <c r="M25" s="291">
        <f t="shared" ca="1" si="4"/>
        <v>5.2007691525858254E-2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17.452813804933125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1.2677060425641722E-3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1.2280714234886617E-3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1.0331962677079599E-3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1.4794981262197153E-3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1.0862488450481354E-3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6.5224123445601148E-4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3.1941419193040653E-4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24172638580800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3.1707596992609065E-3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9.7953564414300577E-4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1.155697077032765E-3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8.7593984205340525E-4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1.5296945033369314E-3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6.2742842211485443E-4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6.7971091282068182E-4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3.0251907548331806E-4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24172638580800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3.9744730291673613E-3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1.1001630698008753E-3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1.0636755864567708E-3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1.0537249492526448E-3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1.115038951777848E-3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1.0384828301414671E-3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8.0656249300628687E-4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3.3889832906643666E-4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24172638580800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4.0022788787626908E-3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1.3640554945933733E-3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1.2310629424177304E-3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9.2236662278736257E-4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1.8044456312388401E-3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1.0357622940389568E-3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4.7279801589793024E-4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3.0521986434481433E-4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9.8049566018522744E-2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9.0474696483228261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24172638580800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24172638580800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34416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38700</v>
      </c>
      <c r="F25" s="43">
        <f ca="1">C25*D25*E25</f>
        <v>9270018432000</v>
      </c>
      <c r="G25" s="44">
        <f t="shared" ref="G25:G32" ca="1" si="4">C$11/F25</f>
        <v>2.6076149425287358</v>
      </c>
      <c r="H25" s="43" cm="1">
        <f t="array" ref="H25:H32">_xlfn.ANCHORARRAY(H13)</f>
        <v>5</v>
      </c>
      <c r="I25" s="45">
        <f t="shared" ref="I25:I32" ca="1" si="5">J25*H25/$C$1</f>
        <v>7.6698440685437222E-3</v>
      </c>
      <c r="J25" s="45">
        <f t="shared" ref="J25:J32" ca="1" si="6">F25/C$11</f>
        <v>0.3834922034271861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34416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38700</v>
      </c>
      <c r="F26" s="48">
        <f ca="1">C26*D26*E26-F25</f>
        <v>1153424707200</v>
      </c>
      <c r="G26" s="49">
        <f t="shared" ca="1" si="4"/>
        <v>20.957274826789838</v>
      </c>
      <c r="H26" s="48">
        <v>4</v>
      </c>
      <c r="I26" s="50">
        <f t="shared" ca="1" si="5"/>
        <v>7.6345804176538657E-4</v>
      </c>
      <c r="J26" s="50">
        <f t="shared" ca="1" si="6"/>
        <v>4.771612761033666E-2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34416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38700</v>
      </c>
      <c r="F27" s="48">
        <f ca="1">C27*D27*E27-F25</f>
        <v>1318580208000</v>
      </c>
      <c r="G27" s="49">
        <f t="shared" ca="1" si="4"/>
        <v>18.332323232323233</v>
      </c>
      <c r="H27" s="48">
        <v>3</v>
      </c>
      <c r="I27" s="50">
        <f t="shared" ca="1" si="5"/>
        <v>6.5458151964295551E-4</v>
      </c>
      <c r="J27" s="50">
        <f t="shared" ca="1" si="6"/>
        <v>5.4548459970246294E-2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34416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38700</v>
      </c>
      <c r="F28" s="48">
        <f ca="1">C28*D28*E28-F25</f>
        <v>1434455438400</v>
      </c>
      <c r="G28" s="49">
        <f t="shared" ca="1" si="4"/>
        <v>16.851439182915506</v>
      </c>
      <c r="H28" s="48">
        <v>2.4</v>
      </c>
      <c r="I28" s="50">
        <f t="shared" ca="1" si="5"/>
        <v>5.6968428012562668E-4</v>
      </c>
      <c r="J28" s="50">
        <f t="shared" ca="1" si="6"/>
        <v>5.9342112513086118E-2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34416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38700</v>
      </c>
      <c r="F29" s="48">
        <f ca="1">C29*D29*E29-F25</f>
        <v>2992777502400</v>
      </c>
      <c r="G29" s="49">
        <f t="shared" ca="1" si="4"/>
        <v>8.0769915442812632</v>
      </c>
      <c r="H29" s="48">
        <v>2</v>
      </c>
      <c r="I29" s="50">
        <f t="shared" ca="1" si="5"/>
        <v>9.9046779436883577E-4</v>
      </c>
      <c r="J29" s="50">
        <f t="shared" ca="1" si="6"/>
        <v>0.12380847429610446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34416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38700</v>
      </c>
      <c r="F30" s="48">
        <f ca="1">C30*D30*E30-F25</f>
        <v>2581220649600</v>
      </c>
      <c r="G30" s="49">
        <f t="shared" ca="1" si="4"/>
        <v>9.3648090815273477</v>
      </c>
      <c r="H30" s="48">
        <v>1.6</v>
      </c>
      <c r="I30" s="50">
        <f t="shared" ca="1" si="5"/>
        <v>6.8340955424541308E-4</v>
      </c>
      <c r="J30" s="50">
        <f t="shared" ca="1" si="6"/>
        <v>0.10678274285084578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34416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38700</v>
      </c>
      <c r="F31" s="48">
        <f ca="1">C31*D31*E31-F25</f>
        <v>2386763366400</v>
      </c>
      <c r="G31" s="49">
        <f t="shared" ca="1" si="4"/>
        <v>10.127790178571429</v>
      </c>
      <c r="H31" s="48">
        <v>1</v>
      </c>
      <c r="I31" s="50">
        <f t="shared" ca="1" si="5"/>
        <v>3.9495288996638933E-4</v>
      </c>
      <c r="J31" s="50">
        <f t="shared" ca="1" si="6"/>
        <v>9.8738222491597333E-2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34416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38700</v>
      </c>
      <c r="F32" s="53">
        <f ca="1">C32*D32*E32-F25</f>
        <v>3035398276800</v>
      </c>
      <c r="G32" s="54">
        <f t="shared" ca="1" si="4"/>
        <v>7.9635805177709518</v>
      </c>
      <c r="H32" s="53">
        <v>0.4</v>
      </c>
      <c r="I32" s="55">
        <f t="shared" ca="1" si="5"/>
        <v>2.0091465094495566E-4</v>
      </c>
      <c r="J32" s="55">
        <f t="shared" ca="1" si="6"/>
        <v>0.12557165684059729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24172638580800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15616</v>
      </c>
      <c r="F37" s="43">
        <f ca="1">C37*D37*E37</f>
        <v>1532912564736</v>
      </c>
      <c r="G37" s="44">
        <f t="shared" ref="G37:G44" ca="1" si="7">C$11/F37</f>
        <v>15.769091556088224</v>
      </c>
      <c r="H37" s="43" cm="1">
        <f t="array" ref="H37:H44">_xlfn.ANCHORARRAY(H25)</f>
        <v>5</v>
      </c>
      <c r="I37" s="45">
        <f t="shared" ref="I37:I44" ca="1" si="8">J37*H37/$C$1</f>
        <v>1.2683038797043627E-3</v>
      </c>
      <c r="J37" s="45">
        <f t="shared" ref="J37:J44" ca="1" si="9">F37/C$11</f>
        <v>6.3415193985218138E-2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17353</v>
      </c>
      <c r="F38" s="48">
        <f ca="1">C38*D38*E38-F37</f>
        <v>591949027572</v>
      </c>
      <c r="G38" s="49">
        <f t="shared" ca="1" si="7"/>
        <v>40.835675801257786</v>
      </c>
      <c r="H38" s="48">
        <v>4</v>
      </c>
      <c r="I38" s="50">
        <f t="shared" ca="1" si="8"/>
        <v>3.9181425765720231E-4</v>
      </c>
      <c r="J38" s="50">
        <f t="shared" ca="1" si="9"/>
        <v>2.4488391103575143E-2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17752</v>
      </c>
      <c r="F39" s="48">
        <f ca="1">C39*D39*E39-F37</f>
        <v>931208258400</v>
      </c>
      <c r="G39" s="49">
        <f t="shared" ca="1" si="7"/>
        <v>25.958359328055547</v>
      </c>
      <c r="H39" s="48">
        <v>3</v>
      </c>
      <c r="I39" s="50">
        <f t="shared" ca="1" si="8"/>
        <v>4.6227883081310597E-4</v>
      </c>
      <c r="J39" s="50">
        <f t="shared" ca="1" si="9"/>
        <v>3.8523235901092162E-2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18889</v>
      </c>
      <c r="F40" s="48">
        <f ca="1">C40*D40*E40-F37</f>
        <v>882240717520</v>
      </c>
      <c r="G40" s="49">
        <f t="shared" ca="1" si="7"/>
        <v>27.399141867709158</v>
      </c>
      <c r="H40" s="48">
        <v>2.4</v>
      </c>
      <c r="I40" s="50">
        <f t="shared" ca="1" si="8"/>
        <v>3.5037593682136207E-4</v>
      </c>
      <c r="J40" s="50">
        <f t="shared" ca="1" si="9"/>
        <v>3.6497493418891885E-2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18923</v>
      </c>
      <c r="F41" s="48">
        <f ca="1">C41*D41*E41-F37</f>
        <v>1848837618410</v>
      </c>
      <c r="G41" s="49">
        <f t="shared" ca="1" si="7"/>
        <v>13.074506024811667</v>
      </c>
      <c r="H41" s="48">
        <v>2</v>
      </c>
      <c r="I41" s="50">
        <f t="shared" ca="1" si="8"/>
        <v>6.1187780133477255E-4</v>
      </c>
      <c r="J41" s="50">
        <f t="shared" ca="1" si="9"/>
        <v>7.6484725166846568E-2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18130</v>
      </c>
      <c r="F42" s="48">
        <f ca="1">C42*D42*E42-F37</f>
        <v>947912530194</v>
      </c>
      <c r="G42" s="49">
        <f t="shared" ca="1" si="7"/>
        <v>25.500916815450072</v>
      </c>
      <c r="H42" s="48">
        <v>1.6</v>
      </c>
      <c r="I42" s="50">
        <f t="shared" ca="1" si="8"/>
        <v>2.5097136884594181E-4</v>
      </c>
      <c r="J42" s="50">
        <f t="shared" ca="1" si="9"/>
        <v>3.9214276382178406E-2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20153</v>
      </c>
      <c r="F43" s="48">
        <f ca="1">C43*D43*E43-F37</f>
        <v>1643040623504</v>
      </c>
      <c r="G43" s="49">
        <f t="shared" ca="1" si="7"/>
        <v>14.712136897290264</v>
      </c>
      <c r="H43" s="48">
        <v>1</v>
      </c>
      <c r="I43" s="50">
        <f t="shared" ca="1" si="8"/>
        <v>2.7188436512827274E-4</v>
      </c>
      <c r="J43" s="50">
        <f t="shared" ca="1" si="9"/>
        <v>6.7971091282068186E-2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21196</v>
      </c>
      <c r="F44" s="53">
        <f ca="1">C44*D44*E44-F37</f>
        <v>1828171068864</v>
      </c>
      <c r="G44" s="54">
        <f t="shared" ca="1" si="7"/>
        <v>13.222306704492672</v>
      </c>
      <c r="H44" s="53">
        <v>0.4</v>
      </c>
      <c r="I44" s="55">
        <f t="shared" ca="1" si="8"/>
        <v>1.2100763019332723E-4</v>
      </c>
      <c r="J44" s="55">
        <f t="shared" ca="1" si="9"/>
        <v>7.5629768870829506E-2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24172638580800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34416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15616</v>
      </c>
      <c r="F49" s="43">
        <f ca="1">C49*D49*E49</f>
        <v>3546568249344</v>
      </c>
      <c r="G49" s="44">
        <f t="shared" ref="G49:G56" ca="1" si="10">C$11/F49</f>
        <v>6.8157827176372976</v>
      </c>
      <c r="H49" s="43" cm="1">
        <f t="array" ref="H49:H56">_xlfn.ANCHORARRAY(H37)</f>
        <v>5</v>
      </c>
      <c r="I49" s="45">
        <f t="shared" ref="I49:I56" ca="1" si="11">J49*H49/$C$1</f>
        <v>2.9343658430081281E-3</v>
      </c>
      <c r="J49" s="45">
        <f t="shared" ref="J49:J56" ca="1" si="12">F49/C$11</f>
        <v>0.14671829215040641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34416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17353</v>
      </c>
      <c r="F50" s="48">
        <f ca="1">C50*D50*E50-F49</f>
        <v>914671485216</v>
      </c>
      <c r="G50" s="49">
        <f t="shared" ca="1" si="10"/>
        <v>26.427672636030216</v>
      </c>
      <c r="H50" s="48">
        <v>4</v>
      </c>
      <c r="I50" s="50">
        <f t="shared" ca="1" si="11"/>
        <v>6.0542599495448462E-4</v>
      </c>
      <c r="J50" s="50">
        <f t="shared" ca="1" si="12"/>
        <v>3.7839124684655286E-2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34416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17752</v>
      </c>
      <c r="F51" s="48">
        <f ca="1">C51*D51*E51-F49</f>
        <v>1077733736064</v>
      </c>
      <c r="G51" s="49">
        <f t="shared" ca="1" si="10"/>
        <v>22.429137895488999</v>
      </c>
      <c r="H51" s="48">
        <v>3</v>
      </c>
      <c r="I51" s="50">
        <f t="shared" ca="1" si="11"/>
        <v>5.350183344502719E-4</v>
      </c>
      <c r="J51" s="50">
        <f t="shared" ca="1" si="12"/>
        <v>4.4584861204189322E-2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34416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18889</v>
      </c>
      <c r="F52" s="48">
        <f ca="1">C52*D52*E52-F49</f>
        <v>1443475183680</v>
      </c>
      <c r="G52" s="49">
        <f t="shared" ca="1" si="10"/>
        <v>16.746140740136731</v>
      </c>
      <c r="H52" s="48">
        <v>2.4</v>
      </c>
      <c r="I52" s="50">
        <f t="shared" ca="1" si="11"/>
        <v>5.7326641098811258E-4</v>
      </c>
      <c r="J52" s="50">
        <f t="shared" ca="1" si="12"/>
        <v>5.9715251144595062E-2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34416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18923</v>
      </c>
      <c r="F53" s="48">
        <f ca="1">C53*D53*E53-F49</f>
        <v>1636110828000</v>
      </c>
      <c r="G53" s="49">
        <f t="shared" ca="1" si="10"/>
        <v>14.774450585568767</v>
      </c>
      <c r="H53" s="48">
        <v>2</v>
      </c>
      <c r="I53" s="50">
        <f t="shared" ca="1" si="11"/>
        <v>5.4147529572532176E-4</v>
      </c>
      <c r="J53" s="50">
        <f t="shared" ca="1" si="12"/>
        <v>6.7684411965665214E-2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34416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18130</v>
      </c>
      <c r="F54" s="48">
        <f ca="1">C54*D54*E54-F49</f>
        <v>2100288574656</v>
      </c>
      <c r="G54" s="49">
        <f t="shared" ca="1" si="10"/>
        <v>11.509198722732263</v>
      </c>
      <c r="H54" s="48">
        <v>1.6</v>
      </c>
      <c r="I54" s="50">
        <f t="shared" ca="1" si="11"/>
        <v>5.5607693934062608E-4</v>
      </c>
      <c r="J54" s="50">
        <f t="shared" ca="1" si="12"/>
        <v>8.6887021771972828E-2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34416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20153</v>
      </c>
      <c r="F55" s="48">
        <f ca="1">C55*D55*E55-F49</f>
        <v>2681137284048</v>
      </c>
      <c r="G55" s="49">
        <f t="shared" ca="1" si="10"/>
        <v>9.0158153126362777</v>
      </c>
      <c r="H55" s="48">
        <v>1</v>
      </c>
      <c r="I55" s="50">
        <f t="shared" ca="1" si="11"/>
        <v>4.4366481136694631E-4</v>
      </c>
      <c r="J55" s="50">
        <f t="shared" ca="1" si="12"/>
        <v>0.11091620284173657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34416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21196</v>
      </c>
      <c r="F56" s="53">
        <f ca="1">C56*D56*E56-F49</f>
        <v>3048674317632</v>
      </c>
      <c r="G56" s="54">
        <f t="shared" ca="1" si="10"/>
        <v>7.9289015691173068</v>
      </c>
      <c r="H56" s="53">
        <v>0.4</v>
      </c>
      <c r="I56" s="55">
        <f t="shared" ca="1" si="11"/>
        <v>2.0179339925620009E-4</v>
      </c>
      <c r="J56" s="55">
        <f t="shared" ca="1" si="12"/>
        <v>0.12612087453512505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24172638580800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34416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15673</v>
      </c>
      <c r="F61" s="43">
        <f ca="1">C61*D61*E61</f>
        <v>3571380430128</v>
      </c>
      <c r="G61" s="44">
        <f t="shared" ref="G61:G68" ca="1" si="13">C$11/F61</f>
        <v>6.768430038110961</v>
      </c>
      <c r="H61" s="43" cm="1">
        <f t="array" ref="H61:H68">_xlfn.ANCHORARRAY(H49)</f>
        <v>5</v>
      </c>
      <c r="I61" s="45">
        <f t="shared" ref="I61:I68" ca="1" si="14">J61*H61/$C$1</f>
        <v>2.9548949885551171E-3</v>
      </c>
      <c r="J61" s="45">
        <f t="shared" ref="J61:J68" ca="1" si="15">F61/C$11</f>
        <v>0.14774474942775587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34416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18373</v>
      </c>
      <c r="F62" s="48">
        <f ca="1">C62*D62*E62-F61</f>
        <v>1188131109408</v>
      </c>
      <c r="G62" s="49">
        <f t="shared" ca="1" si="13"/>
        <v>20.345093558609282</v>
      </c>
      <c r="H62" s="48">
        <v>4</v>
      </c>
      <c r="I62" s="50">
        <f t="shared" ca="1" si="14"/>
        <v>7.8643039678868423E-4</v>
      </c>
      <c r="J62" s="50">
        <f t="shared" ca="1" si="15"/>
        <v>4.9151899799292763E-2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34416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18774</v>
      </c>
      <c r="F63" s="48">
        <f ca="1">C63*D63*E63-F61</f>
        <v>1299763363248</v>
      </c>
      <c r="G63" s="49">
        <f t="shared" ca="1" si="13"/>
        <v>18.597722681146049</v>
      </c>
      <c r="H63" s="48">
        <v>3</v>
      </c>
      <c r="I63" s="50">
        <f t="shared" ca="1" si="14"/>
        <v>6.4524029128390698E-4</v>
      </c>
      <c r="J63" s="50">
        <f t="shared" ca="1" si="15"/>
        <v>5.3770024273658915E-2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34416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18061</v>
      </c>
      <c r="F64" s="48">
        <f ca="1">C64*D64*E64-F61</f>
        <v>1219815064080</v>
      </c>
      <c r="G64" s="49">
        <f t="shared" ca="1" si="13"/>
        <v>19.816642122739573</v>
      </c>
      <c r="H64" s="48">
        <v>2.4</v>
      </c>
      <c r="I64" s="50">
        <f t="shared" ca="1" si="14"/>
        <v>4.8444130648067824E-4</v>
      </c>
      <c r="J64" s="50">
        <f t="shared" ca="1" si="15"/>
        <v>5.0462636091737317E-2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34416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18925</v>
      </c>
      <c r="F65" s="48">
        <f ca="1">C65*D65*E65-F61</f>
        <v>2953571380272</v>
      </c>
      <c r="G65" s="49">
        <f t="shared" ca="1" si="13"/>
        <v>8.1842066666334965</v>
      </c>
      <c r="H65" s="48">
        <v>2</v>
      </c>
      <c r="I65" s="50">
        <f t="shared" ca="1" si="14"/>
        <v>9.7749242240124565E-4</v>
      </c>
      <c r="J65" s="50">
        <f t="shared" ca="1" si="15"/>
        <v>0.1221865528001557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34416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20303</v>
      </c>
      <c r="F66" s="48">
        <f ca="1">C66*D66*E66-F61</f>
        <v>2090575002816</v>
      </c>
      <c r="G66" s="49">
        <f t="shared" ca="1" si="13"/>
        <v>11.562674646085172</v>
      </c>
      <c r="H66" s="48">
        <v>1.6</v>
      </c>
      <c r="I66" s="50">
        <f t="shared" ca="1" si="14"/>
        <v>5.535051530803799E-4</v>
      </c>
      <c r="J66" s="50">
        <f t="shared" ca="1" si="15"/>
        <v>8.648518016880935E-2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34416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18074</v>
      </c>
      <c r="F67" s="48">
        <f ca="1">C67*D67*E67-F61</f>
        <v>1380016450512</v>
      </c>
      <c r="G67" s="49">
        <f t="shared" ca="1" si="13"/>
        <v>17.51619596406384</v>
      </c>
      <c r="H67" s="48">
        <v>1</v>
      </c>
      <c r="I67" s="50">
        <f t="shared" ca="1" si="14"/>
        <v>2.2836008504394358E-4</v>
      </c>
      <c r="J67" s="50">
        <f t="shared" ca="1" si="15"/>
        <v>5.7090021260985897E-2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34416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20228</v>
      </c>
      <c r="F68" s="53">
        <f ca="1">C68*D68*E68-F61</f>
        <v>2708044538832</v>
      </c>
      <c r="G68" s="54">
        <f t="shared" ca="1" si="13"/>
        <v>8.9262337580407163</v>
      </c>
      <c r="H68" s="53">
        <v>0.4</v>
      </c>
      <c r="I68" s="55">
        <f t="shared" ca="1" si="14"/>
        <v>1.7924693026986061E-4</v>
      </c>
      <c r="J68" s="55">
        <f t="shared" ca="1" si="15"/>
        <v>0.11202933141866288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0.32683188672840918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12.080111015948894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24172638580800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24172638580800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34416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38700</v>
      </c>
      <c r="F25" s="43">
        <f ca="1">C25*D25*E25</f>
        <v>9270018432000</v>
      </c>
      <c r="G25" s="44">
        <f t="shared" ref="G25:G32" ca="1" si="4">C$11/F25</f>
        <v>2.6076149425287358</v>
      </c>
      <c r="H25" s="43" cm="1">
        <f t="array" ref="H25:H32">_xlfn.ANCHORARRAY(H13)</f>
        <v>5</v>
      </c>
      <c r="I25" s="45">
        <f t="shared" ref="I25:I32" ca="1" si="5">J25*H25/$C$1</f>
        <v>7.6698440685437222E-3</v>
      </c>
      <c r="J25" s="45">
        <f t="shared" ref="J25:J32" ca="1" si="6">F25/C$11</f>
        <v>0.3834922034271861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34416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38700</v>
      </c>
      <c r="F26" s="48">
        <f ca="1">C26*D26*E26-F25</f>
        <v>1153424707200</v>
      </c>
      <c r="G26" s="49">
        <f t="shared" ca="1" si="4"/>
        <v>20.957274826789838</v>
      </c>
      <c r="H26" s="48">
        <v>4</v>
      </c>
      <c r="I26" s="50">
        <f t="shared" ca="1" si="5"/>
        <v>7.6345804176538657E-4</v>
      </c>
      <c r="J26" s="50">
        <f t="shared" ca="1" si="6"/>
        <v>4.771612761033666E-2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34416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38700</v>
      </c>
      <c r="F27" s="48">
        <f ca="1">C27*D27*E27-F25</f>
        <v>1318580208000</v>
      </c>
      <c r="G27" s="49">
        <f t="shared" ca="1" si="4"/>
        <v>18.332323232323233</v>
      </c>
      <c r="H27" s="48">
        <v>3</v>
      </c>
      <c r="I27" s="50">
        <f t="shared" ca="1" si="5"/>
        <v>6.5458151964295551E-4</v>
      </c>
      <c r="J27" s="50">
        <f t="shared" ca="1" si="6"/>
        <v>5.4548459970246294E-2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34416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38700</v>
      </c>
      <c r="F28" s="48">
        <f ca="1">C28*D28*E28-F25</f>
        <v>1434455438400</v>
      </c>
      <c r="G28" s="49">
        <f t="shared" ca="1" si="4"/>
        <v>16.851439182915506</v>
      </c>
      <c r="H28" s="48">
        <v>2.4</v>
      </c>
      <c r="I28" s="50">
        <f t="shared" ca="1" si="5"/>
        <v>5.6968428012562668E-4</v>
      </c>
      <c r="J28" s="50">
        <f t="shared" ca="1" si="6"/>
        <v>5.9342112513086118E-2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34416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38700</v>
      </c>
      <c r="F29" s="48">
        <f ca="1">C29*D29*E29-F25</f>
        <v>2992777502400</v>
      </c>
      <c r="G29" s="49">
        <f t="shared" ca="1" si="4"/>
        <v>8.0769915442812632</v>
      </c>
      <c r="H29" s="48">
        <v>2</v>
      </c>
      <c r="I29" s="50">
        <f t="shared" ca="1" si="5"/>
        <v>9.9046779436883577E-4</v>
      </c>
      <c r="J29" s="50">
        <f t="shared" ca="1" si="6"/>
        <v>0.12380847429610446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34416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38700</v>
      </c>
      <c r="F30" s="48">
        <f ca="1">C30*D30*E30-F25</f>
        <v>2581220649600</v>
      </c>
      <c r="G30" s="49">
        <f t="shared" ca="1" si="4"/>
        <v>9.3648090815273477</v>
      </c>
      <c r="H30" s="48">
        <v>1.6</v>
      </c>
      <c r="I30" s="50">
        <f t="shared" ca="1" si="5"/>
        <v>6.8340955424541308E-4</v>
      </c>
      <c r="J30" s="50">
        <f t="shared" ca="1" si="6"/>
        <v>0.10678274285084578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34416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38700</v>
      </c>
      <c r="F31" s="48">
        <f ca="1">C31*D31*E31-F25</f>
        <v>2386763366400</v>
      </c>
      <c r="G31" s="49">
        <f t="shared" ca="1" si="4"/>
        <v>10.127790178571429</v>
      </c>
      <c r="H31" s="48">
        <v>1</v>
      </c>
      <c r="I31" s="50">
        <f t="shared" ca="1" si="5"/>
        <v>3.9495288996638933E-4</v>
      </c>
      <c r="J31" s="50">
        <f t="shared" ca="1" si="6"/>
        <v>9.8738222491597333E-2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34416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38700</v>
      </c>
      <c r="F32" s="53">
        <f ca="1">C32*D32*E32-F25</f>
        <v>3035398276800</v>
      </c>
      <c r="G32" s="54">
        <f t="shared" ca="1" si="4"/>
        <v>7.9635805177709518</v>
      </c>
      <c r="H32" s="53">
        <v>0.4</v>
      </c>
      <c r="I32" s="55">
        <f t="shared" ca="1" si="5"/>
        <v>2.0091465094495566E-4</v>
      </c>
      <c r="J32" s="55">
        <f t="shared" ca="1" si="6"/>
        <v>0.12557165684059729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24172638580800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15616</v>
      </c>
      <c r="F37" s="43">
        <f ca="1">C37*D37*E37</f>
        <v>1532912564736</v>
      </c>
      <c r="G37" s="44">
        <f t="shared" ref="G37:G44" ca="1" si="7">C$11/F37</f>
        <v>15.769091556088224</v>
      </c>
      <c r="H37" s="43" cm="1">
        <f t="array" ref="H37:H44">_xlfn.ANCHORARRAY(H25)</f>
        <v>5</v>
      </c>
      <c r="I37" s="45">
        <f t="shared" ref="I37:I44" ca="1" si="8">J37*H37/$C$1</f>
        <v>1.2683038797043627E-3</v>
      </c>
      <c r="J37" s="45">
        <f t="shared" ref="J37:J44" ca="1" si="9">F37/C$11</f>
        <v>6.3415193985218138E-2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17353</v>
      </c>
      <c r="F38" s="48">
        <f ca="1">C38*D38*E38-F37</f>
        <v>591949027572</v>
      </c>
      <c r="G38" s="49">
        <f t="shared" ca="1" si="7"/>
        <v>40.835675801257786</v>
      </c>
      <c r="H38" s="48">
        <v>4</v>
      </c>
      <c r="I38" s="50">
        <f t="shared" ca="1" si="8"/>
        <v>3.9181425765720231E-4</v>
      </c>
      <c r="J38" s="50">
        <f t="shared" ca="1" si="9"/>
        <v>2.4488391103575143E-2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17752</v>
      </c>
      <c r="F39" s="48">
        <f ca="1">C39*D39*E39-F37</f>
        <v>931208258400</v>
      </c>
      <c r="G39" s="49">
        <f t="shared" ca="1" si="7"/>
        <v>25.958359328055547</v>
      </c>
      <c r="H39" s="48">
        <v>3</v>
      </c>
      <c r="I39" s="50">
        <f t="shared" ca="1" si="8"/>
        <v>4.6227883081310597E-4</v>
      </c>
      <c r="J39" s="50">
        <f t="shared" ca="1" si="9"/>
        <v>3.8523235901092162E-2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18889</v>
      </c>
      <c r="F40" s="48">
        <f ca="1">C40*D40*E40-F37</f>
        <v>882240717520</v>
      </c>
      <c r="G40" s="49">
        <f t="shared" ca="1" si="7"/>
        <v>27.399141867709158</v>
      </c>
      <c r="H40" s="48">
        <v>2.4</v>
      </c>
      <c r="I40" s="50">
        <f t="shared" ca="1" si="8"/>
        <v>3.5037593682136207E-4</v>
      </c>
      <c r="J40" s="50">
        <f t="shared" ca="1" si="9"/>
        <v>3.6497493418891885E-2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18923</v>
      </c>
      <c r="F41" s="48">
        <f ca="1">C41*D41*E41-F37</f>
        <v>1848837618410</v>
      </c>
      <c r="G41" s="49">
        <f t="shared" ca="1" si="7"/>
        <v>13.074506024811667</v>
      </c>
      <c r="H41" s="48">
        <v>2</v>
      </c>
      <c r="I41" s="50">
        <f t="shared" ca="1" si="8"/>
        <v>6.1187780133477255E-4</v>
      </c>
      <c r="J41" s="50">
        <f t="shared" ca="1" si="9"/>
        <v>7.6484725166846568E-2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18130</v>
      </c>
      <c r="F42" s="48">
        <f ca="1">C42*D42*E42-F37</f>
        <v>947912530194</v>
      </c>
      <c r="G42" s="49">
        <f t="shared" ca="1" si="7"/>
        <v>25.500916815450072</v>
      </c>
      <c r="H42" s="48">
        <v>1.6</v>
      </c>
      <c r="I42" s="50">
        <f t="shared" ca="1" si="8"/>
        <v>2.5097136884594181E-4</v>
      </c>
      <c r="J42" s="50">
        <f t="shared" ca="1" si="9"/>
        <v>3.9214276382178406E-2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20153</v>
      </c>
      <c r="F43" s="48">
        <f ca="1">C43*D43*E43-F37</f>
        <v>1643040623504</v>
      </c>
      <c r="G43" s="49">
        <f t="shared" ca="1" si="7"/>
        <v>14.712136897290264</v>
      </c>
      <c r="H43" s="48">
        <v>1</v>
      </c>
      <c r="I43" s="50">
        <f t="shared" ca="1" si="8"/>
        <v>2.7188436512827274E-4</v>
      </c>
      <c r="J43" s="50">
        <f t="shared" ca="1" si="9"/>
        <v>6.7971091282068186E-2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21196</v>
      </c>
      <c r="F44" s="53">
        <f ca="1">C44*D44*E44-F37</f>
        <v>1828171068864</v>
      </c>
      <c r="G44" s="54">
        <f t="shared" ca="1" si="7"/>
        <v>13.222306704492672</v>
      </c>
      <c r="H44" s="53">
        <v>0.4</v>
      </c>
      <c r="I44" s="55">
        <f t="shared" ca="1" si="8"/>
        <v>1.2100763019332723E-4</v>
      </c>
      <c r="J44" s="55">
        <f t="shared" ca="1" si="9"/>
        <v>7.5629768870829506E-2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24172638580800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34416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15616</v>
      </c>
      <c r="F49" s="43">
        <f ca="1">C49*D49*E49</f>
        <v>3546568249344</v>
      </c>
      <c r="G49" s="44">
        <f t="shared" ref="G49:G56" ca="1" si="10">C$11/F49</f>
        <v>6.8157827176372976</v>
      </c>
      <c r="H49" s="43" cm="1">
        <f t="array" ref="H49:H56">_xlfn.ANCHORARRAY(H37)</f>
        <v>5</v>
      </c>
      <c r="I49" s="45">
        <f t="shared" ref="I49:I56" ca="1" si="11">J49*H49/$C$1</f>
        <v>2.9343658430081281E-3</v>
      </c>
      <c r="J49" s="45">
        <f t="shared" ref="J49:J56" ca="1" si="12">F49/C$11</f>
        <v>0.14671829215040641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34416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17353</v>
      </c>
      <c r="F50" s="48">
        <f ca="1">C50*D50*E50-F49</f>
        <v>914671485216</v>
      </c>
      <c r="G50" s="49">
        <f t="shared" ca="1" si="10"/>
        <v>26.427672636030216</v>
      </c>
      <c r="H50" s="48">
        <v>4</v>
      </c>
      <c r="I50" s="50">
        <f t="shared" ca="1" si="11"/>
        <v>6.0542599495448462E-4</v>
      </c>
      <c r="J50" s="50">
        <f t="shared" ca="1" si="12"/>
        <v>3.7839124684655286E-2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34416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17752</v>
      </c>
      <c r="F51" s="48">
        <f ca="1">C51*D51*E51-F49</f>
        <v>1077733736064</v>
      </c>
      <c r="G51" s="49">
        <f t="shared" ca="1" si="10"/>
        <v>22.429137895488999</v>
      </c>
      <c r="H51" s="48">
        <v>3</v>
      </c>
      <c r="I51" s="50">
        <f t="shared" ca="1" si="11"/>
        <v>5.350183344502719E-4</v>
      </c>
      <c r="J51" s="50">
        <f t="shared" ca="1" si="12"/>
        <v>4.4584861204189322E-2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34416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18889</v>
      </c>
      <c r="F52" s="48">
        <f ca="1">C52*D52*E52-F49</f>
        <v>1443475183680</v>
      </c>
      <c r="G52" s="49">
        <f t="shared" ca="1" si="10"/>
        <v>16.746140740136731</v>
      </c>
      <c r="H52" s="48">
        <v>2.4</v>
      </c>
      <c r="I52" s="50">
        <f t="shared" ca="1" si="11"/>
        <v>5.7326641098811258E-4</v>
      </c>
      <c r="J52" s="50">
        <f t="shared" ca="1" si="12"/>
        <v>5.9715251144595062E-2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34416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18923</v>
      </c>
      <c r="F53" s="48">
        <f ca="1">C53*D53*E53-F49</f>
        <v>1636110828000</v>
      </c>
      <c r="G53" s="49">
        <f t="shared" ca="1" si="10"/>
        <v>14.774450585568767</v>
      </c>
      <c r="H53" s="48">
        <v>2</v>
      </c>
      <c r="I53" s="50">
        <f t="shared" ca="1" si="11"/>
        <v>5.4147529572532176E-4</v>
      </c>
      <c r="J53" s="50">
        <f t="shared" ca="1" si="12"/>
        <v>6.7684411965665214E-2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34416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18130</v>
      </c>
      <c r="F54" s="48">
        <f ca="1">C54*D54*E54-F49</f>
        <v>2100288574656</v>
      </c>
      <c r="G54" s="49">
        <f t="shared" ca="1" si="10"/>
        <v>11.509198722732263</v>
      </c>
      <c r="H54" s="48">
        <v>1.6</v>
      </c>
      <c r="I54" s="50">
        <f t="shared" ca="1" si="11"/>
        <v>5.5607693934062608E-4</v>
      </c>
      <c r="J54" s="50">
        <f t="shared" ca="1" si="12"/>
        <v>8.6887021771972828E-2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34416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20153</v>
      </c>
      <c r="F55" s="48">
        <f ca="1">C55*D55*E55-F49</f>
        <v>2681137284048</v>
      </c>
      <c r="G55" s="49">
        <f t="shared" ca="1" si="10"/>
        <v>9.0158153126362777</v>
      </c>
      <c r="H55" s="48">
        <v>1</v>
      </c>
      <c r="I55" s="50">
        <f t="shared" ca="1" si="11"/>
        <v>4.4366481136694631E-4</v>
      </c>
      <c r="J55" s="50">
        <f t="shared" ca="1" si="12"/>
        <v>0.11091620284173657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34416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21196</v>
      </c>
      <c r="F56" s="53">
        <f ca="1">C56*D56*E56-F49</f>
        <v>3048674317632</v>
      </c>
      <c r="G56" s="54">
        <f t="shared" ca="1" si="10"/>
        <v>7.9289015691173068</v>
      </c>
      <c r="H56" s="53">
        <v>0.4</v>
      </c>
      <c r="I56" s="55">
        <f t="shared" ca="1" si="11"/>
        <v>2.0179339925620009E-4</v>
      </c>
      <c r="J56" s="55">
        <f t="shared" ca="1" si="12"/>
        <v>0.12612087453512505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24172638580800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34416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15673</v>
      </c>
      <c r="F61" s="43">
        <f ca="1">C61*D61*E61</f>
        <v>3571380430128</v>
      </c>
      <c r="G61" s="44">
        <f t="shared" ref="G61:G68" ca="1" si="13">C$11/F61</f>
        <v>6.768430038110961</v>
      </c>
      <c r="H61" s="43" cm="1">
        <f t="array" ref="H61:H68">_xlfn.ANCHORARRAY(H49)</f>
        <v>5</v>
      </c>
      <c r="I61" s="45">
        <f t="shared" ref="I61:I68" ca="1" si="14">J61*H61/$C$1</f>
        <v>2.9548949885551171E-3</v>
      </c>
      <c r="J61" s="45">
        <f t="shared" ref="J61:J68" ca="1" si="15">F61/C$11</f>
        <v>0.14774474942775587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34416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18373</v>
      </c>
      <c r="F62" s="48">
        <f ca="1">C62*D62*E62-F61</f>
        <v>1188131109408</v>
      </c>
      <c r="G62" s="49">
        <f t="shared" ca="1" si="13"/>
        <v>20.345093558609282</v>
      </c>
      <c r="H62" s="48">
        <v>4</v>
      </c>
      <c r="I62" s="50">
        <f t="shared" ca="1" si="14"/>
        <v>7.8643039678868423E-4</v>
      </c>
      <c r="J62" s="50">
        <f t="shared" ca="1" si="15"/>
        <v>4.9151899799292763E-2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34416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18774</v>
      </c>
      <c r="F63" s="48">
        <f ca="1">C63*D63*E63-F61</f>
        <v>1299763363248</v>
      </c>
      <c r="G63" s="49">
        <f t="shared" ca="1" si="13"/>
        <v>18.597722681146049</v>
      </c>
      <c r="H63" s="48">
        <v>3</v>
      </c>
      <c r="I63" s="50">
        <f t="shared" ca="1" si="14"/>
        <v>6.4524029128390698E-4</v>
      </c>
      <c r="J63" s="50">
        <f t="shared" ca="1" si="15"/>
        <v>5.3770024273658915E-2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34416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18061</v>
      </c>
      <c r="F64" s="48">
        <f ca="1">C64*D64*E64-F61</f>
        <v>1219815064080</v>
      </c>
      <c r="G64" s="49">
        <f t="shared" ca="1" si="13"/>
        <v>19.816642122739573</v>
      </c>
      <c r="H64" s="48">
        <v>2.4</v>
      </c>
      <c r="I64" s="50">
        <f t="shared" ca="1" si="14"/>
        <v>4.8444130648067824E-4</v>
      </c>
      <c r="J64" s="50">
        <f t="shared" ca="1" si="15"/>
        <v>5.0462636091737317E-2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34416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18925</v>
      </c>
      <c r="F65" s="48">
        <f ca="1">C65*D65*E65-F61</f>
        <v>2953571380272</v>
      </c>
      <c r="G65" s="49">
        <f t="shared" ca="1" si="13"/>
        <v>8.1842066666334965</v>
      </c>
      <c r="H65" s="48">
        <v>2</v>
      </c>
      <c r="I65" s="50">
        <f t="shared" ca="1" si="14"/>
        <v>9.7749242240124565E-4</v>
      </c>
      <c r="J65" s="50">
        <f t="shared" ca="1" si="15"/>
        <v>0.1221865528001557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34416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20303</v>
      </c>
      <c r="F66" s="48">
        <f ca="1">C66*D66*E66-F61</f>
        <v>2090575002816</v>
      </c>
      <c r="G66" s="49">
        <f t="shared" ca="1" si="13"/>
        <v>11.562674646085172</v>
      </c>
      <c r="H66" s="48">
        <v>1.6</v>
      </c>
      <c r="I66" s="50">
        <f t="shared" ca="1" si="14"/>
        <v>5.535051530803799E-4</v>
      </c>
      <c r="J66" s="50">
        <f t="shared" ca="1" si="15"/>
        <v>8.648518016880935E-2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34416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18074</v>
      </c>
      <c r="F67" s="48">
        <f ca="1">C67*D67*E67-F61</f>
        <v>1380016450512</v>
      </c>
      <c r="G67" s="49">
        <f t="shared" ca="1" si="13"/>
        <v>17.51619596406384</v>
      </c>
      <c r="H67" s="48">
        <v>1</v>
      </c>
      <c r="I67" s="50">
        <f t="shared" ca="1" si="14"/>
        <v>2.2836008504394358E-4</v>
      </c>
      <c r="J67" s="50">
        <f t="shared" ca="1" si="15"/>
        <v>5.7090021260985897E-2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34416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20228</v>
      </c>
      <c r="F68" s="53">
        <f ca="1">C68*D68*E68-F61</f>
        <v>2708044538832</v>
      </c>
      <c r="G68" s="54">
        <f t="shared" ca="1" si="13"/>
        <v>8.9262337580407163</v>
      </c>
      <c r="H68" s="53">
        <v>0.4</v>
      </c>
      <c r="I68" s="55">
        <f t="shared" ca="1" si="14"/>
        <v>1.7924693026986061E-4</v>
      </c>
      <c r="J68" s="55">
        <f t="shared" ca="1" si="15"/>
        <v>0.11202933141866288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2026-10-16T06:44:50Z</dcterms:modified>
</cp:coreProperties>
</file>