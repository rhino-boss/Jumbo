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CA9D0480-521D-41DE-832D-C8492204536C}" xr6:coauthVersionLast="47" xr6:coauthVersionMax="47" xr10:uidLastSave="{00000000-0000-0000-0000-000000000000}"/>
  <bookViews>
    <workbookView xWindow="-25815" yWindow="175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0" i="24" l="1" a="1"/>
  <c r="R20" i="24" s="1"/>
  <c r="S31" i="24" s="1"/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I93" i="38" l="1"/>
  <c r="M4" i="39" a="1"/>
  <c r="M4" i="39" s="1"/>
  <c r="N4" i="39" s="1" a="1"/>
  <c r="I117" i="39"/>
  <c r="Q69" i="39" a="1"/>
  <c r="Q69" i="39" s="1"/>
  <c r="P68" i="39" s="1"/>
  <c r="R69" i="39" s="1" a="1"/>
  <c r="S70" i="39" s="1" a="1"/>
  <c r="S70" i="39" s="1"/>
  <c r="I101" i="39"/>
  <c r="I125" i="39"/>
  <c r="I109" i="39"/>
  <c r="I93" i="39"/>
  <c r="I77" i="39"/>
  <c r="Q4" i="39" a="1"/>
  <c r="Q4" i="39" s="1"/>
  <c r="P3" i="39" s="1"/>
  <c r="R4" i="39" s="1" a="1"/>
  <c r="I85" i="39"/>
  <c r="I70" i="39"/>
  <c r="E220" i="38"/>
  <c r="E231" i="39"/>
  <c r="E211" i="38"/>
  <c r="E221" i="38"/>
  <c r="E205" i="38"/>
  <c r="E230" i="39"/>
  <c r="E238" i="39"/>
  <c r="E213" i="38"/>
  <c r="E219" i="38"/>
  <c r="E239" i="39"/>
  <c r="E253" i="39"/>
  <c r="E254" i="39"/>
  <c r="E225" i="38"/>
  <c r="E246" i="39"/>
  <c r="E224" i="38"/>
  <c r="E238" i="38"/>
  <c r="E239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E203" i="38"/>
  <c r="E225" i="39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T15" i="37" s="1"/>
  <c r="O3" i="37" a="1"/>
  <c r="O3" i="37" s="1"/>
  <c r="M3" i="37" a="1"/>
  <c r="M3" i="37" s="1"/>
  <c r="R69" i="39" l="1"/>
  <c r="E199" i="38"/>
  <c r="L199" i="38" a="1"/>
  <c r="L199" i="38" s="1"/>
  <c r="M199" i="38" s="1" a="1"/>
  <c r="M199" i="38" s="1"/>
  <c r="N199" i="38" s="1" a="1"/>
  <c r="N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G199" i="38" a="1"/>
  <c r="G199" i="38" s="1"/>
  <c r="N65" i="38"/>
  <c r="N4" i="38"/>
  <c r="N64" i="38"/>
  <c r="T3" i="37" a="1"/>
  <c r="T3" i="37" s="1"/>
  <c r="T16" i="37" s="1" a="1"/>
  <c r="T16" i="37" s="1"/>
  <c r="O14" i="37" s="1"/>
  <c r="O15" i="37" s="1"/>
  <c r="AG206" i="1"/>
  <c r="AK206" i="1"/>
  <c r="AK207" i="1"/>
  <c r="O64" i="38" l="1" a="1"/>
  <c r="O64" i="38" s="1"/>
  <c r="U225" i="38"/>
  <c r="U227" i="38"/>
  <c r="U228" i="38"/>
  <c r="U224" i="38"/>
  <c r="U226" i="38"/>
  <c r="N257" i="38"/>
  <c r="N260" i="38" s="1"/>
  <c r="N259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U223" i="38"/>
  <c r="O199" i="38" a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O259" i="38" l="1" a="1"/>
  <c r="O259" i="38" s="1"/>
  <c r="V223" i="38" a="1"/>
  <c r="V223" i="38" s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AB3" i="36" a="1"/>
  <c r="AB3" i="36" s="1"/>
  <c r="AC3" i="36" s="1" a="1"/>
  <c r="AC3" i="36" s="1"/>
  <c r="AD3" i="36" s="1" a="1"/>
  <c r="AD3" i="36" s="1"/>
  <c r="M2" i="36"/>
  <c r="M69" i="36" l="1" a="1"/>
  <c r="M69" i="36" s="1"/>
  <c r="N69" i="36" s="1" a="1"/>
  <c r="Q4" i="36" a="1"/>
  <c r="Q4" i="36" s="1"/>
  <c r="P3" i="36" s="1"/>
  <c r="R4" i="36" s="1" a="1"/>
  <c r="I108" i="36"/>
  <c r="Q69" i="36" a="1"/>
  <c r="Q69" i="36" s="1"/>
  <c r="P68" i="36" s="1"/>
  <c r="R69" i="36" s="1" a="1"/>
  <c r="I92" i="36"/>
  <c r="I84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E115" i="34"/>
  <c r="I114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I115" i="34" l="1"/>
  <c r="I99" i="34"/>
  <c r="J69" i="34" a="1"/>
  <c r="J69" i="34" s="1"/>
  <c r="L69" i="34" s="1" a="1"/>
  <c r="L69" i="34" s="1"/>
  <c r="M69" i="34" s="1" a="1"/>
  <c r="M69" i="34" s="1"/>
  <c r="N69" i="34" s="1" a="1"/>
  <c r="G69" i="34" a="1"/>
  <c r="G69" i="34" s="1"/>
  <c r="I107" i="34"/>
  <c r="I122" i="34"/>
  <c r="I123" i="34"/>
  <c r="O129" i="36" a="1"/>
  <c r="O129" i="36" s="1"/>
  <c r="I81" i="34"/>
  <c r="I82" i="34"/>
  <c r="I97" i="34"/>
  <c r="Q69" i="34" a="1"/>
  <c r="Q69" i="34" s="1"/>
  <c r="P68" i="34" s="1"/>
  <c r="R69" i="34" s="1" a="1"/>
  <c r="S70" i="34" s="1" a="1"/>
  <c r="S70" i="34" s="1"/>
  <c r="I83" i="34"/>
  <c r="Q4" i="34" a="1"/>
  <c r="Q4" i="34" s="1"/>
  <c r="P3" i="34" s="1"/>
  <c r="R4" i="34" s="1" a="1"/>
  <c r="S5" i="34" s="1" a="1"/>
  <c r="S5" i="34" s="1"/>
  <c r="I98" i="34"/>
  <c r="I113" i="34"/>
  <c r="I84" i="34"/>
  <c r="E243" i="34"/>
  <c r="E252" i="34"/>
  <c r="E210" i="34"/>
  <c r="E244" i="34"/>
  <c r="E218" i="34"/>
  <c r="E250" i="34"/>
  <c r="E251" i="34"/>
  <c r="E209" i="34"/>
  <c r="E225" i="34"/>
  <c r="E217" i="34"/>
  <c r="E227" i="34"/>
  <c r="E216" i="34"/>
  <c r="E223" i="34"/>
  <c r="E228" i="34"/>
  <c r="E229" i="34"/>
  <c r="E200" i="34"/>
  <c r="E234" i="34"/>
  <c r="E201" i="34"/>
  <c r="E235" i="34"/>
  <c r="E202" i="34"/>
  <c r="E236" i="34"/>
  <c r="E208" i="34"/>
  <c r="E242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69" i="34" l="1"/>
  <c r="R68" i="34" s="1"/>
  <c r="S69" i="34" s="1"/>
  <c r="T69" i="34" s="1" a="1"/>
  <c r="T69" i="34" s="1"/>
  <c r="O64" i="36" a="1"/>
  <c r="O64" i="36" s="1"/>
  <c r="R4" i="34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H4" i="32" a="1"/>
  <c r="H4" i="32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G4" i="28" l="1" a="1"/>
  <c r="G4" i="28" s="1"/>
  <c r="I121" i="28"/>
  <c r="I122" i="28"/>
  <c r="A134" i="28" a="1"/>
  <c r="A134" i="28" s="1"/>
  <c r="I123" i="28"/>
  <c r="I124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E116" i="32"/>
  <c r="E71" i="32"/>
  <c r="E90" i="32"/>
  <c r="E110" i="32"/>
  <c r="E120" i="32"/>
  <c r="E81" i="32"/>
  <c r="E111" i="32"/>
  <c r="E122" i="32"/>
  <c r="E91" i="32"/>
  <c r="E121" i="32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L4" i="32" s="1" a="1"/>
  <c r="L4" i="32" s="1"/>
  <c r="M4" i="32" s="1" a="1"/>
  <c r="M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I188" i="28" l="1"/>
  <c r="A199" i="28" a="1"/>
  <c r="H134" i="28" a="1"/>
  <c r="H134" i="28" s="1"/>
  <c r="I187" i="28"/>
  <c r="I186" i="28"/>
  <c r="I191" i="28"/>
  <c r="A134" i="32" a="1"/>
  <c r="H69" i="32" a="1"/>
  <c r="H69" i="32" s="1"/>
  <c r="L199" i="28" a="1"/>
  <c r="L199" i="28" s="1"/>
  <c r="N69" i="32" a="1"/>
  <c r="N69" i="32" s="1"/>
  <c r="H2" i="31" a="1"/>
  <c r="H2" i="31" s="1"/>
  <c r="J2" i="31" a="1"/>
  <c r="J2" i="31" s="1"/>
  <c r="N4" i="32" a="1"/>
  <c r="N4" i="32" s="1"/>
  <c r="G2" i="31" a="1"/>
  <c r="G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252" i="28" l="1"/>
  <c r="I255" i="28"/>
  <c r="I253" i="28"/>
  <c r="A199" i="28"/>
  <c r="H199" i="28" s="1" a="1"/>
  <c r="H199" i="28" s="1"/>
  <c r="I256" i="28"/>
  <c r="I254" i="28"/>
  <c r="I251" i="28"/>
  <c r="N65" i="32"/>
  <c r="I158" i="32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O129" i="32" s="1" a="1"/>
  <c r="O129" i="32" s="1"/>
  <c r="N194" i="32"/>
  <c r="O194" i="32" s="1" a="1"/>
  <c r="O194" i="32" s="1"/>
  <c r="O134" i="32"/>
  <c r="O132" i="32" s="1"/>
  <c r="N64" i="32"/>
  <c r="O64" i="32" s="1" a="1"/>
  <c r="O64" i="32" s="1"/>
  <c r="O69" i="32" a="1"/>
  <c r="O4" i="32" a="1"/>
  <c r="H134" i="32" l="1" a="1"/>
  <c r="H134" i="32" s="1"/>
  <c r="I134" i="32"/>
  <c r="O4" i="32"/>
  <c r="O2" i="32" s="1"/>
  <c r="O62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6" i="28"/>
  <c r="V224" i="28"/>
  <c r="V227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O194" i="28" s="1" a="1"/>
  <c r="O194" i="28" s="1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56" i="24" l="1"/>
  <c r="C20" i="24"/>
  <c r="C72" i="1"/>
  <c r="C47" i="1"/>
  <c r="C73" i="1"/>
  <c r="C49" i="1"/>
  <c r="C77" i="1"/>
  <c r="C46" i="1"/>
  <c r="C75" i="1"/>
  <c r="C45" i="1"/>
  <c r="C71" i="1"/>
  <c r="C48" i="1"/>
  <c r="C74" i="1"/>
  <c r="C50" i="1"/>
  <c r="C76" i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16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E102" i="1" l="1"/>
  <c r="E99" i="1"/>
  <c r="E101" i="1"/>
  <c r="C55" i="26"/>
  <c r="C19" i="26"/>
  <c r="C55" i="24"/>
  <c r="C19" i="24"/>
  <c r="C14" i="26"/>
  <c r="C50" i="26"/>
  <c r="C52" i="24"/>
  <c r="C16" i="24"/>
  <c r="C52" i="26"/>
  <c r="C16" i="26"/>
  <c r="C51" i="26"/>
  <c r="C15" i="26"/>
  <c r="C53" i="26"/>
  <c r="C17" i="26"/>
  <c r="J59" i="1"/>
  <c r="C14" i="24"/>
  <c r="C50" i="24"/>
  <c r="C54" i="26"/>
  <c r="C18" i="26"/>
  <c r="C51" i="24"/>
  <c r="C15" i="24"/>
  <c r="C56" i="26"/>
  <c r="C20" i="26"/>
  <c r="C17" i="24"/>
  <c r="C53" i="24"/>
  <c r="R34" i="1"/>
  <c r="C18" i="24"/>
  <c r="C54" i="24"/>
  <c r="E13" i="40"/>
  <c r="E61" i="40"/>
  <c r="E13" i="37"/>
  <c r="E61" i="37"/>
  <c r="E13" i="27"/>
  <c r="E61" i="27"/>
  <c r="E13" i="35"/>
  <c r="E61" i="35"/>
  <c r="E61" i="33"/>
  <c r="E13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Q75" i="1" s="1"/>
  <c r="C97" i="1" l="1"/>
  <c r="C103" i="1"/>
  <c r="C100" i="1"/>
  <c r="C102" i="1"/>
  <c r="C99" i="1"/>
  <c r="C101" i="1"/>
  <c r="C98" i="1"/>
  <c r="D97" i="1"/>
  <c r="D103" i="1"/>
  <c r="D100" i="1"/>
  <c r="D102" i="1"/>
  <c r="D99" i="1"/>
  <c r="D101" i="1"/>
  <c r="D98" i="1"/>
  <c r="C37" i="26"/>
  <c r="E62" i="40"/>
  <c r="E14" i="40"/>
  <c r="E62" i="37"/>
  <c r="E14" i="37"/>
  <c r="E62" i="27"/>
  <c r="E14" i="27"/>
  <c r="E14" i="35"/>
  <c r="E62" i="35"/>
  <c r="E14" i="33"/>
  <c r="E62" i="33"/>
  <c r="E17" i="40"/>
  <c r="E65" i="40"/>
  <c r="E65" i="37"/>
  <c r="E17" i="37"/>
  <c r="E65" i="27"/>
  <c r="E17" i="27"/>
  <c r="E65" i="35"/>
  <c r="E17" i="35"/>
  <c r="E17" i="33"/>
  <c r="E65" i="33"/>
  <c r="E68" i="40"/>
  <c r="E20" i="40"/>
  <c r="E68" i="37"/>
  <c r="E20" i="37"/>
  <c r="E20" i="27"/>
  <c r="E68" i="27"/>
  <c r="E68" i="35"/>
  <c r="E20" i="35"/>
  <c r="E68" i="33"/>
  <c r="E20" i="33"/>
  <c r="E63" i="40"/>
  <c r="E15" i="40"/>
  <c r="E15" i="37"/>
  <c r="E63" i="37"/>
  <c r="E63" i="27"/>
  <c r="E15" i="27"/>
  <c r="E63" i="35"/>
  <c r="E15" i="35"/>
  <c r="E15" i="33"/>
  <c r="E63" i="33"/>
  <c r="Q51" i="1"/>
  <c r="C68" i="24" s="1"/>
  <c r="J24" i="1"/>
  <c r="C31" i="2" s="1"/>
  <c r="J50" i="1"/>
  <c r="C31" i="24" s="1"/>
  <c r="J75" i="1"/>
  <c r="C30" i="26" s="1"/>
  <c r="J48" i="1"/>
  <c r="C29" i="24" s="1"/>
  <c r="J73" i="1"/>
  <c r="C28" i="26" s="1"/>
  <c r="J45" i="1"/>
  <c r="C26" i="24" s="1"/>
  <c r="J49" i="1"/>
  <c r="C30" i="24" s="1"/>
  <c r="J47" i="1"/>
  <c r="C28" i="24" s="1"/>
  <c r="J74" i="1"/>
  <c r="C29" i="26" s="1"/>
  <c r="J72" i="1"/>
  <c r="C27" i="26" s="1"/>
  <c r="J46" i="1"/>
  <c r="C27" i="24" s="1"/>
  <c r="J71" i="1"/>
  <c r="C26" i="26" s="1"/>
  <c r="J76" i="1"/>
  <c r="C31" i="26" s="1"/>
  <c r="J51" i="1"/>
  <c r="C32" i="24" s="1"/>
  <c r="E16" i="40"/>
  <c r="E64" i="40"/>
  <c r="E16" i="37"/>
  <c r="E64" i="37"/>
  <c r="E16" i="27"/>
  <c r="E64" i="27"/>
  <c r="E64" i="35"/>
  <c r="E16" i="35"/>
  <c r="E64" i="33"/>
  <c r="E16" i="33"/>
  <c r="Q21" i="1"/>
  <c r="C64" i="2" s="1"/>
  <c r="Q73" i="1"/>
  <c r="C40" i="26" s="1"/>
  <c r="Q47" i="1"/>
  <c r="C64" i="24" s="1"/>
  <c r="Q71" i="1"/>
  <c r="C62" i="26" s="1"/>
  <c r="Q50" i="1"/>
  <c r="C67" i="24" s="1"/>
  <c r="Q74" i="1"/>
  <c r="C41" i="26" s="1"/>
  <c r="Q48" i="1"/>
  <c r="C41" i="24" s="1"/>
  <c r="Q72" i="1"/>
  <c r="C39" i="26" s="1"/>
  <c r="Q46" i="1"/>
  <c r="C63" i="24" s="1"/>
  <c r="Q45" i="1"/>
  <c r="C38" i="24" s="1"/>
  <c r="Q76" i="1"/>
  <c r="C67" i="26" s="1"/>
  <c r="Q49" i="1"/>
  <c r="C66" i="24" s="1"/>
  <c r="E18" i="40"/>
  <c r="E66" i="40"/>
  <c r="E18" i="37"/>
  <c r="E66" i="37"/>
  <c r="E66" i="27"/>
  <c r="E18" i="27"/>
  <c r="E66" i="35"/>
  <c r="E18" i="35"/>
  <c r="E18" i="33"/>
  <c r="E66" i="33"/>
  <c r="E19" i="40"/>
  <c r="E67" i="40"/>
  <c r="E67" i="37"/>
  <c r="E19" i="37"/>
  <c r="E67" i="27"/>
  <c r="E19" i="27"/>
  <c r="E19" i="35"/>
  <c r="E67" i="35"/>
  <c r="E19" i="33"/>
  <c r="E67" i="33"/>
  <c r="Q77" i="1"/>
  <c r="C44" i="26" s="1"/>
  <c r="E37" i="24"/>
  <c r="S81" i="1"/>
  <c r="D13" i="40"/>
  <c r="D13" i="37"/>
  <c r="D13" i="27"/>
  <c r="D13" i="35"/>
  <c r="D13" i="33"/>
  <c r="C49" i="40"/>
  <c r="C13" i="40"/>
  <c r="C49" i="37"/>
  <c r="C13" i="37"/>
  <c r="C13" i="27"/>
  <c r="C49" i="27"/>
  <c r="C13" i="35"/>
  <c r="C49" i="35"/>
  <c r="C13" i="33"/>
  <c r="C49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103" i="1" s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Q86" i="1"/>
  <c r="S87" i="1"/>
  <c r="L82" i="1"/>
  <c r="J86" i="1"/>
  <c r="C96" i="1"/>
  <c r="R81" i="1"/>
  <c r="E92" i="1"/>
  <c r="E96" i="1"/>
  <c r="K81" i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S103" i="1" l="1"/>
  <c r="S102" i="1"/>
  <c r="S99" i="1"/>
  <c r="S101" i="1"/>
  <c r="S98" i="1"/>
  <c r="S100" i="1"/>
  <c r="Q102" i="1"/>
  <c r="Q99" i="1"/>
  <c r="Q98" i="1"/>
  <c r="Q100" i="1"/>
  <c r="Q97" i="1"/>
  <c r="Q101" i="1"/>
  <c r="C66" i="27" s="1"/>
  <c r="S97" i="1"/>
  <c r="E50" i="40" s="1"/>
  <c r="K103" i="1"/>
  <c r="R103" i="1"/>
  <c r="D44" i="27" s="1"/>
  <c r="J97" i="1"/>
  <c r="J100" i="1"/>
  <c r="J102" i="1"/>
  <c r="J99" i="1"/>
  <c r="J101" i="1"/>
  <c r="J98" i="1"/>
  <c r="L100" i="1"/>
  <c r="L103" i="1"/>
  <c r="L102" i="1"/>
  <c r="L99" i="1"/>
  <c r="L101" i="1"/>
  <c r="L98" i="1"/>
  <c r="L97" i="1"/>
  <c r="C64" i="26"/>
  <c r="R101" i="1"/>
  <c r="D42" i="33" s="1"/>
  <c r="R102" i="1"/>
  <c r="D43" i="37" s="1"/>
  <c r="K101" i="1"/>
  <c r="D30" i="27" s="1"/>
  <c r="K102" i="1"/>
  <c r="D67" i="37" s="1"/>
  <c r="R99" i="1"/>
  <c r="D40" i="33" s="1"/>
  <c r="R100" i="1"/>
  <c r="D41" i="37" s="1"/>
  <c r="K99" i="1"/>
  <c r="D64" i="40" s="1"/>
  <c r="K100" i="1"/>
  <c r="D29" i="27" s="1"/>
  <c r="R97" i="1"/>
  <c r="D38" i="27" s="1"/>
  <c r="R98" i="1"/>
  <c r="D39" i="33" s="1"/>
  <c r="K97" i="1"/>
  <c r="D62" i="27" s="1"/>
  <c r="K98" i="1"/>
  <c r="D27" i="27" s="1"/>
  <c r="C62" i="24"/>
  <c r="C32" i="35"/>
  <c r="C39" i="24"/>
  <c r="C44" i="33"/>
  <c r="C63" i="26"/>
  <c r="E26" i="27"/>
  <c r="C40" i="2"/>
  <c r="E55" i="27"/>
  <c r="E52" i="35"/>
  <c r="E42" i="27"/>
  <c r="E39" i="33"/>
  <c r="E41" i="35"/>
  <c r="E44" i="35"/>
  <c r="C38" i="26"/>
  <c r="C43" i="26"/>
  <c r="D68" i="37"/>
  <c r="F13" i="35"/>
  <c r="F13" i="27"/>
  <c r="F13" i="37"/>
  <c r="F13" i="40"/>
  <c r="C44" i="24"/>
  <c r="C42" i="24"/>
  <c r="C65" i="26"/>
  <c r="C53" i="40"/>
  <c r="C17" i="40"/>
  <c r="C17" i="37"/>
  <c r="C53" i="37"/>
  <c r="C17" i="27"/>
  <c r="C53" i="27"/>
  <c r="C53" i="35"/>
  <c r="C17" i="35"/>
  <c r="C17" i="33"/>
  <c r="C53" i="33"/>
  <c r="C14" i="40"/>
  <c r="C50" i="40"/>
  <c r="C14" i="37"/>
  <c r="C50" i="37"/>
  <c r="C14" i="27"/>
  <c r="C50" i="27"/>
  <c r="C14" i="35"/>
  <c r="C50" i="35"/>
  <c r="C14" i="33"/>
  <c r="C50" i="33"/>
  <c r="D19" i="40"/>
  <c r="D19" i="37"/>
  <c r="D19" i="27"/>
  <c r="D19" i="35"/>
  <c r="D19" i="33"/>
  <c r="D17" i="40"/>
  <c r="D17" i="37"/>
  <c r="D17" i="27"/>
  <c r="D17" i="35"/>
  <c r="D17" i="33"/>
  <c r="C65" i="24"/>
  <c r="D20" i="40"/>
  <c r="D20" i="37"/>
  <c r="D20" i="27"/>
  <c r="D20" i="35"/>
  <c r="D20" i="33"/>
  <c r="C55" i="40"/>
  <c r="C19" i="40"/>
  <c r="C19" i="37"/>
  <c r="C55" i="37"/>
  <c r="C19" i="27"/>
  <c r="C55" i="27"/>
  <c r="C55" i="35"/>
  <c r="C19" i="35"/>
  <c r="C19" i="33"/>
  <c r="C55" i="33"/>
  <c r="C40" i="24"/>
  <c r="D15" i="40"/>
  <c r="D15" i="37"/>
  <c r="D15" i="27"/>
  <c r="D15" i="35"/>
  <c r="D15" i="33"/>
  <c r="D16" i="40"/>
  <c r="D16" i="37"/>
  <c r="D16" i="27"/>
  <c r="D16" i="35"/>
  <c r="D16" i="33"/>
  <c r="C43" i="24"/>
  <c r="C65" i="2"/>
  <c r="F13" i="33"/>
  <c r="C18" i="40"/>
  <c r="C54" i="40"/>
  <c r="C18" i="37"/>
  <c r="C54" i="37"/>
  <c r="C54" i="27"/>
  <c r="C18" i="27"/>
  <c r="C18" i="35"/>
  <c r="C54" i="35"/>
  <c r="C18" i="33"/>
  <c r="C54" i="33"/>
  <c r="C15" i="40"/>
  <c r="C51" i="40"/>
  <c r="C15" i="37"/>
  <c r="C51" i="37"/>
  <c r="C15" i="27"/>
  <c r="C51" i="27"/>
  <c r="C51" i="35"/>
  <c r="C15" i="35"/>
  <c r="C51" i="33"/>
  <c r="C15" i="33"/>
  <c r="C56" i="40"/>
  <c r="C20" i="40"/>
  <c r="C20" i="37"/>
  <c r="C56" i="37"/>
  <c r="C56" i="27"/>
  <c r="C20" i="27"/>
  <c r="C20" i="35"/>
  <c r="C56" i="35"/>
  <c r="C20" i="33"/>
  <c r="C56" i="33"/>
  <c r="D18" i="40"/>
  <c r="D18" i="37"/>
  <c r="D18" i="27"/>
  <c r="D18" i="35"/>
  <c r="D18" i="33"/>
  <c r="D14" i="40"/>
  <c r="D14" i="37"/>
  <c r="D14" i="27"/>
  <c r="D14" i="35"/>
  <c r="D14" i="33"/>
  <c r="C52" i="40"/>
  <c r="C16" i="40"/>
  <c r="C52" i="37"/>
  <c r="C16" i="37"/>
  <c r="C52" i="27"/>
  <c r="C16" i="27"/>
  <c r="C16" i="35"/>
  <c r="C52" i="35"/>
  <c r="C16" i="33"/>
  <c r="C52" i="33"/>
  <c r="E25" i="40"/>
  <c r="E25" i="37"/>
  <c r="E25" i="27"/>
  <c r="E49" i="40"/>
  <c r="E37" i="40"/>
  <c r="E49" i="37"/>
  <c r="E37" i="37"/>
  <c r="E49" i="27"/>
  <c r="E37" i="27"/>
  <c r="E37" i="35"/>
  <c r="E49" i="35"/>
  <c r="E37" i="33"/>
  <c r="E49" i="33"/>
  <c r="C25" i="40"/>
  <c r="C25" i="37"/>
  <c r="C25" i="27"/>
  <c r="C25" i="35"/>
  <c r="C25" i="33"/>
  <c r="C35" i="40"/>
  <c r="C11" i="40"/>
  <c r="C47" i="40"/>
  <c r="C59" i="40"/>
  <c r="C23" i="40"/>
  <c r="C47" i="37"/>
  <c r="C11" i="37"/>
  <c r="C35" i="37"/>
  <c r="C59" i="37"/>
  <c r="C23" i="37"/>
  <c r="C47" i="35"/>
  <c r="C35" i="35"/>
  <c r="C59" i="35"/>
  <c r="C11" i="35"/>
  <c r="C23" i="35"/>
  <c r="C35" i="33"/>
  <c r="C59" i="33"/>
  <c r="C11" i="33"/>
  <c r="C23" i="33"/>
  <c r="C47" i="33"/>
  <c r="C37" i="40"/>
  <c r="C61" i="40"/>
  <c r="C61" i="37"/>
  <c r="C37" i="37"/>
  <c r="C61" i="27"/>
  <c r="C37" i="27"/>
  <c r="C37" i="35"/>
  <c r="C61" i="35"/>
  <c r="C61" i="33"/>
  <c r="C37" i="33"/>
  <c r="D37" i="37"/>
  <c r="D37" i="40"/>
  <c r="D49" i="40"/>
  <c r="D25" i="40"/>
  <c r="D61" i="40"/>
  <c r="D61" i="27"/>
  <c r="D49" i="37"/>
  <c r="D61" i="37"/>
  <c r="D25" i="37"/>
  <c r="E43" i="27"/>
  <c r="E43" i="35"/>
  <c r="D25" i="27"/>
  <c r="D49" i="27"/>
  <c r="D37" i="35"/>
  <c r="D37" i="27"/>
  <c r="E50" i="26"/>
  <c r="D37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C32" i="27" l="1"/>
  <c r="C32" i="37"/>
  <c r="C32" i="33"/>
  <c r="C32" i="40"/>
  <c r="C44" i="35"/>
  <c r="C68" i="27"/>
  <c r="C44" i="37"/>
  <c r="C44" i="27"/>
  <c r="C68" i="40"/>
  <c r="C68" i="37"/>
  <c r="C68" i="33"/>
  <c r="C68" i="35"/>
  <c r="C44" i="40"/>
  <c r="E38" i="37"/>
  <c r="E38" i="35"/>
  <c r="E44" i="33"/>
  <c r="E50" i="37"/>
  <c r="E50" i="27"/>
  <c r="E38" i="40"/>
  <c r="E56" i="33"/>
  <c r="E50" i="33"/>
  <c r="E55" i="33"/>
  <c r="E38" i="33"/>
  <c r="E50" i="35"/>
  <c r="E38" i="27"/>
  <c r="E43" i="33"/>
  <c r="E55" i="35"/>
  <c r="E26" i="40"/>
  <c r="E41" i="33"/>
  <c r="E52" i="27"/>
  <c r="E26" i="37"/>
  <c r="E53" i="33"/>
  <c r="E40" i="35"/>
  <c r="E42" i="33"/>
  <c r="E54" i="33"/>
  <c r="E53" i="27"/>
  <c r="E54" i="35"/>
  <c r="E40" i="27"/>
  <c r="E42" i="35"/>
  <c r="E54" i="27"/>
  <c r="F20" i="40"/>
  <c r="G20" i="40" s="1"/>
  <c r="F19" i="40"/>
  <c r="J19" i="40" s="1"/>
  <c r="F17" i="40"/>
  <c r="J17" i="40" s="1"/>
  <c r="D32" i="27"/>
  <c r="F16" i="35"/>
  <c r="J16" i="35" s="1"/>
  <c r="F20" i="35"/>
  <c r="J20" i="35" s="1"/>
  <c r="D32" i="37"/>
  <c r="D56" i="37"/>
  <c r="D68" i="27"/>
  <c r="F16" i="27"/>
  <c r="G16" i="27" s="1"/>
  <c r="F16" i="37"/>
  <c r="G16" i="37" s="1"/>
  <c r="F20" i="27"/>
  <c r="J20" i="27" s="1"/>
  <c r="F20" i="37"/>
  <c r="J20" i="37" s="1"/>
  <c r="F17" i="37"/>
  <c r="J17" i="37" s="1"/>
  <c r="G13" i="37"/>
  <c r="D44" i="33"/>
  <c r="F16" i="33"/>
  <c r="J16" i="33" s="1"/>
  <c r="F20" i="33"/>
  <c r="J20" i="33" s="1"/>
  <c r="F18" i="33"/>
  <c r="J18" i="33" s="1"/>
  <c r="F19" i="37"/>
  <c r="G19" i="37" s="1"/>
  <c r="C66" i="33"/>
  <c r="F15" i="27"/>
  <c r="J15" i="27" s="1"/>
  <c r="F19" i="27"/>
  <c r="J19" i="27" s="1"/>
  <c r="F17" i="33"/>
  <c r="J17" i="33" s="1"/>
  <c r="F14" i="40"/>
  <c r="J14" i="40" s="1"/>
  <c r="D32" i="40"/>
  <c r="D68" i="40"/>
  <c r="D44" i="40"/>
  <c r="D44" i="35"/>
  <c r="F14" i="37"/>
  <c r="J14" i="37" s="1"/>
  <c r="D56" i="40"/>
  <c r="F14" i="27"/>
  <c r="G14" i="27" s="1"/>
  <c r="F18" i="37"/>
  <c r="G18" i="37" s="1"/>
  <c r="D44" i="37"/>
  <c r="D56" i="27"/>
  <c r="C66" i="40"/>
  <c r="F18" i="40"/>
  <c r="G18" i="40" s="1"/>
  <c r="F15" i="40"/>
  <c r="G15" i="40" s="1"/>
  <c r="F15" i="35"/>
  <c r="J15" i="35" s="1"/>
  <c r="E53" i="35"/>
  <c r="E41" i="27"/>
  <c r="J13" i="33"/>
  <c r="E40" i="33"/>
  <c r="E51" i="33"/>
  <c r="E52" i="33"/>
  <c r="C66" i="37"/>
  <c r="C42" i="40"/>
  <c r="C42" i="37"/>
  <c r="F15" i="37"/>
  <c r="J15" i="37" s="1"/>
  <c r="F16" i="40"/>
  <c r="G16" i="40" s="1"/>
  <c r="F19" i="33"/>
  <c r="G19" i="33" s="1"/>
  <c r="F17" i="35"/>
  <c r="G17" i="35" s="1"/>
  <c r="D42" i="37"/>
  <c r="C42" i="35"/>
  <c r="C66" i="35"/>
  <c r="C42" i="27"/>
  <c r="F15" i="33"/>
  <c r="J15" i="33" s="1"/>
  <c r="F19" i="35"/>
  <c r="J19" i="35" s="1"/>
  <c r="F14" i="35"/>
  <c r="G14" i="35" s="1"/>
  <c r="F17" i="27"/>
  <c r="G17" i="27" s="1"/>
  <c r="F18" i="27"/>
  <c r="J18" i="27" s="1"/>
  <c r="J13" i="37"/>
  <c r="F18" i="35"/>
  <c r="J18" i="35" s="1"/>
  <c r="F14" i="33"/>
  <c r="G14" i="33" s="1"/>
  <c r="C42" i="33"/>
  <c r="E28" i="40"/>
  <c r="E28" i="37"/>
  <c r="E28" i="27"/>
  <c r="C65" i="35"/>
  <c r="C41" i="37"/>
  <c r="C65" i="33"/>
  <c r="C65" i="40"/>
  <c r="C41" i="40"/>
  <c r="C41" i="27"/>
  <c r="C41" i="33"/>
  <c r="C65" i="37"/>
  <c r="C41" i="35"/>
  <c r="C65" i="27"/>
  <c r="E29" i="37"/>
  <c r="E29" i="40"/>
  <c r="E29" i="27"/>
  <c r="C26" i="27"/>
  <c r="C26" i="35"/>
  <c r="C26" i="33"/>
  <c r="C26" i="37"/>
  <c r="C26" i="40"/>
  <c r="E39" i="37"/>
  <c r="E39" i="40"/>
  <c r="E51" i="37"/>
  <c r="E51" i="40"/>
  <c r="E39" i="35"/>
  <c r="E56" i="27"/>
  <c r="E54" i="37"/>
  <c r="E42" i="37"/>
  <c r="E54" i="40"/>
  <c r="E42" i="40"/>
  <c r="E32" i="40"/>
  <c r="E32" i="37"/>
  <c r="E32" i="27"/>
  <c r="C30" i="37"/>
  <c r="C30" i="27"/>
  <c r="C30" i="40"/>
  <c r="C30" i="35"/>
  <c r="C30" i="33"/>
  <c r="C28" i="33"/>
  <c r="C28" i="40"/>
  <c r="C28" i="27"/>
  <c r="C28" i="37"/>
  <c r="C28" i="35"/>
  <c r="C29" i="40"/>
  <c r="C29" i="35"/>
  <c r="C29" i="37"/>
  <c r="C29" i="27"/>
  <c r="C29" i="33"/>
  <c r="E51" i="35"/>
  <c r="E44" i="27"/>
  <c r="E40" i="40"/>
  <c r="E52" i="40"/>
  <c r="E40" i="37"/>
  <c r="E52" i="37"/>
  <c r="E30" i="37"/>
  <c r="E30" i="40"/>
  <c r="E30" i="27"/>
  <c r="C63" i="40"/>
  <c r="C39" i="37"/>
  <c r="C63" i="33"/>
  <c r="C39" i="27"/>
  <c r="C63" i="35"/>
  <c r="C63" i="37"/>
  <c r="C39" i="35"/>
  <c r="C39" i="33"/>
  <c r="C39" i="40"/>
  <c r="C63" i="27"/>
  <c r="C62" i="35"/>
  <c r="C62" i="37"/>
  <c r="C38" i="33"/>
  <c r="C38" i="37"/>
  <c r="C38" i="35"/>
  <c r="C62" i="33"/>
  <c r="C38" i="40"/>
  <c r="C62" i="40"/>
  <c r="C38" i="27"/>
  <c r="C62" i="27"/>
  <c r="C27" i="33"/>
  <c r="C27" i="40"/>
  <c r="C27" i="27"/>
  <c r="C27" i="35"/>
  <c r="C27" i="37"/>
  <c r="E53" i="40"/>
  <c r="E53" i="37"/>
  <c r="E41" i="40"/>
  <c r="E41" i="37"/>
  <c r="E51" i="27"/>
  <c r="E43" i="40"/>
  <c r="E43" i="37"/>
  <c r="E55" i="40"/>
  <c r="E55" i="37"/>
  <c r="E27" i="37"/>
  <c r="E27" i="40"/>
  <c r="E27" i="27"/>
  <c r="E31" i="40"/>
  <c r="E31" i="37"/>
  <c r="E31" i="27"/>
  <c r="C40" i="33"/>
  <c r="C40" i="37"/>
  <c r="C40" i="40"/>
  <c r="C64" i="37"/>
  <c r="C40" i="27"/>
  <c r="C64" i="33"/>
  <c r="C64" i="40"/>
  <c r="C64" i="27"/>
  <c r="C40" i="35"/>
  <c r="C64" i="35"/>
  <c r="C67" i="37"/>
  <c r="C43" i="27"/>
  <c r="C67" i="40"/>
  <c r="C43" i="37"/>
  <c r="C43" i="35"/>
  <c r="C67" i="33"/>
  <c r="C43" i="40"/>
  <c r="C43" i="33"/>
  <c r="C67" i="27"/>
  <c r="C67" i="35"/>
  <c r="E56" i="37"/>
  <c r="E44" i="40"/>
  <c r="E56" i="40"/>
  <c r="E44" i="37"/>
  <c r="E56" i="35"/>
  <c r="C31" i="35"/>
  <c r="C31" i="33"/>
  <c r="C31" i="37"/>
  <c r="C31" i="40"/>
  <c r="C31" i="27"/>
  <c r="E39" i="27"/>
  <c r="D54" i="37"/>
  <c r="D42" i="27"/>
  <c r="D42" i="35"/>
  <c r="D66" i="37"/>
  <c r="D66" i="27"/>
  <c r="D66" i="40"/>
  <c r="D31" i="40"/>
  <c r="D54" i="40"/>
  <c r="D67" i="40"/>
  <c r="D55" i="40"/>
  <c r="D30" i="40"/>
  <c r="D30" i="37"/>
  <c r="D42" i="40"/>
  <c r="D43" i="27"/>
  <c r="D43" i="35"/>
  <c r="D43" i="33"/>
  <c r="D55" i="27"/>
  <c r="D55" i="37"/>
  <c r="D31" i="27"/>
  <c r="D43" i="40"/>
  <c r="D67" i="27"/>
  <c r="D54" i="27"/>
  <c r="D31" i="37"/>
  <c r="D50" i="27"/>
  <c r="D40" i="40"/>
  <c r="D40" i="37"/>
  <c r="D41" i="27"/>
  <c r="D41" i="35"/>
  <c r="D40" i="27"/>
  <c r="D65" i="27"/>
  <c r="D41" i="33"/>
  <c r="D65" i="40"/>
  <c r="D29" i="40"/>
  <c r="D39" i="35"/>
  <c r="D41" i="40"/>
  <c r="D52" i="37"/>
  <c r="D27" i="40"/>
  <c r="D26" i="40"/>
  <c r="D64" i="37"/>
  <c r="D63" i="40"/>
  <c r="D40" i="35"/>
  <c r="D62" i="40"/>
  <c r="D50" i="40"/>
  <c r="D65" i="37"/>
  <c r="D51" i="40"/>
  <c r="D26" i="27"/>
  <c r="D52" i="40"/>
  <c r="D29" i="37"/>
  <c r="D39" i="40"/>
  <c r="D39" i="27"/>
  <c r="D53" i="37"/>
  <c r="D39" i="37"/>
  <c r="D63" i="37"/>
  <c r="D27" i="37"/>
  <c r="D62" i="37"/>
  <c r="D52" i="27"/>
  <c r="D51" i="37"/>
  <c r="D63" i="27"/>
  <c r="D50" i="37"/>
  <c r="D28" i="27"/>
  <c r="D26" i="37"/>
  <c r="D53" i="40"/>
  <c r="D53" i="27"/>
  <c r="D28" i="37"/>
  <c r="D28" i="40"/>
  <c r="D64" i="27"/>
  <c r="D38" i="35"/>
  <c r="F49" i="40"/>
  <c r="F61" i="40"/>
  <c r="D38" i="33"/>
  <c r="D38" i="40"/>
  <c r="D38" i="37"/>
  <c r="D51" i="27"/>
  <c r="F37" i="40"/>
  <c r="J37" i="40" s="1"/>
  <c r="F25" i="37"/>
  <c r="F25" i="40"/>
  <c r="F49" i="37"/>
  <c r="G49" i="37" s="1"/>
  <c r="F37" i="33"/>
  <c r="G13" i="35"/>
  <c r="F37" i="37"/>
  <c r="G37" i="37" s="1"/>
  <c r="F61" i="37"/>
  <c r="G13" i="40"/>
  <c r="J13" i="35"/>
  <c r="F37" i="27"/>
  <c r="G13" i="33"/>
  <c r="F37" i="35"/>
  <c r="J37" i="35" s="1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G20" i="37" l="1"/>
  <c r="G16" i="35"/>
  <c r="G20" i="35"/>
  <c r="G19" i="40"/>
  <c r="G17" i="40"/>
  <c r="J20" i="40"/>
  <c r="G17" i="37"/>
  <c r="J19" i="37"/>
  <c r="G15" i="27"/>
  <c r="G16" i="33"/>
  <c r="G18" i="33"/>
  <c r="G20" i="33"/>
  <c r="J16" i="37"/>
  <c r="J16" i="27"/>
  <c r="G20" i="27"/>
  <c r="G14" i="37"/>
  <c r="G17" i="33"/>
  <c r="G14" i="40"/>
  <c r="J18" i="40"/>
  <c r="J15" i="40"/>
  <c r="G19" i="35"/>
  <c r="G19" i="27"/>
  <c r="G15" i="35"/>
  <c r="J18" i="37"/>
  <c r="J14" i="27"/>
  <c r="J19" i="33"/>
  <c r="J16" i="40"/>
  <c r="J14" i="33"/>
  <c r="G15" i="37"/>
  <c r="J17" i="35"/>
  <c r="G15" i="33"/>
  <c r="J17" i="27"/>
  <c r="G18" i="27"/>
  <c r="J14" i="35"/>
  <c r="G18" i="35"/>
  <c r="F40" i="33"/>
  <c r="G40" i="33" s="1"/>
  <c r="F67" i="37"/>
  <c r="J67" i="37" s="1"/>
  <c r="F30" i="40"/>
  <c r="J30" i="40" s="1"/>
  <c r="F67" i="40"/>
  <c r="G67" i="40" s="1"/>
  <c r="F43" i="27"/>
  <c r="J43" i="27" s="1"/>
  <c r="F50" i="40"/>
  <c r="J50" i="40" s="1"/>
  <c r="F26" i="37"/>
  <c r="J26" i="37" s="1"/>
  <c r="F63" i="40"/>
  <c r="J63" i="40" s="1"/>
  <c r="F62" i="40"/>
  <c r="J62" i="40" s="1"/>
  <c r="F64" i="40"/>
  <c r="G64" i="40" s="1"/>
  <c r="F68" i="40"/>
  <c r="J68" i="40" s="1"/>
  <c r="F27" i="40"/>
  <c r="J27" i="40" s="1"/>
  <c r="F66" i="40"/>
  <c r="G66" i="40" s="1"/>
  <c r="F54" i="40"/>
  <c r="J54" i="40" s="1"/>
  <c r="F32" i="40"/>
  <c r="J32" i="40" s="1"/>
  <c r="G61" i="40"/>
  <c r="J61" i="40"/>
  <c r="F65" i="40"/>
  <c r="J65" i="40" s="1"/>
  <c r="F27" i="37"/>
  <c r="G27" i="37" s="1"/>
  <c r="F30" i="37"/>
  <c r="G30" i="37" s="1"/>
  <c r="F32" i="37"/>
  <c r="J32" i="37" s="1"/>
  <c r="G49" i="40"/>
  <c r="F55" i="40"/>
  <c r="J55" i="40" s="1"/>
  <c r="F53" i="40"/>
  <c r="J53" i="40" s="1"/>
  <c r="F56" i="40"/>
  <c r="J56" i="40" s="1"/>
  <c r="J49" i="40"/>
  <c r="F51" i="40"/>
  <c r="J51" i="40" s="1"/>
  <c r="F52" i="40"/>
  <c r="J52" i="40" s="1"/>
  <c r="F31" i="40"/>
  <c r="J31" i="40" s="1"/>
  <c r="G37" i="40"/>
  <c r="F29" i="40"/>
  <c r="J29" i="40" s="1"/>
  <c r="G25" i="40"/>
  <c r="J25" i="40"/>
  <c r="F42" i="40"/>
  <c r="G42" i="40" s="1"/>
  <c r="F43" i="40"/>
  <c r="J43" i="40" s="1"/>
  <c r="F40" i="40"/>
  <c r="J40" i="40" s="1"/>
  <c r="F44" i="40"/>
  <c r="J44" i="40" s="1"/>
  <c r="F39" i="40"/>
  <c r="G39" i="40" s="1"/>
  <c r="F41" i="40"/>
  <c r="G41" i="40" s="1"/>
  <c r="F38" i="40"/>
  <c r="G38" i="40" s="1"/>
  <c r="F28" i="40"/>
  <c r="J28" i="40" s="1"/>
  <c r="F28" i="37"/>
  <c r="J28" i="37" s="1"/>
  <c r="J61" i="37"/>
  <c r="F31" i="37"/>
  <c r="G31" i="37" s="1"/>
  <c r="F50" i="37"/>
  <c r="J50" i="37" s="1"/>
  <c r="G61" i="37"/>
  <c r="G25" i="37"/>
  <c r="J25" i="37"/>
  <c r="F29" i="37"/>
  <c r="G29" i="37" s="1"/>
  <c r="J37" i="33"/>
  <c r="F39" i="33"/>
  <c r="G39" i="33" s="1"/>
  <c r="F51" i="37"/>
  <c r="G51" i="37" s="1"/>
  <c r="F44" i="33"/>
  <c r="G44" i="33" s="1"/>
  <c r="F38" i="33"/>
  <c r="J38" i="33" s="1"/>
  <c r="F42" i="33"/>
  <c r="G42" i="33" s="1"/>
  <c r="F44" i="37"/>
  <c r="J44" i="37" s="1"/>
  <c r="F43" i="37"/>
  <c r="J43" i="37" s="1"/>
  <c r="F41" i="37"/>
  <c r="J41" i="37" s="1"/>
  <c r="F40" i="37"/>
  <c r="G40" i="37" s="1"/>
  <c r="F54" i="37"/>
  <c r="J54" i="37" s="1"/>
  <c r="F52" i="37"/>
  <c r="G52" i="37" s="1"/>
  <c r="F55" i="37"/>
  <c r="J55" i="37" s="1"/>
  <c r="F53" i="37"/>
  <c r="G53" i="37" s="1"/>
  <c r="F68" i="37"/>
  <c r="G68" i="37" s="1"/>
  <c r="F26" i="40"/>
  <c r="G26" i="40" s="1"/>
  <c r="F41" i="33"/>
  <c r="J41" i="33" s="1"/>
  <c r="F40" i="27"/>
  <c r="J40" i="27" s="1"/>
  <c r="F43" i="33"/>
  <c r="J43" i="33" s="1"/>
  <c r="F42" i="27"/>
  <c r="G42" i="27" s="1"/>
  <c r="F56" i="37"/>
  <c r="J56" i="37" s="1"/>
  <c r="J49" i="37"/>
  <c r="G37" i="33"/>
  <c r="F62" i="37"/>
  <c r="G62" i="37" s="1"/>
  <c r="F63" i="37"/>
  <c r="J63" i="37" s="1"/>
  <c r="J37" i="37"/>
  <c r="F38" i="35"/>
  <c r="G38" i="35" s="1"/>
  <c r="F42" i="37"/>
  <c r="J42" i="37" s="1"/>
  <c r="F44" i="35"/>
  <c r="J44" i="35" s="1"/>
  <c r="F65" i="37"/>
  <c r="G65" i="37" s="1"/>
  <c r="F44" i="27"/>
  <c r="G44" i="27" s="1"/>
  <c r="J37" i="27"/>
  <c r="F38" i="27"/>
  <c r="J38" i="27" s="1"/>
  <c r="F41" i="27"/>
  <c r="G41" i="27" s="1"/>
  <c r="F39" i="27"/>
  <c r="J39" i="27" s="1"/>
  <c r="F66" i="37"/>
  <c r="G66" i="37" s="1"/>
  <c r="F40" i="35"/>
  <c r="J40" i="35" s="1"/>
  <c r="G37" i="27"/>
  <c r="F41" i="35"/>
  <c r="J41" i="35" s="1"/>
  <c r="F64" i="37"/>
  <c r="J64" i="37" s="1"/>
  <c r="G37" i="35"/>
  <c r="F39" i="35"/>
  <c r="J39" i="35" s="1"/>
  <c r="F38" i="37"/>
  <c r="J38" i="37" s="1"/>
  <c r="F43" i="35"/>
  <c r="G43" i="35" s="1"/>
  <c r="F39" i="37"/>
  <c r="J39" i="37" s="1"/>
  <c r="F42" i="35"/>
  <c r="J42" i="35" s="1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J40" i="33" l="1"/>
  <c r="G43" i="27"/>
  <c r="J67" i="40"/>
  <c r="G67" i="37"/>
  <c r="G30" i="40"/>
  <c r="G26" i="37"/>
  <c r="G32" i="40"/>
  <c r="G54" i="40"/>
  <c r="G62" i="40"/>
  <c r="J64" i="40"/>
  <c r="G68" i="40"/>
  <c r="G63" i="40"/>
  <c r="J66" i="40"/>
  <c r="G50" i="40"/>
  <c r="G27" i="40"/>
  <c r="G55" i="40"/>
  <c r="J27" i="37"/>
  <c r="J30" i="37"/>
  <c r="G53" i="40"/>
  <c r="J41" i="40"/>
  <c r="G32" i="37"/>
  <c r="G42" i="37"/>
  <c r="G43" i="40"/>
  <c r="G52" i="40"/>
  <c r="G65" i="40"/>
  <c r="G29" i="40"/>
  <c r="G51" i="40"/>
  <c r="G44" i="37"/>
  <c r="J42" i="40"/>
  <c r="G40" i="40"/>
  <c r="G56" i="40"/>
  <c r="J29" i="37"/>
  <c r="G50" i="37"/>
  <c r="J31" i="37"/>
  <c r="G31" i="40"/>
  <c r="J39" i="40"/>
  <c r="J39" i="33"/>
  <c r="G44" i="40"/>
  <c r="J38" i="40"/>
  <c r="G28" i="40"/>
  <c r="J51" i="37"/>
  <c r="J62" i="37"/>
  <c r="G28" i="37"/>
  <c r="G41" i="37"/>
  <c r="G43" i="37"/>
  <c r="G56" i="37"/>
  <c r="G38" i="33"/>
  <c r="J43" i="35"/>
  <c r="J40" i="37"/>
  <c r="J44" i="33"/>
  <c r="J66" i="37"/>
  <c r="G40" i="27"/>
  <c r="J52" i="37"/>
  <c r="G43" i="33"/>
  <c r="G55" i="37"/>
  <c r="J53" i="37"/>
  <c r="G41" i="33"/>
  <c r="G54" i="37"/>
  <c r="J68" i="37"/>
  <c r="J26" i="40"/>
  <c r="J42" i="33"/>
  <c r="G63" i="37"/>
  <c r="G38" i="27"/>
  <c r="J41" i="27"/>
  <c r="G44" i="35"/>
  <c r="J38" i="35"/>
  <c r="G42" i="35"/>
  <c r="J42" i="27"/>
  <c r="J44" i="27"/>
  <c r="G39" i="27"/>
  <c r="G41" i="35"/>
  <c r="J65" i="37"/>
  <c r="G38" i="37"/>
  <c r="G39" i="37"/>
  <c r="G64" i="37"/>
  <c r="G39" i="35"/>
  <c r="G40" i="35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0" i="20"/>
  <c r="AC68" i="20"/>
  <c r="AC49" i="20"/>
  <c r="AC40" i="20"/>
  <c r="AC43" i="20"/>
  <c r="AC28" i="20"/>
  <c r="AC13" i="20"/>
  <c r="AC63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C89" i="20"/>
  <c r="AM101" i="20"/>
  <c r="AM93" i="20"/>
  <c r="AM61" i="20"/>
  <c r="AN28" i="20"/>
  <c r="AC79" i="20"/>
  <c r="P26" i="20"/>
  <c r="O26" i="20"/>
  <c r="C26" i="20"/>
  <c r="D26" i="20"/>
  <c r="E6" i="20"/>
  <c r="AM15" i="20" s="1"/>
  <c r="AN12" i="20" l="1"/>
  <c r="AM28" i="20"/>
  <c r="AC67" i="20"/>
  <c r="AC50" i="20"/>
  <c r="AC11" i="20"/>
  <c r="AC59" i="20"/>
  <c r="AC31" i="20"/>
  <c r="AC61" i="20"/>
  <c r="AC42" i="20"/>
  <c r="AC10" i="20"/>
  <c r="AC51" i="20"/>
  <c r="AC27" i="20"/>
  <c r="AC32" i="20"/>
  <c r="AC46" i="20"/>
  <c r="AC71" i="20"/>
  <c r="AC15" i="20"/>
  <c r="AD32" i="20"/>
  <c r="H13" i="33"/>
  <c r="I17" i="33"/>
  <c r="I16" i="33"/>
  <c r="I14" i="33"/>
  <c r="I15" i="33"/>
  <c r="I20" i="33"/>
  <c r="I18" i="33"/>
  <c r="I19" i="33"/>
  <c r="H13" i="35"/>
  <c r="I16" i="35"/>
  <c r="I20" i="35"/>
  <c r="I17" i="35"/>
  <c r="I18" i="35"/>
  <c r="I19" i="35"/>
  <c r="I14" i="35"/>
  <c r="I15" i="35"/>
  <c r="H13" i="37"/>
  <c r="I16" i="37"/>
  <c r="I15" i="37"/>
  <c r="I20" i="37"/>
  <c r="I19" i="37"/>
  <c r="I18" i="37"/>
  <c r="I14" i="37"/>
  <c r="I17" i="37"/>
  <c r="H13" i="40"/>
  <c r="I15" i="40"/>
  <c r="I16" i="40"/>
  <c r="I20" i="40"/>
  <c r="I17" i="40"/>
  <c r="I14" i="40"/>
  <c r="I18" i="40"/>
  <c r="I19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31" i="20"/>
  <c r="AD42" i="20"/>
  <c r="AN42" i="20"/>
  <c r="AM42" i="20"/>
  <c r="AC85" i="20"/>
  <c r="AM51" i="20"/>
  <c r="J26" i="20"/>
  <c r="E7" i="20"/>
  <c r="AM6" i="20" s="1"/>
  <c r="AN6" i="20" l="1"/>
  <c r="AC16" i="20"/>
  <c r="AC66" i="20"/>
  <c r="AC23" i="20"/>
  <c r="AC52" i="20"/>
  <c r="AC33" i="20"/>
  <c r="AC6" i="20"/>
  <c r="AC72" i="20"/>
  <c r="AM33" i="20"/>
  <c r="AM16" i="20"/>
  <c r="AD16" i="20"/>
  <c r="AD48" i="20"/>
  <c r="AN16" i="20"/>
  <c r="AN48" i="20"/>
  <c r="AD6" i="20"/>
  <c r="H25" i="35" a="1"/>
  <c r="I13" i="35"/>
  <c r="H25" i="40" a="1"/>
  <c r="I13" i="40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AW67" i="20"/>
  <c r="AC87" i="20"/>
  <c r="AN100" i="20"/>
  <c r="AM49" i="20"/>
  <c r="AM77" i="20"/>
  <c r="AX100" i="20"/>
  <c r="AN32" i="20"/>
  <c r="AM23" i="20"/>
  <c r="AM87" i="20"/>
  <c r="AW23" i="20"/>
  <c r="AW87" i="20"/>
  <c r="AX32" i="20"/>
  <c r="AD100" i="20"/>
  <c r="AC77" i="20"/>
  <c r="AW33" i="20"/>
  <c r="AM27" i="20"/>
  <c r="E8" i="20"/>
  <c r="AW77" i="20" s="1"/>
  <c r="AW27" i="20" l="1"/>
  <c r="BG7" i="20"/>
  <c r="AW49" i="20"/>
  <c r="AW7" i="20"/>
  <c r="AM7" i="20"/>
  <c r="AC65" i="20"/>
  <c r="AC17" i="20"/>
  <c r="AC22" i="20"/>
  <c r="AC7" i="20"/>
  <c r="AC73" i="20"/>
  <c r="AC45" i="20"/>
  <c r="AC53" i="20"/>
  <c r="AC34" i="20"/>
  <c r="AC82" i="20"/>
  <c r="AM79" i="20"/>
  <c r="AM82" i="20"/>
  <c r="AN82" i="20"/>
  <c r="AD82" i="20"/>
  <c r="AM17" i="20"/>
  <c r="AD22" i="20"/>
  <c r="BG53" i="20"/>
  <c r="AM53" i="20"/>
  <c r="AM22" i="20"/>
  <c r="BG73" i="20"/>
  <c r="AN22" i="20"/>
  <c r="H25" i="37"/>
  <c r="I32" i="37"/>
  <c r="I26" i="37"/>
  <c r="I28" i="37"/>
  <c r="I27" i="37"/>
  <c r="I29" i="37"/>
  <c r="I31" i="37"/>
  <c r="I30" i="37"/>
  <c r="H25" i="33"/>
  <c r="I31" i="33"/>
  <c r="I32" i="33"/>
  <c r="I26" i="33"/>
  <c r="I29" i="33"/>
  <c r="I27" i="33"/>
  <c r="I28" i="33"/>
  <c r="I30" i="33"/>
  <c r="H25" i="40"/>
  <c r="I27" i="40"/>
  <c r="I26" i="40"/>
  <c r="I28" i="40"/>
  <c r="I32" i="40"/>
  <c r="I30" i="40"/>
  <c r="I29" i="40"/>
  <c r="I31" i="40"/>
  <c r="H25" i="35"/>
  <c r="I30" i="35"/>
  <c r="I27" i="35"/>
  <c r="I26" i="35"/>
  <c r="I29" i="35"/>
  <c r="I28" i="35"/>
  <c r="I32" i="35"/>
  <c r="I31" i="35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35" i="20" l="1"/>
  <c r="AC44" i="20"/>
  <c r="AC26" i="20"/>
  <c r="AC54" i="20"/>
  <c r="AC18" i="20"/>
  <c r="AC74" i="20"/>
  <c r="AC64" i="20"/>
  <c r="AC9" i="20"/>
  <c r="AD44" i="20"/>
  <c r="AM64" i="20"/>
  <c r="AN44" i="20"/>
  <c r="AD64" i="20"/>
  <c r="AN64" i="20"/>
  <c r="AM44" i="20"/>
  <c r="AN74" i="20"/>
  <c r="AM85" i="20"/>
  <c r="AM35" i="20"/>
  <c r="AD74" i="20"/>
  <c r="AX18" i="20"/>
  <c r="BH44" i="20"/>
  <c r="AN18" i="20"/>
  <c r="AD18" i="20"/>
  <c r="AW44" i="20"/>
  <c r="AW15" i="20"/>
  <c r="BH18" i="20"/>
  <c r="AX44" i="20"/>
  <c r="BG44" i="20"/>
  <c r="H37" i="33" a="1"/>
  <c r="I25" i="33"/>
  <c r="H37" i="35" a="1"/>
  <c r="I25" i="35"/>
  <c r="H37" i="40" a="1"/>
  <c r="I25" i="40"/>
  <c r="H37" i="37" a="1"/>
  <c r="I25" i="37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75" i="20"/>
  <c r="AC55" i="20"/>
  <c r="AC19" i="20"/>
  <c r="AC8" i="20"/>
  <c r="AM8" i="20"/>
  <c r="AN8" i="20"/>
  <c r="AM19" i="20"/>
  <c r="AD8" i="20"/>
  <c r="AM75" i="20"/>
  <c r="BG81" i="20"/>
  <c r="AX36" i="20"/>
  <c r="AM36" i="20"/>
  <c r="AN36" i="20"/>
  <c r="AD36" i="20"/>
  <c r="BH36" i="20"/>
  <c r="AW36" i="20"/>
  <c r="BG36" i="20"/>
  <c r="AW19" i="20"/>
  <c r="AW75" i="20"/>
  <c r="AW25" i="20"/>
  <c r="BG75" i="20"/>
  <c r="AM25" i="20"/>
  <c r="AX8" i="20"/>
  <c r="BG8" i="20"/>
  <c r="BG19" i="20"/>
  <c r="AW8" i="20"/>
  <c r="BG25" i="20"/>
  <c r="BH8" i="20"/>
  <c r="AW59" i="20"/>
  <c r="AW40" i="20"/>
  <c r="H37" i="37"/>
  <c r="I38" i="37"/>
  <c r="I44" i="37"/>
  <c r="I39" i="37"/>
  <c r="I43" i="37"/>
  <c r="I41" i="37"/>
  <c r="I42" i="37"/>
  <c r="I40" i="37"/>
  <c r="H37" i="40"/>
  <c r="I43" i="40"/>
  <c r="I44" i="40"/>
  <c r="I38" i="40"/>
  <c r="I41" i="40"/>
  <c r="I42" i="40"/>
  <c r="I39" i="40"/>
  <c r="I40" i="40"/>
  <c r="H37" i="35"/>
  <c r="I40" i="35"/>
  <c r="I44" i="35"/>
  <c r="I42" i="35"/>
  <c r="I39" i="35"/>
  <c r="I41" i="35"/>
  <c r="I38" i="35"/>
  <c r="I43" i="35"/>
  <c r="H37" i="33"/>
  <c r="I38" i="33"/>
  <c r="I44" i="33"/>
  <c r="I39" i="33"/>
  <c r="I42" i="33"/>
  <c r="I40" i="33"/>
  <c r="I41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17" i="20"/>
  <c r="BH64" i="20"/>
  <c r="BH52" i="20"/>
  <c r="BH48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52" i="20"/>
  <c r="AW64" i="20"/>
  <c r="AN52" i="20"/>
  <c r="AM45" i="20"/>
  <c r="AW52" i="20"/>
  <c r="AX52" i="20"/>
  <c r="AM14" i="20"/>
  <c r="AW45" i="20"/>
  <c r="AN14" i="20"/>
  <c r="AW14" i="20"/>
  <c r="AD26" i="20"/>
  <c r="AX14" i="20"/>
  <c r="AD34" i="20"/>
  <c r="AW31" i="20"/>
  <c r="AX48" i="20"/>
  <c r="AX64" i="20"/>
  <c r="AD52" i="20"/>
  <c r="AN26" i="20"/>
  <c r="AM26" i="20"/>
  <c r="AM34" i="20"/>
  <c r="AW17" i="20"/>
  <c r="AN34" i="20"/>
  <c r="AM67" i="20"/>
  <c r="AW26" i="20"/>
  <c r="AW34" i="20"/>
  <c r="E11" i="20"/>
  <c r="AW5" i="20" s="1"/>
  <c r="AD20" i="20" l="1"/>
  <c r="AW20" i="20"/>
  <c r="AN20" i="20"/>
  <c r="AM20" i="20"/>
  <c r="BH20" i="20"/>
  <c r="BG37" i="20"/>
  <c r="AW37" i="20"/>
  <c r="AX20" i="20"/>
  <c r="AM37" i="20"/>
  <c r="AC56" i="20"/>
  <c r="AC20" i="20"/>
  <c r="AC5" i="20"/>
  <c r="AC37" i="20"/>
  <c r="AC24" i="20"/>
  <c r="AX24" i="20"/>
  <c r="AN24" i="20"/>
  <c r="AM5" i="20"/>
  <c r="AD24" i="20"/>
  <c r="AM24" i="20"/>
  <c r="BG5" i="20"/>
  <c r="AM80" i="20"/>
  <c r="AD80" i="20"/>
  <c r="AN80" i="20"/>
  <c r="BH80" i="20"/>
  <c r="AC80" i="20"/>
  <c r="AW80" i="20"/>
  <c r="AX80" i="20"/>
  <c r="BG80" i="20"/>
  <c r="BG20" i="20"/>
  <c r="H49" i="33" a="1"/>
  <c r="I37" i="33"/>
  <c r="H49" i="40" a="1"/>
  <c r="I37" i="40"/>
  <c r="H49" i="37" a="1"/>
  <c r="I37" i="37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21" i="20" l="1"/>
  <c r="AC57" i="20"/>
  <c r="AC39" i="20"/>
  <c r="AC4" i="20"/>
  <c r="AW57" i="20"/>
  <c r="AM57" i="20"/>
  <c r="BG57" i="20"/>
  <c r="BH4" i="20"/>
  <c r="H49" i="35"/>
  <c r="I53" i="35"/>
  <c r="I54" i="35"/>
  <c r="I55" i="35"/>
  <c r="I52" i="35"/>
  <c r="I51" i="35"/>
  <c r="I56" i="35"/>
  <c r="I50" i="35"/>
  <c r="H49" i="37"/>
  <c r="I56" i="37"/>
  <c r="I55" i="37"/>
  <c r="I54" i="37"/>
  <c r="I51" i="37"/>
  <c r="I50" i="37"/>
  <c r="I52" i="37"/>
  <c r="I53" i="37"/>
  <c r="H49" i="40"/>
  <c r="I50" i="40"/>
  <c r="I56" i="40"/>
  <c r="I54" i="40"/>
  <c r="I55" i="40"/>
  <c r="I52" i="40"/>
  <c r="I51" i="40"/>
  <c r="I53" i="40"/>
  <c r="H49" i="33"/>
  <c r="I54" i="33"/>
  <c r="I56" i="33"/>
  <c r="I52" i="33"/>
  <c r="I53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8" i="20" l="1"/>
  <c r="AC58" i="20"/>
  <c r="AC3" i="20"/>
  <c r="AM3" i="20"/>
  <c r="AD38" i="20"/>
  <c r="AM38" i="20"/>
  <c r="AN38" i="20"/>
  <c r="BG3" i="20"/>
  <c r="AW3" i="20"/>
  <c r="AM58" i="20"/>
  <c r="BH58" i="20"/>
  <c r="AD58" i="20"/>
  <c r="AX58" i="20"/>
  <c r="AN58" i="20"/>
  <c r="BH38" i="20"/>
  <c r="BG58" i="20"/>
  <c r="AX38" i="20"/>
  <c r="AW58" i="20"/>
  <c r="H61" i="33" a="1"/>
  <c r="I49" i="33"/>
  <c r="H61" i="37" a="1"/>
  <c r="I49" i="37"/>
  <c r="H61" i="40" a="1"/>
  <c r="I49" i="40"/>
  <c r="H61" i="35" a="1"/>
  <c r="I49" i="35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12" i="20" l="1"/>
  <c r="AC29" i="20"/>
  <c r="AC48" i="20"/>
  <c r="AC69" i="20"/>
  <c r="AM12" i="20"/>
  <c r="AM48" i="20"/>
  <c r="AM69" i="20"/>
  <c r="AM29" i="20"/>
  <c r="BG48" i="20"/>
  <c r="AW48" i="20"/>
  <c r="AW69" i="20"/>
  <c r="BG69" i="20"/>
  <c r="AW12" i="20"/>
  <c r="BG12" i="20"/>
  <c r="H61" i="40"/>
  <c r="I61" i="40" s="1"/>
  <c r="I68" i="40"/>
  <c r="I62" i="40"/>
  <c r="I63" i="40"/>
  <c r="I64" i="40"/>
  <c r="I67" i="40"/>
  <c r="I65" i="40"/>
  <c r="I66" i="40"/>
  <c r="H61" i="35"/>
  <c r="I61" i="35" s="1"/>
  <c r="I68" i="35"/>
  <c r="I64" i="35"/>
  <c r="I67" i="35"/>
  <c r="I66" i="35"/>
  <c r="I65" i="35"/>
  <c r="I62" i="35"/>
  <c r="I63" i="35"/>
  <c r="H61" i="37"/>
  <c r="I61" i="37" s="1"/>
  <c r="I67" i="37"/>
  <c r="I63" i="37"/>
  <c r="I64" i="37"/>
  <c r="I68" i="37"/>
  <c r="I62" i="37"/>
  <c r="I66" i="37"/>
  <c r="I65" i="37"/>
  <c r="H61" i="33"/>
  <c r="I61" i="33" s="1"/>
  <c r="I66" i="33"/>
  <c r="I64" i="33"/>
  <c r="I65" i="33"/>
  <c r="I63" i="33"/>
  <c r="I62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3" l="1"/>
  <c r="I2" i="33" s="1"/>
  <c r="I1" i="35"/>
  <c r="I2" i="35" s="1"/>
  <c r="I1" i="37"/>
  <c r="I1" i="40"/>
  <c r="I1" i="27"/>
  <c r="I1" i="26"/>
  <c r="I1" i="24"/>
  <c r="AD57" i="20"/>
  <c r="E16" i="20"/>
  <c r="BH47" i="20" s="1"/>
  <c r="AD83" i="20" l="1"/>
  <c r="M23" i="40"/>
  <c r="M21" i="40"/>
  <c r="M22" i="40"/>
  <c r="M25" i="40"/>
  <c r="M24" i="40"/>
  <c r="M23" i="37"/>
  <c r="M24" i="37"/>
  <c r="M22" i="37"/>
  <c r="M25" i="37"/>
  <c r="M21" i="37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O21" i="37" l="1" a="1"/>
  <c r="O21" i="37" s="1"/>
  <c r="I2" i="37" s="1"/>
  <c r="AD61" i="20"/>
  <c r="AN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AN51" i="20"/>
  <c r="AD31" i="20"/>
  <c r="AN13" i="20"/>
  <c r="AN29" i="20"/>
  <c r="AN31" i="20"/>
  <c r="AD13" i="20"/>
  <c r="AD29" i="20"/>
  <c r="AD85" i="20"/>
  <c r="AD51" i="20"/>
  <c r="E19" i="20"/>
  <c r="BH33" i="20" s="1"/>
  <c r="AX62" i="20" l="1"/>
  <c r="AX47" i="20"/>
  <c r="AX70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2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AX49" i="20"/>
  <c r="E20" i="20"/>
  <c r="AX42" i="20" l="1"/>
  <c r="AD53" i="20"/>
  <c r="AN79" i="20"/>
  <c r="BH73" i="20"/>
  <c r="AN53" i="20"/>
  <c r="BH53" i="20"/>
  <c r="AD17" i="20"/>
  <c r="AN1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D73" i="20"/>
  <c r="AD97" i="20"/>
  <c r="AD9" i="20"/>
  <c r="AN9" i="20"/>
  <c r="AN73" i="20"/>
  <c r="AN97" i="20"/>
  <c r="AX9" i="20"/>
  <c r="AX73" i="20"/>
  <c r="AX89" i="20"/>
  <c r="AX97" i="20"/>
  <c r="E22" i="20"/>
  <c r="AX59" i="20" s="1"/>
  <c r="AX40" i="20" l="1"/>
  <c r="AD19" i="20"/>
  <c r="AN81" i="20"/>
  <c r="AN19" i="20"/>
  <c r="AD81" i="20"/>
  <c r="BH81" i="20"/>
  <c r="AX19" i="20"/>
  <c r="BH19" i="20"/>
  <c r="AX81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D5" i="20" l="1"/>
  <c r="AN5" i="20"/>
  <c r="BH5" i="20"/>
  <c r="AD37" i="20"/>
  <c r="AX37" i="20"/>
  <c r="BH37" i="20"/>
  <c r="AX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E24" i="20"/>
  <c r="AD21" i="20" s="1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<sst xmlns="http://schemas.openxmlformats.org/spreadsheetml/2006/main" count="12308" uniqueCount="296">
  <si>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</si>
  <si>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</si>
  <si>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</si>
  <si>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</si>
  <si>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</si>
  <si>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</si>
  <si>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</si>
  <si>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</si>
  <si>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</si>
  <si>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</si>
  <si>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</si>
  <si>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</si>
  <si>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</si>
  <si>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</si>
  <si>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</si>
  <si>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</si>
  <si>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</si>
  <si>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</si>
  <si>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</si>
  <si>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</si>
  <si>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</si>
  <si>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</si>
  <si>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</si>
  <si>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</si>
  <si>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</si>
  <si>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</si>
  <si>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</si>
  <si>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</si>
  <si>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</si>
  <si>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</si>
  <si>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</si>
  <si>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</si>
  <si>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</si>
  <si>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</si>
  <si>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</si>
  <si>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</si>
  <si>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</si>
  <si>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</si>
  <si>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</si>
  <si>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</si>
  <si>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</si>
  <si>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</si>
  <si>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</si>
  <si>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</si>
  <si>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</si>
  <si>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</si>
  <si>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</si>
  <si>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</si>
  <si>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</si>
  <si>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</si>
  <si>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</si>
  <si>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</si>
  <si>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</si>
  <si>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</si>
  <si>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</si>
  <si>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</si>
  <si>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</si>
  <si>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</si>
  <si>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</si>
  <si>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</si>
  <si>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</si>
  <si>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</si>
  <si>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</si>
  <si>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</si>
  <si>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</si>
  <si>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</si>
  <si>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</si>
  <si>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</si>
  <si>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</si>
  <si>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</si>
  <si>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</si>
  <si>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</si>
  <si>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</si>
  <si>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</si>
  <si>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</si>
  <si>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</si>
  <si>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</si>
  <si>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</si>
  <si>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</si>
  <si>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</si>
  <si>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</si>
  <si>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</si>
  <si>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</si>
  <si>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</si>
  <si>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</si>
  <si>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</si>
  <si>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</si>
  <si>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</si>
  <si>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</si>
  <si>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</si>
  <si>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</si>
  <si>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</si>
  <si>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</si>
  <si>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</si>
  <si>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</si>
  <si>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</si>
  <si>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</si>
  <si>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</si>
  <si>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</si>
  <si>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</si>
  <si>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</si>
  <si>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</si>
  <si>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</si>
  <si>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</si>
  <si>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</si>
  <si>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</si>
  <si>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</si>
  <si>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</si>
  <si>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</si>
  <si>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</si>
  <si>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</si>
  <si>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</si>
  <si>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</si>
  <si>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</si>
  <si>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</si>
  <si>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</si>
  <si>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</si>
  <si>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</si>
  <si>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</si>
  <si>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</si>
  <si>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</si>
  <si>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</si>
  <si>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</si>
  <si>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</si>
  <si>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</si>
  <si>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</si>
  <si>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</si>
  <si>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</si>
  <si>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</si>
  <si>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</si>
  <si>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</si>
  <si>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</si>
  <si>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</si>
  <si>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</si>
  <si>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</si>
  <si>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</si>
  <si>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</si>
  <si>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</si>
  <si>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</si>
  <si>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</si>
  <si>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</si>
  <si>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</si>
  <si>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</si>
  <si>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</si>
  <si>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</si>
  <si>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</si>
  <si>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</si>
  <si>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</si>
  <si>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</si>
  <si>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</si>
  <si>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</si>
  <si>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</si>
  <si>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</si>
  <si>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</si>
  <si>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</si>
  <si>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</si>
  <si>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</si>
  <si>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</si>
  <si>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</si>
  <si>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</si>
  <si>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</si>
  <si>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</si>
  <si>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</si>
  <si>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</si>
  <si>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</si>
  <si>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</si>
  <si>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</si>
  <si>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</si>
  <si>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</si>
  <si>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</si>
  <si>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</si>
  <si>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</si>
  <si>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</si>
  <si>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</si>
  <si>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</si>
  <si>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</si>
  <si>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</si>
  <si>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</si>
  <si>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</si>
  <si>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</si>
  <si>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</si>
  <si>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</si>
  <si>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</si>
  <si>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</si>
  <si>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</si>
  <si>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</si>
  <si>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</si>
  <si>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</si>
  <si>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</si>
  <si>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</si>
  <si>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</si>
  <si>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</si>
  <si>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</si>
  <si>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</si>
  <si>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</si>
  <si>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</si>
  <si>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</si>
  <si>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</si>
  <si>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</si>
  <si>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</si>
  <si>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</si>
  <si>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</si>
  <si>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</si>
  <si>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</si>
  <si>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</si>
  <si>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</si>
  <si>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</si>
  <si>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</si>
  <si>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</si>
  <si>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</si>
  <si>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</si>
  <si>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</si>
  <si>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</si>
  <si>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</si>
  <si>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</si>
  <si>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</si>
  <si>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</si>
  <si>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</si>
  <si>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</si>
  <si>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</si>
  <si>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</si>
  <si>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</si>
  <si>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</si>
  <si>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</si>
  <si>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</si>
  <si>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</si>
  <si>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</si>
  <si>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</si>
  <si>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</si>
  <si>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</si>
  <si>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</si>
  <si>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</si>
  <si>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</si>
  <si>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</si>
  <si>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</si>
  <si>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</si>
  <si>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</si>
  <si>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</si>
  <si>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</si>
  <si>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</si>
  <si>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</si>
  <si>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</si>
  <si>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</si>
  <si>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</si>
  <si>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</si>
  <si>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</si>
  <si>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</si>
  <si>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</si>
  <si>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</si>
  <si>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</si>
  <si>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</si>
  <si>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</si>
  <si>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</si>
  <si>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</si>
  <si>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</si>
  <si>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</si>
  <si>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</si>
  <si>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</si>
  <si>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</si>
  <si>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</si>
  <si>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</si>
  <si>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</si>
  <si>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</si>
  <si>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</si>
  <si>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</si>
  <si>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</si>
  <si>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</si>
  <si>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</si>
  <si>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</si>
  <si>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</si>
  <si>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H020192</t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</si>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</sst>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8.8626479911373526E-2</c:v>
                      </c:pt>
                      <c:pt idx="19">
                        <c:v>6.9700372930299626E-2</c:v>
                      </c:pt>
                      <c:pt idx="20">
                        <c:v>6.02061999397938E-2</c:v>
                      </c:pt>
                      <c:pt idx="21">
                        <c:v>7.3066039926933959E-2</c:v>
                      </c:pt>
                      <c:pt idx="22">
                        <c:v>0.13505305786494695</c:v>
                      </c:pt>
                      <c:pt idx="23">
                        <c:v>0.14935851485064147</c:v>
                      </c:pt>
                      <c:pt idx="24">
                        <c:v>7.873935192126065E-2</c:v>
                      </c:pt>
                      <c:pt idx="25">
                        <c:v>3.5934757964065242E-2</c:v>
                      </c:pt>
                      <c:pt idx="26">
                        <c:v>2.0501676979498323E-2</c:v>
                      </c:pt>
                      <c:pt idx="27">
                        <c:v>3.0088884969911116E-2</c:v>
                      </c:pt>
                      <c:pt idx="28">
                        <c:v>1.2760549987239449E-2</c:v>
                      </c:pt>
                      <c:pt idx="29">
                        <c:v>7.4087175925912824E-2</c:v>
                      </c:pt>
                      <c:pt idx="30">
                        <c:v>1.1141147988858851E-2</c:v>
                      </c:pt>
                      <c:pt idx="31">
                        <c:v>1.2768045987231955E-2</c:v>
                      </c:pt>
                      <c:pt idx="32">
                        <c:v>9.9502379900497616E-3</c:v>
                      </c:pt>
                      <c:pt idx="33">
                        <c:v>1.2383723987616276E-2</c:v>
                      </c:pt>
                      <c:pt idx="34">
                        <c:v>3.5712653964287348E-2</c:v>
                      </c:pt>
                      <c:pt idx="35">
                        <c:v>1.8814891981185109E-2</c:v>
                      </c:pt>
                      <c:pt idx="36">
                        <c:v>1.2433440987566559E-2</c:v>
                      </c:pt>
                      <c:pt idx="37">
                        <c:v>5.8564069941435927E-3</c:v>
                      </c:pt>
                      <c:pt idx="38">
                        <c:v>4.9549469950450533E-3</c:v>
                      </c:pt>
                      <c:pt idx="39">
                        <c:v>8.1519889918480106E-3</c:v>
                      </c:pt>
                      <c:pt idx="40">
                        <c:v>4.5747689954252308E-3</c:v>
                      </c:pt>
                      <c:pt idx="41">
                        <c:v>4.4476799955523198E-3</c:v>
                      </c:pt>
                      <c:pt idx="42">
                        <c:v>3.4186519965813478E-3</c:v>
                      </c:pt>
                      <c:pt idx="43">
                        <c:v>6.2424139937575862E-3</c:v>
                      </c:pt>
                      <c:pt idx="44">
                        <c:v>1.5548185984451814E-2</c:v>
                      </c:pt>
                      <c:pt idx="45">
                        <c:v>1.6171719983828279E-3</c:v>
                      </c:pt>
                      <c:pt idx="46">
                        <c:v>1.3099619986900379E-3</c:v>
                      </c:pt>
                      <c:pt idx="47">
                        <c:v>1.0427489989572509E-3</c:v>
                      </c:pt>
                      <c:pt idx="48">
                        <c:v>3.4632299965367698E-4</c:v>
                      </c:pt>
                      <c:pt idx="49">
                        <c:v>3.27566999672433E-4</c:v>
                      </c:pt>
                      <c:pt idx="50">
                        <c:v>3.0554199969445801E-4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0.14935851485064147</c:v>
                      </c:pt>
                      <c:pt idx="1">
                        <c:v>7.873935192126065E-2</c:v>
                      </c:pt>
                      <c:pt idx="2">
                        <c:v>3.5934757964065242E-2</c:v>
                      </c:pt>
                      <c:pt idx="3">
                        <c:v>2.0501676979498323E-2</c:v>
                      </c:pt>
                      <c:pt idx="4">
                        <c:v>3.0088884969911116E-2</c:v>
                      </c:pt>
                      <c:pt idx="5">
                        <c:v>1.2760549987239449E-2</c:v>
                      </c:pt>
                      <c:pt idx="6">
                        <c:v>7.4087175925912824E-2</c:v>
                      </c:pt>
                      <c:pt idx="7">
                        <c:v>1.1141147988858851E-2</c:v>
                      </c:pt>
                      <c:pt idx="8">
                        <c:v>1.2768045987231955E-2</c:v>
                      </c:pt>
                      <c:pt idx="9">
                        <c:v>9.9502379900497616E-3</c:v>
                      </c:pt>
                      <c:pt idx="10">
                        <c:v>1.2383723987616276E-2</c:v>
                      </c:pt>
                      <c:pt idx="11">
                        <c:v>3.5712653964287348E-2</c:v>
                      </c:pt>
                      <c:pt idx="12">
                        <c:v>1.5548185984451814E-2</c:v>
                      </c:pt>
                      <c:pt idx="13">
                        <c:v>1.6171719983828279E-3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D16" sqref="D16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H020192-2.0.0.0</v>
      </c>
      <c r="C1" s="11" t="s">
        <v>270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0.11403223896527781</v>
      </c>
      <c r="H5" s="188">
        <f>SUM('Multiplier Weight'!$N$12:$N$61)-I5-J5</f>
        <v>1.770460505420822E-2</v>
      </c>
      <c r="I5" s="188">
        <f>SUM('Multiplier Weight'!$N$15:$N$61)-J5</f>
        <v>2.036284941927391E-2</v>
      </c>
      <c r="J5" s="189">
        <f>SUM('Multiplier Weight'!$N$19:$N$61)</f>
        <v>3.7195305874717834E-3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0.11535026581859442</v>
      </c>
      <c r="H6" s="188">
        <f>SUM('Multiplier Weight'!N79:N126)-I6-J6</f>
        <v>2.297388522511979E-2</v>
      </c>
      <c r="I6" s="188">
        <f>SUM('Multiplier Weight'!N81:N126)-J6</f>
        <v>2.11631805526422E-2</v>
      </c>
      <c r="J6" s="189">
        <f>SUM('Multiplier Weight'!N87:N126)</f>
        <v>3.6851889674443233E-3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0.1458620989462498</v>
      </c>
      <c r="H7" s="188">
        <f>SUM('Multiplier Weight'!N153:N191)-I7-J7</f>
        <v>5.4962515913748559E-3</v>
      </c>
      <c r="I7" s="188">
        <f>SUM('Multiplier Weight'!N156:N191)-J7</f>
        <v>2.3092958057299023E-2</v>
      </c>
      <c r="J7" s="189">
        <f>SUM('Multiplier Weight'!N164:N191)</f>
        <v>4.1767056991204414E-3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1.0396634201786966E-2</v>
      </c>
      <c r="D8" s="141">
        <f ca="1">'Pay Combo Super Feature Buy'!$I$2</f>
        <v>3.7430545754079523</v>
      </c>
      <c r="E8" s="142">
        <f ca="1">SUM('Pay Combo Super Feature Buy'!$J$23:$J$32)</f>
        <v>0.23861415611265741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08" t="s">
        <v>293</v>
      </c>
      <c r="B18" s="309"/>
      <c r="C18" s="309"/>
      <c r="D18" s="309"/>
      <c r="E18" s="309"/>
      <c r="F18" s="310"/>
    </row>
    <row r="19" spans="1:6" ht="31.8" customHeight="1">
      <c r="A19" s="311"/>
      <c r="B19" s="312"/>
      <c r="C19" s="312"/>
      <c r="D19" s="312"/>
      <c r="E19" s="312"/>
      <c r="F19" s="313"/>
    </row>
    <row r="20" spans="1:6" ht="31.8" customHeight="1">
      <c r="A20" s="311"/>
      <c r="B20" s="312"/>
      <c r="C20" s="312"/>
      <c r="D20" s="312"/>
      <c r="E20" s="312"/>
      <c r="F20" s="313"/>
    </row>
    <row r="21" spans="1:6" ht="31.8" customHeight="1">
      <c r="A21" s="311"/>
      <c r="B21" s="312"/>
      <c r="C21" s="312"/>
      <c r="D21" s="312"/>
      <c r="E21" s="312"/>
      <c r="F21" s="313"/>
    </row>
    <row r="22" spans="1:6" ht="31.8" customHeight="1" thickBot="1">
      <c r="A22" s="314"/>
      <c r="B22" s="315"/>
      <c r="C22" s="315"/>
      <c r="D22" s="315"/>
      <c r="E22" s="315"/>
      <c r="F22" s="316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39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100</v>
      </c>
      <c r="S3" s="100">
        <v>467</v>
      </c>
      <c r="T3" s="100">
        <v>100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447</v>
      </c>
      <c r="S4" s="101">
        <v>584</v>
      </c>
      <c r="T4" s="101">
        <v>677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373</v>
      </c>
      <c r="S5" s="101">
        <v>701</v>
      </c>
      <c r="T5" s="101">
        <v>564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298</v>
      </c>
      <c r="S6" s="101">
        <v>100</v>
      </c>
      <c r="T6" s="101">
        <v>451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373</v>
      </c>
      <c r="S7" s="101">
        <v>100</v>
      </c>
      <c r="T7" s="101">
        <v>564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447</v>
      </c>
      <c r="S8" s="101">
        <v>100</v>
      </c>
      <c r="T8" s="101">
        <v>677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100</v>
      </c>
      <c r="S9" s="101">
        <v>100</v>
      </c>
      <c r="T9" s="101">
        <v>100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100</v>
      </c>
      <c r="S10" s="101">
        <v>100</v>
      </c>
      <c r="T10" s="101">
        <v>100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100</v>
      </c>
      <c r="S11" s="101">
        <v>100</v>
      </c>
      <c r="T11" s="101">
        <v>100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100</v>
      </c>
      <c r="S12" s="101">
        <v>100</v>
      </c>
      <c r="T12" s="101">
        <v>100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100</v>
      </c>
      <c r="S13" s="101">
        <v>100</v>
      </c>
      <c r="T13" s="101">
        <v>100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100</v>
      </c>
      <c r="S14" s="101">
        <v>100</v>
      </c>
      <c r="T14" s="101">
        <v>100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100</v>
      </c>
      <c r="S15" s="101">
        <v>100</v>
      </c>
      <c r="T15" s="101">
        <v>100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100</v>
      </c>
      <c r="S16" s="101">
        <v>100</v>
      </c>
      <c r="T16" s="101">
        <v>100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100</v>
      </c>
      <c r="S17" s="101">
        <v>100</v>
      </c>
      <c r="T17" s="101">
        <v>100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100</v>
      </c>
      <c r="S18" s="101">
        <v>100</v>
      </c>
      <c r="T18" s="101">
        <v>100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100</v>
      </c>
      <c r="S19" s="101">
        <v>100</v>
      </c>
      <c r="T19" s="101">
        <v>100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100</v>
      </c>
      <c r="S20" s="101">
        <v>100</v>
      </c>
      <c r="T20" s="101">
        <v>100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100</v>
      </c>
      <c r="S21" s="101">
        <v>100</v>
      </c>
      <c r="T21" s="101">
        <v>100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100</v>
      </c>
      <c r="S22" s="101">
        <v>100</v>
      </c>
      <c r="T22" s="101">
        <v>100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100</v>
      </c>
      <c r="S23" s="101">
        <v>701</v>
      </c>
      <c r="T23" s="101">
        <v>100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100</v>
      </c>
      <c r="S24" s="101">
        <v>584</v>
      </c>
      <c r="T24" s="101">
        <v>100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100</v>
      </c>
      <c r="S25" s="101">
        <v>467</v>
      </c>
      <c r="T25" s="101">
        <v>100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100</v>
      </c>
      <c r="S26" s="101">
        <v>584</v>
      </c>
      <c r="T26" s="101">
        <v>100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100</v>
      </c>
      <c r="S27" s="101">
        <v>701</v>
      </c>
      <c r="T27" s="101">
        <v>100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100</v>
      </c>
      <c r="S28" s="101">
        <v>100</v>
      </c>
      <c r="T28" s="101">
        <v>100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100</v>
      </c>
      <c r="S29" s="101">
        <v>100</v>
      </c>
      <c r="T29" s="101">
        <v>100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100</v>
      </c>
      <c r="S30" s="101">
        <v>100</v>
      </c>
      <c r="T30" s="101">
        <v>100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100</v>
      </c>
      <c r="S31" s="101">
        <v>100</v>
      </c>
      <c r="T31" s="101">
        <v>100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100</v>
      </c>
      <c r="S32" s="101">
        <v>100</v>
      </c>
      <c r="T32" s="101">
        <v>677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100</v>
      </c>
      <c r="S33" s="101">
        <v>100</v>
      </c>
      <c r="T33" s="101">
        <v>564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100</v>
      </c>
      <c r="S34" s="101">
        <v>100</v>
      </c>
      <c r="T34" s="101">
        <v>451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100</v>
      </c>
      <c r="S35" s="101">
        <v>100</v>
      </c>
      <c r="T35" s="101">
        <v>564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100</v>
      </c>
      <c r="S36" s="101">
        <v>100</v>
      </c>
      <c r="T36" s="101">
        <v>677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100</v>
      </c>
      <c r="S37" s="101">
        <v>100</v>
      </c>
      <c r="T37" s="101">
        <v>100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100</v>
      </c>
      <c r="S38" s="101">
        <v>100</v>
      </c>
      <c r="T38" s="101">
        <v>100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100</v>
      </c>
      <c r="S39" s="101">
        <v>100</v>
      </c>
      <c r="T39" s="101">
        <v>100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100</v>
      </c>
      <c r="S40" s="101">
        <v>100</v>
      </c>
      <c r="T40" s="101">
        <v>100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100</v>
      </c>
      <c r="S41" s="101">
        <v>100</v>
      </c>
      <c r="T41" s="101">
        <v>100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100</v>
      </c>
      <c r="S42" s="101">
        <v>100</v>
      </c>
      <c r="T42" s="101">
        <v>100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100</v>
      </c>
      <c r="S43" s="101">
        <v>100</v>
      </c>
      <c r="T43" s="101">
        <v>100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100</v>
      </c>
      <c r="S44" s="101">
        <v>100</v>
      </c>
      <c r="T44" s="101">
        <v>100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100</v>
      </c>
      <c r="S45" s="101">
        <v>100</v>
      </c>
      <c r="T45" s="101">
        <v>100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100</v>
      </c>
      <c r="S46" s="101">
        <v>100</v>
      </c>
      <c r="T46" s="101">
        <v>100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100</v>
      </c>
      <c r="S47" s="101">
        <v>100</v>
      </c>
      <c r="T47" s="101">
        <v>100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100</v>
      </c>
      <c r="S48" s="101">
        <v>100</v>
      </c>
      <c r="T48" s="101">
        <v>100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100</v>
      </c>
      <c r="S49" s="101">
        <v>100</v>
      </c>
      <c r="T49" s="101">
        <v>100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100</v>
      </c>
      <c r="S50" s="101">
        <v>100</v>
      </c>
      <c r="T50" s="101">
        <v>100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447</v>
      </c>
      <c r="S51" s="101">
        <v>701</v>
      </c>
      <c r="T51" s="101">
        <v>100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373</v>
      </c>
      <c r="S52" s="101">
        <v>584</v>
      </c>
      <c r="T52" s="101">
        <v>100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298</v>
      </c>
      <c r="S53" s="101">
        <v>467</v>
      </c>
      <c r="T53" s="101">
        <v>100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373</v>
      </c>
      <c r="S54" s="101">
        <v>584</v>
      </c>
      <c r="T54" s="101">
        <v>100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447</v>
      </c>
      <c r="S55" s="101">
        <v>701</v>
      </c>
      <c r="T55" s="101">
        <v>100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100</v>
      </c>
      <c r="S56" s="101">
        <v>100</v>
      </c>
      <c r="T56" s="101">
        <v>100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100</v>
      </c>
      <c r="S57" s="101">
        <v>100</v>
      </c>
      <c r="T57" s="101">
        <v>100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100</v>
      </c>
      <c r="S58" s="101">
        <v>100</v>
      </c>
      <c r="T58" s="101">
        <v>100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100</v>
      </c>
      <c r="S59" s="101">
        <v>100</v>
      </c>
      <c r="T59" s="101">
        <v>100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100</v>
      </c>
      <c r="S60" s="101">
        <v>100</v>
      </c>
      <c r="T60" s="101">
        <v>100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100</v>
      </c>
      <c r="S61" s="101">
        <v>100</v>
      </c>
      <c r="T61" s="101">
        <v>100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100</v>
      </c>
      <c r="S62" s="101">
        <v>100</v>
      </c>
      <c r="T62" s="101">
        <v>100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100</v>
      </c>
      <c r="S63" s="101">
        <v>100</v>
      </c>
      <c r="T63" s="101">
        <v>100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100</v>
      </c>
      <c r="S64" s="101">
        <v>100</v>
      </c>
      <c r="T64" s="101">
        <v>100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100</v>
      </c>
      <c r="S65" s="101">
        <v>100</v>
      </c>
      <c r="T65" s="101">
        <v>100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100</v>
      </c>
      <c r="S66" s="101">
        <v>100</v>
      </c>
      <c r="T66" s="101">
        <v>100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100</v>
      </c>
      <c r="S67" s="101">
        <v>100</v>
      </c>
      <c r="T67" s="101">
        <v>100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100</v>
      </c>
      <c r="S68" s="101">
        <v>100</v>
      </c>
      <c r="T68" s="101">
        <v>100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100</v>
      </c>
      <c r="S69" s="101">
        <v>100</v>
      </c>
      <c r="T69" s="101">
        <v>100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100</v>
      </c>
      <c r="S70" s="101">
        <v>100</v>
      </c>
      <c r="T70" s="101">
        <v>100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100</v>
      </c>
      <c r="S71" s="101">
        <v>701</v>
      </c>
      <c r="T71" s="101">
        <v>100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100</v>
      </c>
      <c r="S72" s="101">
        <v>584</v>
      </c>
      <c r="T72" s="101">
        <v>100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100</v>
      </c>
      <c r="S73" s="101">
        <v>467</v>
      </c>
      <c r="T73" s="101">
        <v>100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100</v>
      </c>
      <c r="S74" s="101">
        <v>584</v>
      </c>
      <c r="T74" s="101">
        <v>100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100</v>
      </c>
      <c r="S75" s="101">
        <v>701</v>
      </c>
      <c r="T75" s="101">
        <v>100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100</v>
      </c>
      <c r="S76" s="101">
        <v>100</v>
      </c>
      <c r="T76" s="101">
        <v>100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100</v>
      </c>
      <c r="S77" s="101">
        <v>100</v>
      </c>
      <c r="T77" s="101">
        <v>100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100</v>
      </c>
      <c r="S78" s="101">
        <v>100</v>
      </c>
      <c r="T78" s="101">
        <v>100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100</v>
      </c>
      <c r="S79" s="101">
        <v>100</v>
      </c>
      <c r="T79" s="101">
        <v>100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100</v>
      </c>
      <c r="S80" s="101">
        <v>100</v>
      </c>
      <c r="T80" s="101">
        <v>100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100</v>
      </c>
      <c r="S81" s="101">
        <v>100</v>
      </c>
      <c r="T81" s="101">
        <v>100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100</v>
      </c>
      <c r="S82" s="101">
        <v>100</v>
      </c>
      <c r="T82" s="101">
        <v>100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100</v>
      </c>
      <c r="S83" s="101">
        <v>100</v>
      </c>
      <c r="T83" s="101">
        <v>100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100</v>
      </c>
      <c r="S84" s="101">
        <v>100</v>
      </c>
      <c r="T84" s="101">
        <v>100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100</v>
      </c>
      <c r="S85" s="101">
        <v>100</v>
      </c>
      <c r="T85" s="101">
        <v>100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100</v>
      </c>
      <c r="S86" s="101">
        <v>100</v>
      </c>
      <c r="T86" s="101">
        <v>100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100</v>
      </c>
      <c r="S87" s="101">
        <v>100</v>
      </c>
      <c r="T87" s="101">
        <v>100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100</v>
      </c>
      <c r="S88" s="101">
        <v>100</v>
      </c>
      <c r="T88" s="101">
        <v>100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100</v>
      </c>
      <c r="S89" s="101">
        <v>100</v>
      </c>
      <c r="T89" s="101">
        <v>100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100</v>
      </c>
      <c r="S90" s="101">
        <v>100</v>
      </c>
      <c r="T90" s="101">
        <v>100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100</v>
      </c>
      <c r="S91" s="101">
        <v>100</v>
      </c>
      <c r="T91" s="101">
        <v>100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100</v>
      </c>
      <c r="S92" s="101">
        <v>100</v>
      </c>
      <c r="T92" s="101">
        <v>100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100</v>
      </c>
      <c r="S93" s="101">
        <v>100</v>
      </c>
      <c r="T93" s="101">
        <v>100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100</v>
      </c>
      <c r="S94" s="101">
        <v>100</v>
      </c>
      <c r="T94" s="101">
        <v>100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100</v>
      </c>
      <c r="S95" s="101">
        <v>100</v>
      </c>
      <c r="T95" s="101">
        <v>100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100</v>
      </c>
      <c r="S96" s="101">
        <v>100</v>
      </c>
      <c r="T96" s="101">
        <v>100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100</v>
      </c>
      <c r="S97" s="101">
        <v>100</v>
      </c>
      <c r="T97" s="101">
        <v>100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100</v>
      </c>
      <c r="S98" s="101">
        <v>100</v>
      </c>
      <c r="T98" s="101">
        <v>100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100</v>
      </c>
      <c r="S99" s="101">
        <v>100</v>
      </c>
      <c r="T99" s="101">
        <v>100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100</v>
      </c>
      <c r="S100" s="101">
        <v>100</v>
      </c>
      <c r="T100" s="101">
        <v>100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100</v>
      </c>
      <c r="S101" s="101">
        <v>100</v>
      </c>
      <c r="T101" s="101">
        <v>100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100</v>
      </c>
      <c r="S102" s="101">
        <v>100</v>
      </c>
      <c r="T102" s="101">
        <v>100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100</v>
      </c>
      <c r="S103" s="101">
        <v>100</v>
      </c>
      <c r="T103" s="101">
        <v>100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100</v>
      </c>
      <c r="S104" s="101">
        <v>100</v>
      </c>
      <c r="T104" s="101">
        <v>100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100</v>
      </c>
      <c r="S105" s="101">
        <v>100</v>
      </c>
      <c r="T105" s="101">
        <v>100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100</v>
      </c>
      <c r="S106" s="101">
        <v>100</v>
      </c>
      <c r="T106" s="101">
        <v>100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100</v>
      </c>
      <c r="S107" s="101">
        <v>100</v>
      </c>
      <c r="T107" s="101">
        <v>100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100</v>
      </c>
      <c r="S108" s="101">
        <v>100</v>
      </c>
      <c r="T108" s="101">
        <v>100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100</v>
      </c>
      <c r="S109" s="101">
        <v>100</v>
      </c>
      <c r="T109" s="101">
        <v>100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100</v>
      </c>
      <c r="S110" s="101">
        <v>100</v>
      </c>
      <c r="T110" s="101">
        <v>100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100</v>
      </c>
      <c r="S111" s="101">
        <v>100</v>
      </c>
      <c r="T111" s="101">
        <v>100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100</v>
      </c>
      <c r="S112" s="101">
        <v>100</v>
      </c>
      <c r="T112" s="101">
        <v>100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100</v>
      </c>
      <c r="S113" s="101">
        <v>100</v>
      </c>
      <c r="T113" s="101">
        <v>100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100</v>
      </c>
      <c r="S114" s="101">
        <v>100</v>
      </c>
      <c r="T114" s="101">
        <v>100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100</v>
      </c>
      <c r="S115" s="101">
        <v>100</v>
      </c>
      <c r="T115" s="101">
        <v>100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100</v>
      </c>
      <c r="S116" s="101">
        <v>100</v>
      </c>
      <c r="T116" s="101">
        <v>100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100</v>
      </c>
      <c r="S117" s="101">
        <v>100</v>
      </c>
      <c r="T117" s="101">
        <v>100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100</v>
      </c>
      <c r="S118" s="101">
        <v>100</v>
      </c>
      <c r="T118" s="101">
        <v>100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100</v>
      </c>
      <c r="S119" s="101">
        <v>100</v>
      </c>
      <c r="T119" s="101">
        <v>100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447</v>
      </c>
      <c r="S120" s="101">
        <v>100</v>
      </c>
      <c r="T120" s="101">
        <v>100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373</v>
      </c>
      <c r="S121" s="101">
        <v>100</v>
      </c>
      <c r="T121" s="101">
        <v>100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298</v>
      </c>
      <c r="S122" s="101">
        <v>100</v>
      </c>
      <c r="T122" s="101">
        <v>100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373</v>
      </c>
      <c r="S123" s="101">
        <v>100</v>
      </c>
      <c r="T123" s="101">
        <v>100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447</v>
      </c>
      <c r="S124" s="101">
        <v>100</v>
      </c>
      <c r="T124" s="101">
        <v>100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100</v>
      </c>
      <c r="S125" s="101">
        <v>100</v>
      </c>
      <c r="T125" s="101">
        <v>100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100</v>
      </c>
      <c r="T126" s="101">
        <v>100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100</v>
      </c>
      <c r="T127" s="101">
        <v>100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100</v>
      </c>
      <c r="T128" s="101">
        <v>100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100</v>
      </c>
      <c r="T129" s="101">
        <v>100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100</v>
      </c>
      <c r="T130" s="101">
        <v>100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100</v>
      </c>
      <c r="T131" s="101">
        <v>677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100</v>
      </c>
      <c r="T132" s="101">
        <v>564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100</v>
      </c>
      <c r="T133" s="101">
        <v>451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100</v>
      </c>
      <c r="T134" s="101">
        <v>564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100</v>
      </c>
      <c r="T135" s="101">
        <v>677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100</v>
      </c>
      <c r="T136" s="101">
        <v>100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100</v>
      </c>
      <c r="T137" s="101">
        <v>100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100</v>
      </c>
      <c r="T138" s="101">
        <v>100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100</v>
      </c>
      <c r="T139" s="101">
        <v>100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100</v>
      </c>
      <c r="T140" s="101">
        <v>100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100</v>
      </c>
      <c r="T141" s="101">
        <v>100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701</v>
      </c>
      <c r="T142" s="101">
        <v>677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584</v>
      </c>
      <c r="T143" s="101">
        <v>564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467</v>
      </c>
      <c r="T144" s="101">
        <v>451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584</v>
      </c>
      <c r="T145" s="101">
        <v>564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7.8235294117647056E-2</v>
      </c>
      <c r="AJ145" s="103">
        <v>13300000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701</v>
      </c>
      <c r="T146" s="101">
        <v>677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9.4705882352941181E-2</v>
      </c>
      <c r="AJ146" s="103">
        <v>16100000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100</v>
      </c>
      <c r="T147" s="101">
        <v>100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0.11529411764705882</v>
      </c>
      <c r="AJ147" s="103">
        <v>19600000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100</v>
      </c>
      <c r="T148" s="101">
        <v>100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8.7647058823529411E-2</v>
      </c>
      <c r="AJ148" s="103">
        <v>14900000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100</v>
      </c>
      <c r="T149" s="101">
        <v>100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7.4705882352941178E-2</v>
      </c>
      <c r="AJ149" s="103">
        <v>12700000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100</v>
      </c>
      <c r="T150" s="101">
        <v>100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6.6470588235294115E-2</v>
      </c>
      <c r="AJ150" s="103">
        <v>11300000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100</v>
      </c>
      <c r="T151" s="101">
        <v>100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2.0588235294117647E-2</v>
      </c>
      <c r="AJ151" s="103">
        <v>3500000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100</v>
      </c>
      <c r="T152" s="101">
        <v>100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1.5294117647058824E-2</v>
      </c>
      <c r="AJ152" s="103">
        <v>2600000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100</v>
      </c>
      <c r="T153" s="101">
        <v>100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1.1764705882352941E-2</v>
      </c>
      <c r="AJ153" s="103">
        <v>2000000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100</v>
      </c>
      <c r="T154" s="101">
        <v>100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5.8823529411764705E-3</v>
      </c>
      <c r="AJ154" s="103">
        <v>1000000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100</v>
      </c>
      <c r="T155" s="101">
        <v>100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100</v>
      </c>
      <c r="T156" s="101">
        <v>100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100</v>
      </c>
      <c r="T157" s="101">
        <v>677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100</v>
      </c>
      <c r="T158" s="101">
        <v>564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100</v>
      </c>
      <c r="T159" s="101">
        <v>451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100</v>
      </c>
      <c r="T160" s="101">
        <v>564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100</v>
      </c>
      <c r="T161" s="101">
        <v>677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100</v>
      </c>
      <c r="T162" s="101">
        <v>100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100</v>
      </c>
      <c r="T163" s="101">
        <v>100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100</v>
      </c>
      <c r="T164" s="101">
        <v>100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100</v>
      </c>
      <c r="T165" s="101">
        <v>100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100</v>
      </c>
      <c r="T166" s="101">
        <v>100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100</v>
      </c>
      <c r="T167" s="101">
        <v>100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100</v>
      </c>
      <c r="T168" s="101">
        <v>100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100</v>
      </c>
      <c r="T169" s="101">
        <v>100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100</v>
      </c>
      <c r="T170" s="101">
        <v>100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100</v>
      </c>
      <c r="T171" s="101">
        <v>100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100</v>
      </c>
      <c r="T172" s="101">
        <v>100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100</v>
      </c>
      <c r="T173" s="101">
        <v>100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100</v>
      </c>
      <c r="T174" s="101">
        <v>100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100</v>
      </c>
      <c r="T175" s="101">
        <v>100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100</v>
      </c>
      <c r="T176" s="101">
        <v>100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100</v>
      </c>
      <c r="T177" s="101">
        <v>100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105000000</v>
      </c>
      <c r="AK177" s="103">
        <v>105000000</v>
      </c>
      <c r="AL177" s="103">
        <v>100300000</v>
      </c>
      <c r="AM177" s="103">
        <v>100300000</v>
      </c>
      <c r="AN177" s="103">
        <v>100300000</v>
      </c>
      <c r="AO177" s="103">
        <v>100300000</v>
      </c>
      <c r="AP177" s="103">
        <v>100300000</v>
      </c>
      <c r="AQ177" s="103">
        <v>100300000</v>
      </c>
      <c r="AR177" s="103">
        <v>100300000</v>
      </c>
      <c r="AS177" s="103">
        <v>100300000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100</v>
      </c>
      <c r="T178" s="101">
        <v>100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167500000</v>
      </c>
      <c r="AK178" s="103">
        <v>167500000</v>
      </c>
      <c r="AL178" s="103">
        <v>159900000</v>
      </c>
      <c r="AM178" s="103">
        <v>159900000</v>
      </c>
      <c r="AN178" s="103">
        <v>159900000</v>
      </c>
      <c r="AO178" s="103">
        <v>159900000</v>
      </c>
      <c r="AP178" s="103">
        <v>159900000</v>
      </c>
      <c r="AQ178" s="103">
        <v>159900000</v>
      </c>
      <c r="AR178" s="103">
        <v>159900000</v>
      </c>
      <c r="AS178" s="103">
        <v>159900000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100</v>
      </c>
      <c r="T179" s="101">
        <v>100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155200000</v>
      </c>
      <c r="AJ179" s="103">
        <v>96200000</v>
      </c>
      <c r="AK179" s="103">
        <v>96200000</v>
      </c>
      <c r="AL179" s="103">
        <v>68900000</v>
      </c>
      <c r="AM179" s="103">
        <v>68900000</v>
      </c>
      <c r="AN179" s="103">
        <v>68900000</v>
      </c>
      <c r="AO179" s="103">
        <v>68900000</v>
      </c>
      <c r="AP179" s="103">
        <v>68900000</v>
      </c>
      <c r="AQ179" s="103">
        <v>68900000</v>
      </c>
      <c r="AR179" s="103">
        <v>68900000</v>
      </c>
      <c r="AS179" s="103">
        <v>68900000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100</v>
      </c>
      <c r="T180" s="101">
        <v>100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84100000</v>
      </c>
      <c r="AJ180" s="103">
        <v>52200000</v>
      </c>
      <c r="AK180" s="103">
        <v>52200000</v>
      </c>
      <c r="AL180" s="103">
        <v>27700000</v>
      </c>
      <c r="AM180" s="103">
        <v>27700000</v>
      </c>
      <c r="AN180" s="103">
        <v>27700000</v>
      </c>
      <c r="AO180" s="103">
        <v>27700000</v>
      </c>
      <c r="AP180" s="103">
        <v>27700000</v>
      </c>
      <c r="AQ180" s="103">
        <v>27700000</v>
      </c>
      <c r="AR180" s="103">
        <v>27700000</v>
      </c>
      <c r="AS180" s="103">
        <v>27700000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701</v>
      </c>
      <c r="T181" s="101">
        <v>100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15600000</v>
      </c>
      <c r="AJ181" s="103">
        <v>9700000</v>
      </c>
      <c r="AK181" s="103">
        <v>9700000</v>
      </c>
      <c r="AL181" s="103">
        <v>13200000</v>
      </c>
      <c r="AM181" s="103">
        <v>13200000</v>
      </c>
      <c r="AN181" s="103">
        <v>13200000</v>
      </c>
      <c r="AO181" s="103">
        <v>13200000</v>
      </c>
      <c r="AP181" s="103">
        <v>13200000</v>
      </c>
      <c r="AQ181" s="103">
        <v>13200000</v>
      </c>
      <c r="AR181" s="103">
        <v>13200000</v>
      </c>
      <c r="AS181" s="103">
        <v>13200000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584</v>
      </c>
      <c r="T182" s="101">
        <v>100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8400000</v>
      </c>
      <c r="AJ182" s="103">
        <v>5200000</v>
      </c>
      <c r="AK182" s="103">
        <v>5200000</v>
      </c>
      <c r="AL182" s="103">
        <v>5000000</v>
      </c>
      <c r="AM182" s="103">
        <v>5000000</v>
      </c>
      <c r="AN182" s="103">
        <v>5000000</v>
      </c>
      <c r="AO182" s="103">
        <v>5000000</v>
      </c>
      <c r="AP182" s="103">
        <v>5000000</v>
      </c>
      <c r="AQ182" s="103">
        <v>5000000</v>
      </c>
      <c r="AR182" s="103">
        <v>5000000</v>
      </c>
      <c r="AS182" s="103">
        <v>5000000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467</v>
      </c>
      <c r="T183" s="101">
        <v>100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4800000</v>
      </c>
      <c r="AJ183" s="103">
        <v>3000000</v>
      </c>
      <c r="AK183" s="103">
        <v>3000000</v>
      </c>
      <c r="AL183" s="103">
        <v>2900000</v>
      </c>
      <c r="AM183" s="103">
        <v>2900000</v>
      </c>
      <c r="AN183" s="103">
        <v>2900000</v>
      </c>
      <c r="AO183" s="103">
        <v>2900000</v>
      </c>
      <c r="AP183" s="103">
        <v>2900000</v>
      </c>
      <c r="AQ183" s="103">
        <v>2900000</v>
      </c>
      <c r="AR183" s="103">
        <v>2900000</v>
      </c>
      <c r="AS183" s="103">
        <v>2900000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584</v>
      </c>
      <c r="T184" s="101">
        <v>100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1700000</v>
      </c>
      <c r="AJ184" s="103">
        <v>1100000</v>
      </c>
      <c r="AK184" s="103">
        <v>1100000</v>
      </c>
      <c r="AL184" s="103">
        <v>1000000</v>
      </c>
      <c r="AM184" s="103">
        <v>1000000</v>
      </c>
      <c r="AN184" s="103">
        <v>1000000</v>
      </c>
      <c r="AO184" s="103">
        <v>1000000</v>
      </c>
      <c r="AP184" s="103">
        <v>1000000</v>
      </c>
      <c r="AQ184" s="103">
        <v>1000000</v>
      </c>
      <c r="AR184" s="103">
        <v>1000000</v>
      </c>
      <c r="AS184" s="103">
        <v>1000000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701</v>
      </c>
      <c r="T185" s="101">
        <v>100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200000</v>
      </c>
      <c r="AJ185" s="103">
        <v>100000</v>
      </c>
      <c r="AK185" s="103">
        <v>100000</v>
      </c>
      <c r="AL185" s="103">
        <v>100000</v>
      </c>
      <c r="AM185" s="103">
        <v>100000</v>
      </c>
      <c r="AN185" s="103">
        <v>100000</v>
      </c>
      <c r="AO185" s="103">
        <v>100000</v>
      </c>
      <c r="AP185" s="103">
        <v>100000</v>
      </c>
      <c r="AQ185" s="103">
        <v>100000</v>
      </c>
      <c r="AR185" s="103">
        <v>100000</v>
      </c>
      <c r="AS185" s="103">
        <v>100000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100</v>
      </c>
      <c r="T186" s="101">
        <v>100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100</v>
      </c>
      <c r="T187" s="101">
        <v>100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100</v>
      </c>
      <c r="T188" s="101">
        <v>100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100</v>
      </c>
      <c r="T189" s="101">
        <v>100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100</v>
      </c>
      <c r="T190" s="101">
        <v>100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100</v>
      </c>
      <c r="T191" s="101">
        <v>100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100</v>
      </c>
      <c r="T192" s="101">
        <v>677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100</v>
      </c>
      <c r="T193" s="101">
        <v>564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100</v>
      </c>
      <c r="T194" s="101">
        <v>451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100</v>
      </c>
      <c r="T195" s="101">
        <v>564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100</v>
      </c>
      <c r="T196" s="101">
        <v>677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100</v>
      </c>
      <c r="T197" s="101">
        <v>100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100</v>
      </c>
      <c r="T198" s="101">
        <v>677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100</v>
      </c>
      <c r="T199" s="101">
        <v>564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100</v>
      </c>
      <c r="T200" s="101">
        <v>451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701</v>
      </c>
      <c r="T201" s="101">
        <v>564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584</v>
      </c>
      <c r="T202" s="101">
        <v>677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467</v>
      </c>
      <c r="T203" s="101">
        <v>100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584</v>
      </c>
      <c r="T204" s="101">
        <v>100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701</v>
      </c>
      <c r="T205" s="101">
        <v>100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100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100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100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100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701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584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topLeftCell="D1" zoomScale="70" zoomScaleNormal="70" workbookViewId="0">
      <selection activeCell="I15" sqref="I15"/>
    </sheetView>
  </sheetViews>
  <sheetFormatPr defaultRowHeight="15.6"/>
  <cols>
    <col min="1" max="2" width="10.21875" style="1" bestFit="1" customWidth="1"/>
    <col min="3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135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99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885913313</v>
      </c>
      <c r="D3" s="100">
        <v>884641100</v>
      </c>
      <c r="E3" s="100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285</v>
      </c>
    </row>
    <row r="4" spans="1:16" ht="16.2">
      <c r="A4" s="8">
        <v>0</v>
      </c>
      <c r="B4" s="8">
        <v>1</v>
      </c>
      <c r="C4" s="101">
        <v>11764624</v>
      </c>
      <c r="D4" s="101">
        <v>4036131</v>
      </c>
      <c r="E4" s="101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16365756</v>
      </c>
      <c r="D5" s="101">
        <v>11713167</v>
      </c>
      <c r="E5" s="101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294</v>
      </c>
    </row>
    <row r="6" spans="1:16">
      <c r="A6" s="8">
        <v>2</v>
      </c>
      <c r="B6" s="8">
        <v>3</v>
      </c>
      <c r="C6" s="101">
        <v>11623926</v>
      </c>
      <c r="D6" s="101">
        <v>6004218</v>
      </c>
      <c r="E6" s="101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12367038</v>
      </c>
      <c r="D7" s="101">
        <v>11078967</v>
      </c>
      <c r="E7" s="101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10095520</v>
      </c>
      <c r="D8" s="101">
        <v>10345960</v>
      </c>
      <c r="E8" s="101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8063906</v>
      </c>
      <c r="D9" s="101">
        <v>9145346</v>
      </c>
      <c r="E9" s="101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1960044</v>
      </c>
      <c r="D10" s="101">
        <v>2087574</v>
      </c>
      <c r="E10" s="101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8419726</v>
      </c>
      <c r="D11" s="101">
        <v>9519892</v>
      </c>
      <c r="E11" s="101">
        <v>4346920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3082035</v>
      </c>
      <c r="D12" s="101">
        <v>3596097</v>
      </c>
      <c r="E12" s="101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6201756</v>
      </c>
      <c r="D13" s="101">
        <v>8367532</v>
      </c>
      <c r="E13" s="101">
        <v>3277630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9885740</v>
      </c>
      <c r="D14" s="101">
        <v>14606129</v>
      </c>
      <c r="E14" s="101">
        <v>523644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5874476</v>
      </c>
      <c r="D15" s="101">
        <v>9202792</v>
      </c>
      <c r="E15" s="101">
        <v>1800254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2464217</v>
      </c>
      <c r="D16" s="101">
        <v>5141385</v>
      </c>
      <c r="E16" s="101">
        <v>1134864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2137165</v>
      </c>
      <c r="D17" s="101">
        <v>3428356</v>
      </c>
      <c r="E17" s="101">
        <v>900740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408530</v>
      </c>
      <c r="D18" s="101">
        <v>615817</v>
      </c>
      <c r="E18" s="101">
        <v>603000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953627</v>
      </c>
      <c r="D19" s="101">
        <v>2068043</v>
      </c>
      <c r="E19" s="101">
        <v>528645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221560</v>
      </c>
      <c r="D20" s="101">
        <v>706581</v>
      </c>
      <c r="E20" s="101">
        <v>1123390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1108012</v>
      </c>
      <c r="D21" s="101">
        <v>1031723</v>
      </c>
      <c r="E21" s="101">
        <v>383111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432204</v>
      </c>
      <c r="D22" s="101">
        <v>996107</v>
      </c>
      <c r="E22" s="101">
        <v>397975</v>
      </c>
      <c r="F22" s="101">
        <v>88626480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44452</v>
      </c>
      <c r="D23" s="101">
        <v>114891</v>
      </c>
      <c r="E23" s="101">
        <v>108972</v>
      </c>
      <c r="F23" s="101">
        <v>69700373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190628</v>
      </c>
      <c r="D24" s="101">
        <v>380366</v>
      </c>
      <c r="E24" s="101">
        <v>203663</v>
      </c>
      <c r="F24" s="101">
        <v>60206200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73375</v>
      </c>
      <c r="D25" s="101">
        <v>221740</v>
      </c>
      <c r="E25" s="101">
        <v>1914248</v>
      </c>
      <c r="F25" s="101">
        <v>73066040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138440</v>
      </c>
      <c r="D26" s="101">
        <v>372247</v>
      </c>
      <c r="E26" s="101">
        <v>288392</v>
      </c>
      <c r="F26" s="101">
        <v>135053058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87332</v>
      </c>
      <c r="D27" s="101">
        <v>190719</v>
      </c>
      <c r="E27" s="101">
        <v>79209</v>
      </c>
      <c r="F27" s="101">
        <v>149358515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21172</v>
      </c>
      <c r="D28" s="101">
        <v>43658</v>
      </c>
      <c r="E28" s="101">
        <v>11245</v>
      </c>
      <c r="F28" s="101">
        <v>78739352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14257</v>
      </c>
      <c r="D29" s="101">
        <v>141316</v>
      </c>
      <c r="E29" s="101">
        <v>19777</v>
      </c>
      <c r="F29" s="101">
        <v>35934758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12709</v>
      </c>
      <c r="D30" s="101">
        <v>34467</v>
      </c>
      <c r="E30" s="101">
        <v>658260</v>
      </c>
      <c r="F30" s="101">
        <v>20501677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5645</v>
      </c>
      <c r="D31" s="101">
        <v>42509</v>
      </c>
      <c r="E31" s="101">
        <v>10495</v>
      </c>
      <c r="F31" s="101">
        <v>30088885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6007</v>
      </c>
      <c r="D32" s="101">
        <v>58594</v>
      </c>
      <c r="E32" s="101">
        <v>4061</v>
      </c>
      <c r="F32" s="101">
        <v>12760550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707</v>
      </c>
      <c r="D33" s="101">
        <v>22978</v>
      </c>
      <c r="E33" s="101">
        <v>281925</v>
      </c>
      <c r="F33" s="101">
        <v>74087176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355</v>
      </c>
      <c r="D34" s="101">
        <v>2297</v>
      </c>
      <c r="E34" s="101">
        <v>84539</v>
      </c>
      <c r="F34" s="101">
        <v>11141148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1148</v>
      </c>
      <c r="E35" s="101">
        <v>0</v>
      </c>
      <c r="F35" s="101">
        <v>12768046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5744</v>
      </c>
      <c r="E36" s="101">
        <v>109804</v>
      </c>
      <c r="F36" s="101">
        <v>9950238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16084</v>
      </c>
      <c r="E37" s="101">
        <v>0</v>
      </c>
      <c r="F37" s="101">
        <v>12383724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68</v>
      </c>
      <c r="D38" s="101">
        <v>4595</v>
      </c>
      <c r="E38" s="101">
        <v>0</v>
      </c>
      <c r="F38" s="101">
        <v>35712654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101">
        <v>0</v>
      </c>
      <c r="F39" s="101">
        <v>18814892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2537</v>
      </c>
      <c r="E40" s="101">
        <v>0</v>
      </c>
      <c r="F40" s="101">
        <v>12433441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101">
        <v>0</v>
      </c>
      <c r="F41" s="101">
        <v>5856407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101">
        <v>0</v>
      </c>
      <c r="F42" s="101">
        <v>4954947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101">
        <v>0</v>
      </c>
      <c r="F43" s="101">
        <v>8151989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101">
        <v>37704</v>
      </c>
      <c r="F44" s="101">
        <v>4574769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101">
        <v>0</v>
      </c>
      <c r="F45" s="101">
        <v>4447680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101">
        <v>0</v>
      </c>
      <c r="F46" s="101">
        <v>3418652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101">
        <v>0</v>
      </c>
      <c r="F47" s="101">
        <v>6242414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222</v>
      </c>
      <c r="D48" s="101">
        <v>990</v>
      </c>
      <c r="E48" s="101">
        <v>0</v>
      </c>
      <c r="F48" s="101">
        <v>15548186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443</v>
      </c>
      <c r="E49" s="101">
        <v>12723</v>
      </c>
      <c r="F49" s="101">
        <v>1617172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101">
        <v>0</v>
      </c>
      <c r="F50" s="101">
        <v>1309962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101">
        <v>7990</v>
      </c>
      <c r="F51" s="101">
        <v>1042749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101">
        <v>0</v>
      </c>
      <c r="F52" s="101">
        <v>346323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101">
        <v>0</v>
      </c>
      <c r="F53" s="101">
        <v>327567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101">
        <v>0</v>
      </c>
      <c r="F54" s="101">
        <v>305542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101">
        <v>4547</v>
      </c>
      <c r="F55" s="101">
        <v>246263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101">
        <v>0</v>
      </c>
      <c r="F56" s="101">
        <v>77939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101">
        <v>774</v>
      </c>
      <c r="F57" s="101">
        <v>204233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101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101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101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6" zoomScale="55" zoomScaleNormal="55" workbookViewId="0">
      <selection activeCell="V200" sqref="V200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20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0.92499996835748766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151626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1.51626E-2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4032</v>
      </c>
      <c r="D200" s="30">
        <v>3225.5999999999949</v>
      </c>
      <c r="E200" s="187">
        <f t="shared" ref="E200:E256" si="6">IFERROR((D200/$E$196)/(C200),0)</f>
        <v>3.1999999999999949E-3</v>
      </c>
      <c r="F200" s="188">
        <v>4.0319999999999999E-4</v>
      </c>
      <c r="G200" s="189">
        <v>1.2902399999999979E-6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16676</v>
      </c>
      <c r="D201" s="30">
        <v>28842.000000000109</v>
      </c>
      <c r="E201" s="187">
        <f t="shared" si="6"/>
        <v>6.9182058047493663E-3</v>
      </c>
      <c r="F201" s="188">
        <v>1.6676E-3</v>
      </c>
      <c r="G201" s="189">
        <v>1.1536800000000043E-5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8175</v>
      </c>
      <c r="D202" s="30">
        <v>22952.399999999958</v>
      </c>
      <c r="E202" s="187">
        <f t="shared" si="6"/>
        <v>1.1230532110091722E-2</v>
      </c>
      <c r="F202" s="188">
        <v>8.1749999999999998E-4</v>
      </c>
      <c r="G202" s="189">
        <v>9.1809599999999827E-6</v>
      </c>
      <c r="H202" s="232">
        <v>8.0000000000000002E-3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19439</v>
      </c>
      <c r="D203" s="30">
        <v>73045.599999999744</v>
      </c>
      <c r="E203" s="187">
        <f t="shared" si="6"/>
        <v>1.5030732033540765E-2</v>
      </c>
      <c r="F203" s="188">
        <v>1.9438999999999999E-3</v>
      </c>
      <c r="G203" s="189">
        <v>2.9218239999999892E-5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18395</v>
      </c>
      <c r="D204" s="30">
        <v>89346.600000000719</v>
      </c>
      <c r="E204" s="187">
        <f t="shared" si="6"/>
        <v>1.9428453384071915E-2</v>
      </c>
      <c r="F204" s="188">
        <v>1.8395E-3</v>
      </c>
      <c r="G204" s="189">
        <v>3.5738640000000284E-5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20244</v>
      </c>
      <c r="D205" s="30">
        <v>120214.19999999994</v>
      </c>
      <c r="E205" s="187">
        <f t="shared" si="6"/>
        <v>2.3753052756372246E-2</v>
      </c>
      <c r="F205" s="188">
        <v>2.0244E-3</v>
      </c>
      <c r="G205" s="189">
        <v>4.8085679999999978E-5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4635</v>
      </c>
      <c r="D206" s="30">
        <v>30547.399999999972</v>
      </c>
      <c r="E206" s="187">
        <f t="shared" si="6"/>
        <v>2.6362373247033416E-2</v>
      </c>
      <c r="F206" s="188">
        <v>4.6349999999999999E-4</v>
      </c>
      <c r="G206" s="189">
        <v>1.2218959999999988E-5</v>
      </c>
      <c r="H206" s="232">
        <v>2.4E-2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30021</v>
      </c>
      <c r="D207" s="30">
        <v>233565.60000000015</v>
      </c>
      <c r="E207" s="187">
        <f t="shared" si="6"/>
        <v>3.1120295792944959E-2</v>
      </c>
      <c r="F207" s="188">
        <v>3.0021000000000002E-3</v>
      </c>
      <c r="G207" s="189">
        <v>9.3426240000000067E-5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11566</v>
      </c>
      <c r="D208" s="30">
        <v>102203.60000000028</v>
      </c>
      <c r="E208" s="187">
        <f t="shared" si="6"/>
        <v>3.5346221684247024E-2</v>
      </c>
      <c r="F208" s="188">
        <v>1.1566E-3</v>
      </c>
      <c r="G208" s="189">
        <v>4.0881440000000109E-5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26085</v>
      </c>
      <c r="D209" s="30">
        <v>257334.20000000115</v>
      </c>
      <c r="E209" s="187">
        <f t="shared" si="6"/>
        <v>3.9460870231934238E-2</v>
      </c>
      <c r="F209" s="188">
        <v>2.6085000000000001E-3</v>
      </c>
      <c r="G209" s="189">
        <v>1.0293368000000047E-4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75698</v>
      </c>
      <c r="D210" s="30">
        <v>984897.40000000363</v>
      </c>
      <c r="E210" s="187">
        <f t="shared" si="6"/>
        <v>5.2043509736056627E-2</v>
      </c>
      <c r="F210" s="188">
        <v>7.5697999999999998E-3</v>
      </c>
      <c r="G210" s="189">
        <v>3.9395896000000145E-4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85323</v>
      </c>
      <c r="D211" s="30">
        <v>1545912.7999999954</v>
      </c>
      <c r="E211" s="187">
        <f t="shared" si="6"/>
        <v>7.2473438580452881E-2</v>
      </c>
      <c r="F211" s="188">
        <v>8.5322999999999996E-3</v>
      </c>
      <c r="G211" s="189">
        <v>6.1836511999999806E-4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69340</v>
      </c>
      <c r="D212" s="30">
        <v>1600583.4000000036</v>
      </c>
      <c r="E212" s="187">
        <f t="shared" si="6"/>
        <v>9.233247187770427E-2</v>
      </c>
      <c r="F212" s="188">
        <v>6.9340000000000001E-3</v>
      </c>
      <c r="G212" s="189">
        <v>6.4023336000000142E-4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8.6283085170078895</v>
      </c>
      <c r="S212" s="182"/>
    </row>
    <row r="213" spans="1:24" ht="15.6">
      <c r="A213" s="257">
        <v>25</v>
      </c>
      <c r="B213" s="258">
        <v>30</v>
      </c>
      <c r="C213" s="160">
        <v>70872</v>
      </c>
      <c r="D213" s="30">
        <v>2000284.1999999967</v>
      </c>
      <c r="E213" s="187">
        <f t="shared" si="6"/>
        <v>0.11289559769725684</v>
      </c>
      <c r="F213" s="188">
        <v>7.0872000000000001E-3</v>
      </c>
      <c r="G213" s="189">
        <v>8.0011367999999867E-4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8.1467321330686904</v>
      </c>
      <c r="S213" s="182"/>
    </row>
    <row r="214" spans="1:24" ht="15.6">
      <c r="A214" s="257">
        <v>30</v>
      </c>
      <c r="B214" s="258">
        <v>35</v>
      </c>
      <c r="C214" s="160">
        <v>58868</v>
      </c>
      <c r="D214" s="30">
        <v>1927536.5999999987</v>
      </c>
      <c r="E214" s="187">
        <f t="shared" si="6"/>
        <v>0.13097347285452191</v>
      </c>
      <c r="F214" s="188">
        <v>5.8868000000000002E-3</v>
      </c>
      <c r="G214" s="189">
        <v>7.710146399999996E-4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6.7423462076208853</v>
      </c>
    </row>
    <row r="215" spans="1:24" ht="15.6">
      <c r="A215" s="257">
        <v>35</v>
      </c>
      <c r="B215" s="258">
        <v>40</v>
      </c>
      <c r="C215" s="160">
        <v>77380</v>
      </c>
      <c r="D215" s="30">
        <v>2951640.3999999948</v>
      </c>
      <c r="E215" s="187">
        <f t="shared" si="6"/>
        <v>0.15257898164900463</v>
      </c>
      <c r="F215" s="188">
        <v>7.7380000000000001E-3</v>
      </c>
      <c r="G215" s="189">
        <v>1.1806561599999978E-3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18.84023231922658</v>
      </c>
    </row>
    <row r="216" spans="1:24" ht="15.6">
      <c r="A216" s="257">
        <v>40</v>
      </c>
      <c r="B216" s="258">
        <v>45</v>
      </c>
      <c r="C216" s="160">
        <v>58016</v>
      </c>
      <c r="D216" s="30">
        <v>2500661.4000000004</v>
      </c>
      <c r="E216" s="187">
        <f t="shared" si="6"/>
        <v>0.17241184500827361</v>
      </c>
      <c r="F216" s="188">
        <v>5.8015999999999996E-3</v>
      </c>
      <c r="G216" s="189">
        <v>1.0002645600000002E-3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8.4549985323884851</v>
      </c>
    </row>
    <row r="217" spans="1:24" ht="15.6">
      <c r="A217" s="257">
        <v>45</v>
      </c>
      <c r="B217" s="258">
        <v>50</v>
      </c>
      <c r="C217" s="160">
        <v>65974</v>
      </c>
      <c r="D217" s="30">
        <v>3168439.2000000007</v>
      </c>
      <c r="E217" s="187">
        <f t="shared" si="6"/>
        <v>0.1921022948434232</v>
      </c>
      <c r="F217" s="188">
        <v>6.5973999999999998E-3</v>
      </c>
      <c r="G217" s="189">
        <v>1.2673756800000002E-3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14.782593631290275</v>
      </c>
    </row>
    <row r="218" spans="1:24" ht="15.6">
      <c r="A218" s="257">
        <v>50</v>
      </c>
      <c r="B218" s="258">
        <v>60</v>
      </c>
      <c r="C218" s="160">
        <v>126420</v>
      </c>
      <c r="D218" s="30">
        <v>7073413.1999999993</v>
      </c>
      <c r="E218" s="187">
        <f t="shared" si="6"/>
        <v>0.22380677740863783</v>
      </c>
      <c r="F218" s="188">
        <v>1.2642E-2</v>
      </c>
      <c r="G218" s="189">
        <v>2.8293652799999997E-3</v>
      </c>
      <c r="H218" s="232">
        <v>0.2</v>
      </c>
      <c r="I218" s="274" t="str">
        <f t="shared" si="7"/>
        <v>(50, 60]</v>
      </c>
      <c r="J218" s="160">
        <v>1</v>
      </c>
      <c r="K218" s="234">
        <v>7.0104793940832151</v>
      </c>
      <c r="L218" s="188">
        <v>8.8626480500000007E-2</v>
      </c>
      <c r="M218" s="233">
        <v>88626480</v>
      </c>
      <c r="N218" s="195">
        <v>8.8626479911373526E-2</v>
      </c>
      <c r="O218" s="211">
        <v>1.9835206862035888E-2</v>
      </c>
      <c r="Q218" s="1">
        <v>0.11195442178961326</v>
      </c>
      <c r="R218" s="1">
        <v>8.8557523959510558</v>
      </c>
    </row>
    <row r="219" spans="1:24" ht="15.6">
      <c r="A219" s="257">
        <v>60</v>
      </c>
      <c r="B219" s="258">
        <v>70</v>
      </c>
      <c r="C219" s="160">
        <v>110472</v>
      </c>
      <c r="D219" s="30">
        <v>7237634.599999994</v>
      </c>
      <c r="E219" s="187">
        <f t="shared" si="6"/>
        <v>0.26206222753276825</v>
      </c>
      <c r="F219" s="188">
        <v>1.10472E-2</v>
      </c>
      <c r="G219" s="189">
        <v>2.8950538399999974E-3</v>
      </c>
      <c r="H219" s="232">
        <v>0.24</v>
      </c>
      <c r="I219" s="274" t="str">
        <f t="shared" si="7"/>
        <v>(60, 70]</v>
      </c>
      <c r="J219" s="160">
        <v>1</v>
      </c>
      <c r="K219" s="234">
        <v>6.3093248515460933</v>
      </c>
      <c r="L219" s="188">
        <v>6.970037350000001E-2</v>
      </c>
      <c r="M219" s="233">
        <v>69700373</v>
      </c>
      <c r="N219" s="195">
        <v>6.9700372930299626E-2</v>
      </c>
      <c r="O219" s="211">
        <v>1.8265834989978982E-2</v>
      </c>
      <c r="Q219" s="1">
        <v>4.2150854631160924E-2</v>
      </c>
      <c r="R219" s="1">
        <v>3.8155238097582123</v>
      </c>
    </row>
    <row r="220" spans="1:24" ht="15.6">
      <c r="A220" s="257">
        <v>70</v>
      </c>
      <c r="B220" s="258">
        <v>80</v>
      </c>
      <c r="C220" s="160">
        <v>122196</v>
      </c>
      <c r="D220" s="30">
        <v>9254975.8000000175</v>
      </c>
      <c r="E220" s="187">
        <f t="shared" si="6"/>
        <v>0.30295511473370712</v>
      </c>
      <c r="F220" s="188">
        <v>1.2219600000000001E-2</v>
      </c>
      <c r="G220" s="189">
        <v>3.7019903200000079E-3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4.9270189286065014</v>
      </c>
      <c r="L220" s="188">
        <v>6.0206200500000008E-2</v>
      </c>
      <c r="M220" s="233">
        <v>60206200</v>
      </c>
      <c r="N220" s="195">
        <v>6.02061999397938E-2</v>
      </c>
      <c r="O220" s="211">
        <v>1.823977621044074E-2</v>
      </c>
      <c r="Q220" s="1">
        <v>3.6385840192037056E-2</v>
      </c>
      <c r="R220" s="1">
        <v>2.9776621323150558</v>
      </c>
    </row>
    <row r="221" spans="1:24" thickBot="1">
      <c r="A221" s="257">
        <v>80</v>
      </c>
      <c r="B221" s="258">
        <v>90</v>
      </c>
      <c r="C221" s="160">
        <v>108460</v>
      </c>
      <c r="D221" s="30">
        <v>9290565.1999999974</v>
      </c>
      <c r="E221" s="187">
        <f t="shared" si="6"/>
        <v>0.34263563341323983</v>
      </c>
      <c r="F221" s="188">
        <v>1.0846E-2</v>
      </c>
      <c r="G221" s="189">
        <v>3.7162260799999992E-3</v>
      </c>
      <c r="H221" s="232">
        <v>0.32</v>
      </c>
      <c r="I221" s="274" t="str">
        <f t="shared" si="7"/>
        <v>(80, 90]</v>
      </c>
      <c r="J221" s="160">
        <v>1</v>
      </c>
      <c r="K221" s="276">
        <v>6.7366808500829798</v>
      </c>
      <c r="L221" s="188">
        <v>7.3066040499999999E-2</v>
      </c>
      <c r="M221" s="233">
        <v>73066040</v>
      </c>
      <c r="N221" s="195">
        <v>7.3066039926933959E-2</v>
      </c>
      <c r="O221" s="211">
        <v>2.5035028871362087E-2</v>
      </c>
      <c r="Q221" s="1">
        <v>4.4133565457011449E-2</v>
      </c>
      <c r="R221" s="1">
        <v>4.0691098522046332</v>
      </c>
    </row>
    <row r="222" spans="1:24" ht="16.8" thickBot="1">
      <c r="A222" s="257">
        <v>90</v>
      </c>
      <c r="B222" s="258">
        <v>100</v>
      </c>
      <c r="C222" s="160">
        <v>112635</v>
      </c>
      <c r="D222" s="30">
        <v>10781304.800000023</v>
      </c>
      <c r="E222" s="187">
        <f t="shared" si="6"/>
        <v>0.38287583078084159</v>
      </c>
      <c r="F222" s="188">
        <v>1.1263499999999999E-2</v>
      </c>
      <c r="G222" s="189">
        <v>4.312521920000009E-3</v>
      </c>
      <c r="H222" s="232">
        <v>0.36</v>
      </c>
      <c r="I222" s="274" t="str">
        <f t="shared" si="7"/>
        <v>(90, 100]</v>
      </c>
      <c r="J222" s="160">
        <v>1</v>
      </c>
      <c r="K222" s="276">
        <v>11.99032791760998</v>
      </c>
      <c r="L222" s="188">
        <v>0.13505305849999999</v>
      </c>
      <c r="M222" s="233">
        <v>135053058</v>
      </c>
      <c r="N222" s="195">
        <v>0.13505305786494695</v>
      </c>
      <c r="O222" s="211">
        <v>5.1708551729534633E-2</v>
      </c>
      <c r="Q222" s="1">
        <v>8.1534868779438843E-2</v>
      </c>
      <c r="R222" s="1">
        <v>7.2388572627903267</v>
      </c>
      <c r="U222" s="301" t="s">
        <v>290</v>
      </c>
      <c r="V222" s="184" t="s">
        <v>291</v>
      </c>
      <c r="W222" s="299" t="s">
        <v>256</v>
      </c>
      <c r="X222" s="300" t="s">
        <v>292</v>
      </c>
    </row>
    <row r="223" spans="1:24" ht="15.6">
      <c r="A223" s="257">
        <v>100</v>
      </c>
      <c r="B223" s="258">
        <v>120</v>
      </c>
      <c r="C223" s="160">
        <v>215349</v>
      </c>
      <c r="D223" s="30">
        <v>23848056.400000006</v>
      </c>
      <c r="E223" s="187">
        <f t="shared" si="6"/>
        <v>0.44296572354642938</v>
      </c>
      <c r="F223" s="188">
        <v>2.1534899999999999E-2</v>
      </c>
      <c r="G223" s="189">
        <v>9.5392225600000012E-3</v>
      </c>
      <c r="H223" s="232">
        <v>0.4</v>
      </c>
      <c r="I223" s="274" t="str">
        <f t="shared" si="7"/>
        <v>(100, 120]</v>
      </c>
      <c r="J223" s="160">
        <v>1</v>
      </c>
      <c r="K223" s="276">
        <v>6.9356493645199189</v>
      </c>
      <c r="L223" s="188">
        <v>0.14935851549999998</v>
      </c>
      <c r="M223" s="233">
        <v>149358515</v>
      </c>
      <c r="N223" s="195">
        <v>0.14935851485064147</v>
      </c>
      <c r="O223" s="211">
        <v>6.6160702598634519E-2</v>
      </c>
      <c r="Q223" s="1">
        <v>9.0112979805137619E-2</v>
      </c>
      <c r="R223" s="1">
        <v>4.1845088579532579</v>
      </c>
      <c r="U223" s="128" t="s">
        <v>271</v>
      </c>
      <c r="V223" s="185">
        <f>SUM(N199:N228)</f>
        <v>0.75403588724596404</v>
      </c>
      <c r="W223" s="296" cm="1">
        <f t="array" ref="W223:W228">1/V223:V228</f>
        <v>1.3261968255282832</v>
      </c>
      <c r="X223" s="302"/>
    </row>
    <row r="224" spans="1:24" ht="15.6">
      <c r="A224" s="257">
        <v>120</v>
      </c>
      <c r="B224" s="258">
        <v>140</v>
      </c>
      <c r="C224" s="160">
        <v>203199</v>
      </c>
      <c r="D224" s="30">
        <v>26535467.999999985</v>
      </c>
      <c r="E224" s="187">
        <f t="shared" si="6"/>
        <v>0.52235430292471885</v>
      </c>
      <c r="F224" s="188">
        <v>2.0319899999999998E-2</v>
      </c>
      <c r="G224" s="189">
        <v>1.0614187199999993E-2</v>
      </c>
      <c r="H224" s="232">
        <v>0.48</v>
      </c>
      <c r="I224" s="274" t="str">
        <f t="shared" si="7"/>
        <v>(120, 140]</v>
      </c>
      <c r="J224" s="160">
        <v>1</v>
      </c>
      <c r="K224" s="276">
        <v>3.8749872046614402</v>
      </c>
      <c r="L224" s="188">
        <v>7.8739352499999998E-2</v>
      </c>
      <c r="M224" s="233">
        <v>78739352</v>
      </c>
      <c r="N224" s="195">
        <v>7.873935192126065E-2</v>
      </c>
      <c r="O224" s="211">
        <v>4.1129839285574225E-2</v>
      </c>
      <c r="Q224" s="1">
        <v>4.747126106777233E-2</v>
      </c>
      <c r="R224" s="272">
        <v>2.3361956046915751</v>
      </c>
      <c r="U224" s="124" t="s">
        <v>275</v>
      </c>
      <c r="V224" s="188">
        <f>SUM(N229:N256)</f>
        <v>0.24596411275403587</v>
      </c>
      <c r="W224" s="297">
        <v>4.0656337577181434</v>
      </c>
      <c r="X224" s="303">
        <v>2500</v>
      </c>
    </row>
    <row r="225" spans="1:24" ht="15.6">
      <c r="A225" s="257">
        <v>140</v>
      </c>
      <c r="B225" s="258">
        <v>160</v>
      </c>
      <c r="C225" s="160">
        <v>201370</v>
      </c>
      <c r="D225" s="30">
        <v>30327447.800000001</v>
      </c>
      <c r="E225" s="187">
        <f t="shared" si="6"/>
        <v>0.60242236281471917</v>
      </c>
      <c r="F225" s="188">
        <v>2.0136999999999999E-2</v>
      </c>
      <c r="G225" s="189">
        <v>1.213097912E-2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1.7845140040721061</v>
      </c>
      <c r="L225" s="188">
        <v>3.5934758499999997E-2</v>
      </c>
      <c r="M225" s="233">
        <v>35934758</v>
      </c>
      <c r="N225" s="195">
        <v>3.5934757964065242E-2</v>
      </c>
      <c r="O225" s="211">
        <v>2.164790179988723E-2</v>
      </c>
      <c r="Q225" s="1">
        <v>2.1651011757170088E-2</v>
      </c>
      <c r="R225" s="272">
        <v>1.0751855667264285</v>
      </c>
      <c r="U225" s="124" t="s">
        <v>272</v>
      </c>
      <c r="V225" s="188">
        <f>SUM(N234:N256)</f>
        <v>0.12563378087436622</v>
      </c>
      <c r="W225" s="297">
        <v>7.959642645794446</v>
      </c>
      <c r="X225" s="303">
        <v>5000</v>
      </c>
    </row>
    <row r="226" spans="1:24" ht="15.6">
      <c r="A226" s="257">
        <v>160</v>
      </c>
      <c r="B226" s="258">
        <v>180</v>
      </c>
      <c r="C226" s="160">
        <v>192824</v>
      </c>
      <c r="D226" s="30">
        <v>32890348.999999933</v>
      </c>
      <c r="E226" s="187">
        <f t="shared" si="6"/>
        <v>0.68228745384391853</v>
      </c>
      <c r="F226" s="188">
        <v>1.9282400000000002E-2</v>
      </c>
      <c r="G226" s="189">
        <v>1.3156139599999976E-2</v>
      </c>
      <c r="H226" s="232">
        <v>0.64</v>
      </c>
      <c r="I226" s="124" t="str">
        <f t="shared" si="7"/>
        <v>(160, 180]</v>
      </c>
      <c r="J226" s="160">
        <v>1</v>
      </c>
      <c r="K226" s="276">
        <v>1.0632326629465212</v>
      </c>
      <c r="L226" s="188">
        <v>2.0501677500000003E-2</v>
      </c>
      <c r="M226" s="233">
        <v>20501677</v>
      </c>
      <c r="N226" s="195">
        <v>2.0501676979498323E-2</v>
      </c>
      <c r="O226" s="211">
        <v>1.398803698587239E-2</v>
      </c>
      <c r="Q226" s="1">
        <v>1.2345605360363113E-2</v>
      </c>
      <c r="R226" s="272">
        <v>0.64025252874969463</v>
      </c>
      <c r="U226" s="124" t="s">
        <v>287</v>
      </c>
      <c r="V226" s="188">
        <f>SUM(N245:N256)</f>
        <v>5.4777499945222498E-3</v>
      </c>
      <c r="W226" s="297">
        <v>182.55670685956827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187796</v>
      </c>
      <c r="D227" s="30">
        <v>35800986.999999948</v>
      </c>
      <c r="E227" s="187">
        <f t="shared" si="6"/>
        <v>0.76255057615710553</v>
      </c>
      <c r="F227" s="188">
        <v>1.87796E-2</v>
      </c>
      <c r="G227" s="189">
        <v>1.432039479999998E-2</v>
      </c>
      <c r="H227" s="232">
        <v>0.72</v>
      </c>
      <c r="I227" s="124" t="str">
        <f t="shared" si="7"/>
        <v>(180, 200]</v>
      </c>
      <c r="J227" s="160">
        <v>1</v>
      </c>
      <c r="K227" s="276">
        <v>1.6022112025815247</v>
      </c>
      <c r="L227" s="188">
        <v>3.0088885500000002E-2</v>
      </c>
      <c r="M227" s="233">
        <v>30088885</v>
      </c>
      <c r="N227" s="195">
        <v>3.0088884969911116E-2</v>
      </c>
      <c r="O227" s="211">
        <v>2.2944296569730595E-2</v>
      </c>
      <c r="Q227" s="1">
        <v>1.8109825476012021E-2</v>
      </c>
      <c r="R227" s="272">
        <v>0.96433499520820576</v>
      </c>
      <c r="U227" s="124" t="s">
        <v>288</v>
      </c>
      <c r="V227" s="188">
        <f>SUM(N246:N256)</f>
        <v>3.8605779961394218E-3</v>
      </c>
      <c r="W227" s="297">
        <v>259.02857059227921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442160</v>
      </c>
      <c r="D228" s="30">
        <v>99588034.400000125</v>
      </c>
      <c r="E228" s="187">
        <f t="shared" si="6"/>
        <v>0.90092305409806517</v>
      </c>
      <c r="F228" s="188">
        <v>4.4215999999999998E-2</v>
      </c>
      <c r="G228" s="189">
        <v>3.983521376000005E-2</v>
      </c>
      <c r="H228" s="232">
        <v>0.8</v>
      </c>
      <c r="I228" s="124" t="str">
        <f t="shared" si="7"/>
        <v>(200, 250]</v>
      </c>
      <c r="J228" s="160">
        <v>1</v>
      </c>
      <c r="K228" s="276">
        <v>0.28859576850009044</v>
      </c>
      <c r="L228" s="188">
        <v>1.2760550499999999E-2</v>
      </c>
      <c r="M228" s="233">
        <v>12760550</v>
      </c>
      <c r="N228" s="195">
        <v>1.2760549987239449E-2</v>
      </c>
      <c r="O228" s="211">
        <v>1.1496273666474792E-2</v>
      </c>
      <c r="Q228" s="1">
        <v>7.674595432961279E-3</v>
      </c>
      <c r="R228" s="272">
        <v>0.17357054986795004</v>
      </c>
      <c r="U228" s="125" t="s">
        <v>273</v>
      </c>
      <c r="V228" s="191">
        <f>SUM(N253)</f>
        <v>2.04232999795767E-4</v>
      </c>
      <c r="W228" s="298">
        <v>4896.3683684810976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415305</v>
      </c>
      <c r="D229" s="30">
        <v>114292780.00000024</v>
      </c>
      <c r="E229" s="187">
        <f t="shared" si="6"/>
        <v>1.1008081289654614</v>
      </c>
      <c r="F229" s="188">
        <v>4.1530499999999998E-2</v>
      </c>
      <c r="G229" s="189">
        <v>4.5717112000000094E-2</v>
      </c>
      <c r="H229" s="232">
        <v>1</v>
      </c>
      <c r="I229" s="275" t="str">
        <f t="shared" si="7"/>
        <v>(250, 300]</v>
      </c>
      <c r="J229" s="160">
        <v>1</v>
      </c>
      <c r="K229" s="276">
        <v>1.7839220934012352</v>
      </c>
      <c r="L229" s="188">
        <v>7.408717649999999E-2</v>
      </c>
      <c r="M229" s="233">
        <v>74087176</v>
      </c>
      <c r="N229" s="195">
        <v>7.4087175925912824E-2</v>
      </c>
      <c r="O229" s="211">
        <v>8.1555765511339071E-2</v>
      </c>
      <c r="P229" s="1" cm="1">
        <f t="array" ref="P229:P256">2*K229:K256</f>
        <v>3.5678441868024704</v>
      </c>
      <c r="Q229" s="1">
        <v>1.1129664251999793E-2</v>
      </c>
      <c r="R229" s="272">
        <v>0.26798772593635506</v>
      </c>
    </row>
    <row r="230" spans="1:24" ht="15.6">
      <c r="A230" s="257">
        <v>300</v>
      </c>
      <c r="B230" s="258">
        <v>350</v>
      </c>
      <c r="C230" s="160">
        <v>383819</v>
      </c>
      <c r="D230" s="30">
        <v>124799755.6000001</v>
      </c>
      <c r="E230" s="187">
        <f t="shared" si="6"/>
        <v>1.3006105023461589</v>
      </c>
      <c r="F230" s="188">
        <v>3.8381899999999997E-2</v>
      </c>
      <c r="G230" s="189">
        <v>4.9919902240000036E-2</v>
      </c>
      <c r="H230" s="232">
        <v>1.2</v>
      </c>
      <c r="I230" s="124" t="str">
        <f t="shared" si="7"/>
        <v>(300, 350]</v>
      </c>
      <c r="J230" s="160">
        <v>1</v>
      </c>
      <c r="K230" s="276">
        <v>0.29027089591708594</v>
      </c>
      <c r="L230" s="188">
        <v>1.11411485E-2</v>
      </c>
      <c r="M230" s="233">
        <v>11141148</v>
      </c>
      <c r="N230" s="195">
        <v>1.1141147988858851E-2</v>
      </c>
      <c r="O230" s="211">
        <v>1.449029408250261E-2</v>
      </c>
      <c r="P230" s="1">
        <v>0.58054179183417187</v>
      </c>
      <c r="Q230" s="1">
        <v>1.6724255706989108E-3</v>
      </c>
      <c r="R230" s="272">
        <v>4.3573287687657752E-2</v>
      </c>
    </row>
    <row r="231" spans="1:24" ht="15.6">
      <c r="A231" s="257">
        <v>350</v>
      </c>
      <c r="B231" s="258">
        <v>400</v>
      </c>
      <c r="C231" s="160">
        <v>361281</v>
      </c>
      <c r="D231" s="30">
        <v>135539894.20000032</v>
      </c>
      <c r="E231" s="187">
        <f t="shared" si="6"/>
        <v>1.5006589795754588</v>
      </c>
      <c r="F231" s="188">
        <v>3.6128100000000003E-2</v>
      </c>
      <c r="G231" s="189">
        <v>5.4215957680000135E-2</v>
      </c>
      <c r="H231" s="232">
        <v>1.4</v>
      </c>
      <c r="I231" s="124" t="str">
        <f t="shared" si="7"/>
        <v>(350, 400]</v>
      </c>
      <c r="J231" s="160">
        <v>1</v>
      </c>
      <c r="K231" s="276">
        <v>0.35341040630423409</v>
      </c>
      <c r="L231" s="188">
        <v>1.2768046500000001E-2</v>
      </c>
      <c r="M231" s="233">
        <v>12768046</v>
      </c>
      <c r="N231" s="195">
        <v>1.2768045987231955E-2</v>
      </c>
      <c r="O231" s="211">
        <v>1.9160482862372038E-2</v>
      </c>
      <c r="P231" s="1">
        <v>0.70682081260846819</v>
      </c>
      <c r="Q231" s="1">
        <v>1.915424125577387E-3</v>
      </c>
      <c r="R231" s="272">
        <v>5.3017571518496322E-2</v>
      </c>
    </row>
    <row r="232" spans="1:24" ht="15.6">
      <c r="A232" s="257">
        <v>400</v>
      </c>
      <c r="B232" s="258">
        <v>450</v>
      </c>
      <c r="C232" s="160">
        <v>336550</v>
      </c>
      <c r="D232" s="30">
        <v>143083914.20000017</v>
      </c>
      <c r="E232" s="187">
        <f t="shared" si="6"/>
        <v>1.7005962169068509</v>
      </c>
      <c r="F232" s="188">
        <v>3.3654999999999997E-2</v>
      </c>
      <c r="G232" s="189">
        <v>5.7233565680000063E-2</v>
      </c>
      <c r="H232" s="232">
        <v>1.6</v>
      </c>
      <c r="I232" s="124" t="str">
        <f t="shared" si="7"/>
        <v>(400, 450]</v>
      </c>
      <c r="J232" s="160">
        <v>1</v>
      </c>
      <c r="K232" s="276">
        <v>0.29565409300252565</v>
      </c>
      <c r="L232" s="188">
        <v>9.9502384999999999E-3</v>
      </c>
      <c r="M232" s="233">
        <v>9950238</v>
      </c>
      <c r="N232" s="195">
        <v>9.9502379900497616E-3</v>
      </c>
      <c r="O232" s="211">
        <v>1.6921337083201454E-2</v>
      </c>
      <c r="P232" s="1">
        <v>0.59130818600505131</v>
      </c>
      <c r="Q232" s="1">
        <v>1.4918749622586027E-3</v>
      </c>
      <c r="R232" s="272">
        <v>4.4328479044974084E-2</v>
      </c>
    </row>
    <row r="233" spans="1:24" ht="15.6">
      <c r="A233" s="257">
        <v>450</v>
      </c>
      <c r="B233" s="258">
        <v>500</v>
      </c>
      <c r="C233" s="160">
        <v>315451</v>
      </c>
      <c r="D233" s="30">
        <v>149879698.20000023</v>
      </c>
      <c r="E233" s="187">
        <f t="shared" si="6"/>
        <v>1.9005132106095743</v>
      </c>
      <c r="F233" s="188">
        <v>3.15451E-2</v>
      </c>
      <c r="G233" s="189">
        <v>5.9951879280000085E-2</v>
      </c>
      <c r="H233" s="232">
        <v>1.8</v>
      </c>
      <c r="I233" s="124" t="str">
        <f t="shared" si="7"/>
        <v>(450, 500]</v>
      </c>
      <c r="J233" s="160">
        <v>1</v>
      </c>
      <c r="K233" s="276">
        <v>0.39257204763972853</v>
      </c>
      <c r="L233" s="188">
        <v>1.23837245E-2</v>
      </c>
      <c r="M233" s="233">
        <v>12383724</v>
      </c>
      <c r="N233" s="195">
        <v>1.2383723987616276E-2</v>
      </c>
      <c r="O233" s="211">
        <v>2.3535431035007409E-2</v>
      </c>
      <c r="P233" s="1">
        <v>0.78514409527945705</v>
      </c>
      <c r="Q233" s="1">
        <v>1.8558185333071217E-3</v>
      </c>
      <c r="R233" s="272">
        <v>5.8830643532818784E-2</v>
      </c>
    </row>
    <row r="234" spans="1:24" ht="15.6">
      <c r="A234" s="257">
        <v>500</v>
      </c>
      <c r="B234" s="258">
        <v>550</v>
      </c>
      <c r="C234" s="160">
        <v>293310</v>
      </c>
      <c r="D234" s="30">
        <v>153991757.80000031</v>
      </c>
      <c r="E234" s="187">
        <f t="shared" si="6"/>
        <v>2.1000546561658355</v>
      </c>
      <c r="F234" s="188">
        <v>2.9330999999999999E-2</v>
      </c>
      <c r="G234" s="189">
        <v>6.1596703120000124E-2</v>
      </c>
      <c r="H234" s="232">
        <v>2</v>
      </c>
      <c r="I234" s="275" t="str">
        <f t="shared" si="7"/>
        <v>(500, 550]</v>
      </c>
      <c r="J234" s="160">
        <v>1</v>
      </c>
      <c r="K234" s="276">
        <v>1.2175737104087825</v>
      </c>
      <c r="L234" s="188">
        <v>3.5712654499999996E-2</v>
      </c>
      <c r="M234" s="233">
        <v>35712654</v>
      </c>
      <c r="N234" s="195">
        <v>3.5712653964287348E-2</v>
      </c>
      <c r="O234" s="211">
        <v>7.4998525241740929E-2</v>
      </c>
      <c r="P234" s="1">
        <v>2.435147420817565</v>
      </c>
      <c r="Q234" s="1">
        <v>5.3495038293716922E-3</v>
      </c>
      <c r="R234" s="272">
        <v>0.18238395654330547</v>
      </c>
    </row>
    <row r="235" spans="1:24" ht="15.6">
      <c r="A235" s="257">
        <v>550</v>
      </c>
      <c r="B235" s="258">
        <v>600</v>
      </c>
      <c r="C235" s="160">
        <v>276974</v>
      </c>
      <c r="D235" s="30">
        <v>159277447.20000038</v>
      </c>
      <c r="E235" s="187">
        <f t="shared" si="6"/>
        <v>2.3002512466874201</v>
      </c>
      <c r="F235" s="188">
        <v>2.76974E-2</v>
      </c>
      <c r="G235" s="189">
        <v>6.3710978880000144E-2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0.67930175756569211</v>
      </c>
      <c r="L235" s="188">
        <v>1.8814892499999999E-2</v>
      </c>
      <c r="M235" s="233">
        <v>18814892</v>
      </c>
      <c r="N235" s="195">
        <v>1.8814891981185109E-2</v>
      </c>
      <c r="O235" s="211">
        <v>4.3278978736010193E-2</v>
      </c>
      <c r="P235" s="1">
        <v>1.3586035151313842</v>
      </c>
      <c r="Q235" s="1">
        <v>2.8171970608689904E-3</v>
      </c>
      <c r="R235" s="272">
        <v>0.10171341212059581</v>
      </c>
    </row>
    <row r="236" spans="1:24" ht="15.6">
      <c r="A236" s="257">
        <v>600</v>
      </c>
      <c r="B236" s="258">
        <v>650</v>
      </c>
      <c r="C236" s="160">
        <v>258873</v>
      </c>
      <c r="D236" s="30">
        <v>161810439.00000027</v>
      </c>
      <c r="E236" s="187">
        <f t="shared" si="6"/>
        <v>2.500228899885276</v>
      </c>
      <c r="F236" s="188">
        <v>2.5887299999999999E-2</v>
      </c>
      <c r="G236" s="189">
        <v>6.47241756000001E-2</v>
      </c>
      <c r="H236" s="232">
        <v>2.4</v>
      </c>
      <c r="I236" s="124" t="str">
        <f t="shared" si="7"/>
        <v>(600, 650]</v>
      </c>
      <c r="J236" s="160">
        <v>1</v>
      </c>
      <c r="K236" s="276">
        <v>0.4802911659385104</v>
      </c>
      <c r="L236" s="188">
        <v>1.24334415E-2</v>
      </c>
      <c r="M236" s="233">
        <v>12433441</v>
      </c>
      <c r="N236" s="195">
        <v>1.2433440987566559E-2</v>
      </c>
      <c r="O236" s="211">
        <v>3.1086448482132035E-2</v>
      </c>
      <c r="P236" s="1">
        <v>0.9605823318770208</v>
      </c>
      <c r="Q236" s="1">
        <v>1.8609975223638686E-3</v>
      </c>
      <c r="R236" s="272">
        <v>7.1888436506080927E-2</v>
      </c>
    </row>
    <row r="237" spans="1:24" ht="15.6">
      <c r="A237" s="257">
        <v>650</v>
      </c>
      <c r="B237" s="258">
        <v>700</v>
      </c>
      <c r="C237" s="160">
        <v>243289</v>
      </c>
      <c r="D237" s="30">
        <v>164220091.40000021</v>
      </c>
      <c r="E237" s="187">
        <f t="shared" si="6"/>
        <v>2.7000002696381702</v>
      </c>
      <c r="F237" s="188">
        <v>2.4328900000000001E-2</v>
      </c>
      <c r="G237" s="189">
        <v>6.5688036560000079E-2</v>
      </c>
      <c r="H237" s="232">
        <v>2.6</v>
      </c>
      <c r="I237" s="124" t="str">
        <f t="shared" si="7"/>
        <v>(650, 700]</v>
      </c>
      <c r="J237" s="160">
        <v>1</v>
      </c>
      <c r="K237" s="276">
        <v>0.24071813768809933</v>
      </c>
      <c r="L237" s="188">
        <v>5.8564074999999998E-3</v>
      </c>
      <c r="M237" s="233">
        <v>5856407</v>
      </c>
      <c r="N237" s="195">
        <v>5.8564069941435927E-3</v>
      </c>
      <c r="O237" s="211">
        <v>1.5812300463298568E-2</v>
      </c>
      <c r="P237" s="1">
        <v>0.48143627537619865</v>
      </c>
      <c r="Q237" s="1">
        <v>8.762685323830589E-4</v>
      </c>
      <c r="R237" s="272">
        <v>3.6017597687649623E-2</v>
      </c>
    </row>
    <row r="238" spans="1:24" ht="15.6">
      <c r="A238" s="257">
        <v>700</v>
      </c>
      <c r="B238" s="258">
        <v>750</v>
      </c>
      <c r="C238" s="160">
        <v>227531</v>
      </c>
      <c r="D238" s="30">
        <v>164967133.80000025</v>
      </c>
      <c r="E238" s="187">
        <f t="shared" si="6"/>
        <v>2.9001258518619482</v>
      </c>
      <c r="F238" s="188">
        <v>2.2753099999999998E-2</v>
      </c>
      <c r="G238" s="189">
        <v>6.5986853520000083E-2</v>
      </c>
      <c r="H238" s="232">
        <v>2.8</v>
      </c>
      <c r="I238" s="124" t="str">
        <f t="shared" si="7"/>
        <v>(700, 750]</v>
      </c>
      <c r="J238" s="160">
        <v>1</v>
      </c>
      <c r="K238" s="276">
        <v>0.21777021592662099</v>
      </c>
      <c r="L238" s="188">
        <v>4.9549475000000001E-3</v>
      </c>
      <c r="M238" s="233">
        <v>4954947</v>
      </c>
      <c r="N238" s="195">
        <v>4.9549469950450533E-3</v>
      </c>
      <c r="O238" s="211">
        <v>1.4369969874935835E-2</v>
      </c>
      <c r="P238" s="1">
        <v>0.43554043185324198</v>
      </c>
      <c r="Q238" s="1">
        <v>7.4115146154725073E-4</v>
      </c>
      <c r="R238" s="272">
        <v>3.2573647614929431E-2</v>
      </c>
    </row>
    <row r="239" spans="1:24" ht="15.6">
      <c r="A239" s="257">
        <v>750</v>
      </c>
      <c r="B239" s="258">
        <v>800</v>
      </c>
      <c r="C239" s="160">
        <v>215122</v>
      </c>
      <c r="D239" s="30">
        <v>166743715.00000024</v>
      </c>
      <c r="E239" s="187">
        <f t="shared" si="6"/>
        <v>3.1004493264287283</v>
      </c>
      <c r="F239" s="188">
        <v>2.1512199999999999E-2</v>
      </c>
      <c r="G239" s="189">
        <v>6.6697486000000084E-2</v>
      </c>
      <c r="H239" s="232">
        <v>3</v>
      </c>
      <c r="I239" s="124" t="str">
        <f t="shared" si="7"/>
        <v>(750, 800]</v>
      </c>
      <c r="J239" s="160">
        <v>1</v>
      </c>
      <c r="K239" s="276">
        <v>0.37894727178066401</v>
      </c>
      <c r="L239" s="188">
        <v>8.1519894999999998E-3</v>
      </c>
      <c r="M239" s="233">
        <v>8151989</v>
      </c>
      <c r="N239" s="195">
        <v>8.1519889918480106E-3</v>
      </c>
      <c r="O239" s="211">
        <v>2.5274828778829573E-2</v>
      </c>
      <c r="P239" s="1">
        <v>0.75789454356132802</v>
      </c>
      <c r="Q239" s="1">
        <v>1.2189966059970045E-3</v>
      </c>
      <c r="R239" s="272">
        <v>5.6665362259415798E-2</v>
      </c>
    </row>
    <row r="240" spans="1:24" ht="15.6">
      <c r="A240" s="257">
        <v>800</v>
      </c>
      <c r="B240" s="258">
        <v>850</v>
      </c>
      <c r="C240" s="160">
        <v>201108</v>
      </c>
      <c r="D240" s="30">
        <v>165926970.4000001</v>
      </c>
      <c r="E240" s="187">
        <f t="shared" si="6"/>
        <v>3.300255989816419</v>
      </c>
      <c r="F240" s="188">
        <v>2.0110800000000002E-2</v>
      </c>
      <c r="G240" s="189">
        <v>6.6370788160000041E-2</v>
      </c>
      <c r="H240" s="232">
        <v>3.2</v>
      </c>
      <c r="I240" s="124" t="str">
        <f t="shared" si="7"/>
        <v>(800, 850]</v>
      </c>
      <c r="J240" s="160">
        <v>1</v>
      </c>
      <c r="K240" s="276">
        <v>0.22747824551982018</v>
      </c>
      <c r="L240" s="188">
        <v>4.5747695E-3</v>
      </c>
      <c r="M240" s="233">
        <v>4574769</v>
      </c>
      <c r="N240" s="195">
        <v>4.5747689954252308E-3</v>
      </c>
      <c r="O240" s="211">
        <v>1.509790877917856E-2</v>
      </c>
      <c r="P240" s="1">
        <v>0.45495649103964036</v>
      </c>
      <c r="Q240" s="1">
        <v>6.8389177127303735E-4</v>
      </c>
      <c r="R240" s="272">
        <v>3.4006194247520598E-2</v>
      </c>
    </row>
    <row r="241" spans="1:19" ht="15.6">
      <c r="A241" s="257">
        <v>850</v>
      </c>
      <c r="B241" s="258">
        <v>900</v>
      </c>
      <c r="C241" s="160">
        <v>189718</v>
      </c>
      <c r="D241" s="30">
        <v>166006138.00000024</v>
      </c>
      <c r="E241" s="187">
        <f t="shared" si="6"/>
        <v>3.5000608903741393</v>
      </c>
      <c r="F241" s="188">
        <v>1.89718E-2</v>
      </c>
      <c r="G241" s="189">
        <v>6.6402455200000099E-2</v>
      </c>
      <c r="H241" s="232">
        <v>3.4</v>
      </c>
      <c r="I241" s="124" t="str">
        <f t="shared" si="7"/>
        <v>(850, 900]</v>
      </c>
      <c r="J241" s="160">
        <v>1</v>
      </c>
      <c r="K241" s="276">
        <v>0.23443640034155958</v>
      </c>
      <c r="L241" s="188">
        <v>4.4476805000000005E-3</v>
      </c>
      <c r="M241" s="233">
        <v>4447680</v>
      </c>
      <c r="N241" s="195">
        <v>4.4476799955523198E-3</v>
      </c>
      <c r="O241" s="211">
        <v>1.55671508053321E-2</v>
      </c>
      <c r="P241" s="1">
        <v>0.46887280068311915</v>
      </c>
      <c r="Q241" s="1">
        <v>6.6471945033239174E-4</v>
      </c>
      <c r="R241" s="272">
        <v>3.5037236863786868E-2</v>
      </c>
    </row>
    <row r="242" spans="1:19" ht="15.6">
      <c r="A242" s="257">
        <v>900</v>
      </c>
      <c r="B242" s="258">
        <v>950</v>
      </c>
      <c r="C242" s="160">
        <v>177926</v>
      </c>
      <c r="D242" s="30">
        <v>164593069.20000011</v>
      </c>
      <c r="E242" s="187">
        <f t="shared" si="6"/>
        <v>3.7002589660870275</v>
      </c>
      <c r="F242" s="188">
        <v>1.7792599999999999E-2</v>
      </c>
      <c r="G242" s="189">
        <v>6.5837227680000041E-2</v>
      </c>
      <c r="H242" s="232">
        <v>3.6</v>
      </c>
      <c r="I242" s="124" t="str">
        <f t="shared" si="7"/>
        <v>(900, 950]</v>
      </c>
      <c r="J242" s="160">
        <v>1</v>
      </c>
      <c r="K242" s="276">
        <v>0.1921390072277239</v>
      </c>
      <c r="L242" s="188">
        <v>3.4186525000000001E-3</v>
      </c>
      <c r="M242" s="233">
        <v>3418652</v>
      </c>
      <c r="N242" s="195">
        <v>3.4186519965813478E-3</v>
      </c>
      <c r="O242" s="211">
        <v>1.264989770228145E-2</v>
      </c>
      <c r="P242" s="1">
        <v>0.38427801445544779</v>
      </c>
      <c r="Q242" s="1">
        <v>5.1080162542589203E-4</v>
      </c>
      <c r="R242" s="272">
        <v>2.8708655588609425E-2</v>
      </c>
    </row>
    <row r="243" spans="1:19" ht="15.6">
      <c r="A243" s="257">
        <v>950</v>
      </c>
      <c r="B243" s="258">
        <v>1000</v>
      </c>
      <c r="C243" s="160">
        <v>167213</v>
      </c>
      <c r="D243" s="30">
        <v>163044849.80000007</v>
      </c>
      <c r="E243" s="187">
        <f t="shared" si="6"/>
        <v>3.9002912405135985</v>
      </c>
      <c r="F243" s="188">
        <v>1.6721300000000001E-2</v>
      </c>
      <c r="G243" s="189">
        <v>6.5217939920000037E-2</v>
      </c>
      <c r="H243" s="232">
        <v>3.8</v>
      </c>
      <c r="I243" s="124" t="str">
        <f t="shared" si="7"/>
        <v>(950, 1000]</v>
      </c>
      <c r="J243" s="160">
        <v>1</v>
      </c>
      <c r="K243" s="276">
        <v>0.37332112335763362</v>
      </c>
      <c r="L243" s="188">
        <v>6.2424144999999997E-3</v>
      </c>
      <c r="M243" s="233">
        <v>6242414</v>
      </c>
      <c r="N243" s="195">
        <v>6.2424139937575862E-3</v>
      </c>
      <c r="O243" s="211">
        <v>2.4347232619512223E-2</v>
      </c>
      <c r="P243" s="1">
        <v>0.74664224671526724</v>
      </c>
      <c r="Q243" s="1">
        <v>9.3249869117555866E-4</v>
      </c>
      <c r="R243" s="272">
        <v>5.5767116861461644E-2</v>
      </c>
    </row>
    <row r="244" spans="1:19" ht="15.6">
      <c r="A244" s="257">
        <v>1000</v>
      </c>
      <c r="B244" s="258">
        <v>2000</v>
      </c>
      <c r="C244" s="160">
        <v>1905876</v>
      </c>
      <c r="D244" s="30">
        <v>2679098514.6000175</v>
      </c>
      <c r="E244" s="187">
        <f t="shared" si="6"/>
        <v>5.6228180943566475</v>
      </c>
      <c r="F244" s="188">
        <v>0.1905876</v>
      </c>
      <c r="G244" s="189">
        <v>1.0716394058400069</v>
      </c>
      <c r="H244" s="232">
        <v>4</v>
      </c>
      <c r="I244" s="275" t="str">
        <f t="shared" si="7"/>
        <v>(1000, 2000]</v>
      </c>
      <c r="J244" s="160">
        <v>1</v>
      </c>
      <c r="K244" s="276">
        <v>8.1580262829271166E-2</v>
      </c>
      <c r="L244" s="188">
        <v>1.5548186500000002E-2</v>
      </c>
      <c r="M244" s="233">
        <v>15548186</v>
      </c>
      <c r="N244" s="195">
        <v>1.5548185984451814E-2</v>
      </c>
      <c r="O244" s="211">
        <v>8.7424621487798088E-2</v>
      </c>
      <c r="P244" s="1">
        <v>0.16316052565854233</v>
      </c>
      <c r="Q244" s="1">
        <v>2.3188292455711568E-3</v>
      </c>
      <c r="R244" s="272">
        <v>1.2166737214651724E-2</v>
      </c>
    </row>
    <row r="245" spans="1:19" ht="15.6">
      <c r="A245" s="257">
        <v>2000</v>
      </c>
      <c r="B245" s="258">
        <v>3000</v>
      </c>
      <c r="C245" s="160">
        <v>632932</v>
      </c>
      <c r="D245" s="30">
        <v>1528654735.2000017</v>
      </c>
      <c r="E245" s="187">
        <f t="shared" si="6"/>
        <v>9.6607833713574394</v>
      </c>
      <c r="F245" s="188">
        <v>6.3293199999999994E-2</v>
      </c>
      <c r="G245" s="189">
        <v>0.61146189408000062</v>
      </c>
      <c r="H245" s="232">
        <v>8</v>
      </c>
      <c r="I245" s="124" t="str">
        <f t="shared" si="7"/>
        <v>(2000, 3000]</v>
      </c>
      <c r="J245" s="160">
        <v>1</v>
      </c>
      <c r="K245" s="276">
        <v>2.5550493575929169E-2</v>
      </c>
      <c r="L245" s="188">
        <v>1.6171725E-3</v>
      </c>
      <c r="M245" s="233">
        <v>1617172</v>
      </c>
      <c r="N245" s="195">
        <v>1.6171719983828279E-3</v>
      </c>
      <c r="O245" s="211">
        <v>1.5623148350601704E-2</v>
      </c>
      <c r="P245" s="1">
        <v>5.1100987151858339E-2</v>
      </c>
      <c r="Q245" s="1">
        <v>2.4060234572901006E-4</v>
      </c>
      <c r="R245" s="272">
        <v>3.8013932891528645E-3</v>
      </c>
    </row>
    <row r="246" spans="1:19" ht="15.6">
      <c r="A246" s="257">
        <v>3000</v>
      </c>
      <c r="B246" s="258">
        <v>4000</v>
      </c>
      <c r="C246" s="160">
        <v>239776</v>
      </c>
      <c r="D246" s="30">
        <v>821580314.39999986</v>
      </c>
      <c r="E246" s="187">
        <f t="shared" si="6"/>
        <v>13.705797317496327</v>
      </c>
      <c r="F246" s="188">
        <v>2.3977600000000002E-2</v>
      </c>
      <c r="G246" s="189">
        <v>0.32863212575999995</v>
      </c>
      <c r="H246" s="232">
        <v>12</v>
      </c>
      <c r="I246" s="124" t="str">
        <f t="shared" si="7"/>
        <v>(3000, 4000]</v>
      </c>
      <c r="J246" s="160">
        <v>1</v>
      </c>
      <c r="K246" s="276">
        <v>5.463276141064994E-2</v>
      </c>
      <c r="L246" s="188">
        <v>1.3099625000000002E-3</v>
      </c>
      <c r="M246" s="233">
        <v>1309962</v>
      </c>
      <c r="N246" s="195">
        <v>1.3099619986900379E-3</v>
      </c>
      <c r="O246" s="211">
        <v>1.7954073647668049E-2</v>
      </c>
      <c r="P246" s="1">
        <v>0.10926552282129988</v>
      </c>
      <c r="Q246" s="1">
        <v>1.9459292360516313E-4</v>
      </c>
      <c r="R246" s="272">
        <v>8.1156130557338141E-3</v>
      </c>
    </row>
    <row r="247" spans="1:19" ht="15.6">
      <c r="A247" s="257">
        <v>4000</v>
      </c>
      <c r="B247" s="258">
        <v>5000</v>
      </c>
      <c r="C247" s="160">
        <v>104347</v>
      </c>
      <c r="D247" s="30">
        <v>463014797.4000001</v>
      </c>
      <c r="E247" s="187">
        <f t="shared" si="6"/>
        <v>17.749041080241888</v>
      </c>
      <c r="F247" s="188">
        <v>1.04347E-2</v>
      </c>
      <c r="G247" s="189">
        <v>0.18520591896000002</v>
      </c>
      <c r="H247" s="232">
        <v>16</v>
      </c>
      <c r="I247" s="124" t="str">
        <f t="shared" si="7"/>
        <v>(4000, 5000]</v>
      </c>
      <c r="J247" s="160">
        <v>1</v>
      </c>
      <c r="K247" s="276">
        <v>9.9930951536699661E-2</v>
      </c>
      <c r="L247" s="188">
        <v>1.0427494999999999E-3</v>
      </c>
      <c r="M247" s="233">
        <v>1042749</v>
      </c>
      <c r="N247" s="195">
        <v>1.0427489989572509E-3</v>
      </c>
      <c r="O247" s="211">
        <v>1.8507794818873352E-2</v>
      </c>
      <c r="P247" s="1">
        <v>0.19986190307339932</v>
      </c>
      <c r="Q247" s="1">
        <v>1.5472097419784935E-4</v>
      </c>
      <c r="R247" s="272">
        <v>1.4827544078684519E-2</v>
      </c>
    </row>
    <row r="248" spans="1:19" ht="15.6">
      <c r="A248" s="257">
        <v>5000</v>
      </c>
      <c r="B248" s="258">
        <v>6000</v>
      </c>
      <c r="C248" s="160">
        <v>53096</v>
      </c>
      <c r="D248" s="30">
        <v>289290604.19999999</v>
      </c>
      <c r="E248" s="187">
        <f t="shared" si="6"/>
        <v>21.793777625433179</v>
      </c>
      <c r="F248" s="188">
        <v>5.3096000000000003E-3</v>
      </c>
      <c r="G248" s="189">
        <v>0.11571624168000001</v>
      </c>
      <c r="H248" s="232">
        <v>20</v>
      </c>
      <c r="I248" s="124" t="str">
        <f t="shared" si="7"/>
        <v>(5000, 6000]</v>
      </c>
      <c r="J248" s="160">
        <v>1</v>
      </c>
      <c r="K248" s="276">
        <v>6.5225911556426097E-2</v>
      </c>
      <c r="L248" s="188">
        <v>3.4632350000000001E-4</v>
      </c>
      <c r="M248" s="233">
        <v>346323</v>
      </c>
      <c r="N248" s="195">
        <v>3.4632299965367698E-4</v>
      </c>
      <c r="O248" s="211">
        <v>7.5476864410252082E-3</v>
      </c>
      <c r="P248" s="1">
        <v>0.13045182311285219</v>
      </c>
      <c r="Q248" s="1">
        <v>5.1339773931655664E-5</v>
      </c>
      <c r="R248" s="272">
        <v>9.66923571109983E-3</v>
      </c>
    </row>
    <row r="249" spans="1:19" ht="15.6">
      <c r="A249" s="257">
        <v>6000</v>
      </c>
      <c r="B249" s="258">
        <v>7000</v>
      </c>
      <c r="C249" s="160">
        <v>30741</v>
      </c>
      <c r="D249" s="30">
        <v>198570912.39999998</v>
      </c>
      <c r="E249" s="187">
        <f t="shared" si="6"/>
        <v>25.837924908103179</v>
      </c>
      <c r="F249" s="188">
        <v>3.0741000000000002E-3</v>
      </c>
      <c r="G249" s="189">
        <v>7.9428364959999984E-2</v>
      </c>
      <c r="H249" s="232">
        <v>24</v>
      </c>
      <c r="I249" s="124" t="str">
        <f t="shared" si="7"/>
        <v>(6000, 7000]</v>
      </c>
      <c r="J249" s="160">
        <v>1</v>
      </c>
      <c r="K249" s="276">
        <v>0.10655720373442634</v>
      </c>
      <c r="L249" s="188">
        <v>3.2756750000000002E-4</v>
      </c>
      <c r="M249" s="233">
        <v>327567</v>
      </c>
      <c r="N249" s="195">
        <v>3.27566999672433E-4</v>
      </c>
      <c r="O249" s="211">
        <v>8.463651539908983E-3</v>
      </c>
      <c r="P249" s="1">
        <v>0.21311440746885268</v>
      </c>
      <c r="Q249" s="1">
        <v>4.8522573340460124E-5</v>
      </c>
      <c r="R249" s="272">
        <v>1.5784318447825418E-2</v>
      </c>
    </row>
    <row r="250" spans="1:19" ht="15.6">
      <c r="A250" s="257">
        <v>7000</v>
      </c>
      <c r="B250" s="258">
        <v>8000</v>
      </c>
      <c r="C250" s="160">
        <v>20417</v>
      </c>
      <c r="D250" s="30">
        <v>152483911.00000006</v>
      </c>
      <c r="E250" s="187">
        <f t="shared" si="6"/>
        <v>29.873911152470988</v>
      </c>
      <c r="F250" s="188">
        <v>2.0417E-3</v>
      </c>
      <c r="G250" s="189">
        <v>6.0993564400000019E-2</v>
      </c>
      <c r="H250" s="232">
        <v>28</v>
      </c>
      <c r="I250" s="124" t="str">
        <f t="shared" si="7"/>
        <v>(7000, 8000]</v>
      </c>
      <c r="J250" s="160">
        <v>1</v>
      </c>
      <c r="K250" s="276">
        <v>0.14965102610569622</v>
      </c>
      <c r="L250" s="188">
        <v>3.0554249999999996E-4</v>
      </c>
      <c r="M250" s="233">
        <v>305542</v>
      </c>
      <c r="N250" s="195">
        <v>3.0554199969445801E-4</v>
      </c>
      <c r="O250" s="211">
        <v>9.1277345522205559E-3</v>
      </c>
      <c r="P250" s="1">
        <v>0.29930205221139244</v>
      </c>
      <c r="Q250" s="1">
        <v>4.5230985118384998E-5</v>
      </c>
      <c r="R250" s="272">
        <v>2.2153590203450556E-2</v>
      </c>
    </row>
    <row r="251" spans="1:19" ht="15.6">
      <c r="A251" s="257">
        <v>8000</v>
      </c>
      <c r="B251" s="258">
        <v>9000</v>
      </c>
      <c r="C251" s="160">
        <v>14308</v>
      </c>
      <c r="D251" s="30">
        <v>121236653.19999999</v>
      </c>
      <c r="E251" s="187">
        <f t="shared" si="6"/>
        <v>33.893389208834215</v>
      </c>
      <c r="F251" s="188">
        <v>1.4308000000000001E-3</v>
      </c>
      <c r="G251" s="189">
        <v>4.8494661279999997E-2</v>
      </c>
      <c r="H251" s="232">
        <v>32</v>
      </c>
      <c r="I251" s="124" t="str">
        <f t="shared" si="7"/>
        <v>(8000, 9000]</v>
      </c>
      <c r="J251" s="160">
        <v>1</v>
      </c>
      <c r="K251" s="276">
        <v>0.17211594911937378</v>
      </c>
      <c r="L251" s="188">
        <v>2.4626349999999999E-4</v>
      </c>
      <c r="M251" s="233">
        <v>246263</v>
      </c>
      <c r="N251" s="195">
        <v>2.4626299975373701E-4</v>
      </c>
      <c r="O251" s="211">
        <v>8.3466876983884532E-3</v>
      </c>
      <c r="P251" s="198">
        <v>0.34423189823874756</v>
      </c>
      <c r="Q251" s="198">
        <v>3.6435176505648529E-5</v>
      </c>
      <c r="R251" s="272">
        <v>2.5464898312586335E-2</v>
      </c>
      <c r="S251" s="182"/>
    </row>
    <row r="252" spans="1:19" ht="15.6">
      <c r="A252" s="257">
        <v>9000</v>
      </c>
      <c r="B252" s="258">
        <v>10000</v>
      </c>
      <c r="C252" s="160">
        <v>10325</v>
      </c>
      <c r="D252" s="30">
        <v>97788251.599999994</v>
      </c>
      <c r="E252" s="187">
        <f t="shared" si="6"/>
        <v>37.884068416464885</v>
      </c>
      <c r="F252" s="188">
        <v>1.0325E-3</v>
      </c>
      <c r="G252" s="189">
        <v>3.9115300639999996E-2</v>
      </c>
      <c r="H252" s="232">
        <v>36</v>
      </c>
      <c r="I252" s="124" t="str">
        <f t="shared" si="7"/>
        <v>(9000, 10000]</v>
      </c>
      <c r="J252" s="160">
        <v>1</v>
      </c>
      <c r="K252" s="276">
        <v>7.5486198547215499E-2</v>
      </c>
      <c r="L252" s="188">
        <v>7.7939500000000008E-5</v>
      </c>
      <c r="M252" s="233">
        <v>77939</v>
      </c>
      <c r="N252" s="195">
        <v>7.7938999922061002E-5</v>
      </c>
      <c r="O252" s="211">
        <v>2.9526464053582103E-3</v>
      </c>
      <c r="P252" s="198">
        <v>0.150972397094431</v>
      </c>
      <c r="Q252" s="198">
        <v>1.1525633621686288E-5</v>
      </c>
      <c r="R252" s="272">
        <v>1.1162841280083572E-2</v>
      </c>
      <c r="S252" s="182"/>
    </row>
    <row r="253" spans="1:19" ht="15.6">
      <c r="A253" s="257">
        <v>10000</v>
      </c>
      <c r="B253" s="258">
        <v>20000</v>
      </c>
      <c r="C253" s="160">
        <v>28227</v>
      </c>
      <c r="D253" s="30">
        <v>361208583.60000002</v>
      </c>
      <c r="E253" s="187">
        <f t="shared" si="6"/>
        <v>51.186251971516633</v>
      </c>
      <c r="F253" s="188">
        <v>2.8227E-3</v>
      </c>
      <c r="G253" s="189">
        <v>0.14448343344</v>
      </c>
      <c r="H253" s="232">
        <v>40</v>
      </c>
      <c r="I253" s="275" t="str">
        <f t="shared" si="7"/>
        <v>(10000, 20000]</v>
      </c>
      <c r="J253" s="160">
        <v>1</v>
      </c>
      <c r="K253" s="276">
        <v>7.2353951890034365E-2</v>
      </c>
      <c r="L253" s="188">
        <v>2.0423350000000002E-4</v>
      </c>
      <c r="M253" s="233">
        <v>204233</v>
      </c>
      <c r="N253" s="195">
        <v>2.04232999795767E-4</v>
      </c>
      <c r="O253" s="211">
        <v>1.0453921788444835E-2</v>
      </c>
      <c r="P253" s="198">
        <v>0.14470790378006873</v>
      </c>
      <c r="Q253" s="198">
        <v>3.0161344925913713E-5</v>
      </c>
      <c r="R253" s="272">
        <v>1.068528179612205E-2</v>
      </c>
      <c r="S253" s="182"/>
    </row>
    <row r="254" spans="1:19" ht="15.6">
      <c r="A254" s="257">
        <v>20000</v>
      </c>
      <c r="B254" s="258">
        <v>30000</v>
      </c>
      <c r="C254" s="160">
        <v>1195</v>
      </c>
      <c r="D254" s="30">
        <v>26982136.800000001</v>
      </c>
      <c r="E254" s="187">
        <f t="shared" si="6"/>
        <v>90.316775899581586</v>
      </c>
      <c r="F254" s="188">
        <v>1.195E-4</v>
      </c>
      <c r="G254" s="189">
        <v>1.079285472E-2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44</v>
      </c>
      <c r="D255" s="30">
        <v>1449695.6</v>
      </c>
      <c r="E255" s="187">
        <f t="shared" si="6"/>
        <v>131.7905090909091</v>
      </c>
      <c r="F255" s="188">
        <v>4.4000000000000002E-6</v>
      </c>
      <c r="G255" s="189">
        <v>5.7987824000000005E-4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4060.6993376999385</v>
      </c>
      <c r="O257" s="10">
        <f>SUM(O240:O250)</f>
        <v>0.23231090074440025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47.560308420990154</v>
      </c>
      <c r="O259" s="220" cm="1">
        <f t="array" ref="O259:O260">N261/N259:N260</f>
        <v>294.36310370563689</v>
      </c>
    </row>
    <row r="260" spans="13:15" ht="16.8" thickBot="1">
      <c r="M260" s="124" t="s">
        <v>179</v>
      </c>
      <c r="N260" s="218">
        <f>1/SUM(N257)</f>
        <v>2.4626299975373701E-4</v>
      </c>
      <c r="O260" s="220">
        <v>56849790.72779914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1" zoomScale="70" zoomScaleNormal="70" workbookViewId="0">
      <selection activeCell="L27" sqref="L27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 cm="1">
        <f t="array" ref="H4:H18">18*(K4:K18/SUM(K4:K18))</f>
        <v>2.0136394797498487</v>
      </c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>
        <v>0.83046028676624162</v>
      </c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>
        <v>0.83046028676624162</v>
      </c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>
        <v>0.83046028676624162</v>
      </c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>
        <v>0.83046028676624162</v>
      </c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>
        <v>0.83046028676624162</v>
      </c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>
        <v>0.83046028676624162</v>
      </c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>
        <v>0.83046028676624162</v>
      </c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>
        <v>2.0761507169156039</v>
      </c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>
        <v>1.038075358457802</v>
      </c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>
        <v>1.038075358457802</v>
      </c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>
        <v>2.0761507169156039</v>
      </c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>
        <v>0.83046028676624162</v>
      </c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>
        <v>2.0761507169156039</v>
      </c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>
        <v>1.038075358457802</v>
      </c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 cm="1">
        <f t="array" ref="H69:H126">A69:A126/1.5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>
        <v>0</v>
      </c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>
        <v>0.66666666666666663</v>
      </c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>
        <v>1.3333333333333333</v>
      </c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>
        <v>2</v>
      </c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>
        <v>2.6666666666666665</v>
      </c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>
        <v>3.3333333333333335</v>
      </c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>
        <v>4</v>
      </c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>
        <v>4.666666666666667</v>
      </c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>
        <v>5.333333333333333</v>
      </c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>
        <v>6</v>
      </c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>
        <v>6.666666666666667</v>
      </c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>
        <v>10</v>
      </c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>
        <v>13.333333333333334</v>
      </c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>
        <v>16.666666666666668</v>
      </c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>
        <v>20</v>
      </c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>
        <v>23.333333333333332</v>
      </c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>
        <v>26.666666666666668</v>
      </c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>
        <v>30</v>
      </c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>
        <v>33.333333333333336</v>
      </c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>
        <v>40</v>
      </c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>
        <v>46.666666666666664</v>
      </c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>
        <v>53.333333333333336</v>
      </c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>
        <v>60</v>
      </c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>
        <v>66.666666666666671</v>
      </c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>
        <v>80</v>
      </c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>
        <v>93.333333333333329</v>
      </c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>
        <v>106.66666666666667</v>
      </c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>
        <v>120</v>
      </c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>
        <v>133.33333333333334</v>
      </c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>
        <v>166.66666666666666</v>
      </c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>
        <v>200</v>
      </c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>
        <v>233.33333333333334</v>
      </c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>
        <v>266.66666666666669</v>
      </c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>
        <v>300</v>
      </c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>
        <v>333.33333333333331</v>
      </c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>
        <v>366.66666666666669</v>
      </c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>
        <v>400</v>
      </c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>
        <v>433.33333333333331</v>
      </c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>
        <v>466.66666666666669</v>
      </c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>
        <v>500</v>
      </c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>
        <v>533.33333333333337</v>
      </c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>
        <v>566.66666666666663</v>
      </c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>
        <v>600</v>
      </c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>
        <v>633.33333333333337</v>
      </c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>
        <v>666.66666666666663</v>
      </c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>
        <v>1333.3333333333333</v>
      </c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>
        <v>2000</v>
      </c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>
        <v>2666.6666666666665</v>
      </c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>
        <v>3333.3333333333335</v>
      </c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>
        <v>4000</v>
      </c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>
        <v>4666.666666666667</v>
      </c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>
        <v>5333.333333333333</v>
      </c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>
        <v>6000</v>
      </c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>
        <v>6666.666666666667</v>
      </c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>
        <v>13333.333333333334</v>
      </c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>
        <v>20000</v>
      </c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>
        <v>66666.666666666672</v>
      </c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 cm="1">
        <f t="array" ref="H134:H168">A134:A168/8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>
        <v>0</v>
      </c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>
        <v>0.125</v>
      </c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>
        <v>0.25</v>
      </c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>
        <v>0.375</v>
      </c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>
        <v>0.5</v>
      </c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>
        <v>0.625</v>
      </c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>
        <v>0.75</v>
      </c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>
        <v>0.875</v>
      </c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>
        <v>1</v>
      </c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>
        <v>1.125</v>
      </c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>
        <v>1.25</v>
      </c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>
        <v>1.875</v>
      </c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>
        <v>2.5</v>
      </c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>
        <v>3.125</v>
      </c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>
        <v>3.75</v>
      </c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>
        <v>4.375</v>
      </c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>
        <v>5</v>
      </c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>
        <v>5.625</v>
      </c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>
        <v>6.25</v>
      </c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>
        <v>7.5</v>
      </c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>
        <v>8.75</v>
      </c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>
        <v>10</v>
      </c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>
        <v>11.25</v>
      </c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>
        <v>12.5</v>
      </c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>
        <v>15</v>
      </c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>
        <v>17.5</v>
      </c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>
        <v>20</v>
      </c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>
        <v>22.5</v>
      </c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>
        <v>25</v>
      </c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>
        <v>31.25</v>
      </c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>
        <v>37.5</v>
      </c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>
        <v>43.75</v>
      </c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>
        <v>50</v>
      </c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>
        <v>56.25</v>
      </c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271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275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272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287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288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289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271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275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272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274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273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271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275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272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287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288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289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271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275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272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274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273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19" t="s">
        <v>138</v>
      </c>
      <c r="B1" s="319"/>
      <c r="C1" s="319"/>
      <c r="D1" s="319"/>
      <c r="E1" s="319"/>
      <c r="F1" s="319"/>
      <c r="G1" s="1"/>
      <c r="H1" s="319" t="s">
        <v>139</v>
      </c>
      <c r="I1" s="319"/>
      <c r="J1" s="319"/>
      <c r="K1" s="319"/>
      <c r="L1" s="319"/>
      <c r="M1" s="319"/>
      <c r="N1" s="1"/>
      <c r="O1" s="319" t="s">
        <v>140</v>
      </c>
      <c r="P1" s="319"/>
      <c r="Q1" s="319"/>
      <c r="R1" s="319"/>
      <c r="S1" s="319"/>
      <c r="T1" s="319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100</v>
      </c>
      <c r="BL3" s="29">
        <v>467</v>
      </c>
      <c r="BM3" s="29">
        <v>100</v>
      </c>
      <c r="BN3" s="65"/>
      <c r="BO3" s="29">
        <f ca="1">OFFSET(BK$2,COUNTA(BK$3:BK$211),0)</f>
        <v>100</v>
      </c>
      <c r="BP3" s="29">
        <f t="shared" ref="BP3" ca="1" si="11">OFFSET(BL$2,COUNTA(BL$3:BL$211),0)</f>
        <v>584</v>
      </c>
      <c r="BQ3" s="29">
        <f t="shared" ref="BQ3" ca="1" si="12">OFFSET(BM$2,COUNTA(BM$3:BM$211),0)</f>
        <v>100</v>
      </c>
      <c r="BR3" s="65"/>
      <c r="BS3" s="29">
        <f ca="1">OFFSET(BK$2,COUNTA(BK$3:BK$211)-1,0)</f>
        <v>447</v>
      </c>
      <c r="BT3" s="29">
        <f t="shared" ref="BT3" ca="1" si="13">OFFSET(BL$2,COUNTA(BL$3:BL$211)-1,0)</f>
        <v>701</v>
      </c>
      <c r="BU3" s="29">
        <f t="shared" ref="BU3" ca="1" si="14">OFFSET(BM$2,COUNTA(BM$3:BM$211)-1,0)</f>
        <v>100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447</v>
      </c>
      <c r="BL4" s="29">
        <v>584</v>
      </c>
      <c r="BM4" s="29">
        <v>677</v>
      </c>
      <c r="BN4" s="65"/>
      <c r="BO4" s="29">
        <f>IF(BK3="","",BK3)</f>
        <v>100</v>
      </c>
      <c r="BP4" s="29">
        <f t="shared" ref="BP4:BP67" si="37">IF(BL3="","",BL3)</f>
        <v>467</v>
      </c>
      <c r="BQ4" s="29">
        <f t="shared" ref="BQ4:BQ67" si="38">IF(BM3="","",BM3)</f>
        <v>100</v>
      </c>
      <c r="BR4" s="65"/>
      <c r="BS4" s="29">
        <f ca="1">OFFSET(BK$2,COUNTA(BK$3:BK$211),0)</f>
        <v>100</v>
      </c>
      <c r="BT4" s="29">
        <f t="shared" ref="BT4" ca="1" si="39">OFFSET(BL$2,COUNTA(BL$3:BL$211),0)</f>
        <v>584</v>
      </c>
      <c r="BU4" s="29">
        <f t="shared" ref="BU4" ca="1" si="40">OFFSET(BM$2,COUNTA(BM$3:BM$211),0)</f>
        <v>100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373</v>
      </c>
      <c r="BL5" s="29">
        <v>701</v>
      </c>
      <c r="BM5" s="29">
        <v>564</v>
      </c>
      <c r="BN5" s="65"/>
      <c r="BO5" s="29">
        <f t="shared" ref="BO5:BO68" si="51">IF(BK4="","",BK4)</f>
        <v>447</v>
      </c>
      <c r="BP5" s="29">
        <f t="shared" si="37"/>
        <v>584</v>
      </c>
      <c r="BQ5" s="29">
        <f t="shared" si="38"/>
        <v>677</v>
      </c>
      <c r="BR5" s="65"/>
      <c r="BS5" s="29">
        <f>IF(BK3="","",BK3)</f>
        <v>100</v>
      </c>
      <c r="BT5" s="29">
        <f t="shared" ref="BT5:BT68" si="52">IF(BL3="","",BL3)</f>
        <v>467</v>
      </c>
      <c r="BU5" s="29">
        <f t="shared" ref="BU5:BU68" si="53">IF(BM3="","",BM3)</f>
        <v>100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298</v>
      </c>
      <c r="BL6" s="29">
        <v>100</v>
      </c>
      <c r="BM6" s="29">
        <v>451</v>
      </c>
      <c r="BN6" s="65"/>
      <c r="BO6" s="29">
        <f t="shared" si="51"/>
        <v>373</v>
      </c>
      <c r="BP6" s="29">
        <f t="shared" si="37"/>
        <v>701</v>
      </c>
      <c r="BQ6" s="29">
        <f t="shared" si="38"/>
        <v>564</v>
      </c>
      <c r="BR6" s="65"/>
      <c r="BS6" s="29">
        <f t="shared" ref="BS6:BS69" si="59">IF(BK4="","",BK4)</f>
        <v>447</v>
      </c>
      <c r="BT6" s="29">
        <f t="shared" si="52"/>
        <v>584</v>
      </c>
      <c r="BU6" s="29">
        <f t="shared" si="53"/>
        <v>677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373</v>
      </c>
      <c r="BL7" s="29">
        <v>100</v>
      </c>
      <c r="BM7" s="29">
        <v>564</v>
      </c>
      <c r="BN7" s="65"/>
      <c r="BO7" s="29">
        <f t="shared" si="51"/>
        <v>298</v>
      </c>
      <c r="BP7" s="29">
        <f t="shared" si="37"/>
        <v>100</v>
      </c>
      <c r="BQ7" s="29">
        <f t="shared" si="38"/>
        <v>451</v>
      </c>
      <c r="BR7" s="65"/>
      <c r="BS7" s="29">
        <f t="shared" si="59"/>
        <v>373</v>
      </c>
      <c r="BT7" s="29">
        <f t="shared" si="52"/>
        <v>701</v>
      </c>
      <c r="BU7" s="29">
        <f t="shared" si="53"/>
        <v>564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447</v>
      </c>
      <c r="BL8" s="29">
        <v>100</v>
      </c>
      <c r="BM8" s="29">
        <v>677</v>
      </c>
      <c r="BN8" s="65"/>
      <c r="BO8" s="29">
        <f t="shared" si="51"/>
        <v>373</v>
      </c>
      <c r="BP8" s="29">
        <f t="shared" si="37"/>
        <v>100</v>
      </c>
      <c r="BQ8" s="29">
        <f t="shared" si="38"/>
        <v>564</v>
      </c>
      <c r="BR8" s="65"/>
      <c r="BS8" s="29">
        <f t="shared" si="59"/>
        <v>298</v>
      </c>
      <c r="BT8" s="29">
        <f t="shared" si="52"/>
        <v>100</v>
      </c>
      <c r="BU8" s="29">
        <f t="shared" si="53"/>
        <v>451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100</v>
      </c>
      <c r="BL9" s="29">
        <v>100</v>
      </c>
      <c r="BM9" s="29">
        <v>100</v>
      </c>
      <c r="BN9" s="65"/>
      <c r="BO9" s="29">
        <f t="shared" si="51"/>
        <v>447</v>
      </c>
      <c r="BP9" s="29">
        <f t="shared" si="37"/>
        <v>100</v>
      </c>
      <c r="BQ9" s="29">
        <f t="shared" si="38"/>
        <v>677</v>
      </c>
      <c r="BR9" s="65"/>
      <c r="BS9" s="29">
        <f t="shared" si="59"/>
        <v>373</v>
      </c>
      <c r="BT9" s="29">
        <f t="shared" si="52"/>
        <v>100</v>
      </c>
      <c r="BU9" s="29">
        <f t="shared" si="53"/>
        <v>564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100</v>
      </c>
      <c r="BL10" s="29">
        <v>100</v>
      </c>
      <c r="BM10" s="29">
        <v>100</v>
      </c>
      <c r="BN10" s="65"/>
      <c r="BO10" s="29">
        <f t="shared" si="51"/>
        <v>100</v>
      </c>
      <c r="BP10" s="29">
        <f t="shared" si="37"/>
        <v>100</v>
      </c>
      <c r="BQ10" s="29">
        <f t="shared" si="38"/>
        <v>100</v>
      </c>
      <c r="BR10" s="65"/>
      <c r="BS10" s="29">
        <f t="shared" si="59"/>
        <v>447</v>
      </c>
      <c r="BT10" s="29">
        <f t="shared" si="52"/>
        <v>100</v>
      </c>
      <c r="BU10" s="29">
        <f t="shared" si="53"/>
        <v>677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100</v>
      </c>
      <c r="BL11" s="29">
        <v>100</v>
      </c>
      <c r="BM11" s="29">
        <v>100</v>
      </c>
      <c r="BN11" s="65"/>
      <c r="BO11" s="29">
        <f t="shared" si="51"/>
        <v>100</v>
      </c>
      <c r="BP11" s="29">
        <f t="shared" si="37"/>
        <v>100</v>
      </c>
      <c r="BQ11" s="29">
        <f t="shared" si="38"/>
        <v>100</v>
      </c>
      <c r="BR11" s="65"/>
      <c r="BS11" s="29">
        <f t="shared" si="59"/>
        <v>100</v>
      </c>
      <c r="BT11" s="29">
        <f t="shared" si="52"/>
        <v>100</v>
      </c>
      <c r="BU11" s="29">
        <f t="shared" si="53"/>
        <v>100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100</v>
      </c>
      <c r="BL12" s="29">
        <v>100</v>
      </c>
      <c r="BM12" s="29">
        <v>100</v>
      </c>
      <c r="BN12" s="65"/>
      <c r="BO12" s="29">
        <f t="shared" si="51"/>
        <v>100</v>
      </c>
      <c r="BP12" s="29">
        <f t="shared" si="37"/>
        <v>100</v>
      </c>
      <c r="BQ12" s="29">
        <f t="shared" si="38"/>
        <v>100</v>
      </c>
      <c r="BR12" s="65"/>
      <c r="BS12" s="29">
        <f t="shared" si="59"/>
        <v>100</v>
      </c>
      <c r="BT12" s="29">
        <f t="shared" si="52"/>
        <v>100</v>
      </c>
      <c r="BU12" s="29">
        <f t="shared" si="53"/>
        <v>100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100</v>
      </c>
      <c r="BL13" s="29">
        <v>100</v>
      </c>
      <c r="BM13" s="29">
        <v>100</v>
      </c>
      <c r="BN13" s="65"/>
      <c r="BO13" s="29">
        <f t="shared" si="51"/>
        <v>100</v>
      </c>
      <c r="BP13" s="29">
        <f t="shared" si="37"/>
        <v>100</v>
      </c>
      <c r="BQ13" s="29">
        <f t="shared" si="38"/>
        <v>100</v>
      </c>
      <c r="BR13" s="65"/>
      <c r="BS13" s="29">
        <f t="shared" si="59"/>
        <v>100</v>
      </c>
      <c r="BT13" s="29">
        <f t="shared" si="52"/>
        <v>100</v>
      </c>
      <c r="BU13" s="29">
        <f t="shared" si="53"/>
        <v>100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100</v>
      </c>
      <c r="BL14" s="29">
        <v>100</v>
      </c>
      <c r="BM14" s="29">
        <v>100</v>
      </c>
      <c r="BN14" s="65"/>
      <c r="BO14" s="29">
        <f t="shared" si="51"/>
        <v>100</v>
      </c>
      <c r="BP14" s="29">
        <f t="shared" si="37"/>
        <v>100</v>
      </c>
      <c r="BQ14" s="29">
        <f t="shared" si="38"/>
        <v>100</v>
      </c>
      <c r="BR14" s="65"/>
      <c r="BS14" s="29">
        <f t="shared" si="59"/>
        <v>100</v>
      </c>
      <c r="BT14" s="29">
        <f t="shared" si="52"/>
        <v>100</v>
      </c>
      <c r="BU14" s="29">
        <f t="shared" si="53"/>
        <v>100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100</v>
      </c>
      <c r="BL15" s="29">
        <v>100</v>
      </c>
      <c r="BM15" s="29">
        <v>100</v>
      </c>
      <c r="BN15" s="65"/>
      <c r="BO15" s="29">
        <f t="shared" si="51"/>
        <v>100</v>
      </c>
      <c r="BP15" s="29">
        <f t="shared" si="37"/>
        <v>100</v>
      </c>
      <c r="BQ15" s="29">
        <f t="shared" si="38"/>
        <v>100</v>
      </c>
      <c r="BR15" s="65"/>
      <c r="BS15" s="29">
        <f t="shared" si="59"/>
        <v>100</v>
      </c>
      <c r="BT15" s="29">
        <f t="shared" si="52"/>
        <v>100</v>
      </c>
      <c r="BU15" s="29">
        <f t="shared" si="53"/>
        <v>100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100</v>
      </c>
      <c r="BL16" s="29">
        <v>100</v>
      </c>
      <c r="BM16" s="29">
        <v>100</v>
      </c>
      <c r="BN16" s="65"/>
      <c r="BO16" s="29">
        <f t="shared" si="51"/>
        <v>100</v>
      </c>
      <c r="BP16" s="29">
        <f t="shared" si="37"/>
        <v>100</v>
      </c>
      <c r="BQ16" s="29">
        <f t="shared" si="38"/>
        <v>100</v>
      </c>
      <c r="BR16" s="65"/>
      <c r="BS16" s="29">
        <f t="shared" si="59"/>
        <v>100</v>
      </c>
      <c r="BT16" s="29">
        <f t="shared" si="52"/>
        <v>100</v>
      </c>
      <c r="BU16" s="29">
        <f t="shared" si="53"/>
        <v>100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100</v>
      </c>
      <c r="BL17" s="29">
        <v>100</v>
      </c>
      <c r="BM17" s="29">
        <v>100</v>
      </c>
      <c r="BN17" s="65"/>
      <c r="BO17" s="29">
        <f t="shared" si="51"/>
        <v>100</v>
      </c>
      <c r="BP17" s="29">
        <f t="shared" si="37"/>
        <v>100</v>
      </c>
      <c r="BQ17" s="29">
        <f t="shared" si="38"/>
        <v>100</v>
      </c>
      <c r="BR17" s="65"/>
      <c r="BS17" s="29">
        <f t="shared" si="59"/>
        <v>100</v>
      </c>
      <c r="BT17" s="29">
        <f t="shared" si="52"/>
        <v>100</v>
      </c>
      <c r="BU17" s="29">
        <f t="shared" si="53"/>
        <v>100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100</v>
      </c>
      <c r="BL18" s="29">
        <v>100</v>
      </c>
      <c r="BM18" s="29">
        <v>100</v>
      </c>
      <c r="BN18" s="65"/>
      <c r="BO18" s="29">
        <f t="shared" si="51"/>
        <v>100</v>
      </c>
      <c r="BP18" s="29">
        <f t="shared" si="37"/>
        <v>100</v>
      </c>
      <c r="BQ18" s="29">
        <f t="shared" si="38"/>
        <v>100</v>
      </c>
      <c r="BR18" s="65"/>
      <c r="BS18" s="29">
        <f t="shared" si="59"/>
        <v>100</v>
      </c>
      <c r="BT18" s="29">
        <f t="shared" si="52"/>
        <v>100</v>
      </c>
      <c r="BU18" s="29">
        <f t="shared" si="53"/>
        <v>100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100</v>
      </c>
      <c r="BL19" s="29">
        <v>100</v>
      </c>
      <c r="BM19" s="29">
        <v>100</v>
      </c>
      <c r="BN19" s="65"/>
      <c r="BO19" s="29">
        <f t="shared" si="51"/>
        <v>100</v>
      </c>
      <c r="BP19" s="29">
        <f t="shared" si="37"/>
        <v>100</v>
      </c>
      <c r="BQ19" s="29">
        <f t="shared" si="38"/>
        <v>100</v>
      </c>
      <c r="BR19" s="65"/>
      <c r="BS19" s="29">
        <f t="shared" si="59"/>
        <v>100</v>
      </c>
      <c r="BT19" s="29">
        <f t="shared" si="52"/>
        <v>100</v>
      </c>
      <c r="BU19" s="29">
        <f t="shared" si="53"/>
        <v>100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100</v>
      </c>
      <c r="BL20" s="29">
        <v>100</v>
      </c>
      <c r="BM20" s="29">
        <v>100</v>
      </c>
      <c r="BN20" s="65"/>
      <c r="BO20" s="29">
        <f t="shared" si="51"/>
        <v>100</v>
      </c>
      <c r="BP20" s="29">
        <f t="shared" si="37"/>
        <v>100</v>
      </c>
      <c r="BQ20" s="29">
        <f t="shared" si="38"/>
        <v>100</v>
      </c>
      <c r="BR20" s="65"/>
      <c r="BS20" s="29">
        <f t="shared" si="59"/>
        <v>100</v>
      </c>
      <c r="BT20" s="29">
        <f t="shared" si="52"/>
        <v>100</v>
      </c>
      <c r="BU20" s="29">
        <f t="shared" si="53"/>
        <v>100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100</v>
      </c>
      <c r="BL21" s="29">
        <v>100</v>
      </c>
      <c r="BM21" s="29">
        <v>100</v>
      </c>
      <c r="BN21" s="65"/>
      <c r="BO21" s="29">
        <f t="shared" si="51"/>
        <v>100</v>
      </c>
      <c r="BP21" s="29">
        <f t="shared" si="37"/>
        <v>100</v>
      </c>
      <c r="BQ21" s="29">
        <f t="shared" si="38"/>
        <v>100</v>
      </c>
      <c r="BR21" s="65"/>
      <c r="BS21" s="29">
        <f t="shared" si="59"/>
        <v>100</v>
      </c>
      <c r="BT21" s="29">
        <f t="shared" si="52"/>
        <v>100</v>
      </c>
      <c r="BU21" s="29">
        <f t="shared" si="53"/>
        <v>100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100</v>
      </c>
      <c r="BL22" s="29">
        <v>100</v>
      </c>
      <c r="BM22" s="29">
        <v>100</v>
      </c>
      <c r="BN22" s="65"/>
      <c r="BO22" s="29">
        <f t="shared" si="51"/>
        <v>100</v>
      </c>
      <c r="BP22" s="29">
        <f t="shared" si="37"/>
        <v>100</v>
      </c>
      <c r="BQ22" s="29">
        <f t="shared" si="38"/>
        <v>100</v>
      </c>
      <c r="BR22" s="65"/>
      <c r="BS22" s="29">
        <f t="shared" si="59"/>
        <v>100</v>
      </c>
      <c r="BT22" s="29">
        <f t="shared" si="52"/>
        <v>100</v>
      </c>
      <c r="BU22" s="29">
        <f t="shared" si="53"/>
        <v>100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100</v>
      </c>
      <c r="BL23" s="29">
        <v>701</v>
      </c>
      <c r="BM23" s="29">
        <v>100</v>
      </c>
      <c r="BN23" s="65"/>
      <c r="BO23" s="29">
        <f t="shared" si="51"/>
        <v>100</v>
      </c>
      <c r="BP23" s="29">
        <f t="shared" si="37"/>
        <v>100</v>
      </c>
      <c r="BQ23" s="29">
        <f t="shared" si="38"/>
        <v>100</v>
      </c>
      <c r="BR23" s="65"/>
      <c r="BS23" s="29">
        <f t="shared" si="59"/>
        <v>100</v>
      </c>
      <c r="BT23" s="29">
        <f t="shared" si="52"/>
        <v>100</v>
      </c>
      <c r="BU23" s="29">
        <f t="shared" si="53"/>
        <v>100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100</v>
      </c>
      <c r="BL24" s="29">
        <v>584</v>
      </c>
      <c r="BM24" s="29">
        <v>100</v>
      </c>
      <c r="BN24" s="65"/>
      <c r="BO24" s="29">
        <f t="shared" si="51"/>
        <v>100</v>
      </c>
      <c r="BP24" s="29">
        <f t="shared" si="37"/>
        <v>701</v>
      </c>
      <c r="BQ24" s="29">
        <f t="shared" si="38"/>
        <v>100</v>
      </c>
      <c r="BR24" s="65"/>
      <c r="BS24" s="29">
        <f t="shared" si="59"/>
        <v>100</v>
      </c>
      <c r="BT24" s="29">
        <f t="shared" si="52"/>
        <v>100</v>
      </c>
      <c r="BU24" s="29">
        <f t="shared" si="53"/>
        <v>100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100</v>
      </c>
      <c r="BL25" s="29">
        <v>467</v>
      </c>
      <c r="BM25" s="29">
        <v>100</v>
      </c>
      <c r="BN25" s="65"/>
      <c r="BO25" s="29">
        <f t="shared" si="51"/>
        <v>100</v>
      </c>
      <c r="BP25" s="29">
        <f t="shared" si="37"/>
        <v>584</v>
      </c>
      <c r="BQ25" s="29">
        <f t="shared" si="38"/>
        <v>100</v>
      </c>
      <c r="BR25" s="65"/>
      <c r="BS25" s="29">
        <f t="shared" si="59"/>
        <v>100</v>
      </c>
      <c r="BT25" s="29">
        <f t="shared" si="52"/>
        <v>701</v>
      </c>
      <c r="BU25" s="29">
        <f t="shared" si="53"/>
        <v>100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100</v>
      </c>
      <c r="BL26" s="29">
        <v>584</v>
      </c>
      <c r="BM26" s="29">
        <v>100</v>
      </c>
      <c r="BN26" s="65"/>
      <c r="BO26" s="29">
        <f t="shared" si="51"/>
        <v>100</v>
      </c>
      <c r="BP26" s="29">
        <f t="shared" si="37"/>
        <v>467</v>
      </c>
      <c r="BQ26" s="29">
        <f t="shared" si="38"/>
        <v>100</v>
      </c>
      <c r="BR26" s="65"/>
      <c r="BS26" s="29">
        <f t="shared" si="59"/>
        <v>100</v>
      </c>
      <c r="BT26" s="29">
        <f t="shared" si="52"/>
        <v>584</v>
      </c>
      <c r="BU26" s="29">
        <f t="shared" si="53"/>
        <v>100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0" t="s">
        <v>145</v>
      </c>
      <c r="B27" s="320"/>
      <c r="C27" s="320"/>
      <c r="D27" s="320"/>
      <c r="E27" s="320"/>
      <c r="F27" s="320"/>
      <c r="H27" s="320" t="s">
        <v>146</v>
      </c>
      <c r="I27" s="320"/>
      <c r="J27" s="320"/>
      <c r="K27" s="320"/>
      <c r="L27" s="320"/>
      <c r="M27" s="320"/>
      <c r="O27" s="320" t="s">
        <v>147</v>
      </c>
      <c r="P27" s="320"/>
      <c r="Q27" s="320"/>
      <c r="R27" s="320"/>
      <c r="S27" s="320"/>
      <c r="T27" s="320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100</v>
      </c>
      <c r="BL27" s="29">
        <v>701</v>
      </c>
      <c r="BM27" s="29">
        <v>100</v>
      </c>
      <c r="BN27" s="65"/>
      <c r="BO27" s="29">
        <f t="shared" si="51"/>
        <v>100</v>
      </c>
      <c r="BP27" s="29">
        <f t="shared" si="37"/>
        <v>584</v>
      </c>
      <c r="BQ27" s="29">
        <f t="shared" si="38"/>
        <v>100</v>
      </c>
      <c r="BR27" s="65"/>
      <c r="BS27" s="29">
        <f t="shared" si="59"/>
        <v>100</v>
      </c>
      <c r="BT27" s="29">
        <f t="shared" si="52"/>
        <v>467</v>
      </c>
      <c r="BU27" s="29">
        <f t="shared" si="53"/>
        <v>100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100</v>
      </c>
      <c r="BL28" s="29">
        <v>100</v>
      </c>
      <c r="BM28" s="29">
        <v>100</v>
      </c>
      <c r="BN28" s="65"/>
      <c r="BO28" s="29">
        <f t="shared" si="51"/>
        <v>100</v>
      </c>
      <c r="BP28" s="29">
        <f t="shared" si="37"/>
        <v>701</v>
      </c>
      <c r="BQ28" s="29">
        <f t="shared" si="38"/>
        <v>100</v>
      </c>
      <c r="BR28" s="65"/>
      <c r="BS28" s="29">
        <f t="shared" si="59"/>
        <v>100</v>
      </c>
      <c r="BT28" s="29">
        <f t="shared" si="52"/>
        <v>584</v>
      </c>
      <c r="BU28" s="29">
        <f t="shared" si="53"/>
        <v>100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100</v>
      </c>
      <c r="BL29" s="29">
        <v>100</v>
      </c>
      <c r="BM29" s="29">
        <v>100</v>
      </c>
      <c r="BN29" s="65"/>
      <c r="BO29" s="29">
        <f t="shared" si="51"/>
        <v>100</v>
      </c>
      <c r="BP29" s="29">
        <f t="shared" si="37"/>
        <v>100</v>
      </c>
      <c r="BQ29" s="29">
        <f t="shared" si="38"/>
        <v>100</v>
      </c>
      <c r="BR29" s="65"/>
      <c r="BS29" s="29">
        <f t="shared" si="59"/>
        <v>100</v>
      </c>
      <c r="BT29" s="29">
        <f t="shared" si="52"/>
        <v>701</v>
      </c>
      <c r="BU29" s="29">
        <f t="shared" si="53"/>
        <v>100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100</v>
      </c>
      <c r="BL30" s="29">
        <v>100</v>
      </c>
      <c r="BM30" s="29">
        <v>100</v>
      </c>
      <c r="BN30" s="65"/>
      <c r="BO30" s="29">
        <f t="shared" si="51"/>
        <v>100</v>
      </c>
      <c r="BP30" s="29">
        <f t="shared" si="37"/>
        <v>100</v>
      </c>
      <c r="BQ30" s="29">
        <f t="shared" si="38"/>
        <v>100</v>
      </c>
      <c r="BR30" s="65"/>
      <c r="BS30" s="29">
        <f t="shared" si="59"/>
        <v>100</v>
      </c>
      <c r="BT30" s="29">
        <f t="shared" si="52"/>
        <v>100</v>
      </c>
      <c r="BU30" s="29">
        <f t="shared" si="53"/>
        <v>100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100</v>
      </c>
      <c r="BL31" s="29">
        <v>100</v>
      </c>
      <c r="BM31" s="29">
        <v>100</v>
      </c>
      <c r="BN31" s="65"/>
      <c r="BO31" s="29">
        <f t="shared" si="51"/>
        <v>100</v>
      </c>
      <c r="BP31" s="29">
        <f t="shared" si="37"/>
        <v>100</v>
      </c>
      <c r="BQ31" s="29">
        <f t="shared" si="38"/>
        <v>100</v>
      </c>
      <c r="BR31" s="65"/>
      <c r="BS31" s="29">
        <f t="shared" si="59"/>
        <v>100</v>
      </c>
      <c r="BT31" s="29">
        <f t="shared" si="52"/>
        <v>100</v>
      </c>
      <c r="BU31" s="29">
        <f t="shared" si="53"/>
        <v>100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100</v>
      </c>
      <c r="BL32" s="29">
        <v>100</v>
      </c>
      <c r="BM32" s="29">
        <v>677</v>
      </c>
      <c r="BN32" s="65"/>
      <c r="BO32" s="29">
        <f t="shared" si="51"/>
        <v>100</v>
      </c>
      <c r="BP32" s="29">
        <f t="shared" si="37"/>
        <v>100</v>
      </c>
      <c r="BQ32" s="29">
        <f t="shared" si="38"/>
        <v>100</v>
      </c>
      <c r="BR32" s="65"/>
      <c r="BS32" s="29">
        <f t="shared" si="59"/>
        <v>100</v>
      </c>
      <c r="BT32" s="29">
        <f t="shared" si="52"/>
        <v>100</v>
      </c>
      <c r="BU32" s="29">
        <f t="shared" si="53"/>
        <v>100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100</v>
      </c>
      <c r="BL33" s="29">
        <v>100</v>
      </c>
      <c r="BM33" s="29">
        <v>564</v>
      </c>
      <c r="BN33" s="65"/>
      <c r="BO33" s="29">
        <f t="shared" si="51"/>
        <v>100</v>
      </c>
      <c r="BP33" s="29">
        <f t="shared" si="37"/>
        <v>100</v>
      </c>
      <c r="BQ33" s="29">
        <f t="shared" si="38"/>
        <v>677</v>
      </c>
      <c r="BR33" s="65"/>
      <c r="BS33" s="29">
        <f t="shared" si="59"/>
        <v>100</v>
      </c>
      <c r="BT33" s="29">
        <f t="shared" si="52"/>
        <v>100</v>
      </c>
      <c r="BU33" s="29">
        <f t="shared" si="53"/>
        <v>100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100</v>
      </c>
      <c r="BL34" s="29">
        <v>100</v>
      </c>
      <c r="BM34" s="29">
        <v>451</v>
      </c>
      <c r="BN34" s="65"/>
      <c r="BO34" s="29">
        <f t="shared" si="51"/>
        <v>100</v>
      </c>
      <c r="BP34" s="29">
        <f t="shared" si="37"/>
        <v>100</v>
      </c>
      <c r="BQ34" s="29">
        <f t="shared" si="38"/>
        <v>564</v>
      </c>
      <c r="BR34" s="65"/>
      <c r="BS34" s="29">
        <f t="shared" si="59"/>
        <v>100</v>
      </c>
      <c r="BT34" s="29">
        <f t="shared" si="52"/>
        <v>100</v>
      </c>
      <c r="BU34" s="29">
        <f t="shared" si="53"/>
        <v>677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100</v>
      </c>
      <c r="BL35" s="29">
        <v>100</v>
      </c>
      <c r="BM35" s="29">
        <v>564</v>
      </c>
      <c r="BN35" s="65"/>
      <c r="BO35" s="29">
        <f t="shared" si="51"/>
        <v>100</v>
      </c>
      <c r="BP35" s="29">
        <f t="shared" si="37"/>
        <v>100</v>
      </c>
      <c r="BQ35" s="29">
        <f t="shared" si="38"/>
        <v>451</v>
      </c>
      <c r="BR35" s="65"/>
      <c r="BS35" s="29">
        <f t="shared" si="59"/>
        <v>100</v>
      </c>
      <c r="BT35" s="29">
        <f t="shared" si="52"/>
        <v>100</v>
      </c>
      <c r="BU35" s="29">
        <f t="shared" si="53"/>
        <v>564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100</v>
      </c>
      <c r="BL36" s="29">
        <v>100</v>
      </c>
      <c r="BM36" s="29">
        <v>677</v>
      </c>
      <c r="BN36" s="65"/>
      <c r="BO36" s="29">
        <f t="shared" si="51"/>
        <v>100</v>
      </c>
      <c r="BP36" s="29">
        <f t="shared" si="37"/>
        <v>100</v>
      </c>
      <c r="BQ36" s="29">
        <f t="shared" si="38"/>
        <v>564</v>
      </c>
      <c r="BR36" s="65"/>
      <c r="BS36" s="29">
        <f t="shared" si="59"/>
        <v>100</v>
      </c>
      <c r="BT36" s="29">
        <f t="shared" si="52"/>
        <v>100</v>
      </c>
      <c r="BU36" s="29">
        <f t="shared" si="53"/>
        <v>451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100</v>
      </c>
      <c r="BL37" s="29">
        <v>100</v>
      </c>
      <c r="BM37" s="29">
        <v>100</v>
      </c>
      <c r="BN37" s="65"/>
      <c r="BO37" s="29">
        <f t="shared" si="51"/>
        <v>100</v>
      </c>
      <c r="BP37" s="29">
        <f t="shared" si="37"/>
        <v>100</v>
      </c>
      <c r="BQ37" s="29">
        <f t="shared" si="38"/>
        <v>677</v>
      </c>
      <c r="BR37" s="65"/>
      <c r="BS37" s="29">
        <f t="shared" si="59"/>
        <v>100</v>
      </c>
      <c r="BT37" s="29">
        <f t="shared" si="52"/>
        <v>100</v>
      </c>
      <c r="BU37" s="29">
        <f t="shared" si="53"/>
        <v>564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100</v>
      </c>
      <c r="BL38" s="29">
        <v>100</v>
      </c>
      <c r="BM38" s="29">
        <v>100</v>
      </c>
      <c r="BN38" s="65"/>
      <c r="BO38" s="29">
        <f t="shared" si="51"/>
        <v>100</v>
      </c>
      <c r="BP38" s="29">
        <f t="shared" si="37"/>
        <v>100</v>
      </c>
      <c r="BQ38" s="29">
        <f t="shared" si="38"/>
        <v>100</v>
      </c>
      <c r="BR38" s="65"/>
      <c r="BS38" s="29">
        <f t="shared" si="59"/>
        <v>100</v>
      </c>
      <c r="BT38" s="29">
        <f t="shared" si="52"/>
        <v>100</v>
      </c>
      <c r="BU38" s="29">
        <f t="shared" si="53"/>
        <v>677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100</v>
      </c>
      <c r="BL39" s="29">
        <v>100</v>
      </c>
      <c r="BM39" s="29">
        <v>100</v>
      </c>
      <c r="BN39" s="65"/>
      <c r="BO39" s="29">
        <f t="shared" si="51"/>
        <v>100</v>
      </c>
      <c r="BP39" s="29">
        <f t="shared" si="37"/>
        <v>100</v>
      </c>
      <c r="BQ39" s="29">
        <f t="shared" si="38"/>
        <v>100</v>
      </c>
      <c r="BR39" s="65"/>
      <c r="BS39" s="29">
        <f t="shared" si="59"/>
        <v>100</v>
      </c>
      <c r="BT39" s="29">
        <f t="shared" si="52"/>
        <v>100</v>
      </c>
      <c r="BU39" s="29">
        <f t="shared" si="53"/>
        <v>100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100</v>
      </c>
      <c r="BL40" s="29">
        <v>100</v>
      </c>
      <c r="BM40" s="29">
        <v>100</v>
      </c>
      <c r="BN40" s="65"/>
      <c r="BO40" s="29">
        <f t="shared" si="51"/>
        <v>100</v>
      </c>
      <c r="BP40" s="29">
        <f t="shared" si="37"/>
        <v>100</v>
      </c>
      <c r="BQ40" s="29">
        <f t="shared" si="38"/>
        <v>100</v>
      </c>
      <c r="BR40" s="65"/>
      <c r="BS40" s="29">
        <f t="shared" si="59"/>
        <v>100</v>
      </c>
      <c r="BT40" s="29">
        <f t="shared" si="52"/>
        <v>100</v>
      </c>
      <c r="BU40" s="29">
        <f t="shared" si="53"/>
        <v>100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100</v>
      </c>
      <c r="BL41" s="29">
        <v>100</v>
      </c>
      <c r="BM41" s="29">
        <v>100</v>
      </c>
      <c r="BN41" s="65"/>
      <c r="BO41" s="29">
        <f t="shared" si="51"/>
        <v>100</v>
      </c>
      <c r="BP41" s="29">
        <f t="shared" si="37"/>
        <v>100</v>
      </c>
      <c r="BQ41" s="29">
        <f t="shared" si="38"/>
        <v>100</v>
      </c>
      <c r="BR41" s="65"/>
      <c r="BS41" s="29">
        <f t="shared" si="59"/>
        <v>100</v>
      </c>
      <c r="BT41" s="29">
        <f t="shared" si="52"/>
        <v>100</v>
      </c>
      <c r="BU41" s="29">
        <f t="shared" si="53"/>
        <v>100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100</v>
      </c>
      <c r="BL42" s="29">
        <v>100</v>
      </c>
      <c r="BM42" s="29">
        <v>100</v>
      </c>
      <c r="BN42" s="65"/>
      <c r="BO42" s="29">
        <f t="shared" si="51"/>
        <v>100</v>
      </c>
      <c r="BP42" s="29">
        <f t="shared" si="37"/>
        <v>100</v>
      </c>
      <c r="BQ42" s="29">
        <f t="shared" si="38"/>
        <v>100</v>
      </c>
      <c r="BR42" s="65"/>
      <c r="BS42" s="29">
        <f t="shared" si="59"/>
        <v>100</v>
      </c>
      <c r="BT42" s="29">
        <f t="shared" si="52"/>
        <v>100</v>
      </c>
      <c r="BU42" s="29">
        <f t="shared" si="53"/>
        <v>100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100</v>
      </c>
      <c r="BL43" s="29">
        <v>100</v>
      </c>
      <c r="BM43" s="29">
        <v>100</v>
      </c>
      <c r="BN43" s="65"/>
      <c r="BO43" s="29">
        <f t="shared" si="51"/>
        <v>100</v>
      </c>
      <c r="BP43" s="29">
        <f t="shared" si="37"/>
        <v>100</v>
      </c>
      <c r="BQ43" s="29">
        <f t="shared" si="38"/>
        <v>100</v>
      </c>
      <c r="BR43" s="65"/>
      <c r="BS43" s="29">
        <f t="shared" si="59"/>
        <v>100</v>
      </c>
      <c r="BT43" s="29">
        <f t="shared" si="52"/>
        <v>100</v>
      </c>
      <c r="BU43" s="29">
        <f t="shared" si="53"/>
        <v>100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100</v>
      </c>
      <c r="BL44" s="29">
        <v>100</v>
      </c>
      <c r="BM44" s="29">
        <v>100</v>
      </c>
      <c r="BN44" s="65"/>
      <c r="BO44" s="29">
        <f t="shared" si="51"/>
        <v>100</v>
      </c>
      <c r="BP44" s="29">
        <f t="shared" si="37"/>
        <v>100</v>
      </c>
      <c r="BQ44" s="29">
        <f t="shared" si="38"/>
        <v>100</v>
      </c>
      <c r="BR44" s="65"/>
      <c r="BS44" s="29">
        <f t="shared" si="59"/>
        <v>100</v>
      </c>
      <c r="BT44" s="29">
        <f t="shared" si="52"/>
        <v>100</v>
      </c>
      <c r="BU44" s="29">
        <f t="shared" si="53"/>
        <v>100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100</v>
      </c>
      <c r="BL45" s="29">
        <v>100</v>
      </c>
      <c r="BM45" s="29">
        <v>100</v>
      </c>
      <c r="BN45" s="65"/>
      <c r="BO45" s="29">
        <f t="shared" si="51"/>
        <v>100</v>
      </c>
      <c r="BP45" s="29">
        <f t="shared" si="37"/>
        <v>100</v>
      </c>
      <c r="BQ45" s="29">
        <f t="shared" si="38"/>
        <v>100</v>
      </c>
      <c r="BR45" s="65"/>
      <c r="BS45" s="29">
        <f t="shared" si="59"/>
        <v>100</v>
      </c>
      <c r="BT45" s="29">
        <f t="shared" si="52"/>
        <v>100</v>
      </c>
      <c r="BU45" s="29">
        <f t="shared" si="53"/>
        <v>100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100</v>
      </c>
      <c r="BL46" s="29">
        <v>100</v>
      </c>
      <c r="BM46" s="29">
        <v>100</v>
      </c>
      <c r="BN46" s="65"/>
      <c r="BO46" s="29">
        <f t="shared" si="51"/>
        <v>100</v>
      </c>
      <c r="BP46" s="29">
        <f t="shared" si="37"/>
        <v>100</v>
      </c>
      <c r="BQ46" s="29">
        <f t="shared" si="38"/>
        <v>100</v>
      </c>
      <c r="BR46" s="65"/>
      <c r="BS46" s="29">
        <f t="shared" si="59"/>
        <v>100</v>
      </c>
      <c r="BT46" s="29">
        <f t="shared" si="52"/>
        <v>100</v>
      </c>
      <c r="BU46" s="29">
        <f t="shared" si="53"/>
        <v>100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100</v>
      </c>
      <c r="BL47" s="29">
        <v>100</v>
      </c>
      <c r="BM47" s="29">
        <v>100</v>
      </c>
      <c r="BN47" s="65"/>
      <c r="BO47" s="29">
        <f t="shared" si="51"/>
        <v>100</v>
      </c>
      <c r="BP47" s="29">
        <f t="shared" si="37"/>
        <v>100</v>
      </c>
      <c r="BQ47" s="29">
        <f t="shared" si="38"/>
        <v>100</v>
      </c>
      <c r="BR47" s="65"/>
      <c r="BS47" s="29">
        <f t="shared" si="59"/>
        <v>100</v>
      </c>
      <c r="BT47" s="29">
        <f t="shared" si="52"/>
        <v>100</v>
      </c>
      <c r="BU47" s="29">
        <f t="shared" si="53"/>
        <v>100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100</v>
      </c>
      <c r="BL48" s="29">
        <v>100</v>
      </c>
      <c r="BM48" s="29">
        <v>100</v>
      </c>
      <c r="BN48" s="65"/>
      <c r="BO48" s="29">
        <f t="shared" si="51"/>
        <v>100</v>
      </c>
      <c r="BP48" s="29">
        <f t="shared" si="37"/>
        <v>100</v>
      </c>
      <c r="BQ48" s="29">
        <f t="shared" si="38"/>
        <v>100</v>
      </c>
      <c r="BR48" s="65"/>
      <c r="BS48" s="29">
        <f t="shared" si="59"/>
        <v>100</v>
      </c>
      <c r="BT48" s="29">
        <f t="shared" si="52"/>
        <v>100</v>
      </c>
      <c r="BU48" s="29">
        <f t="shared" si="53"/>
        <v>100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100</v>
      </c>
      <c r="BL49" s="29">
        <v>100</v>
      </c>
      <c r="BM49" s="29">
        <v>100</v>
      </c>
      <c r="BN49" s="65"/>
      <c r="BO49" s="29">
        <f t="shared" si="51"/>
        <v>100</v>
      </c>
      <c r="BP49" s="29">
        <f t="shared" si="37"/>
        <v>100</v>
      </c>
      <c r="BQ49" s="29">
        <f t="shared" si="38"/>
        <v>100</v>
      </c>
      <c r="BR49" s="65"/>
      <c r="BS49" s="29">
        <f t="shared" si="59"/>
        <v>100</v>
      </c>
      <c r="BT49" s="29">
        <f t="shared" si="52"/>
        <v>100</v>
      </c>
      <c r="BU49" s="29">
        <f t="shared" si="53"/>
        <v>100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100</v>
      </c>
      <c r="BL50" s="29">
        <v>100</v>
      </c>
      <c r="BM50" s="29">
        <v>100</v>
      </c>
      <c r="BN50" s="65"/>
      <c r="BO50" s="29">
        <f t="shared" si="51"/>
        <v>100</v>
      </c>
      <c r="BP50" s="29">
        <f t="shared" si="37"/>
        <v>100</v>
      </c>
      <c r="BQ50" s="29">
        <f t="shared" si="38"/>
        <v>100</v>
      </c>
      <c r="BR50" s="65"/>
      <c r="BS50" s="29">
        <f t="shared" si="59"/>
        <v>100</v>
      </c>
      <c r="BT50" s="29">
        <f t="shared" si="52"/>
        <v>100</v>
      </c>
      <c r="BU50" s="29">
        <f t="shared" si="53"/>
        <v>100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447</v>
      </c>
      <c r="BL51" s="29">
        <v>701</v>
      </c>
      <c r="BM51" s="29">
        <v>100</v>
      </c>
      <c r="BN51" s="65"/>
      <c r="BO51" s="29">
        <f t="shared" si="51"/>
        <v>100</v>
      </c>
      <c r="BP51" s="29">
        <f t="shared" si="37"/>
        <v>100</v>
      </c>
      <c r="BQ51" s="29">
        <f t="shared" si="38"/>
        <v>100</v>
      </c>
      <c r="BR51" s="65"/>
      <c r="BS51" s="29">
        <f t="shared" si="59"/>
        <v>100</v>
      </c>
      <c r="BT51" s="29">
        <f t="shared" si="52"/>
        <v>100</v>
      </c>
      <c r="BU51" s="29">
        <f t="shared" si="53"/>
        <v>100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373</v>
      </c>
      <c r="BL52" s="29">
        <v>584</v>
      </c>
      <c r="BM52" s="29">
        <v>100</v>
      </c>
      <c r="BN52" s="65"/>
      <c r="BO52" s="29">
        <f t="shared" si="51"/>
        <v>447</v>
      </c>
      <c r="BP52" s="29">
        <f t="shared" si="37"/>
        <v>701</v>
      </c>
      <c r="BQ52" s="29">
        <f t="shared" si="38"/>
        <v>100</v>
      </c>
      <c r="BR52" s="65"/>
      <c r="BS52" s="29">
        <f t="shared" si="59"/>
        <v>100</v>
      </c>
      <c r="BT52" s="29">
        <f t="shared" si="52"/>
        <v>100</v>
      </c>
      <c r="BU52" s="29">
        <f t="shared" si="53"/>
        <v>100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17" t="s">
        <v>148</v>
      </c>
      <c r="B53" s="317"/>
      <c r="C53" s="317"/>
      <c r="D53" s="317"/>
      <c r="E53" s="317"/>
      <c r="F53" s="317"/>
      <c r="H53" s="317" t="s">
        <v>149</v>
      </c>
      <c r="I53" s="317"/>
      <c r="J53" s="317"/>
      <c r="K53" s="317"/>
      <c r="L53" s="317"/>
      <c r="M53" s="317"/>
      <c r="O53" s="317" t="s">
        <v>150</v>
      </c>
      <c r="P53" s="317"/>
      <c r="Q53" s="317"/>
      <c r="R53" s="317"/>
      <c r="S53" s="317"/>
      <c r="T53" s="317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298</v>
      </c>
      <c r="BL53" s="29">
        <v>467</v>
      </c>
      <c r="BM53" s="29">
        <v>100</v>
      </c>
      <c r="BN53" s="65"/>
      <c r="BO53" s="29">
        <f t="shared" si="51"/>
        <v>373</v>
      </c>
      <c r="BP53" s="29">
        <f t="shared" si="37"/>
        <v>584</v>
      </c>
      <c r="BQ53" s="29">
        <f t="shared" si="38"/>
        <v>100</v>
      </c>
      <c r="BR53" s="65"/>
      <c r="BS53" s="29">
        <f t="shared" si="59"/>
        <v>447</v>
      </c>
      <c r="BT53" s="29">
        <f t="shared" si="52"/>
        <v>701</v>
      </c>
      <c r="BU53" s="29">
        <f t="shared" si="53"/>
        <v>100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373</v>
      </c>
      <c r="BL54" s="29">
        <v>584</v>
      </c>
      <c r="BM54" s="29">
        <v>100</v>
      </c>
      <c r="BN54" s="65"/>
      <c r="BO54" s="29">
        <f t="shared" si="51"/>
        <v>298</v>
      </c>
      <c r="BP54" s="29">
        <f t="shared" si="37"/>
        <v>467</v>
      </c>
      <c r="BQ54" s="29">
        <f t="shared" si="38"/>
        <v>100</v>
      </c>
      <c r="BR54" s="65"/>
      <c r="BS54" s="29">
        <f t="shared" si="59"/>
        <v>373</v>
      </c>
      <c r="BT54" s="29">
        <f t="shared" si="52"/>
        <v>584</v>
      </c>
      <c r="BU54" s="29">
        <f t="shared" si="53"/>
        <v>100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447</v>
      </c>
      <c r="BL55" s="29">
        <v>701</v>
      </c>
      <c r="BM55" s="29">
        <v>100</v>
      </c>
      <c r="BN55" s="65"/>
      <c r="BO55" s="29">
        <f t="shared" si="51"/>
        <v>373</v>
      </c>
      <c r="BP55" s="29">
        <f t="shared" si="37"/>
        <v>584</v>
      </c>
      <c r="BQ55" s="29">
        <f t="shared" si="38"/>
        <v>100</v>
      </c>
      <c r="BR55" s="65"/>
      <c r="BS55" s="29">
        <f t="shared" si="59"/>
        <v>298</v>
      </c>
      <c r="BT55" s="29">
        <f t="shared" si="52"/>
        <v>467</v>
      </c>
      <c r="BU55" s="29">
        <f t="shared" si="53"/>
        <v>100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100</v>
      </c>
      <c r="BL56" s="29">
        <v>100</v>
      </c>
      <c r="BM56" s="29">
        <v>100</v>
      </c>
      <c r="BN56" s="65"/>
      <c r="BO56" s="29">
        <f t="shared" si="51"/>
        <v>447</v>
      </c>
      <c r="BP56" s="29">
        <f t="shared" si="37"/>
        <v>701</v>
      </c>
      <c r="BQ56" s="29">
        <f t="shared" si="38"/>
        <v>100</v>
      </c>
      <c r="BR56" s="65"/>
      <c r="BS56" s="29">
        <f t="shared" si="59"/>
        <v>373</v>
      </c>
      <c r="BT56" s="29">
        <f t="shared" si="52"/>
        <v>584</v>
      </c>
      <c r="BU56" s="29">
        <f t="shared" si="53"/>
        <v>100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100</v>
      </c>
      <c r="BL57" s="29">
        <v>100</v>
      </c>
      <c r="BM57" s="29">
        <v>100</v>
      </c>
      <c r="BN57" s="65"/>
      <c r="BO57" s="29">
        <f t="shared" si="51"/>
        <v>100</v>
      </c>
      <c r="BP57" s="29">
        <f t="shared" si="37"/>
        <v>100</v>
      </c>
      <c r="BQ57" s="29">
        <f t="shared" si="38"/>
        <v>100</v>
      </c>
      <c r="BR57" s="65"/>
      <c r="BS57" s="29">
        <f t="shared" si="59"/>
        <v>447</v>
      </c>
      <c r="BT57" s="29">
        <f t="shared" si="52"/>
        <v>701</v>
      </c>
      <c r="BU57" s="29">
        <f t="shared" si="53"/>
        <v>100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100</v>
      </c>
      <c r="BL58" s="29">
        <v>100</v>
      </c>
      <c r="BM58" s="29">
        <v>100</v>
      </c>
      <c r="BN58" s="65"/>
      <c r="BO58" s="29">
        <f t="shared" si="51"/>
        <v>100</v>
      </c>
      <c r="BP58" s="29">
        <f t="shared" si="37"/>
        <v>100</v>
      </c>
      <c r="BQ58" s="29">
        <f t="shared" si="38"/>
        <v>100</v>
      </c>
      <c r="BR58" s="65"/>
      <c r="BS58" s="29">
        <f t="shared" si="59"/>
        <v>100</v>
      </c>
      <c r="BT58" s="29">
        <f t="shared" si="52"/>
        <v>100</v>
      </c>
      <c r="BU58" s="29">
        <f t="shared" si="53"/>
        <v>100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100</v>
      </c>
      <c r="BL59" s="29">
        <v>100</v>
      </c>
      <c r="BM59" s="29">
        <v>100</v>
      </c>
      <c r="BN59" s="65"/>
      <c r="BO59" s="29">
        <f t="shared" si="51"/>
        <v>100</v>
      </c>
      <c r="BP59" s="29">
        <f t="shared" si="37"/>
        <v>100</v>
      </c>
      <c r="BQ59" s="29">
        <f t="shared" si="38"/>
        <v>100</v>
      </c>
      <c r="BR59" s="65"/>
      <c r="BS59" s="29">
        <f t="shared" si="59"/>
        <v>100</v>
      </c>
      <c r="BT59" s="29">
        <f t="shared" si="52"/>
        <v>100</v>
      </c>
      <c r="BU59" s="29">
        <f t="shared" si="53"/>
        <v>100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100</v>
      </c>
      <c r="BL60" s="29">
        <v>100</v>
      </c>
      <c r="BM60" s="29">
        <v>100</v>
      </c>
      <c r="BN60" s="65"/>
      <c r="BO60" s="29">
        <f t="shared" si="51"/>
        <v>100</v>
      </c>
      <c r="BP60" s="29">
        <f t="shared" si="37"/>
        <v>100</v>
      </c>
      <c r="BQ60" s="29">
        <f t="shared" si="38"/>
        <v>100</v>
      </c>
      <c r="BR60" s="65"/>
      <c r="BS60" s="29">
        <f t="shared" si="59"/>
        <v>100</v>
      </c>
      <c r="BT60" s="29">
        <f t="shared" si="52"/>
        <v>100</v>
      </c>
      <c r="BU60" s="29">
        <f t="shared" si="53"/>
        <v>100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100</v>
      </c>
      <c r="BL61" s="29">
        <v>100</v>
      </c>
      <c r="BM61" s="29">
        <v>100</v>
      </c>
      <c r="BN61" s="65"/>
      <c r="BO61" s="29">
        <f t="shared" si="51"/>
        <v>100</v>
      </c>
      <c r="BP61" s="29">
        <f t="shared" si="37"/>
        <v>100</v>
      </c>
      <c r="BQ61" s="29">
        <f t="shared" si="38"/>
        <v>100</v>
      </c>
      <c r="BR61" s="65"/>
      <c r="BS61" s="29">
        <f t="shared" si="59"/>
        <v>100</v>
      </c>
      <c r="BT61" s="29">
        <f t="shared" si="52"/>
        <v>100</v>
      </c>
      <c r="BU61" s="29">
        <f t="shared" si="53"/>
        <v>100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100</v>
      </c>
      <c r="BL62" s="29">
        <v>100</v>
      </c>
      <c r="BM62" s="29">
        <v>100</v>
      </c>
      <c r="BN62" s="65"/>
      <c r="BO62" s="29">
        <f t="shared" si="51"/>
        <v>100</v>
      </c>
      <c r="BP62" s="29">
        <f t="shared" si="37"/>
        <v>100</v>
      </c>
      <c r="BQ62" s="29">
        <f t="shared" si="38"/>
        <v>100</v>
      </c>
      <c r="BR62" s="65"/>
      <c r="BS62" s="29">
        <f t="shared" si="59"/>
        <v>100</v>
      </c>
      <c r="BT62" s="29">
        <f t="shared" si="52"/>
        <v>100</v>
      </c>
      <c r="BU62" s="29">
        <f t="shared" si="53"/>
        <v>100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100</v>
      </c>
      <c r="BL63" s="29">
        <v>100</v>
      </c>
      <c r="BM63" s="29">
        <v>100</v>
      </c>
      <c r="BN63" s="65"/>
      <c r="BO63" s="29">
        <f t="shared" si="51"/>
        <v>100</v>
      </c>
      <c r="BP63" s="29">
        <f t="shared" si="37"/>
        <v>100</v>
      </c>
      <c r="BQ63" s="29">
        <f t="shared" si="38"/>
        <v>100</v>
      </c>
      <c r="BR63" s="65"/>
      <c r="BS63" s="29">
        <f t="shared" si="59"/>
        <v>100</v>
      </c>
      <c r="BT63" s="29">
        <f t="shared" si="52"/>
        <v>100</v>
      </c>
      <c r="BU63" s="29">
        <f t="shared" si="53"/>
        <v>100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100</v>
      </c>
      <c r="BL64" s="29">
        <v>100</v>
      </c>
      <c r="BM64" s="29">
        <v>100</v>
      </c>
      <c r="BN64" s="65"/>
      <c r="BO64" s="29">
        <f t="shared" si="51"/>
        <v>100</v>
      </c>
      <c r="BP64" s="29">
        <f t="shared" si="37"/>
        <v>100</v>
      </c>
      <c r="BQ64" s="29">
        <f t="shared" si="38"/>
        <v>100</v>
      </c>
      <c r="BR64" s="65"/>
      <c r="BS64" s="29">
        <f t="shared" si="59"/>
        <v>100</v>
      </c>
      <c r="BT64" s="29">
        <f t="shared" si="52"/>
        <v>100</v>
      </c>
      <c r="BU64" s="29">
        <f t="shared" si="53"/>
        <v>100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100</v>
      </c>
      <c r="BL65" s="29">
        <v>100</v>
      </c>
      <c r="BM65" s="29">
        <v>100</v>
      </c>
      <c r="BN65" s="65"/>
      <c r="BO65" s="29">
        <f t="shared" si="51"/>
        <v>100</v>
      </c>
      <c r="BP65" s="29">
        <f t="shared" si="37"/>
        <v>100</v>
      </c>
      <c r="BQ65" s="29">
        <f t="shared" si="38"/>
        <v>100</v>
      </c>
      <c r="BR65" s="65"/>
      <c r="BS65" s="29">
        <f t="shared" si="59"/>
        <v>100</v>
      </c>
      <c r="BT65" s="29">
        <f t="shared" si="52"/>
        <v>100</v>
      </c>
      <c r="BU65" s="29">
        <f t="shared" si="53"/>
        <v>100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100</v>
      </c>
      <c r="BL66" s="29">
        <v>100</v>
      </c>
      <c r="BM66" s="29">
        <v>100</v>
      </c>
      <c r="BO66" s="29">
        <f t="shared" si="51"/>
        <v>100</v>
      </c>
      <c r="BP66" s="29">
        <f t="shared" si="37"/>
        <v>100</v>
      </c>
      <c r="BQ66" s="29">
        <f t="shared" si="38"/>
        <v>100</v>
      </c>
      <c r="BR66" s="65"/>
      <c r="BS66" s="29">
        <f t="shared" si="59"/>
        <v>100</v>
      </c>
      <c r="BT66" s="29">
        <f t="shared" si="52"/>
        <v>100</v>
      </c>
      <c r="BU66" s="29">
        <f t="shared" si="53"/>
        <v>100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100</v>
      </c>
      <c r="BL67" s="29">
        <v>100</v>
      </c>
      <c r="BM67" s="29">
        <v>100</v>
      </c>
      <c r="BO67" s="29">
        <f t="shared" si="51"/>
        <v>100</v>
      </c>
      <c r="BP67" s="29">
        <f t="shared" si="37"/>
        <v>100</v>
      </c>
      <c r="BQ67" s="29">
        <f t="shared" si="38"/>
        <v>100</v>
      </c>
      <c r="BR67" s="65"/>
      <c r="BS67" s="29">
        <f t="shared" si="59"/>
        <v>100</v>
      </c>
      <c r="BT67" s="29">
        <f t="shared" si="52"/>
        <v>100</v>
      </c>
      <c r="BU67" s="29">
        <f t="shared" si="53"/>
        <v>100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100</v>
      </c>
      <c r="BL68" s="29">
        <v>100</v>
      </c>
      <c r="BM68" s="29">
        <v>100</v>
      </c>
      <c r="BO68" s="29">
        <f t="shared" si="51"/>
        <v>100</v>
      </c>
      <c r="BP68" s="29">
        <f t="shared" ref="BP68:BP131" si="86">IF(BL67="","",BL67)</f>
        <v>100</v>
      </c>
      <c r="BQ68" s="29">
        <f t="shared" ref="BQ68:BQ131" si="87">IF(BM67="","",BM67)</f>
        <v>100</v>
      </c>
      <c r="BR68" s="65"/>
      <c r="BS68" s="29">
        <f t="shared" si="59"/>
        <v>100</v>
      </c>
      <c r="BT68" s="29">
        <f t="shared" si="52"/>
        <v>100</v>
      </c>
      <c r="BU68" s="29">
        <f t="shared" si="53"/>
        <v>100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100</v>
      </c>
      <c r="BL69" s="29">
        <v>100</v>
      </c>
      <c r="BM69" s="29">
        <v>100</v>
      </c>
      <c r="BO69" s="29">
        <f t="shared" ref="BO69:BO132" si="97">IF(BK68="","",BK68)</f>
        <v>100</v>
      </c>
      <c r="BP69" s="29">
        <f t="shared" si="86"/>
        <v>100</v>
      </c>
      <c r="BQ69" s="29">
        <f t="shared" si="87"/>
        <v>100</v>
      </c>
      <c r="BR69" s="65"/>
      <c r="BS69" s="29">
        <f t="shared" si="59"/>
        <v>100</v>
      </c>
      <c r="BT69" s="29">
        <f t="shared" ref="BT69:BT132" si="98">IF(BL67="","",BL67)</f>
        <v>100</v>
      </c>
      <c r="BU69" s="29">
        <f t="shared" ref="BU69:BU132" si="99">IF(BM67="","",BM67)</f>
        <v>100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100</v>
      </c>
      <c r="BL70" s="29">
        <v>100</v>
      </c>
      <c r="BM70" s="29">
        <v>100</v>
      </c>
      <c r="BO70" s="29">
        <f t="shared" si="97"/>
        <v>100</v>
      </c>
      <c r="BP70" s="29">
        <f t="shared" si="86"/>
        <v>100</v>
      </c>
      <c r="BQ70" s="29">
        <f t="shared" si="87"/>
        <v>100</v>
      </c>
      <c r="BR70" s="65"/>
      <c r="BS70" s="29">
        <f t="shared" ref="BS70:BS133" si="105">IF(BK68="","",BK68)</f>
        <v>100</v>
      </c>
      <c r="BT70" s="29">
        <f t="shared" si="98"/>
        <v>100</v>
      </c>
      <c r="BU70" s="29">
        <f t="shared" si="99"/>
        <v>100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100</v>
      </c>
      <c r="BL71" s="29">
        <v>701</v>
      </c>
      <c r="BM71" s="29">
        <v>100</v>
      </c>
      <c r="BO71" s="29">
        <f t="shared" si="97"/>
        <v>100</v>
      </c>
      <c r="BP71" s="29">
        <f t="shared" si="86"/>
        <v>100</v>
      </c>
      <c r="BQ71" s="29">
        <f t="shared" si="87"/>
        <v>100</v>
      </c>
      <c r="BR71" s="65"/>
      <c r="BS71" s="29">
        <f t="shared" si="105"/>
        <v>100</v>
      </c>
      <c r="BT71" s="29">
        <f t="shared" si="98"/>
        <v>100</v>
      </c>
      <c r="BU71" s="29">
        <f t="shared" si="99"/>
        <v>100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100</v>
      </c>
      <c r="BL72" s="29">
        <v>584</v>
      </c>
      <c r="BM72" s="29">
        <v>100</v>
      </c>
      <c r="BO72" s="29">
        <f t="shared" si="97"/>
        <v>100</v>
      </c>
      <c r="BP72" s="29">
        <f t="shared" si="86"/>
        <v>701</v>
      </c>
      <c r="BQ72" s="29">
        <f t="shared" si="87"/>
        <v>100</v>
      </c>
      <c r="BR72" s="65"/>
      <c r="BS72" s="29">
        <f t="shared" si="105"/>
        <v>100</v>
      </c>
      <c r="BT72" s="29">
        <f t="shared" si="98"/>
        <v>100</v>
      </c>
      <c r="BU72" s="29">
        <f t="shared" si="99"/>
        <v>100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100</v>
      </c>
      <c r="BL73" s="29">
        <v>467</v>
      </c>
      <c r="BM73" s="29">
        <v>100</v>
      </c>
      <c r="BO73" s="29">
        <f t="shared" si="97"/>
        <v>100</v>
      </c>
      <c r="BP73" s="29">
        <f t="shared" si="86"/>
        <v>584</v>
      </c>
      <c r="BQ73" s="29">
        <f t="shared" si="87"/>
        <v>100</v>
      </c>
      <c r="BR73" s="65"/>
      <c r="BS73" s="29">
        <f t="shared" si="105"/>
        <v>100</v>
      </c>
      <c r="BT73" s="29">
        <f t="shared" si="98"/>
        <v>701</v>
      </c>
      <c r="BU73" s="29">
        <f t="shared" si="99"/>
        <v>100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100</v>
      </c>
      <c r="BL74" s="29">
        <v>584</v>
      </c>
      <c r="BM74" s="29">
        <v>100</v>
      </c>
      <c r="BO74" s="29">
        <f t="shared" si="97"/>
        <v>100</v>
      </c>
      <c r="BP74" s="29">
        <f t="shared" si="86"/>
        <v>467</v>
      </c>
      <c r="BQ74" s="29">
        <f t="shared" si="87"/>
        <v>100</v>
      </c>
      <c r="BR74" s="65"/>
      <c r="BS74" s="29">
        <f t="shared" si="105"/>
        <v>100</v>
      </c>
      <c r="BT74" s="29">
        <f t="shared" si="98"/>
        <v>584</v>
      </c>
      <c r="BU74" s="29">
        <f t="shared" si="99"/>
        <v>100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100</v>
      </c>
      <c r="BL75" s="29">
        <v>701</v>
      </c>
      <c r="BM75" s="29">
        <v>100</v>
      </c>
      <c r="BO75" s="29">
        <f t="shared" si="97"/>
        <v>100</v>
      </c>
      <c r="BP75" s="29">
        <f t="shared" si="86"/>
        <v>584</v>
      </c>
      <c r="BQ75" s="29">
        <f t="shared" si="87"/>
        <v>100</v>
      </c>
      <c r="BR75" s="65"/>
      <c r="BS75" s="29">
        <f t="shared" si="105"/>
        <v>100</v>
      </c>
      <c r="BT75" s="29">
        <f t="shared" si="98"/>
        <v>467</v>
      </c>
      <c r="BU75" s="29">
        <f t="shared" si="99"/>
        <v>100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100</v>
      </c>
      <c r="BL76" s="29">
        <v>100</v>
      </c>
      <c r="BM76" s="29">
        <v>100</v>
      </c>
      <c r="BO76" s="29">
        <f t="shared" si="97"/>
        <v>100</v>
      </c>
      <c r="BP76" s="29">
        <f t="shared" si="86"/>
        <v>701</v>
      </c>
      <c r="BQ76" s="29">
        <f t="shared" si="87"/>
        <v>100</v>
      </c>
      <c r="BR76" s="65"/>
      <c r="BS76" s="29">
        <f t="shared" si="105"/>
        <v>100</v>
      </c>
      <c r="BT76" s="29">
        <f t="shared" si="98"/>
        <v>584</v>
      </c>
      <c r="BU76" s="29">
        <f t="shared" si="99"/>
        <v>100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100</v>
      </c>
      <c r="BL77" s="29">
        <v>100</v>
      </c>
      <c r="BM77" s="29">
        <v>100</v>
      </c>
      <c r="BO77" s="29">
        <f t="shared" si="97"/>
        <v>100</v>
      </c>
      <c r="BP77" s="29">
        <f t="shared" si="86"/>
        <v>100</v>
      </c>
      <c r="BQ77" s="29">
        <f t="shared" si="87"/>
        <v>100</v>
      </c>
      <c r="BR77" s="65"/>
      <c r="BS77" s="29">
        <f t="shared" si="105"/>
        <v>100</v>
      </c>
      <c r="BT77" s="29">
        <f t="shared" si="98"/>
        <v>701</v>
      </c>
      <c r="BU77" s="29">
        <f t="shared" si="99"/>
        <v>100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100</v>
      </c>
      <c r="BL78" s="29">
        <v>100</v>
      </c>
      <c r="BM78" s="29">
        <v>100</v>
      </c>
      <c r="BO78" s="29">
        <f t="shared" si="97"/>
        <v>100</v>
      </c>
      <c r="BP78" s="29">
        <f t="shared" si="86"/>
        <v>100</v>
      </c>
      <c r="BQ78" s="29">
        <f t="shared" si="87"/>
        <v>100</v>
      </c>
      <c r="BR78" s="65"/>
      <c r="BS78" s="29">
        <f t="shared" si="105"/>
        <v>100</v>
      </c>
      <c r="BT78" s="29">
        <f t="shared" si="98"/>
        <v>100</v>
      </c>
      <c r="BU78" s="29">
        <f t="shared" si="99"/>
        <v>100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18" t="s">
        <v>151</v>
      </c>
      <c r="B79" s="318"/>
      <c r="C79" s="318"/>
      <c r="D79" s="318"/>
      <c r="E79" s="318"/>
      <c r="F79" s="318"/>
      <c r="H79" s="318" t="s">
        <v>152</v>
      </c>
      <c r="I79" s="318"/>
      <c r="J79" s="318"/>
      <c r="K79" s="318"/>
      <c r="L79" s="318"/>
      <c r="M79" s="318"/>
      <c r="O79" s="318" t="s">
        <v>153</v>
      </c>
      <c r="P79" s="318"/>
      <c r="Q79" s="318"/>
      <c r="R79" s="318"/>
      <c r="S79" s="318"/>
      <c r="T79" s="318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100</v>
      </c>
      <c r="BL79" s="29">
        <v>100</v>
      </c>
      <c r="BM79" s="29">
        <v>100</v>
      </c>
      <c r="BO79" s="29">
        <f t="shared" si="97"/>
        <v>100</v>
      </c>
      <c r="BP79" s="29">
        <f t="shared" si="86"/>
        <v>100</v>
      </c>
      <c r="BQ79" s="29">
        <f t="shared" si="87"/>
        <v>100</v>
      </c>
      <c r="BR79" s="65"/>
      <c r="BS79" s="29">
        <f t="shared" si="105"/>
        <v>100</v>
      </c>
      <c r="BT79" s="29">
        <f t="shared" si="98"/>
        <v>100</v>
      </c>
      <c r="BU79" s="29">
        <f t="shared" si="99"/>
        <v>100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100</v>
      </c>
      <c r="BL80" s="29">
        <v>100</v>
      </c>
      <c r="BM80" s="29">
        <v>100</v>
      </c>
      <c r="BO80" s="29">
        <f t="shared" si="97"/>
        <v>100</v>
      </c>
      <c r="BP80" s="29">
        <f t="shared" si="86"/>
        <v>100</v>
      </c>
      <c r="BQ80" s="29">
        <f t="shared" si="87"/>
        <v>100</v>
      </c>
      <c r="BR80" s="65"/>
      <c r="BS80" s="29">
        <f t="shared" si="105"/>
        <v>100</v>
      </c>
      <c r="BT80" s="29">
        <f t="shared" si="98"/>
        <v>100</v>
      </c>
      <c r="BU80" s="29">
        <f t="shared" si="99"/>
        <v>100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3354</v>
      </c>
      <c r="D81" s="77">
        <f t="shared" ref="D81:E81" si="106">SUMIF(X$3:X$211, $A81, BL$3:BL$211)</f>
        <v>12264</v>
      </c>
      <c r="E81" s="77">
        <f t="shared" si="106"/>
        <v>11844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3132</v>
      </c>
      <c r="K81" s="77">
        <f t="shared" ref="K81:L81" ca="1" si="107">SUMIF(X$3:X$211, $H81, BP$3:BP$211)</f>
        <v>11445</v>
      </c>
      <c r="L81" s="77">
        <f t="shared" si="107"/>
        <v>11053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3354</v>
      </c>
      <c r="R81" s="77">
        <f t="shared" ref="R81:S81" ca="1" si="108">SUMIF(X$3:X$211, $H81, BT$3:BT$211)</f>
        <v>12264</v>
      </c>
      <c r="S81" s="77">
        <f t="shared" si="108"/>
        <v>11844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100</v>
      </c>
      <c r="BL81" s="29">
        <v>100</v>
      </c>
      <c r="BM81" s="29">
        <v>100</v>
      </c>
      <c r="BO81" s="29">
        <f t="shared" si="97"/>
        <v>100</v>
      </c>
      <c r="BP81" s="29">
        <f t="shared" si="86"/>
        <v>100</v>
      </c>
      <c r="BQ81" s="29">
        <f t="shared" si="87"/>
        <v>100</v>
      </c>
      <c r="BR81" s="65"/>
      <c r="BS81" s="29">
        <f t="shared" si="105"/>
        <v>100</v>
      </c>
      <c r="BT81" s="29">
        <f t="shared" si="98"/>
        <v>100</v>
      </c>
      <c r="BU81" s="29">
        <f t="shared" si="99"/>
        <v>100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1400</v>
      </c>
      <c r="D82" s="70">
        <f t="shared" ref="D82:D88" si="110">SUMIF(X$3:X$211, $A82, BL$3:BL$211)</f>
        <v>2400</v>
      </c>
      <c r="E82" s="70">
        <f t="shared" ref="E82:E88" si="111">SUMIF(Y$3:Y$211, $A82, BM$3:BM$211)</f>
        <v>3341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1400</v>
      </c>
      <c r="K82" s="70">
        <f t="shared" ref="K82:K88" si="113">SUMIF(X$3:X$211, $H82, BP$3:BP$211)</f>
        <v>2400</v>
      </c>
      <c r="L82" s="70">
        <f t="shared" ref="L82:L88" ca="1" si="114">SUMIF(Y$3:Y$211, $H82, BQ$3:BQ$211)</f>
        <v>2877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1400</v>
      </c>
      <c r="R82" s="70">
        <f t="shared" ref="R82:R88" si="116">SUMIF(X$3:X$211, $H82, BT$3:BT$211)</f>
        <v>2400</v>
      </c>
      <c r="S82" s="70">
        <f t="shared" ref="S82:S88" ca="1" si="117">SUMIF(Y$3:Y$211, $H82, BU$3:BU$211)</f>
        <v>2300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100</v>
      </c>
      <c r="BL82" s="29">
        <v>100</v>
      </c>
      <c r="BM82" s="29">
        <v>100</v>
      </c>
      <c r="BO82" s="29">
        <f t="shared" si="97"/>
        <v>100</v>
      </c>
      <c r="BP82" s="29">
        <f t="shared" si="86"/>
        <v>100</v>
      </c>
      <c r="BQ82" s="29">
        <f t="shared" si="87"/>
        <v>100</v>
      </c>
      <c r="BR82" s="65"/>
      <c r="BS82" s="29">
        <f t="shared" si="105"/>
        <v>100</v>
      </c>
      <c r="BT82" s="29">
        <f t="shared" si="98"/>
        <v>100</v>
      </c>
      <c r="BU82" s="29">
        <f t="shared" si="99"/>
        <v>100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1300</v>
      </c>
      <c r="D83" s="70">
        <f t="shared" si="110"/>
        <v>2600</v>
      </c>
      <c r="E83" s="70">
        <f t="shared" si="111"/>
        <v>3741</v>
      </c>
      <c r="F83" s="58">
        <v>2</v>
      </c>
      <c r="H83" s="78" t="str">
        <v>M2</v>
      </c>
      <c r="I83" s="58" t="str">
        <v>M2</v>
      </c>
      <c r="J83" s="79">
        <f t="shared" si="112"/>
        <v>1300</v>
      </c>
      <c r="K83" s="70">
        <f t="shared" si="113"/>
        <v>3802</v>
      </c>
      <c r="L83" s="70">
        <f t="shared" si="114"/>
        <v>3277</v>
      </c>
      <c r="M83" s="58">
        <v>2</v>
      </c>
      <c r="O83" s="78" t="str">
        <v>M2</v>
      </c>
      <c r="P83" s="58" t="str">
        <v>M2</v>
      </c>
      <c r="Q83" s="79">
        <f t="shared" si="115"/>
        <v>1300</v>
      </c>
      <c r="R83" s="70">
        <f t="shared" si="116"/>
        <v>4770</v>
      </c>
      <c r="S83" s="70">
        <f t="shared" si="117"/>
        <v>2700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100</v>
      </c>
      <c r="BL83" s="29">
        <v>100</v>
      </c>
      <c r="BM83" s="29">
        <v>100</v>
      </c>
      <c r="BO83" s="29">
        <f t="shared" si="97"/>
        <v>100</v>
      </c>
      <c r="BP83" s="29">
        <f t="shared" si="86"/>
        <v>100</v>
      </c>
      <c r="BQ83" s="29">
        <f t="shared" si="87"/>
        <v>100</v>
      </c>
      <c r="BR83" s="65"/>
      <c r="BS83" s="29">
        <f t="shared" si="105"/>
        <v>100</v>
      </c>
      <c r="BT83" s="29">
        <f t="shared" si="98"/>
        <v>100</v>
      </c>
      <c r="BU83" s="29">
        <f t="shared" si="99"/>
        <v>100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1400</v>
      </c>
      <c r="D84" s="70">
        <f t="shared" si="110"/>
        <v>3585</v>
      </c>
      <c r="E84" s="70">
        <f t="shared" si="111"/>
        <v>2800</v>
      </c>
      <c r="F84" s="58">
        <v>3</v>
      </c>
      <c r="H84" s="78" t="str">
        <v>M3</v>
      </c>
      <c r="I84" s="58" t="str">
        <v>M3</v>
      </c>
      <c r="J84" s="79">
        <f t="shared" si="112"/>
        <v>1400</v>
      </c>
      <c r="K84" s="70">
        <f t="shared" si="113"/>
        <v>3101</v>
      </c>
      <c r="L84" s="70">
        <f t="shared" si="114"/>
        <v>3377</v>
      </c>
      <c r="M84" s="58">
        <v>3</v>
      </c>
      <c r="O84" s="78" t="str">
        <v>M3</v>
      </c>
      <c r="P84" s="58" t="str">
        <v>M3</v>
      </c>
      <c r="Q84" s="79">
        <f t="shared" si="115"/>
        <v>1400</v>
      </c>
      <c r="R84" s="70">
        <f t="shared" si="116"/>
        <v>2500</v>
      </c>
      <c r="S84" s="70">
        <f t="shared" si="117"/>
        <v>3841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100</v>
      </c>
      <c r="BL84" s="29">
        <v>100</v>
      </c>
      <c r="BM84" s="29">
        <v>100</v>
      </c>
      <c r="BO84" s="29">
        <f t="shared" si="97"/>
        <v>100</v>
      </c>
      <c r="BP84" s="29">
        <f t="shared" si="86"/>
        <v>100</v>
      </c>
      <c r="BQ84" s="29">
        <f t="shared" si="87"/>
        <v>100</v>
      </c>
      <c r="BR84" s="65"/>
      <c r="BS84" s="29">
        <f t="shared" si="105"/>
        <v>100</v>
      </c>
      <c r="BT84" s="29">
        <f t="shared" si="98"/>
        <v>100</v>
      </c>
      <c r="BU84" s="29">
        <f t="shared" si="99"/>
        <v>100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1800</v>
      </c>
      <c r="D85" s="70">
        <f t="shared" si="110"/>
        <v>7340</v>
      </c>
      <c r="E85" s="70">
        <f t="shared" si="111"/>
        <v>3341</v>
      </c>
      <c r="F85" s="58">
        <v>4</v>
      </c>
      <c r="H85" s="78" t="str">
        <v>A</v>
      </c>
      <c r="I85" s="58" t="str">
        <v>A</v>
      </c>
      <c r="J85" s="79">
        <f t="shared" si="112"/>
        <v>2494</v>
      </c>
      <c r="K85" s="70">
        <f t="shared" si="113"/>
        <v>6005</v>
      </c>
      <c r="L85" s="70">
        <f t="shared" si="114"/>
        <v>3454</v>
      </c>
      <c r="M85" s="58">
        <v>4</v>
      </c>
      <c r="O85" s="78" t="str">
        <v>A</v>
      </c>
      <c r="P85" s="58" t="str">
        <v>A</v>
      </c>
      <c r="Q85" s="79">
        <f t="shared" si="115"/>
        <v>3040</v>
      </c>
      <c r="R85" s="70">
        <f t="shared" si="116"/>
        <v>4085</v>
      </c>
      <c r="S85" s="70">
        <f t="shared" si="117"/>
        <v>3341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100</v>
      </c>
      <c r="BL85" s="29">
        <v>100</v>
      </c>
      <c r="BM85" s="29">
        <v>100</v>
      </c>
      <c r="BO85" s="29">
        <f t="shared" si="97"/>
        <v>100</v>
      </c>
      <c r="BP85" s="29">
        <f t="shared" si="86"/>
        <v>100</v>
      </c>
      <c r="BQ85" s="29">
        <f t="shared" si="87"/>
        <v>100</v>
      </c>
      <c r="BR85" s="65"/>
      <c r="BS85" s="29">
        <f t="shared" si="105"/>
        <v>100</v>
      </c>
      <c r="BT85" s="29">
        <f t="shared" si="98"/>
        <v>100</v>
      </c>
      <c r="BU85" s="29">
        <f t="shared" si="99"/>
        <v>100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2520</v>
      </c>
      <c r="D86" s="70">
        <f t="shared" si="110"/>
        <v>4970</v>
      </c>
      <c r="E86" s="70">
        <f t="shared" si="111"/>
        <v>4782</v>
      </c>
      <c r="F86" s="58">
        <v>5</v>
      </c>
      <c r="H86" s="78" t="str">
        <v>K</v>
      </c>
      <c r="I86" s="58" t="str">
        <v>K</v>
      </c>
      <c r="J86" s="79">
        <f t="shared" si="112"/>
        <v>2247</v>
      </c>
      <c r="K86" s="70">
        <f t="shared" si="113"/>
        <v>4002</v>
      </c>
      <c r="L86" s="70">
        <f t="shared" si="114"/>
        <v>3854</v>
      </c>
      <c r="M86" s="58">
        <v>5</v>
      </c>
      <c r="O86" s="78" t="str">
        <v>K</v>
      </c>
      <c r="P86" s="58" t="str">
        <v>K</v>
      </c>
      <c r="Q86" s="79">
        <f t="shared" ca="1" si="115"/>
        <v>1900</v>
      </c>
      <c r="R86" s="70">
        <f t="shared" si="116"/>
        <v>2800</v>
      </c>
      <c r="S86" s="70">
        <f t="shared" si="117"/>
        <v>2700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100</v>
      </c>
      <c r="BL86" s="29">
        <v>100</v>
      </c>
      <c r="BM86" s="29">
        <v>100</v>
      </c>
      <c r="BO86" s="29">
        <f t="shared" si="97"/>
        <v>100</v>
      </c>
      <c r="BP86" s="29">
        <f t="shared" si="86"/>
        <v>100</v>
      </c>
      <c r="BQ86" s="29">
        <f t="shared" si="87"/>
        <v>100</v>
      </c>
      <c r="BR86" s="65"/>
      <c r="BS86" s="29">
        <f t="shared" si="105"/>
        <v>100</v>
      </c>
      <c r="BT86" s="29">
        <f t="shared" si="98"/>
        <v>100</v>
      </c>
      <c r="BU86" s="29">
        <f t="shared" si="99"/>
        <v>100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2320</v>
      </c>
      <c r="D87" s="70">
        <f t="shared" si="110"/>
        <v>2900</v>
      </c>
      <c r="E87" s="70">
        <f t="shared" si="111"/>
        <v>2700</v>
      </c>
      <c r="F87" s="58">
        <v>6</v>
      </c>
      <c r="H87" s="78" t="str">
        <v>Q</v>
      </c>
      <c r="I87" s="58" t="str">
        <v>Q</v>
      </c>
      <c r="J87" s="79">
        <f t="shared" si="112"/>
        <v>2047</v>
      </c>
      <c r="K87" s="70">
        <f t="shared" si="113"/>
        <v>4703</v>
      </c>
      <c r="L87" s="70">
        <f t="shared" si="114"/>
        <v>3854</v>
      </c>
      <c r="M87" s="58">
        <v>6</v>
      </c>
      <c r="O87" s="78" t="str">
        <v>Q</v>
      </c>
      <c r="P87" s="58" t="str">
        <v>Q</v>
      </c>
      <c r="Q87" s="79">
        <f t="shared" si="115"/>
        <v>1700</v>
      </c>
      <c r="R87" s="70">
        <f t="shared" si="116"/>
        <v>6155</v>
      </c>
      <c r="S87" s="70">
        <f t="shared" si="117"/>
        <v>4782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100</v>
      </c>
      <c r="BL87" s="29">
        <v>100</v>
      </c>
      <c r="BM87" s="29">
        <v>100</v>
      </c>
      <c r="BO87" s="29">
        <f t="shared" si="97"/>
        <v>100</v>
      </c>
      <c r="BP87" s="29">
        <f t="shared" si="86"/>
        <v>100</v>
      </c>
      <c r="BQ87" s="29">
        <f t="shared" si="87"/>
        <v>100</v>
      </c>
      <c r="BR87" s="65"/>
      <c r="BS87" s="29">
        <f t="shared" si="105"/>
        <v>100</v>
      </c>
      <c r="BT87" s="29">
        <f t="shared" si="98"/>
        <v>100</v>
      </c>
      <c r="BU87" s="29">
        <f t="shared" si="99"/>
        <v>100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2520</v>
      </c>
      <c r="D88" s="70">
        <f t="shared" si="110"/>
        <v>2600</v>
      </c>
      <c r="E88" s="70">
        <f t="shared" si="111"/>
        <v>4782</v>
      </c>
      <c r="F88" s="58">
        <v>7</v>
      </c>
      <c r="H88" s="78" t="str">
        <v>J</v>
      </c>
      <c r="I88" s="58" t="str">
        <v>J</v>
      </c>
      <c r="J88" s="79">
        <f t="shared" ca="1" si="112"/>
        <v>2594</v>
      </c>
      <c r="K88" s="70">
        <f t="shared" si="113"/>
        <v>3201</v>
      </c>
      <c r="L88" s="70">
        <f t="shared" si="114"/>
        <v>5585</v>
      </c>
      <c r="M88" s="58">
        <v>7</v>
      </c>
      <c r="O88" s="78" t="str">
        <v>J</v>
      </c>
      <c r="P88" s="58" t="str">
        <v>J</v>
      </c>
      <c r="Q88" s="79">
        <f t="shared" ca="1" si="115"/>
        <v>2520</v>
      </c>
      <c r="R88" s="70">
        <f t="shared" si="116"/>
        <v>3685</v>
      </c>
      <c r="S88" s="70">
        <f t="shared" si="117"/>
        <v>5823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100</v>
      </c>
      <c r="BL88" s="29">
        <v>100</v>
      </c>
      <c r="BM88" s="29">
        <v>100</v>
      </c>
      <c r="BO88" s="29">
        <f t="shared" si="97"/>
        <v>100</v>
      </c>
      <c r="BP88" s="29">
        <f t="shared" si="86"/>
        <v>100</v>
      </c>
      <c r="BQ88" s="29">
        <f t="shared" si="87"/>
        <v>100</v>
      </c>
      <c r="BR88" s="65"/>
      <c r="BS88" s="29">
        <f t="shared" si="105"/>
        <v>100</v>
      </c>
      <c r="BT88" s="29">
        <f t="shared" si="98"/>
        <v>100</v>
      </c>
      <c r="BU88" s="29">
        <f t="shared" si="99"/>
        <v>100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100</v>
      </c>
      <c r="BL89" s="29">
        <v>100</v>
      </c>
      <c r="BM89" s="29">
        <v>100</v>
      </c>
      <c r="BO89" s="29">
        <f t="shared" si="97"/>
        <v>100</v>
      </c>
      <c r="BP89" s="29">
        <f t="shared" si="86"/>
        <v>100</v>
      </c>
      <c r="BQ89" s="29">
        <f t="shared" si="87"/>
        <v>100</v>
      </c>
      <c r="BR89" s="65"/>
      <c r="BS89" s="29">
        <f t="shared" si="105"/>
        <v>100</v>
      </c>
      <c r="BT89" s="29">
        <f t="shared" si="98"/>
        <v>100</v>
      </c>
      <c r="BU89" s="29">
        <f t="shared" si="99"/>
        <v>100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100</v>
      </c>
      <c r="BL90" s="29">
        <v>100</v>
      </c>
      <c r="BM90" s="29">
        <v>100</v>
      </c>
      <c r="BO90" s="29">
        <f t="shared" si="97"/>
        <v>100</v>
      </c>
      <c r="BP90" s="29">
        <f t="shared" si="86"/>
        <v>100</v>
      </c>
      <c r="BQ90" s="29">
        <f t="shared" si="87"/>
        <v>100</v>
      </c>
      <c r="BR90" s="65"/>
      <c r="BS90" s="29">
        <f t="shared" si="105"/>
        <v>100</v>
      </c>
      <c r="BT90" s="29">
        <f t="shared" si="98"/>
        <v>100</v>
      </c>
      <c r="BU90" s="29">
        <f t="shared" si="99"/>
        <v>100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100</v>
      </c>
      <c r="BL91" s="29">
        <v>100</v>
      </c>
      <c r="BM91" s="29">
        <v>100</v>
      </c>
      <c r="BO91" s="29">
        <f t="shared" si="97"/>
        <v>100</v>
      </c>
      <c r="BP91" s="29">
        <f t="shared" si="86"/>
        <v>100</v>
      </c>
      <c r="BQ91" s="29">
        <f t="shared" si="87"/>
        <v>100</v>
      </c>
      <c r="BR91" s="65"/>
      <c r="BS91" s="29">
        <f t="shared" si="105"/>
        <v>100</v>
      </c>
      <c r="BT91" s="29">
        <f t="shared" si="98"/>
        <v>100</v>
      </c>
      <c r="BU91" s="29">
        <f t="shared" si="99"/>
        <v>100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16614</v>
      </c>
      <c r="D92" s="155">
        <f>SUM(D81:D91)</f>
        <v>38659</v>
      </c>
      <c r="E92" s="155">
        <f>SUM(E81:E91)</f>
        <v>37331</v>
      </c>
      <c r="F92" s="155"/>
      <c r="H92" s="60" t="s">
        <v>10</v>
      </c>
      <c r="I92" s="155"/>
      <c r="J92" s="155">
        <f ca="1">SUM(J81:J91)</f>
        <v>16614</v>
      </c>
      <c r="K92" s="155">
        <f ca="1">SUM(K81:K91)</f>
        <v>38659</v>
      </c>
      <c r="L92" s="155">
        <f ca="1">SUM(L81:L91)</f>
        <v>37331</v>
      </c>
      <c r="M92" s="155"/>
      <c r="O92" s="60" t="s">
        <v>10</v>
      </c>
      <c r="P92" s="155"/>
      <c r="Q92" s="155">
        <f ca="1">SUM(Q81:Q91)</f>
        <v>16614</v>
      </c>
      <c r="R92" s="155">
        <f ca="1">SUM(R81:R91)</f>
        <v>38659</v>
      </c>
      <c r="S92" s="155">
        <f ca="1">SUM(S81:S91)</f>
        <v>37331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100</v>
      </c>
      <c r="BL92" s="29">
        <v>100</v>
      </c>
      <c r="BM92" s="29">
        <v>100</v>
      </c>
      <c r="BO92" s="29">
        <f t="shared" si="97"/>
        <v>100</v>
      </c>
      <c r="BP92" s="29">
        <f t="shared" si="86"/>
        <v>100</v>
      </c>
      <c r="BQ92" s="29">
        <f t="shared" si="87"/>
        <v>100</v>
      </c>
      <c r="BR92" s="65"/>
      <c r="BS92" s="29">
        <f t="shared" si="105"/>
        <v>100</v>
      </c>
      <c r="BT92" s="29">
        <f t="shared" si="98"/>
        <v>100</v>
      </c>
      <c r="BU92" s="29">
        <f t="shared" si="99"/>
        <v>100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100</v>
      </c>
      <c r="BL93" s="29">
        <v>100</v>
      </c>
      <c r="BM93" s="29">
        <v>100</v>
      </c>
      <c r="BO93" s="29">
        <f t="shared" si="97"/>
        <v>100</v>
      </c>
      <c r="BP93" s="29">
        <f t="shared" si="86"/>
        <v>100</v>
      </c>
      <c r="BQ93" s="29">
        <f t="shared" si="87"/>
        <v>100</v>
      </c>
      <c r="BR93" s="65"/>
      <c r="BS93" s="29">
        <f t="shared" si="105"/>
        <v>100</v>
      </c>
      <c r="BT93" s="29">
        <f t="shared" si="98"/>
        <v>100</v>
      </c>
      <c r="BU93" s="29">
        <f t="shared" si="99"/>
        <v>100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100</v>
      </c>
      <c r="BL94" s="29">
        <v>100</v>
      </c>
      <c r="BM94" s="29">
        <v>100</v>
      </c>
      <c r="BO94" s="29">
        <f t="shared" si="97"/>
        <v>100</v>
      </c>
      <c r="BP94" s="29">
        <f t="shared" si="86"/>
        <v>100</v>
      </c>
      <c r="BQ94" s="29">
        <f t="shared" si="87"/>
        <v>100</v>
      </c>
      <c r="BR94" s="65"/>
      <c r="BS94" s="29">
        <f t="shared" si="105"/>
        <v>100</v>
      </c>
      <c r="BT94" s="29">
        <f t="shared" si="98"/>
        <v>100</v>
      </c>
      <c r="BU94" s="29">
        <f t="shared" si="99"/>
        <v>100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100</v>
      </c>
      <c r="BL95" s="29">
        <v>100</v>
      </c>
      <c r="BM95" s="29">
        <v>100</v>
      </c>
      <c r="BO95" s="29">
        <f t="shared" si="97"/>
        <v>100</v>
      </c>
      <c r="BP95" s="29">
        <f t="shared" si="86"/>
        <v>100</v>
      </c>
      <c r="BQ95" s="29">
        <f t="shared" si="87"/>
        <v>100</v>
      </c>
      <c r="BR95" s="65"/>
      <c r="BS95" s="29">
        <f t="shared" si="105"/>
        <v>100</v>
      </c>
      <c r="BT95" s="29">
        <f t="shared" si="98"/>
        <v>100</v>
      </c>
      <c r="BU95" s="29">
        <f t="shared" si="99"/>
        <v>100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16614</v>
      </c>
      <c r="D96" s="155">
        <f>SUM(D81:D91)</f>
        <v>38659</v>
      </c>
      <c r="E96" s="84">
        <f>SUM(E81:E91)</f>
        <v>37331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16614</v>
      </c>
      <c r="K96" s="155">
        <f ca="1">SUM(K81:K91)</f>
        <v>38659</v>
      </c>
      <c r="L96" s="84">
        <f ca="1">SUM(L81:L91)</f>
        <v>37331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16614</v>
      </c>
      <c r="R96" s="155">
        <f ca="1">SUM(R81:R91)</f>
        <v>38659</v>
      </c>
      <c r="S96" s="84">
        <f ca="1">SUM(S81:S91)</f>
        <v>37331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100</v>
      </c>
      <c r="BL96" s="29">
        <v>100</v>
      </c>
      <c r="BM96" s="29">
        <v>100</v>
      </c>
      <c r="BO96" s="29">
        <f t="shared" si="97"/>
        <v>100</v>
      </c>
      <c r="BP96" s="29">
        <f t="shared" si="86"/>
        <v>100</v>
      </c>
      <c r="BQ96" s="29">
        <f t="shared" si="87"/>
        <v>100</v>
      </c>
      <c r="BR96" s="65"/>
      <c r="BS96" s="29">
        <f t="shared" si="105"/>
        <v>100</v>
      </c>
      <c r="BT96" s="29">
        <f t="shared" si="98"/>
        <v>100</v>
      </c>
      <c r="BU96" s="29">
        <f t="shared" si="99"/>
        <v>100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4754</v>
      </c>
      <c r="D97" s="155">
        <f>D$81+D$82</f>
        <v>14664</v>
      </c>
      <c r="E97" s="84">
        <f>E$81+E$82</f>
        <v>15185</v>
      </c>
      <c r="F97" s="69"/>
      <c r="H97" s="78" t="str">
        <v>W1</v>
      </c>
      <c r="I97" s="48" t="str">
        <v>WW,M1</v>
      </c>
      <c r="J97" s="155">
        <f>J$81+J$82</f>
        <v>4532</v>
      </c>
      <c r="K97" s="155">
        <f ca="1">K$81+K$82</f>
        <v>13845</v>
      </c>
      <c r="L97" s="84">
        <f ca="1">L$81+L$82</f>
        <v>13930</v>
      </c>
      <c r="M97" s="69"/>
      <c r="O97" s="78" t="str">
        <v>W1</v>
      </c>
      <c r="P97" s="48" t="str">
        <v>WW,M1</v>
      </c>
      <c r="Q97" s="155">
        <f>Q$81+Q$82</f>
        <v>4754</v>
      </c>
      <c r="R97" s="155">
        <f ca="1">R$81+R$82</f>
        <v>14664</v>
      </c>
      <c r="S97" s="84">
        <f ca="1">S$81+S$82</f>
        <v>14144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100</v>
      </c>
      <c r="BL97" s="29">
        <v>100</v>
      </c>
      <c r="BM97" s="29">
        <v>100</v>
      </c>
      <c r="BO97" s="29">
        <f t="shared" si="97"/>
        <v>100</v>
      </c>
      <c r="BP97" s="29">
        <f t="shared" si="86"/>
        <v>100</v>
      </c>
      <c r="BQ97" s="29">
        <f t="shared" si="87"/>
        <v>100</v>
      </c>
      <c r="BR97" s="65"/>
      <c r="BS97" s="29">
        <f t="shared" si="105"/>
        <v>100</v>
      </c>
      <c r="BT97" s="29">
        <f t="shared" si="98"/>
        <v>100</v>
      </c>
      <c r="BU97" s="29">
        <f t="shared" si="99"/>
        <v>100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4654</v>
      </c>
      <c r="D98" s="155">
        <f>D$81+D$83</f>
        <v>14864</v>
      </c>
      <c r="E98" s="84">
        <f>E$81+E$83</f>
        <v>15585</v>
      </c>
      <c r="F98" s="69"/>
      <c r="H98" s="78" t="str">
        <v>W2</v>
      </c>
      <c r="I98" s="48" t="str">
        <v>WW,M2</v>
      </c>
      <c r="J98" s="155">
        <f>J$81+J$83</f>
        <v>4432</v>
      </c>
      <c r="K98" s="155">
        <f ca="1">K$81+K$83</f>
        <v>15247</v>
      </c>
      <c r="L98" s="84">
        <f>L$81+L$83</f>
        <v>14330</v>
      </c>
      <c r="M98" s="69"/>
      <c r="O98" s="78" t="str">
        <v>W2</v>
      </c>
      <c r="P98" s="48" t="str">
        <v>WW,M2</v>
      </c>
      <c r="Q98" s="155">
        <f>Q$81+Q$83</f>
        <v>4654</v>
      </c>
      <c r="R98" s="155">
        <f ca="1">R$81+R$83</f>
        <v>17034</v>
      </c>
      <c r="S98" s="84">
        <f>S$81+S$83</f>
        <v>14544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100</v>
      </c>
      <c r="BL98" s="29">
        <v>100</v>
      </c>
      <c r="BM98" s="29">
        <v>100</v>
      </c>
      <c r="BO98" s="29">
        <f t="shared" si="97"/>
        <v>100</v>
      </c>
      <c r="BP98" s="29">
        <f t="shared" si="86"/>
        <v>100</v>
      </c>
      <c r="BQ98" s="29">
        <f t="shared" si="87"/>
        <v>100</v>
      </c>
      <c r="BR98" s="65"/>
      <c r="BS98" s="29">
        <f t="shared" si="105"/>
        <v>100</v>
      </c>
      <c r="BT98" s="29">
        <f t="shared" si="98"/>
        <v>100</v>
      </c>
      <c r="BU98" s="29">
        <f t="shared" si="99"/>
        <v>100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4754</v>
      </c>
      <c r="D99" s="155">
        <f>D$81+D$84</f>
        <v>15849</v>
      </c>
      <c r="E99" s="84">
        <f>E$81+E$84</f>
        <v>14644</v>
      </c>
      <c r="F99" s="69"/>
      <c r="H99" s="78" t="str">
        <v>W3</v>
      </c>
      <c r="I99" s="48" t="str">
        <v>WW,M3</v>
      </c>
      <c r="J99" s="155">
        <f>J$81+J$84</f>
        <v>4532</v>
      </c>
      <c r="K99" s="155">
        <f ca="1">K$81+K$84</f>
        <v>14546</v>
      </c>
      <c r="L99" s="84">
        <f>L$81+L$84</f>
        <v>14430</v>
      </c>
      <c r="M99" s="69"/>
      <c r="O99" s="78" t="str">
        <v>W3</v>
      </c>
      <c r="P99" s="48" t="str">
        <v>WW,M3</v>
      </c>
      <c r="Q99" s="155">
        <f>Q$81+Q$84</f>
        <v>4754</v>
      </c>
      <c r="R99" s="155">
        <f ca="1">R$81+R$84</f>
        <v>14764</v>
      </c>
      <c r="S99" s="84">
        <f>S$81+S$84</f>
        <v>15685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100</v>
      </c>
      <c r="BL99" s="29">
        <v>100</v>
      </c>
      <c r="BM99" s="29">
        <v>100</v>
      </c>
      <c r="BO99" s="29">
        <f t="shared" si="97"/>
        <v>100</v>
      </c>
      <c r="BP99" s="29">
        <f t="shared" si="86"/>
        <v>100</v>
      </c>
      <c r="BQ99" s="29">
        <f t="shared" si="87"/>
        <v>100</v>
      </c>
      <c r="BR99" s="65"/>
      <c r="BS99" s="29">
        <f t="shared" si="105"/>
        <v>100</v>
      </c>
      <c r="BT99" s="29">
        <f t="shared" si="98"/>
        <v>100</v>
      </c>
      <c r="BU99" s="29">
        <f t="shared" si="99"/>
        <v>100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5154</v>
      </c>
      <c r="D100" s="155">
        <f>D$81+D$85</f>
        <v>19604</v>
      </c>
      <c r="E100" s="84">
        <f>E$81+E$85</f>
        <v>15185</v>
      </c>
      <c r="F100" s="69"/>
      <c r="H100" s="78" t="str">
        <v>WA</v>
      </c>
      <c r="I100" s="48" t="str">
        <v>WW,A</v>
      </c>
      <c r="J100" s="155">
        <f>J$81+J$85</f>
        <v>5626</v>
      </c>
      <c r="K100" s="155">
        <f ca="1">K$81+K$85</f>
        <v>17450</v>
      </c>
      <c r="L100" s="84">
        <f>L$81+L$85</f>
        <v>14507</v>
      </c>
      <c r="M100" s="69"/>
      <c r="O100" s="78" t="str">
        <v>WA</v>
      </c>
      <c r="P100" s="48" t="str">
        <v>WW,A</v>
      </c>
      <c r="Q100" s="155">
        <f>Q$81+Q$85</f>
        <v>6394</v>
      </c>
      <c r="R100" s="155">
        <f ca="1">R$81+R$85</f>
        <v>16349</v>
      </c>
      <c r="S100" s="84">
        <f>S$81+S$85</f>
        <v>15185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100</v>
      </c>
      <c r="BL100" s="29">
        <v>100</v>
      </c>
      <c r="BM100" s="29">
        <v>100</v>
      </c>
      <c r="BO100" s="29">
        <f t="shared" si="97"/>
        <v>100</v>
      </c>
      <c r="BP100" s="29">
        <f t="shared" si="86"/>
        <v>100</v>
      </c>
      <c r="BQ100" s="29">
        <f t="shared" si="87"/>
        <v>100</v>
      </c>
      <c r="BR100" s="65"/>
      <c r="BS100" s="29">
        <f t="shared" si="105"/>
        <v>100</v>
      </c>
      <c r="BT100" s="29">
        <f t="shared" si="98"/>
        <v>100</v>
      </c>
      <c r="BU100" s="29">
        <f t="shared" si="99"/>
        <v>100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5874</v>
      </c>
      <c r="D101" s="155">
        <f>D$81+D$86</f>
        <v>17234</v>
      </c>
      <c r="E101" s="84">
        <f>E$81+E$86</f>
        <v>16626</v>
      </c>
      <c r="F101" s="69"/>
      <c r="H101" s="78" t="str">
        <v>WK</v>
      </c>
      <c r="I101" s="48" t="str">
        <v>WW,K</v>
      </c>
      <c r="J101" s="155">
        <f>J$81+J$86</f>
        <v>5379</v>
      </c>
      <c r="K101" s="155">
        <f ca="1">K$81+K$86</f>
        <v>15447</v>
      </c>
      <c r="L101" s="84">
        <f>L$81+L$86</f>
        <v>14907</v>
      </c>
      <c r="M101" s="69"/>
      <c r="O101" s="78" t="str">
        <v>WK</v>
      </c>
      <c r="P101" s="48" t="str">
        <v>WW,K</v>
      </c>
      <c r="Q101" s="155">
        <f ca="1">Q$81+Q$86</f>
        <v>5254</v>
      </c>
      <c r="R101" s="155">
        <f ca="1">R$81+R$86</f>
        <v>15064</v>
      </c>
      <c r="S101" s="84">
        <f>S$81+S$86</f>
        <v>14544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100</v>
      </c>
      <c r="BL101" s="29">
        <v>100</v>
      </c>
      <c r="BM101" s="29">
        <v>100</v>
      </c>
      <c r="BO101" s="29">
        <f t="shared" si="97"/>
        <v>100</v>
      </c>
      <c r="BP101" s="29">
        <f t="shared" si="86"/>
        <v>100</v>
      </c>
      <c r="BQ101" s="29">
        <f t="shared" si="87"/>
        <v>100</v>
      </c>
      <c r="BR101" s="65"/>
      <c r="BS101" s="29">
        <f t="shared" si="105"/>
        <v>100</v>
      </c>
      <c r="BT101" s="29">
        <f t="shared" si="98"/>
        <v>100</v>
      </c>
      <c r="BU101" s="29">
        <f t="shared" si="99"/>
        <v>100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5674</v>
      </c>
      <c r="D102" s="155">
        <f>D$81+D$87</f>
        <v>15164</v>
      </c>
      <c r="E102" s="84">
        <f>E$81+E$87</f>
        <v>14544</v>
      </c>
      <c r="F102" s="69"/>
      <c r="H102" s="78" t="str">
        <v>WQ</v>
      </c>
      <c r="I102" s="48" t="str">
        <v>WW,Q</v>
      </c>
      <c r="J102" s="155">
        <f>J$81+J$87</f>
        <v>5179</v>
      </c>
      <c r="K102" s="155">
        <f ca="1">K$81+K$87</f>
        <v>16148</v>
      </c>
      <c r="L102" s="84">
        <f>L$81+L$87</f>
        <v>14907</v>
      </c>
      <c r="M102" s="69"/>
      <c r="O102" s="78" t="str">
        <v>WQ</v>
      </c>
      <c r="P102" s="48" t="str">
        <v>WW,Q</v>
      </c>
      <c r="Q102" s="155">
        <f>Q$81+Q$87</f>
        <v>5054</v>
      </c>
      <c r="R102" s="155">
        <f ca="1">R$81+R$87</f>
        <v>18419</v>
      </c>
      <c r="S102" s="84">
        <f>S$81+S$87</f>
        <v>16626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100</v>
      </c>
      <c r="BL102" s="29">
        <v>100</v>
      </c>
      <c r="BM102" s="29">
        <v>100</v>
      </c>
      <c r="BO102" s="29">
        <f t="shared" si="97"/>
        <v>100</v>
      </c>
      <c r="BP102" s="29">
        <f t="shared" si="86"/>
        <v>100</v>
      </c>
      <c r="BQ102" s="29">
        <f t="shared" si="87"/>
        <v>100</v>
      </c>
      <c r="BR102" s="65"/>
      <c r="BS102" s="29">
        <f t="shared" si="105"/>
        <v>100</v>
      </c>
      <c r="BT102" s="29">
        <f t="shared" si="98"/>
        <v>100</v>
      </c>
      <c r="BU102" s="29">
        <f t="shared" si="99"/>
        <v>100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5874</v>
      </c>
      <c r="D103" s="154">
        <f>D$81+D$88</f>
        <v>14864</v>
      </c>
      <c r="E103" s="17">
        <f>E$81+E$88</f>
        <v>16626</v>
      </c>
      <c r="F103" s="69"/>
      <c r="H103" s="73" t="str">
        <v>WJ</v>
      </c>
      <c r="I103" s="53" t="str">
        <v>WW,J</v>
      </c>
      <c r="J103" s="154">
        <f ca="1">J$81+J$88</f>
        <v>5726</v>
      </c>
      <c r="K103" s="154">
        <f ca="1">K$81+K$88</f>
        <v>14646</v>
      </c>
      <c r="L103" s="17">
        <f>L$81+L$88</f>
        <v>16638</v>
      </c>
      <c r="M103" s="69"/>
      <c r="O103" s="73" t="str">
        <v>WJ</v>
      </c>
      <c r="P103" s="53" t="str">
        <v>WW,J</v>
      </c>
      <c r="Q103" s="154">
        <f ca="1">Q$81+Q$88</f>
        <v>5874</v>
      </c>
      <c r="R103" s="154">
        <f ca="1">R$81+R$88</f>
        <v>15949</v>
      </c>
      <c r="S103" s="17">
        <f>S$81+S$88</f>
        <v>17667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100</v>
      </c>
      <c r="BL103" s="29">
        <v>100</v>
      </c>
      <c r="BM103" s="29">
        <v>100</v>
      </c>
      <c r="BO103" s="29">
        <f t="shared" si="97"/>
        <v>100</v>
      </c>
      <c r="BP103" s="29">
        <f t="shared" si="86"/>
        <v>100</v>
      </c>
      <c r="BQ103" s="29">
        <f t="shared" si="87"/>
        <v>100</v>
      </c>
      <c r="BR103" s="65"/>
      <c r="BS103" s="29">
        <f t="shared" si="105"/>
        <v>100</v>
      </c>
      <c r="BT103" s="29">
        <f t="shared" si="98"/>
        <v>100</v>
      </c>
      <c r="BU103" s="29">
        <f t="shared" si="99"/>
        <v>100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100</v>
      </c>
      <c r="BL104" s="29">
        <v>100</v>
      </c>
      <c r="BM104" s="29">
        <v>100</v>
      </c>
      <c r="BO104" s="29">
        <f t="shared" si="97"/>
        <v>100</v>
      </c>
      <c r="BP104" s="29">
        <f t="shared" si="86"/>
        <v>100</v>
      </c>
      <c r="BQ104" s="29">
        <f t="shared" si="87"/>
        <v>100</v>
      </c>
      <c r="BR104" s="65"/>
      <c r="BS104" s="29">
        <f t="shared" si="105"/>
        <v>100</v>
      </c>
      <c r="BT104" s="29">
        <f t="shared" si="98"/>
        <v>100</v>
      </c>
      <c r="BU104" s="29">
        <f t="shared" si="99"/>
        <v>100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100</v>
      </c>
      <c r="BL105" s="29">
        <v>100</v>
      </c>
      <c r="BM105" s="29">
        <v>100</v>
      </c>
      <c r="BO105" s="29">
        <f t="shared" si="97"/>
        <v>100</v>
      </c>
      <c r="BP105" s="29">
        <f t="shared" si="86"/>
        <v>100</v>
      </c>
      <c r="BQ105" s="29">
        <f t="shared" si="87"/>
        <v>100</v>
      </c>
      <c r="BR105" s="65"/>
      <c r="BS105" s="29">
        <f t="shared" si="105"/>
        <v>100</v>
      </c>
      <c r="BT105" s="29">
        <f t="shared" si="98"/>
        <v>100</v>
      </c>
      <c r="BU105" s="29">
        <f t="shared" si="99"/>
        <v>100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100</v>
      </c>
      <c r="BL106" s="29">
        <v>100</v>
      </c>
      <c r="BM106" s="29">
        <v>100</v>
      </c>
      <c r="BO106" s="29">
        <f t="shared" si="97"/>
        <v>100</v>
      </c>
      <c r="BP106" s="29">
        <f t="shared" si="86"/>
        <v>100</v>
      </c>
      <c r="BQ106" s="29">
        <f t="shared" si="87"/>
        <v>100</v>
      </c>
      <c r="BR106" s="65"/>
      <c r="BS106" s="29">
        <f t="shared" si="105"/>
        <v>100</v>
      </c>
      <c r="BT106" s="29">
        <f t="shared" si="98"/>
        <v>100</v>
      </c>
      <c r="BU106" s="29">
        <f t="shared" si="99"/>
        <v>100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100</v>
      </c>
      <c r="BL107" s="29">
        <v>100</v>
      </c>
      <c r="BM107" s="29">
        <v>100</v>
      </c>
      <c r="BO107" s="29">
        <f t="shared" si="97"/>
        <v>100</v>
      </c>
      <c r="BP107" s="29">
        <f t="shared" si="86"/>
        <v>100</v>
      </c>
      <c r="BQ107" s="29">
        <f t="shared" si="87"/>
        <v>100</v>
      </c>
      <c r="BR107" s="65"/>
      <c r="BS107" s="29">
        <f t="shared" si="105"/>
        <v>100</v>
      </c>
      <c r="BT107" s="29">
        <f t="shared" si="98"/>
        <v>100</v>
      </c>
      <c r="BU107" s="29">
        <f t="shared" si="99"/>
        <v>100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100</v>
      </c>
      <c r="BL108" s="29">
        <v>100</v>
      </c>
      <c r="BM108" s="29">
        <v>100</v>
      </c>
      <c r="BO108" s="29">
        <f t="shared" si="97"/>
        <v>100</v>
      </c>
      <c r="BP108" s="29">
        <f t="shared" si="86"/>
        <v>100</v>
      </c>
      <c r="BQ108" s="29">
        <f t="shared" si="87"/>
        <v>100</v>
      </c>
      <c r="BR108" s="65"/>
      <c r="BS108" s="29">
        <f t="shared" si="105"/>
        <v>100</v>
      </c>
      <c r="BT108" s="29">
        <f t="shared" si="98"/>
        <v>100</v>
      </c>
      <c r="BU108" s="29">
        <f t="shared" si="99"/>
        <v>100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100</v>
      </c>
      <c r="BL109" s="29">
        <v>100</v>
      </c>
      <c r="BM109" s="29">
        <v>100</v>
      </c>
      <c r="BO109" s="29">
        <f t="shared" si="97"/>
        <v>100</v>
      </c>
      <c r="BP109" s="29">
        <f t="shared" si="86"/>
        <v>100</v>
      </c>
      <c r="BQ109" s="29">
        <f t="shared" si="87"/>
        <v>100</v>
      </c>
      <c r="BR109" s="65"/>
      <c r="BS109" s="29">
        <f t="shared" si="105"/>
        <v>100</v>
      </c>
      <c r="BT109" s="29">
        <f t="shared" si="98"/>
        <v>100</v>
      </c>
      <c r="BU109" s="29">
        <f t="shared" si="99"/>
        <v>100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100</v>
      </c>
      <c r="BL110" s="29">
        <v>100</v>
      </c>
      <c r="BM110" s="29">
        <v>100</v>
      </c>
      <c r="BO110" s="29">
        <f t="shared" si="97"/>
        <v>100</v>
      </c>
      <c r="BP110" s="29">
        <f t="shared" si="86"/>
        <v>100</v>
      </c>
      <c r="BQ110" s="29">
        <f t="shared" si="87"/>
        <v>100</v>
      </c>
      <c r="BR110" s="65"/>
      <c r="BS110" s="29">
        <f t="shared" si="105"/>
        <v>100</v>
      </c>
      <c r="BT110" s="29">
        <f t="shared" si="98"/>
        <v>100</v>
      </c>
      <c r="BU110" s="29">
        <f t="shared" si="99"/>
        <v>100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100</v>
      </c>
      <c r="BL111" s="29">
        <v>100</v>
      </c>
      <c r="BM111" s="29">
        <v>100</v>
      </c>
      <c r="BO111" s="29">
        <f t="shared" si="97"/>
        <v>100</v>
      </c>
      <c r="BP111" s="29">
        <f t="shared" si="86"/>
        <v>100</v>
      </c>
      <c r="BQ111" s="29">
        <f t="shared" si="87"/>
        <v>100</v>
      </c>
      <c r="BR111" s="65"/>
      <c r="BS111" s="29">
        <f t="shared" si="105"/>
        <v>100</v>
      </c>
      <c r="BT111" s="29">
        <f t="shared" si="98"/>
        <v>100</v>
      </c>
      <c r="BU111" s="29">
        <f t="shared" si="99"/>
        <v>100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100</v>
      </c>
      <c r="BL112" s="29">
        <v>100</v>
      </c>
      <c r="BM112" s="29">
        <v>100</v>
      </c>
      <c r="BO112" s="29">
        <f t="shared" si="97"/>
        <v>100</v>
      </c>
      <c r="BP112" s="29">
        <f t="shared" si="86"/>
        <v>100</v>
      </c>
      <c r="BQ112" s="29">
        <f t="shared" si="87"/>
        <v>100</v>
      </c>
      <c r="BR112" s="65"/>
      <c r="BS112" s="29">
        <f t="shared" si="105"/>
        <v>100</v>
      </c>
      <c r="BT112" s="29">
        <f t="shared" si="98"/>
        <v>100</v>
      </c>
      <c r="BU112" s="29">
        <f t="shared" si="99"/>
        <v>100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100</v>
      </c>
      <c r="BL113" s="29">
        <v>100</v>
      </c>
      <c r="BM113" s="29">
        <v>100</v>
      </c>
      <c r="BO113" s="29">
        <f t="shared" si="97"/>
        <v>100</v>
      </c>
      <c r="BP113" s="29">
        <f t="shared" si="86"/>
        <v>100</v>
      </c>
      <c r="BQ113" s="29">
        <f t="shared" si="87"/>
        <v>100</v>
      </c>
      <c r="BR113" s="65"/>
      <c r="BS113" s="29">
        <f t="shared" si="105"/>
        <v>100</v>
      </c>
      <c r="BT113" s="29">
        <f t="shared" si="98"/>
        <v>100</v>
      </c>
      <c r="BU113" s="29">
        <f t="shared" si="99"/>
        <v>100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100</v>
      </c>
      <c r="BL114" s="29">
        <v>100</v>
      </c>
      <c r="BM114" s="29">
        <v>100</v>
      </c>
      <c r="BO114" s="29">
        <f t="shared" si="97"/>
        <v>100</v>
      </c>
      <c r="BP114" s="29">
        <f t="shared" si="86"/>
        <v>100</v>
      </c>
      <c r="BQ114" s="29">
        <f t="shared" si="87"/>
        <v>100</v>
      </c>
      <c r="BR114" s="65"/>
      <c r="BS114" s="29">
        <f t="shared" si="105"/>
        <v>100</v>
      </c>
      <c r="BT114" s="29">
        <f t="shared" si="98"/>
        <v>100</v>
      </c>
      <c r="BU114" s="29">
        <f t="shared" si="99"/>
        <v>100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100</v>
      </c>
      <c r="BL115" s="29">
        <v>100</v>
      </c>
      <c r="BM115" s="29">
        <v>100</v>
      </c>
      <c r="BO115" s="29">
        <f t="shared" si="97"/>
        <v>100</v>
      </c>
      <c r="BP115" s="29">
        <f t="shared" si="86"/>
        <v>100</v>
      </c>
      <c r="BQ115" s="29">
        <f t="shared" si="87"/>
        <v>100</v>
      </c>
      <c r="BR115" s="65"/>
      <c r="BS115" s="29">
        <f t="shared" si="105"/>
        <v>100</v>
      </c>
      <c r="BT115" s="29">
        <f t="shared" si="98"/>
        <v>100</v>
      </c>
      <c r="BU115" s="29">
        <f t="shared" si="99"/>
        <v>100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100</v>
      </c>
      <c r="BL116" s="29">
        <v>100</v>
      </c>
      <c r="BM116" s="29">
        <v>100</v>
      </c>
      <c r="BO116" s="29">
        <f t="shared" si="97"/>
        <v>100</v>
      </c>
      <c r="BP116" s="29">
        <f t="shared" si="86"/>
        <v>100</v>
      </c>
      <c r="BQ116" s="29">
        <f t="shared" si="87"/>
        <v>100</v>
      </c>
      <c r="BR116" s="65"/>
      <c r="BS116" s="29">
        <f t="shared" si="105"/>
        <v>100</v>
      </c>
      <c r="BT116" s="29">
        <f t="shared" si="98"/>
        <v>100</v>
      </c>
      <c r="BU116" s="29">
        <f t="shared" si="99"/>
        <v>100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100</v>
      </c>
      <c r="BL117" s="29">
        <v>100</v>
      </c>
      <c r="BM117" s="29">
        <v>100</v>
      </c>
      <c r="BO117" s="29">
        <f t="shared" si="97"/>
        <v>100</v>
      </c>
      <c r="BP117" s="29">
        <f t="shared" si="86"/>
        <v>100</v>
      </c>
      <c r="BQ117" s="29">
        <f t="shared" si="87"/>
        <v>100</v>
      </c>
      <c r="BR117" s="65"/>
      <c r="BS117" s="29">
        <f t="shared" si="105"/>
        <v>100</v>
      </c>
      <c r="BT117" s="29">
        <f t="shared" si="98"/>
        <v>100</v>
      </c>
      <c r="BU117" s="29">
        <f t="shared" si="99"/>
        <v>100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100</v>
      </c>
      <c r="BL118" s="29">
        <v>100</v>
      </c>
      <c r="BM118" s="29">
        <v>100</v>
      </c>
      <c r="BO118" s="29">
        <f t="shared" si="97"/>
        <v>100</v>
      </c>
      <c r="BP118" s="29">
        <f t="shared" si="86"/>
        <v>100</v>
      </c>
      <c r="BQ118" s="29">
        <f t="shared" si="87"/>
        <v>100</v>
      </c>
      <c r="BR118" s="65"/>
      <c r="BS118" s="29">
        <f t="shared" si="105"/>
        <v>100</v>
      </c>
      <c r="BT118" s="29">
        <f t="shared" si="98"/>
        <v>100</v>
      </c>
      <c r="BU118" s="29">
        <f t="shared" si="99"/>
        <v>100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100</v>
      </c>
      <c r="BL119" s="29">
        <v>100</v>
      </c>
      <c r="BM119" s="29">
        <v>100</v>
      </c>
      <c r="BO119" s="29">
        <f t="shared" si="97"/>
        <v>100</v>
      </c>
      <c r="BP119" s="29">
        <f t="shared" si="86"/>
        <v>100</v>
      </c>
      <c r="BQ119" s="29">
        <f t="shared" si="87"/>
        <v>100</v>
      </c>
      <c r="BR119" s="65"/>
      <c r="BS119" s="29">
        <f t="shared" si="105"/>
        <v>100</v>
      </c>
      <c r="BT119" s="29">
        <f t="shared" si="98"/>
        <v>100</v>
      </c>
      <c r="BU119" s="29">
        <f t="shared" si="99"/>
        <v>100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447</v>
      </c>
      <c r="BL120" s="29">
        <v>100</v>
      </c>
      <c r="BM120" s="29">
        <v>100</v>
      </c>
      <c r="BO120" s="29">
        <f t="shared" si="97"/>
        <v>100</v>
      </c>
      <c r="BP120" s="29">
        <f t="shared" si="86"/>
        <v>100</v>
      </c>
      <c r="BQ120" s="29">
        <f t="shared" si="87"/>
        <v>100</v>
      </c>
      <c r="BR120" s="65"/>
      <c r="BS120" s="29">
        <f t="shared" si="105"/>
        <v>100</v>
      </c>
      <c r="BT120" s="29">
        <f t="shared" si="98"/>
        <v>100</v>
      </c>
      <c r="BU120" s="29">
        <f t="shared" si="99"/>
        <v>100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373</v>
      </c>
      <c r="BL121" s="29">
        <v>100</v>
      </c>
      <c r="BM121" s="29">
        <v>100</v>
      </c>
      <c r="BO121" s="29">
        <f t="shared" si="97"/>
        <v>447</v>
      </c>
      <c r="BP121" s="29">
        <f t="shared" si="86"/>
        <v>100</v>
      </c>
      <c r="BQ121" s="29">
        <f t="shared" si="87"/>
        <v>100</v>
      </c>
      <c r="BR121" s="65"/>
      <c r="BS121" s="29">
        <f t="shared" si="105"/>
        <v>100</v>
      </c>
      <c r="BT121" s="29">
        <f t="shared" si="98"/>
        <v>100</v>
      </c>
      <c r="BU121" s="29">
        <f t="shared" si="99"/>
        <v>100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298</v>
      </c>
      <c r="BL122" s="29">
        <v>100</v>
      </c>
      <c r="BM122" s="29">
        <v>100</v>
      </c>
      <c r="BO122" s="29">
        <f t="shared" si="97"/>
        <v>373</v>
      </c>
      <c r="BP122" s="29">
        <f t="shared" si="86"/>
        <v>100</v>
      </c>
      <c r="BQ122" s="29">
        <f t="shared" si="87"/>
        <v>100</v>
      </c>
      <c r="BR122" s="65"/>
      <c r="BS122" s="29">
        <f t="shared" si="105"/>
        <v>447</v>
      </c>
      <c r="BT122" s="29">
        <f t="shared" si="98"/>
        <v>100</v>
      </c>
      <c r="BU122" s="29">
        <f t="shared" si="99"/>
        <v>100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373</v>
      </c>
      <c r="BL123" s="29">
        <v>100</v>
      </c>
      <c r="BM123" s="29">
        <v>100</v>
      </c>
      <c r="BO123" s="29">
        <f t="shared" si="97"/>
        <v>298</v>
      </c>
      <c r="BP123" s="29">
        <f t="shared" si="86"/>
        <v>100</v>
      </c>
      <c r="BQ123" s="29">
        <f t="shared" si="87"/>
        <v>100</v>
      </c>
      <c r="BR123" s="65"/>
      <c r="BS123" s="29">
        <f t="shared" si="105"/>
        <v>373</v>
      </c>
      <c r="BT123" s="29">
        <f t="shared" si="98"/>
        <v>100</v>
      </c>
      <c r="BU123" s="29">
        <f t="shared" si="99"/>
        <v>100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447</v>
      </c>
      <c r="BL124" s="29">
        <v>100</v>
      </c>
      <c r="BM124" s="29">
        <v>100</v>
      </c>
      <c r="BO124" s="29">
        <f t="shared" si="97"/>
        <v>373</v>
      </c>
      <c r="BP124" s="29">
        <f t="shared" si="86"/>
        <v>100</v>
      </c>
      <c r="BQ124" s="29">
        <f t="shared" si="87"/>
        <v>100</v>
      </c>
      <c r="BR124" s="65"/>
      <c r="BS124" s="29">
        <f t="shared" si="105"/>
        <v>298</v>
      </c>
      <c r="BT124" s="29">
        <f t="shared" si="98"/>
        <v>100</v>
      </c>
      <c r="BU124" s="29">
        <f t="shared" si="99"/>
        <v>100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100</v>
      </c>
      <c r="BL125" s="29">
        <v>100</v>
      </c>
      <c r="BM125" s="29">
        <v>100</v>
      </c>
      <c r="BO125" s="29">
        <f t="shared" si="97"/>
        <v>447</v>
      </c>
      <c r="BP125" s="29">
        <f t="shared" si="86"/>
        <v>100</v>
      </c>
      <c r="BQ125" s="29">
        <f t="shared" si="87"/>
        <v>100</v>
      </c>
      <c r="BR125" s="65"/>
      <c r="BS125" s="29">
        <f t="shared" si="105"/>
        <v>373</v>
      </c>
      <c r="BT125" s="29">
        <f t="shared" si="98"/>
        <v>100</v>
      </c>
      <c r="BU125" s="29">
        <f t="shared" si="99"/>
        <v>100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100</v>
      </c>
      <c r="BM126" s="29">
        <v>100</v>
      </c>
      <c r="BO126" s="29">
        <f t="shared" si="97"/>
        <v>100</v>
      </c>
      <c r="BP126" s="29">
        <f t="shared" si="86"/>
        <v>100</v>
      </c>
      <c r="BQ126" s="29">
        <f t="shared" si="87"/>
        <v>100</v>
      </c>
      <c r="BR126" s="65"/>
      <c r="BS126" s="29">
        <f t="shared" si="105"/>
        <v>447</v>
      </c>
      <c r="BT126" s="29">
        <f t="shared" si="98"/>
        <v>100</v>
      </c>
      <c r="BU126" s="29">
        <f t="shared" si="99"/>
        <v>100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100</v>
      </c>
      <c r="BM127" s="29">
        <v>100</v>
      </c>
      <c r="BO127" s="29" t="str">
        <f t="shared" si="97"/>
        <v/>
      </c>
      <c r="BP127" s="29">
        <f t="shared" si="86"/>
        <v>100</v>
      </c>
      <c r="BQ127" s="29">
        <f t="shared" si="87"/>
        <v>100</v>
      </c>
      <c r="BR127" s="65"/>
      <c r="BS127" s="29">
        <f t="shared" si="105"/>
        <v>100</v>
      </c>
      <c r="BT127" s="29">
        <f t="shared" si="98"/>
        <v>100</v>
      </c>
      <c r="BU127" s="29">
        <f t="shared" si="99"/>
        <v>100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100</v>
      </c>
      <c r="BM128" s="29">
        <v>100</v>
      </c>
      <c r="BO128" s="29" t="str">
        <f t="shared" si="97"/>
        <v/>
      </c>
      <c r="BP128" s="29">
        <f t="shared" si="86"/>
        <v>100</v>
      </c>
      <c r="BQ128" s="29">
        <f t="shared" si="87"/>
        <v>100</v>
      </c>
      <c r="BR128" s="65"/>
      <c r="BS128" s="29" t="str">
        <f t="shared" si="105"/>
        <v/>
      </c>
      <c r="BT128" s="29">
        <f t="shared" si="98"/>
        <v>100</v>
      </c>
      <c r="BU128" s="29">
        <f t="shared" si="99"/>
        <v>100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100</v>
      </c>
      <c r="BM129" s="29">
        <v>100</v>
      </c>
      <c r="BO129" s="29" t="str">
        <f t="shared" si="97"/>
        <v/>
      </c>
      <c r="BP129" s="29">
        <f t="shared" si="86"/>
        <v>100</v>
      </c>
      <c r="BQ129" s="29">
        <f t="shared" si="87"/>
        <v>100</v>
      </c>
      <c r="BR129" s="65"/>
      <c r="BS129" s="29" t="str">
        <f t="shared" si="105"/>
        <v/>
      </c>
      <c r="BT129" s="29">
        <f t="shared" si="98"/>
        <v>100</v>
      </c>
      <c r="BU129" s="29">
        <f t="shared" si="99"/>
        <v>100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100</v>
      </c>
      <c r="BM130" s="29">
        <v>100</v>
      </c>
      <c r="BO130" s="29" t="str">
        <f t="shared" si="97"/>
        <v/>
      </c>
      <c r="BP130" s="29">
        <f t="shared" si="86"/>
        <v>100</v>
      </c>
      <c r="BQ130" s="29">
        <f t="shared" si="87"/>
        <v>100</v>
      </c>
      <c r="BR130" s="65"/>
      <c r="BS130" s="29" t="str">
        <f t="shared" si="105"/>
        <v/>
      </c>
      <c r="BT130" s="29">
        <f t="shared" si="98"/>
        <v>100</v>
      </c>
      <c r="BU130" s="29">
        <f t="shared" si="99"/>
        <v>100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100</v>
      </c>
      <c r="BM131" s="29">
        <v>677</v>
      </c>
      <c r="BO131" s="29" t="str">
        <f t="shared" si="97"/>
        <v/>
      </c>
      <c r="BP131" s="29">
        <f t="shared" si="86"/>
        <v>100</v>
      </c>
      <c r="BQ131" s="29">
        <f t="shared" si="87"/>
        <v>100</v>
      </c>
      <c r="BR131" s="65"/>
      <c r="BS131" s="29" t="str">
        <f t="shared" si="105"/>
        <v/>
      </c>
      <c r="BT131" s="29">
        <f t="shared" si="98"/>
        <v>100</v>
      </c>
      <c r="BU131" s="29">
        <f t="shared" si="99"/>
        <v>100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100</v>
      </c>
      <c r="BM132" s="29">
        <v>564</v>
      </c>
      <c r="BO132" s="29" t="str">
        <f t="shared" si="97"/>
        <v/>
      </c>
      <c r="BP132" s="29">
        <f t="shared" ref="BP132:BP195" si="125">IF(BL131="","",BL131)</f>
        <v>100</v>
      </c>
      <c r="BQ132" s="29">
        <f t="shared" ref="BQ132:BQ195" si="126">IF(BM131="","",BM131)</f>
        <v>677</v>
      </c>
      <c r="BR132" s="65"/>
      <c r="BS132" s="29" t="str">
        <f t="shared" si="105"/>
        <v/>
      </c>
      <c r="BT132" s="29">
        <f t="shared" si="98"/>
        <v>100</v>
      </c>
      <c r="BU132" s="29">
        <f t="shared" si="99"/>
        <v>100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100</v>
      </c>
      <c r="BM133" s="29">
        <v>451</v>
      </c>
      <c r="BO133" s="29" t="str">
        <f t="shared" ref="BO133:BO196" si="136">IF(BK132="","",BK132)</f>
        <v/>
      </c>
      <c r="BP133" s="29">
        <f t="shared" si="125"/>
        <v>100</v>
      </c>
      <c r="BQ133" s="29">
        <f t="shared" si="126"/>
        <v>564</v>
      </c>
      <c r="BR133" s="65"/>
      <c r="BS133" s="29" t="str">
        <f t="shared" si="105"/>
        <v/>
      </c>
      <c r="BT133" s="29">
        <f t="shared" ref="BT133:BT196" si="137">IF(BL131="","",BL131)</f>
        <v>100</v>
      </c>
      <c r="BU133" s="29">
        <f t="shared" ref="BU133:BU196" si="138">IF(BM131="","",BM131)</f>
        <v>677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100</v>
      </c>
      <c r="BM134" s="29">
        <v>564</v>
      </c>
      <c r="BO134" s="29" t="str">
        <f t="shared" si="136"/>
        <v/>
      </c>
      <c r="BP134" s="29">
        <f t="shared" si="125"/>
        <v>100</v>
      </c>
      <c r="BQ134" s="29">
        <f t="shared" si="126"/>
        <v>451</v>
      </c>
      <c r="BR134" s="65"/>
      <c r="BS134" s="29" t="str">
        <f t="shared" ref="BS134:BS197" si="144">IF(BK132="","",BK132)</f>
        <v/>
      </c>
      <c r="BT134" s="29">
        <f t="shared" si="137"/>
        <v>100</v>
      </c>
      <c r="BU134" s="29">
        <f t="shared" si="138"/>
        <v>564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100</v>
      </c>
      <c r="BM135" s="29">
        <v>677</v>
      </c>
      <c r="BO135" s="29" t="str">
        <f t="shared" si="136"/>
        <v/>
      </c>
      <c r="BP135" s="29">
        <f t="shared" si="125"/>
        <v>100</v>
      </c>
      <c r="BQ135" s="29">
        <f t="shared" si="126"/>
        <v>564</v>
      </c>
      <c r="BR135" s="65"/>
      <c r="BS135" s="29" t="str">
        <f t="shared" si="144"/>
        <v/>
      </c>
      <c r="BT135" s="29">
        <f t="shared" si="137"/>
        <v>100</v>
      </c>
      <c r="BU135" s="29">
        <f t="shared" si="138"/>
        <v>451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100</v>
      </c>
      <c r="BM136" s="29">
        <v>100</v>
      </c>
      <c r="BO136" s="29" t="str">
        <f t="shared" si="136"/>
        <v/>
      </c>
      <c r="BP136" s="29">
        <f t="shared" si="125"/>
        <v>100</v>
      </c>
      <c r="BQ136" s="29">
        <f t="shared" si="126"/>
        <v>677</v>
      </c>
      <c r="BR136" s="65"/>
      <c r="BS136" s="29" t="str">
        <f t="shared" si="144"/>
        <v/>
      </c>
      <c r="BT136" s="29">
        <f t="shared" si="137"/>
        <v>100</v>
      </c>
      <c r="BU136" s="29">
        <f t="shared" si="138"/>
        <v>564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100</v>
      </c>
      <c r="BM137" s="29">
        <v>100</v>
      </c>
      <c r="BO137" s="29" t="str">
        <f t="shared" si="136"/>
        <v/>
      </c>
      <c r="BP137" s="29">
        <f t="shared" si="125"/>
        <v>100</v>
      </c>
      <c r="BQ137" s="29">
        <f t="shared" si="126"/>
        <v>100</v>
      </c>
      <c r="BR137" s="65"/>
      <c r="BS137" s="29" t="str">
        <f t="shared" si="144"/>
        <v/>
      </c>
      <c r="BT137" s="29">
        <f t="shared" si="137"/>
        <v>100</v>
      </c>
      <c r="BU137" s="29">
        <f t="shared" si="138"/>
        <v>677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100</v>
      </c>
      <c r="BM138" s="29">
        <v>100</v>
      </c>
      <c r="BO138" s="29" t="str">
        <f t="shared" si="136"/>
        <v/>
      </c>
      <c r="BP138" s="29">
        <f t="shared" si="125"/>
        <v>100</v>
      </c>
      <c r="BQ138" s="29">
        <f t="shared" si="126"/>
        <v>100</v>
      </c>
      <c r="BR138" s="65"/>
      <c r="BS138" s="29" t="str">
        <f t="shared" si="144"/>
        <v/>
      </c>
      <c r="BT138" s="29">
        <f t="shared" si="137"/>
        <v>100</v>
      </c>
      <c r="BU138" s="29">
        <f t="shared" si="138"/>
        <v>100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100</v>
      </c>
      <c r="BM139" s="29">
        <v>100</v>
      </c>
      <c r="BO139" s="29" t="str">
        <f t="shared" si="136"/>
        <v/>
      </c>
      <c r="BP139" s="29">
        <f t="shared" si="125"/>
        <v>100</v>
      </c>
      <c r="BQ139" s="29">
        <f t="shared" si="126"/>
        <v>100</v>
      </c>
      <c r="BR139" s="65"/>
      <c r="BS139" s="29" t="str">
        <f t="shared" si="144"/>
        <v/>
      </c>
      <c r="BT139" s="29">
        <f t="shared" si="137"/>
        <v>100</v>
      </c>
      <c r="BU139" s="29">
        <f t="shared" si="138"/>
        <v>100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100</v>
      </c>
      <c r="BM140" s="29">
        <v>100</v>
      </c>
      <c r="BO140" s="29" t="str">
        <f t="shared" si="136"/>
        <v/>
      </c>
      <c r="BP140" s="29">
        <f t="shared" si="125"/>
        <v>100</v>
      </c>
      <c r="BQ140" s="29">
        <f t="shared" si="126"/>
        <v>100</v>
      </c>
      <c r="BR140" s="65"/>
      <c r="BS140" s="29" t="str">
        <f t="shared" si="144"/>
        <v/>
      </c>
      <c r="BT140" s="29">
        <f t="shared" si="137"/>
        <v>100</v>
      </c>
      <c r="BU140" s="29">
        <f t="shared" si="138"/>
        <v>100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100</v>
      </c>
      <c r="BM141" s="29">
        <v>100</v>
      </c>
      <c r="BO141" s="29" t="str">
        <f t="shared" si="136"/>
        <v/>
      </c>
      <c r="BP141" s="29">
        <f t="shared" si="125"/>
        <v>100</v>
      </c>
      <c r="BQ141" s="29">
        <f t="shared" si="126"/>
        <v>100</v>
      </c>
      <c r="BR141" s="65"/>
      <c r="BS141" s="29" t="str">
        <f t="shared" si="144"/>
        <v/>
      </c>
      <c r="BT141" s="29">
        <f t="shared" si="137"/>
        <v>100</v>
      </c>
      <c r="BU141" s="29">
        <f t="shared" si="138"/>
        <v>100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701</v>
      </c>
      <c r="BM142" s="29">
        <v>677</v>
      </c>
      <c r="BO142" s="29" t="str">
        <f t="shared" si="136"/>
        <v/>
      </c>
      <c r="BP142" s="29">
        <f t="shared" si="125"/>
        <v>100</v>
      </c>
      <c r="BQ142" s="29">
        <f t="shared" si="126"/>
        <v>100</v>
      </c>
      <c r="BR142" s="65"/>
      <c r="BS142" s="29" t="str">
        <f t="shared" si="144"/>
        <v/>
      </c>
      <c r="BT142" s="29">
        <f t="shared" si="137"/>
        <v>100</v>
      </c>
      <c r="BU142" s="29">
        <f t="shared" si="138"/>
        <v>100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584</v>
      </c>
      <c r="BM143" s="29">
        <v>564</v>
      </c>
      <c r="BO143" s="29" t="str">
        <f t="shared" si="136"/>
        <v/>
      </c>
      <c r="BP143" s="29">
        <f t="shared" si="125"/>
        <v>701</v>
      </c>
      <c r="BQ143" s="29">
        <f t="shared" si="126"/>
        <v>677</v>
      </c>
      <c r="BR143" s="65"/>
      <c r="BS143" s="29" t="str">
        <f t="shared" si="144"/>
        <v/>
      </c>
      <c r="BT143" s="29">
        <f t="shared" si="137"/>
        <v>100</v>
      </c>
      <c r="BU143" s="29">
        <f t="shared" si="138"/>
        <v>100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467</v>
      </c>
      <c r="BM144" s="29">
        <v>451</v>
      </c>
      <c r="BO144" s="29" t="str">
        <f t="shared" si="136"/>
        <v/>
      </c>
      <c r="BP144" s="29">
        <f t="shared" si="125"/>
        <v>584</v>
      </c>
      <c r="BQ144" s="29">
        <f t="shared" si="126"/>
        <v>564</v>
      </c>
      <c r="BR144" s="65"/>
      <c r="BS144" s="29" t="str">
        <f t="shared" si="144"/>
        <v/>
      </c>
      <c r="BT144" s="29">
        <f t="shared" si="137"/>
        <v>701</v>
      </c>
      <c r="BU144" s="29">
        <f t="shared" si="138"/>
        <v>677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584</v>
      </c>
      <c r="BM145" s="29">
        <v>564</v>
      </c>
      <c r="BO145" s="29" t="str">
        <f t="shared" si="136"/>
        <v/>
      </c>
      <c r="BP145" s="29">
        <f t="shared" si="125"/>
        <v>467</v>
      </c>
      <c r="BQ145" s="29">
        <f t="shared" si="126"/>
        <v>451</v>
      </c>
      <c r="BR145" s="65"/>
      <c r="BS145" s="29" t="str">
        <f t="shared" si="144"/>
        <v/>
      </c>
      <c r="BT145" s="29">
        <f t="shared" si="137"/>
        <v>584</v>
      </c>
      <c r="BU145" s="29">
        <f t="shared" si="138"/>
        <v>564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701</v>
      </c>
      <c r="BM146" s="29">
        <v>677</v>
      </c>
      <c r="BO146" s="29" t="str">
        <f t="shared" si="136"/>
        <v/>
      </c>
      <c r="BP146" s="29">
        <f t="shared" si="125"/>
        <v>584</v>
      </c>
      <c r="BQ146" s="29">
        <f t="shared" si="126"/>
        <v>564</v>
      </c>
      <c r="BR146" s="65"/>
      <c r="BS146" s="29" t="str">
        <f t="shared" si="144"/>
        <v/>
      </c>
      <c r="BT146" s="29">
        <f t="shared" si="137"/>
        <v>467</v>
      </c>
      <c r="BU146" s="29">
        <f t="shared" si="138"/>
        <v>451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100</v>
      </c>
      <c r="BM147" s="29">
        <v>100</v>
      </c>
      <c r="BO147" s="29" t="str">
        <f t="shared" si="136"/>
        <v/>
      </c>
      <c r="BP147" s="29">
        <f t="shared" si="125"/>
        <v>701</v>
      </c>
      <c r="BQ147" s="29">
        <f t="shared" si="126"/>
        <v>677</v>
      </c>
      <c r="BR147" s="65"/>
      <c r="BS147" s="29" t="str">
        <f t="shared" si="144"/>
        <v/>
      </c>
      <c r="BT147" s="29">
        <f t="shared" si="137"/>
        <v>584</v>
      </c>
      <c r="BU147" s="29">
        <f t="shared" si="138"/>
        <v>564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100</v>
      </c>
      <c r="BM148" s="29">
        <v>100</v>
      </c>
      <c r="BO148" s="29" t="str">
        <f t="shared" si="136"/>
        <v/>
      </c>
      <c r="BP148" s="29">
        <f t="shared" si="125"/>
        <v>100</v>
      </c>
      <c r="BQ148" s="29">
        <f t="shared" si="126"/>
        <v>100</v>
      </c>
      <c r="BR148" s="65"/>
      <c r="BS148" s="29" t="str">
        <f t="shared" si="144"/>
        <v/>
      </c>
      <c r="BT148" s="29">
        <f t="shared" si="137"/>
        <v>701</v>
      </c>
      <c r="BU148" s="29">
        <f t="shared" si="138"/>
        <v>677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100</v>
      </c>
      <c r="BM149" s="29">
        <v>100</v>
      </c>
      <c r="BO149" s="29" t="str">
        <f t="shared" si="136"/>
        <v/>
      </c>
      <c r="BP149" s="29">
        <f t="shared" si="125"/>
        <v>100</v>
      </c>
      <c r="BQ149" s="29">
        <f t="shared" si="126"/>
        <v>100</v>
      </c>
      <c r="BR149" s="65"/>
      <c r="BS149" s="29" t="str">
        <f t="shared" si="144"/>
        <v/>
      </c>
      <c r="BT149" s="29">
        <f t="shared" si="137"/>
        <v>100</v>
      </c>
      <c r="BU149" s="29">
        <f t="shared" si="138"/>
        <v>100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100</v>
      </c>
      <c r="BM150" s="29">
        <v>100</v>
      </c>
      <c r="BO150" s="29" t="str">
        <f t="shared" si="136"/>
        <v/>
      </c>
      <c r="BP150" s="29">
        <f t="shared" si="125"/>
        <v>100</v>
      </c>
      <c r="BQ150" s="29">
        <f t="shared" si="126"/>
        <v>100</v>
      </c>
      <c r="BR150" s="65"/>
      <c r="BS150" s="29" t="str">
        <f t="shared" si="144"/>
        <v/>
      </c>
      <c r="BT150" s="29">
        <f t="shared" si="137"/>
        <v>100</v>
      </c>
      <c r="BU150" s="29">
        <f t="shared" si="138"/>
        <v>100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100</v>
      </c>
      <c r="BM151" s="29">
        <v>100</v>
      </c>
      <c r="BO151" s="29" t="str">
        <f t="shared" si="136"/>
        <v/>
      </c>
      <c r="BP151" s="29">
        <f t="shared" si="125"/>
        <v>100</v>
      </c>
      <c r="BQ151" s="29">
        <f t="shared" si="126"/>
        <v>100</v>
      </c>
      <c r="BR151" s="65"/>
      <c r="BS151" s="29" t="str">
        <f t="shared" si="144"/>
        <v/>
      </c>
      <c r="BT151" s="29">
        <f t="shared" si="137"/>
        <v>100</v>
      </c>
      <c r="BU151" s="29">
        <f t="shared" si="138"/>
        <v>100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100</v>
      </c>
      <c r="BM152" s="29">
        <v>100</v>
      </c>
      <c r="BO152" s="29" t="str">
        <f t="shared" si="136"/>
        <v/>
      </c>
      <c r="BP152" s="29">
        <f t="shared" si="125"/>
        <v>100</v>
      </c>
      <c r="BQ152" s="29">
        <f t="shared" si="126"/>
        <v>100</v>
      </c>
      <c r="BR152" s="65"/>
      <c r="BS152" s="29" t="str">
        <f t="shared" si="144"/>
        <v/>
      </c>
      <c r="BT152" s="29">
        <f t="shared" si="137"/>
        <v>100</v>
      </c>
      <c r="BU152" s="29">
        <f t="shared" si="138"/>
        <v>100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100</v>
      </c>
      <c r="BM153" s="29">
        <v>100</v>
      </c>
      <c r="BO153" s="29" t="str">
        <f t="shared" si="136"/>
        <v/>
      </c>
      <c r="BP153" s="29">
        <f t="shared" si="125"/>
        <v>100</v>
      </c>
      <c r="BQ153" s="29">
        <f t="shared" si="126"/>
        <v>100</v>
      </c>
      <c r="BR153" s="65"/>
      <c r="BS153" s="29" t="str">
        <f t="shared" si="144"/>
        <v/>
      </c>
      <c r="BT153" s="29">
        <f t="shared" si="137"/>
        <v>100</v>
      </c>
      <c r="BU153" s="29">
        <f t="shared" si="138"/>
        <v>100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100</v>
      </c>
      <c r="BM154" s="29">
        <v>100</v>
      </c>
      <c r="BO154" s="29" t="str">
        <f t="shared" si="136"/>
        <v/>
      </c>
      <c r="BP154" s="29">
        <f t="shared" si="125"/>
        <v>100</v>
      </c>
      <c r="BQ154" s="29">
        <f t="shared" si="126"/>
        <v>100</v>
      </c>
      <c r="BR154" s="65"/>
      <c r="BS154" s="29" t="str">
        <f t="shared" si="144"/>
        <v/>
      </c>
      <c r="BT154" s="29">
        <f t="shared" si="137"/>
        <v>100</v>
      </c>
      <c r="BU154" s="29">
        <f t="shared" si="138"/>
        <v>100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100</v>
      </c>
      <c r="BM155" s="29">
        <v>100</v>
      </c>
      <c r="BO155" s="29" t="str">
        <f t="shared" si="136"/>
        <v/>
      </c>
      <c r="BP155" s="29">
        <f t="shared" si="125"/>
        <v>100</v>
      </c>
      <c r="BQ155" s="29">
        <f t="shared" si="126"/>
        <v>100</v>
      </c>
      <c r="BR155" s="65"/>
      <c r="BS155" s="29" t="str">
        <f t="shared" si="144"/>
        <v/>
      </c>
      <c r="BT155" s="29">
        <f t="shared" si="137"/>
        <v>100</v>
      </c>
      <c r="BU155" s="29">
        <f t="shared" si="138"/>
        <v>100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100</v>
      </c>
      <c r="BM156" s="29">
        <v>100</v>
      </c>
      <c r="BO156" s="29" t="str">
        <f t="shared" si="136"/>
        <v/>
      </c>
      <c r="BP156" s="29">
        <f t="shared" si="125"/>
        <v>100</v>
      </c>
      <c r="BQ156" s="29">
        <f t="shared" si="126"/>
        <v>100</v>
      </c>
      <c r="BR156" s="65"/>
      <c r="BS156" s="29" t="str">
        <f t="shared" si="144"/>
        <v/>
      </c>
      <c r="BT156" s="29">
        <f t="shared" si="137"/>
        <v>100</v>
      </c>
      <c r="BU156" s="29">
        <f t="shared" si="138"/>
        <v>100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100</v>
      </c>
      <c r="BM157" s="29">
        <v>677</v>
      </c>
      <c r="BO157" s="29" t="str">
        <f t="shared" si="136"/>
        <v/>
      </c>
      <c r="BP157" s="29">
        <f t="shared" si="125"/>
        <v>100</v>
      </c>
      <c r="BQ157" s="29">
        <f t="shared" si="126"/>
        <v>100</v>
      </c>
      <c r="BR157" s="65"/>
      <c r="BS157" s="29" t="str">
        <f t="shared" si="144"/>
        <v/>
      </c>
      <c r="BT157" s="29">
        <f t="shared" si="137"/>
        <v>100</v>
      </c>
      <c r="BU157" s="29">
        <f t="shared" si="138"/>
        <v>100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100</v>
      </c>
      <c r="BM158" s="29">
        <v>564</v>
      </c>
      <c r="BO158" s="29" t="str">
        <f t="shared" si="136"/>
        <v/>
      </c>
      <c r="BP158" s="29">
        <f t="shared" si="125"/>
        <v>100</v>
      </c>
      <c r="BQ158" s="29">
        <f t="shared" si="126"/>
        <v>677</v>
      </c>
      <c r="BR158" s="65"/>
      <c r="BS158" s="29" t="str">
        <f t="shared" si="144"/>
        <v/>
      </c>
      <c r="BT158" s="29">
        <f t="shared" si="137"/>
        <v>100</v>
      </c>
      <c r="BU158" s="29">
        <f t="shared" si="138"/>
        <v>100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100</v>
      </c>
      <c r="BM159" s="29">
        <v>451</v>
      </c>
      <c r="BO159" s="29" t="str">
        <f t="shared" si="136"/>
        <v/>
      </c>
      <c r="BP159" s="29">
        <f t="shared" si="125"/>
        <v>100</v>
      </c>
      <c r="BQ159" s="29">
        <f t="shared" si="126"/>
        <v>564</v>
      </c>
      <c r="BR159" s="65"/>
      <c r="BS159" s="29" t="str">
        <f t="shared" si="144"/>
        <v/>
      </c>
      <c r="BT159" s="29">
        <f t="shared" si="137"/>
        <v>100</v>
      </c>
      <c r="BU159" s="29">
        <f t="shared" si="138"/>
        <v>677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100</v>
      </c>
      <c r="BM160" s="29">
        <v>564</v>
      </c>
      <c r="BO160" s="29" t="str">
        <f t="shared" si="136"/>
        <v/>
      </c>
      <c r="BP160" s="29">
        <f t="shared" si="125"/>
        <v>100</v>
      </c>
      <c r="BQ160" s="29">
        <f t="shared" si="126"/>
        <v>451</v>
      </c>
      <c r="BR160" s="65"/>
      <c r="BS160" s="29" t="str">
        <f t="shared" si="144"/>
        <v/>
      </c>
      <c r="BT160" s="29">
        <f t="shared" si="137"/>
        <v>100</v>
      </c>
      <c r="BU160" s="29">
        <f t="shared" si="138"/>
        <v>564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100</v>
      </c>
      <c r="BM161" s="29">
        <v>677</v>
      </c>
      <c r="BO161" s="29" t="str">
        <f t="shared" si="136"/>
        <v/>
      </c>
      <c r="BP161" s="29">
        <f t="shared" si="125"/>
        <v>100</v>
      </c>
      <c r="BQ161" s="29">
        <f t="shared" si="126"/>
        <v>564</v>
      </c>
      <c r="BR161" s="65"/>
      <c r="BS161" s="29" t="str">
        <f t="shared" si="144"/>
        <v/>
      </c>
      <c r="BT161" s="29">
        <f t="shared" si="137"/>
        <v>100</v>
      </c>
      <c r="BU161" s="29">
        <f t="shared" si="138"/>
        <v>451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100</v>
      </c>
      <c r="BM162" s="29">
        <v>100</v>
      </c>
      <c r="BO162" s="29" t="str">
        <f t="shared" si="136"/>
        <v/>
      </c>
      <c r="BP162" s="29">
        <f t="shared" si="125"/>
        <v>100</v>
      </c>
      <c r="BQ162" s="29">
        <f t="shared" si="126"/>
        <v>677</v>
      </c>
      <c r="BR162" s="65"/>
      <c r="BS162" s="29" t="str">
        <f t="shared" si="144"/>
        <v/>
      </c>
      <c r="BT162" s="29">
        <f t="shared" si="137"/>
        <v>100</v>
      </c>
      <c r="BU162" s="29">
        <f t="shared" si="138"/>
        <v>564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100</v>
      </c>
      <c r="BM163" s="29">
        <v>100</v>
      </c>
      <c r="BO163" s="29" t="str">
        <f t="shared" si="136"/>
        <v/>
      </c>
      <c r="BP163" s="29">
        <f t="shared" si="125"/>
        <v>100</v>
      </c>
      <c r="BQ163" s="29">
        <f t="shared" si="126"/>
        <v>100</v>
      </c>
      <c r="BR163" s="65"/>
      <c r="BS163" s="29" t="str">
        <f t="shared" si="144"/>
        <v/>
      </c>
      <c r="BT163" s="29">
        <f t="shared" si="137"/>
        <v>100</v>
      </c>
      <c r="BU163" s="29">
        <f t="shared" si="138"/>
        <v>677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100</v>
      </c>
      <c r="BM164" s="29">
        <v>100</v>
      </c>
      <c r="BO164" s="29" t="str">
        <f t="shared" si="136"/>
        <v/>
      </c>
      <c r="BP164" s="29">
        <f t="shared" si="125"/>
        <v>100</v>
      </c>
      <c r="BQ164" s="29">
        <f t="shared" si="126"/>
        <v>100</v>
      </c>
      <c r="BR164" s="65"/>
      <c r="BS164" s="29" t="str">
        <f t="shared" si="144"/>
        <v/>
      </c>
      <c r="BT164" s="29">
        <f t="shared" si="137"/>
        <v>100</v>
      </c>
      <c r="BU164" s="29">
        <f t="shared" si="138"/>
        <v>100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100</v>
      </c>
      <c r="BM165" s="29">
        <v>100</v>
      </c>
      <c r="BO165" s="29" t="str">
        <f t="shared" si="136"/>
        <v/>
      </c>
      <c r="BP165" s="29">
        <f t="shared" si="125"/>
        <v>100</v>
      </c>
      <c r="BQ165" s="29">
        <f t="shared" si="126"/>
        <v>100</v>
      </c>
      <c r="BR165" s="65"/>
      <c r="BS165" s="29" t="str">
        <f t="shared" si="144"/>
        <v/>
      </c>
      <c r="BT165" s="29">
        <f t="shared" si="137"/>
        <v>100</v>
      </c>
      <c r="BU165" s="29">
        <f t="shared" si="138"/>
        <v>100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100</v>
      </c>
      <c r="BM166" s="29">
        <v>100</v>
      </c>
      <c r="BO166" s="29" t="str">
        <f t="shared" si="136"/>
        <v/>
      </c>
      <c r="BP166" s="29">
        <f t="shared" si="125"/>
        <v>100</v>
      </c>
      <c r="BQ166" s="29">
        <f t="shared" si="126"/>
        <v>100</v>
      </c>
      <c r="BR166" s="65"/>
      <c r="BS166" s="29" t="str">
        <f t="shared" si="144"/>
        <v/>
      </c>
      <c r="BT166" s="29">
        <f t="shared" si="137"/>
        <v>100</v>
      </c>
      <c r="BU166" s="29">
        <f t="shared" si="138"/>
        <v>100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100</v>
      </c>
      <c r="BM167" s="29">
        <v>100</v>
      </c>
      <c r="BO167" s="29" t="str">
        <f t="shared" si="136"/>
        <v/>
      </c>
      <c r="BP167" s="29">
        <f t="shared" si="125"/>
        <v>100</v>
      </c>
      <c r="BQ167" s="29">
        <f t="shared" si="126"/>
        <v>100</v>
      </c>
      <c r="BR167" s="65"/>
      <c r="BS167" s="29" t="str">
        <f t="shared" si="144"/>
        <v/>
      </c>
      <c r="BT167" s="29">
        <f t="shared" si="137"/>
        <v>100</v>
      </c>
      <c r="BU167" s="29">
        <f t="shared" si="138"/>
        <v>100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100</v>
      </c>
      <c r="BM168" s="29">
        <v>100</v>
      </c>
      <c r="BO168" s="29" t="str">
        <f t="shared" si="136"/>
        <v/>
      </c>
      <c r="BP168" s="29">
        <f t="shared" si="125"/>
        <v>100</v>
      </c>
      <c r="BQ168" s="29">
        <f t="shared" si="126"/>
        <v>100</v>
      </c>
      <c r="BR168" s="65"/>
      <c r="BS168" s="29" t="str">
        <f t="shared" si="144"/>
        <v/>
      </c>
      <c r="BT168" s="29">
        <f t="shared" si="137"/>
        <v>100</v>
      </c>
      <c r="BU168" s="29">
        <f t="shared" si="138"/>
        <v>100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100</v>
      </c>
      <c r="BM169" s="29">
        <v>100</v>
      </c>
      <c r="BO169" s="29" t="str">
        <f t="shared" si="136"/>
        <v/>
      </c>
      <c r="BP169" s="29">
        <f t="shared" si="125"/>
        <v>100</v>
      </c>
      <c r="BQ169" s="29">
        <f t="shared" si="126"/>
        <v>100</v>
      </c>
      <c r="BR169" s="65"/>
      <c r="BS169" s="29" t="str">
        <f t="shared" si="144"/>
        <v/>
      </c>
      <c r="BT169" s="29">
        <f t="shared" si="137"/>
        <v>100</v>
      </c>
      <c r="BU169" s="29">
        <f t="shared" si="138"/>
        <v>100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100</v>
      </c>
      <c r="BM170" s="29">
        <v>100</v>
      </c>
      <c r="BO170" s="29" t="str">
        <f t="shared" si="136"/>
        <v/>
      </c>
      <c r="BP170" s="29">
        <f t="shared" si="125"/>
        <v>100</v>
      </c>
      <c r="BQ170" s="29">
        <f t="shared" si="126"/>
        <v>100</v>
      </c>
      <c r="BR170" s="65"/>
      <c r="BS170" s="29" t="str">
        <f t="shared" si="144"/>
        <v/>
      </c>
      <c r="BT170" s="29">
        <f t="shared" si="137"/>
        <v>100</v>
      </c>
      <c r="BU170" s="29">
        <f t="shared" si="138"/>
        <v>100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100</v>
      </c>
      <c r="BM171" s="29">
        <v>100</v>
      </c>
      <c r="BO171" s="29" t="str">
        <f t="shared" si="136"/>
        <v/>
      </c>
      <c r="BP171" s="29">
        <f t="shared" si="125"/>
        <v>100</v>
      </c>
      <c r="BQ171" s="29">
        <f t="shared" si="126"/>
        <v>100</v>
      </c>
      <c r="BR171" s="65"/>
      <c r="BS171" s="29" t="str">
        <f t="shared" si="144"/>
        <v/>
      </c>
      <c r="BT171" s="29">
        <f t="shared" si="137"/>
        <v>100</v>
      </c>
      <c r="BU171" s="29">
        <f t="shared" si="138"/>
        <v>100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100</v>
      </c>
      <c r="BM172" s="29">
        <v>100</v>
      </c>
      <c r="BO172" s="29" t="str">
        <f t="shared" si="136"/>
        <v/>
      </c>
      <c r="BP172" s="29">
        <f t="shared" si="125"/>
        <v>100</v>
      </c>
      <c r="BQ172" s="29">
        <f t="shared" si="126"/>
        <v>100</v>
      </c>
      <c r="BR172" s="65"/>
      <c r="BS172" s="29" t="str">
        <f t="shared" si="144"/>
        <v/>
      </c>
      <c r="BT172" s="29">
        <f t="shared" si="137"/>
        <v>100</v>
      </c>
      <c r="BU172" s="29">
        <f t="shared" si="138"/>
        <v>100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100</v>
      </c>
      <c r="BM173" s="29">
        <v>100</v>
      </c>
      <c r="BO173" s="29" t="str">
        <f t="shared" si="136"/>
        <v/>
      </c>
      <c r="BP173" s="29">
        <f t="shared" si="125"/>
        <v>100</v>
      </c>
      <c r="BQ173" s="29">
        <f t="shared" si="126"/>
        <v>100</v>
      </c>
      <c r="BR173" s="65"/>
      <c r="BS173" s="29" t="str">
        <f t="shared" si="144"/>
        <v/>
      </c>
      <c r="BT173" s="29">
        <f t="shared" si="137"/>
        <v>100</v>
      </c>
      <c r="BU173" s="29">
        <f t="shared" si="138"/>
        <v>100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100</v>
      </c>
      <c r="BM174" s="29">
        <v>100</v>
      </c>
      <c r="BO174" s="29" t="str">
        <f t="shared" si="136"/>
        <v/>
      </c>
      <c r="BP174" s="29">
        <f t="shared" si="125"/>
        <v>100</v>
      </c>
      <c r="BQ174" s="29">
        <f t="shared" si="126"/>
        <v>100</v>
      </c>
      <c r="BR174" s="65"/>
      <c r="BS174" s="29" t="str">
        <f t="shared" si="144"/>
        <v/>
      </c>
      <c r="BT174" s="29">
        <f t="shared" si="137"/>
        <v>100</v>
      </c>
      <c r="BU174" s="29">
        <f t="shared" si="138"/>
        <v>100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100</v>
      </c>
      <c r="BM175" s="29">
        <v>100</v>
      </c>
      <c r="BO175" s="29" t="str">
        <f t="shared" si="136"/>
        <v/>
      </c>
      <c r="BP175" s="29">
        <f t="shared" si="125"/>
        <v>100</v>
      </c>
      <c r="BQ175" s="29">
        <f t="shared" si="126"/>
        <v>100</v>
      </c>
      <c r="BR175" s="65"/>
      <c r="BS175" s="29" t="str">
        <f t="shared" si="144"/>
        <v/>
      </c>
      <c r="BT175" s="29">
        <f t="shared" si="137"/>
        <v>100</v>
      </c>
      <c r="BU175" s="29">
        <f t="shared" si="138"/>
        <v>100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100</v>
      </c>
      <c r="BM176" s="29">
        <v>100</v>
      </c>
      <c r="BO176" s="29" t="str">
        <f t="shared" si="136"/>
        <v/>
      </c>
      <c r="BP176" s="29">
        <f t="shared" si="125"/>
        <v>100</v>
      </c>
      <c r="BQ176" s="29">
        <f t="shared" si="126"/>
        <v>100</v>
      </c>
      <c r="BR176" s="65"/>
      <c r="BS176" s="29" t="str">
        <f t="shared" si="144"/>
        <v/>
      </c>
      <c r="BT176" s="29">
        <f t="shared" si="137"/>
        <v>100</v>
      </c>
      <c r="BU176" s="29">
        <f t="shared" si="138"/>
        <v>100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100</v>
      </c>
      <c r="BM177" s="29">
        <v>100</v>
      </c>
      <c r="BO177" s="29" t="str">
        <f t="shared" si="136"/>
        <v/>
      </c>
      <c r="BP177" s="29">
        <f t="shared" si="125"/>
        <v>100</v>
      </c>
      <c r="BQ177" s="29">
        <f t="shared" si="126"/>
        <v>100</v>
      </c>
      <c r="BR177" s="65"/>
      <c r="BS177" s="29" t="str">
        <f t="shared" si="144"/>
        <v/>
      </c>
      <c r="BT177" s="29">
        <f t="shared" si="137"/>
        <v>100</v>
      </c>
      <c r="BU177" s="29">
        <f t="shared" si="138"/>
        <v>100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100</v>
      </c>
      <c r="BM178" s="29">
        <v>100</v>
      </c>
      <c r="BO178" s="29" t="str">
        <f t="shared" si="136"/>
        <v/>
      </c>
      <c r="BP178" s="29">
        <f t="shared" si="125"/>
        <v>100</v>
      </c>
      <c r="BQ178" s="29">
        <f t="shared" si="126"/>
        <v>100</v>
      </c>
      <c r="BR178" s="65"/>
      <c r="BS178" s="29" t="str">
        <f t="shared" si="144"/>
        <v/>
      </c>
      <c r="BT178" s="29">
        <f t="shared" si="137"/>
        <v>100</v>
      </c>
      <c r="BU178" s="29">
        <f t="shared" si="138"/>
        <v>100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100</v>
      </c>
      <c r="BM179" s="29">
        <v>100</v>
      </c>
      <c r="BO179" s="29" t="str">
        <f t="shared" si="136"/>
        <v/>
      </c>
      <c r="BP179" s="29">
        <f t="shared" si="125"/>
        <v>100</v>
      </c>
      <c r="BQ179" s="29">
        <f t="shared" si="126"/>
        <v>100</v>
      </c>
      <c r="BR179" s="65"/>
      <c r="BS179" s="29" t="str">
        <f t="shared" si="144"/>
        <v/>
      </c>
      <c r="BT179" s="29">
        <f t="shared" si="137"/>
        <v>100</v>
      </c>
      <c r="BU179" s="29">
        <f t="shared" si="138"/>
        <v>100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100</v>
      </c>
      <c r="BM180" s="29">
        <v>100</v>
      </c>
      <c r="BO180" s="29" t="str">
        <f t="shared" si="136"/>
        <v/>
      </c>
      <c r="BP180" s="29">
        <f t="shared" si="125"/>
        <v>100</v>
      </c>
      <c r="BQ180" s="29">
        <f t="shared" si="126"/>
        <v>100</v>
      </c>
      <c r="BR180" s="65"/>
      <c r="BS180" s="29" t="str">
        <f t="shared" si="144"/>
        <v/>
      </c>
      <c r="BT180" s="29">
        <f t="shared" si="137"/>
        <v>100</v>
      </c>
      <c r="BU180" s="29">
        <f t="shared" si="138"/>
        <v>100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701</v>
      </c>
      <c r="BM181" s="29">
        <v>100</v>
      </c>
      <c r="BO181" s="29" t="str">
        <f t="shared" si="136"/>
        <v/>
      </c>
      <c r="BP181" s="29">
        <f t="shared" si="125"/>
        <v>100</v>
      </c>
      <c r="BQ181" s="29">
        <f t="shared" si="126"/>
        <v>100</v>
      </c>
      <c r="BR181" s="65"/>
      <c r="BS181" s="29" t="str">
        <f t="shared" si="144"/>
        <v/>
      </c>
      <c r="BT181" s="29">
        <f t="shared" si="137"/>
        <v>100</v>
      </c>
      <c r="BU181" s="29">
        <f t="shared" si="138"/>
        <v>100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584</v>
      </c>
      <c r="BM182" s="29">
        <v>100</v>
      </c>
      <c r="BO182" s="29" t="str">
        <f t="shared" si="136"/>
        <v/>
      </c>
      <c r="BP182" s="29">
        <f t="shared" si="125"/>
        <v>701</v>
      </c>
      <c r="BQ182" s="29">
        <f t="shared" si="126"/>
        <v>100</v>
      </c>
      <c r="BR182" s="65"/>
      <c r="BS182" s="29" t="str">
        <f t="shared" si="144"/>
        <v/>
      </c>
      <c r="BT182" s="29">
        <f t="shared" si="137"/>
        <v>100</v>
      </c>
      <c r="BU182" s="29">
        <f t="shared" si="138"/>
        <v>100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467</v>
      </c>
      <c r="BM183" s="29">
        <v>100</v>
      </c>
      <c r="BO183" s="29" t="str">
        <f t="shared" si="136"/>
        <v/>
      </c>
      <c r="BP183" s="29">
        <f t="shared" si="125"/>
        <v>584</v>
      </c>
      <c r="BQ183" s="29">
        <f t="shared" si="126"/>
        <v>100</v>
      </c>
      <c r="BR183" s="65"/>
      <c r="BS183" s="29" t="str">
        <f t="shared" si="144"/>
        <v/>
      </c>
      <c r="BT183" s="29">
        <f t="shared" si="137"/>
        <v>701</v>
      </c>
      <c r="BU183" s="29">
        <f t="shared" si="138"/>
        <v>100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584</v>
      </c>
      <c r="BM184" s="29">
        <v>100</v>
      </c>
      <c r="BO184" s="29" t="str">
        <f t="shared" si="136"/>
        <v/>
      </c>
      <c r="BP184" s="29">
        <f t="shared" si="125"/>
        <v>467</v>
      </c>
      <c r="BQ184" s="29">
        <f t="shared" si="126"/>
        <v>100</v>
      </c>
      <c r="BR184" s="65"/>
      <c r="BS184" s="29" t="str">
        <f t="shared" si="144"/>
        <v/>
      </c>
      <c r="BT184" s="29">
        <f t="shared" si="137"/>
        <v>584</v>
      </c>
      <c r="BU184" s="29">
        <f t="shared" si="138"/>
        <v>100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701</v>
      </c>
      <c r="BM185" s="29">
        <v>100</v>
      </c>
      <c r="BO185" s="29" t="str">
        <f t="shared" si="136"/>
        <v/>
      </c>
      <c r="BP185" s="29">
        <f t="shared" si="125"/>
        <v>584</v>
      </c>
      <c r="BQ185" s="29">
        <f t="shared" si="126"/>
        <v>100</v>
      </c>
      <c r="BR185" s="65"/>
      <c r="BS185" s="29" t="str">
        <f t="shared" si="144"/>
        <v/>
      </c>
      <c r="BT185" s="29">
        <f t="shared" si="137"/>
        <v>467</v>
      </c>
      <c r="BU185" s="29">
        <f t="shared" si="138"/>
        <v>100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100</v>
      </c>
      <c r="BM186" s="29">
        <v>100</v>
      </c>
      <c r="BO186" s="29" t="str">
        <f t="shared" si="136"/>
        <v/>
      </c>
      <c r="BP186" s="29">
        <f t="shared" si="125"/>
        <v>701</v>
      </c>
      <c r="BQ186" s="29">
        <f t="shared" si="126"/>
        <v>100</v>
      </c>
      <c r="BR186" s="65"/>
      <c r="BS186" s="29" t="str">
        <f t="shared" si="144"/>
        <v/>
      </c>
      <c r="BT186" s="29">
        <f t="shared" si="137"/>
        <v>584</v>
      </c>
      <c r="BU186" s="29">
        <f t="shared" si="138"/>
        <v>100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100</v>
      </c>
      <c r="BM187" s="29">
        <v>100</v>
      </c>
      <c r="BO187" s="29" t="str">
        <f t="shared" si="136"/>
        <v/>
      </c>
      <c r="BP187" s="29">
        <f t="shared" si="125"/>
        <v>100</v>
      </c>
      <c r="BQ187" s="29">
        <f t="shared" si="126"/>
        <v>100</v>
      </c>
      <c r="BR187" s="65"/>
      <c r="BS187" s="29" t="str">
        <f t="shared" si="144"/>
        <v/>
      </c>
      <c r="BT187" s="29">
        <f t="shared" si="137"/>
        <v>701</v>
      </c>
      <c r="BU187" s="29">
        <f t="shared" si="138"/>
        <v>100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100</v>
      </c>
      <c r="BM188" s="29">
        <v>100</v>
      </c>
      <c r="BO188" s="29" t="str">
        <f t="shared" si="136"/>
        <v/>
      </c>
      <c r="BP188" s="29">
        <f t="shared" si="125"/>
        <v>100</v>
      </c>
      <c r="BQ188" s="29">
        <f t="shared" si="126"/>
        <v>100</v>
      </c>
      <c r="BR188" s="65"/>
      <c r="BS188" s="29" t="str">
        <f t="shared" si="144"/>
        <v/>
      </c>
      <c r="BT188" s="29">
        <f t="shared" si="137"/>
        <v>100</v>
      </c>
      <c r="BU188" s="29">
        <f t="shared" si="138"/>
        <v>100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100</v>
      </c>
      <c r="BM189" s="29">
        <v>100</v>
      </c>
      <c r="BO189" s="29" t="str">
        <f t="shared" si="136"/>
        <v/>
      </c>
      <c r="BP189" s="29">
        <f t="shared" si="125"/>
        <v>100</v>
      </c>
      <c r="BQ189" s="29">
        <f t="shared" si="126"/>
        <v>100</v>
      </c>
      <c r="BR189" s="65"/>
      <c r="BS189" s="29" t="str">
        <f t="shared" si="144"/>
        <v/>
      </c>
      <c r="BT189" s="29">
        <f t="shared" si="137"/>
        <v>100</v>
      </c>
      <c r="BU189" s="29">
        <f t="shared" si="138"/>
        <v>100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100</v>
      </c>
      <c r="BM190" s="29">
        <v>100</v>
      </c>
      <c r="BO190" s="29" t="str">
        <f t="shared" si="136"/>
        <v/>
      </c>
      <c r="BP190" s="29">
        <f t="shared" si="125"/>
        <v>100</v>
      </c>
      <c r="BQ190" s="29">
        <f t="shared" si="126"/>
        <v>100</v>
      </c>
      <c r="BR190" s="65"/>
      <c r="BS190" s="29" t="str">
        <f t="shared" si="144"/>
        <v/>
      </c>
      <c r="BT190" s="29">
        <f t="shared" si="137"/>
        <v>100</v>
      </c>
      <c r="BU190" s="29">
        <f t="shared" si="138"/>
        <v>100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100</v>
      </c>
      <c r="BM191" s="29">
        <v>100</v>
      </c>
      <c r="BO191" s="29" t="str">
        <f t="shared" si="136"/>
        <v/>
      </c>
      <c r="BP191" s="29">
        <f t="shared" si="125"/>
        <v>100</v>
      </c>
      <c r="BQ191" s="29">
        <f t="shared" si="126"/>
        <v>100</v>
      </c>
      <c r="BR191" s="65"/>
      <c r="BS191" s="29" t="str">
        <f t="shared" si="144"/>
        <v/>
      </c>
      <c r="BT191" s="29">
        <f t="shared" si="137"/>
        <v>100</v>
      </c>
      <c r="BU191" s="29">
        <f t="shared" si="138"/>
        <v>100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100</v>
      </c>
      <c r="BM192" s="29">
        <v>677</v>
      </c>
      <c r="BO192" s="29" t="str">
        <f t="shared" si="136"/>
        <v/>
      </c>
      <c r="BP192" s="29">
        <f t="shared" si="125"/>
        <v>100</v>
      </c>
      <c r="BQ192" s="29">
        <f t="shared" si="126"/>
        <v>100</v>
      </c>
      <c r="BR192" s="65"/>
      <c r="BS192" s="29" t="str">
        <f t="shared" si="144"/>
        <v/>
      </c>
      <c r="BT192" s="29">
        <f t="shared" si="137"/>
        <v>100</v>
      </c>
      <c r="BU192" s="29">
        <f t="shared" si="138"/>
        <v>100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100</v>
      </c>
      <c r="BM193" s="29">
        <v>564</v>
      </c>
      <c r="BO193" s="29" t="str">
        <f t="shared" si="136"/>
        <v/>
      </c>
      <c r="BP193" s="29">
        <f t="shared" si="125"/>
        <v>100</v>
      </c>
      <c r="BQ193" s="29">
        <f t="shared" si="126"/>
        <v>677</v>
      </c>
      <c r="BR193" s="65"/>
      <c r="BS193" s="29" t="str">
        <f t="shared" si="144"/>
        <v/>
      </c>
      <c r="BT193" s="29">
        <f t="shared" si="137"/>
        <v>100</v>
      </c>
      <c r="BU193" s="29">
        <f t="shared" si="138"/>
        <v>100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100</v>
      </c>
      <c r="BM194" s="29">
        <v>451</v>
      </c>
      <c r="BO194" s="29" t="str">
        <f t="shared" si="136"/>
        <v/>
      </c>
      <c r="BP194" s="29">
        <f t="shared" si="125"/>
        <v>100</v>
      </c>
      <c r="BQ194" s="29">
        <f t="shared" si="126"/>
        <v>564</v>
      </c>
      <c r="BR194" s="65"/>
      <c r="BS194" s="29" t="str">
        <f t="shared" si="144"/>
        <v/>
      </c>
      <c r="BT194" s="29">
        <f t="shared" si="137"/>
        <v>100</v>
      </c>
      <c r="BU194" s="29">
        <f t="shared" si="138"/>
        <v>677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100</v>
      </c>
      <c r="BM195" s="29">
        <v>564</v>
      </c>
      <c r="BO195" s="29" t="str">
        <f t="shared" si="136"/>
        <v/>
      </c>
      <c r="BP195" s="29">
        <f t="shared" si="125"/>
        <v>100</v>
      </c>
      <c r="BQ195" s="29">
        <f t="shared" si="126"/>
        <v>451</v>
      </c>
      <c r="BR195" s="65"/>
      <c r="BS195" s="29" t="str">
        <f t="shared" si="144"/>
        <v/>
      </c>
      <c r="BT195" s="29">
        <f t="shared" si="137"/>
        <v>100</v>
      </c>
      <c r="BU195" s="29">
        <f t="shared" si="138"/>
        <v>564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100</v>
      </c>
      <c r="BM196" s="29">
        <v>677</v>
      </c>
      <c r="BO196" s="29" t="str">
        <f t="shared" si="136"/>
        <v/>
      </c>
      <c r="BP196" s="29">
        <f t="shared" ref="BP196:BP211" si="152">IF(BL195="","",BL195)</f>
        <v>100</v>
      </c>
      <c r="BQ196" s="29">
        <f t="shared" ref="BQ196:BQ211" si="153">IF(BM195="","",BM195)</f>
        <v>564</v>
      </c>
      <c r="BR196" s="65"/>
      <c r="BS196" s="29" t="str">
        <f t="shared" si="144"/>
        <v/>
      </c>
      <c r="BT196" s="29">
        <f t="shared" si="137"/>
        <v>100</v>
      </c>
      <c r="BU196" s="29">
        <f t="shared" si="138"/>
        <v>451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100</v>
      </c>
      <c r="BM197" s="29">
        <v>100</v>
      </c>
      <c r="BO197" s="29" t="str">
        <f t="shared" ref="BO197:BO211" si="163">IF(BK196="","",BK196)</f>
        <v/>
      </c>
      <c r="BP197" s="29">
        <f t="shared" si="152"/>
        <v>100</v>
      </c>
      <c r="BQ197" s="29">
        <f t="shared" si="153"/>
        <v>677</v>
      </c>
      <c r="BR197" s="65"/>
      <c r="BS197" s="29" t="str">
        <f t="shared" si="144"/>
        <v/>
      </c>
      <c r="BT197" s="29">
        <f t="shared" ref="BT197:BT211" si="164">IF(BL195="","",BL195)</f>
        <v>100</v>
      </c>
      <c r="BU197" s="29">
        <f t="shared" ref="BU197:BU211" si="165">IF(BM195="","",BM195)</f>
        <v>564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100</v>
      </c>
      <c r="BM198" s="29">
        <v>677</v>
      </c>
      <c r="BO198" s="29" t="str">
        <f t="shared" si="163"/>
        <v/>
      </c>
      <c r="BP198" s="29">
        <f t="shared" si="152"/>
        <v>100</v>
      </c>
      <c r="BQ198" s="29">
        <f t="shared" si="153"/>
        <v>100</v>
      </c>
      <c r="BR198" s="65"/>
      <c r="BS198" s="29" t="str">
        <f t="shared" ref="BS198:BS211" si="171">IF(BK196="","",BK196)</f>
        <v/>
      </c>
      <c r="BT198" s="29">
        <f t="shared" si="164"/>
        <v>100</v>
      </c>
      <c r="BU198" s="29">
        <f t="shared" si="165"/>
        <v>677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100</v>
      </c>
      <c r="BM199" s="29">
        <v>564</v>
      </c>
      <c r="BO199" s="29" t="str">
        <f t="shared" si="163"/>
        <v/>
      </c>
      <c r="BP199" s="29">
        <f t="shared" si="152"/>
        <v>100</v>
      </c>
      <c r="BQ199" s="29">
        <f t="shared" si="153"/>
        <v>677</v>
      </c>
      <c r="BR199" s="65"/>
      <c r="BS199" s="29" t="str">
        <f t="shared" si="171"/>
        <v/>
      </c>
      <c r="BT199" s="29">
        <f t="shared" si="164"/>
        <v>100</v>
      </c>
      <c r="BU199" s="29">
        <f t="shared" si="165"/>
        <v>100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100</v>
      </c>
      <c r="BM200" s="29">
        <v>451</v>
      </c>
      <c r="BO200" s="29" t="str">
        <f t="shared" si="163"/>
        <v/>
      </c>
      <c r="BP200" s="29">
        <f t="shared" si="152"/>
        <v>100</v>
      </c>
      <c r="BQ200" s="29">
        <f t="shared" si="153"/>
        <v>564</v>
      </c>
      <c r="BR200" s="65"/>
      <c r="BS200" s="29" t="str">
        <f t="shared" si="171"/>
        <v/>
      </c>
      <c r="BT200" s="29">
        <f t="shared" si="164"/>
        <v>100</v>
      </c>
      <c r="BU200" s="29">
        <f t="shared" si="165"/>
        <v>677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701</v>
      </c>
      <c r="BM201" s="29">
        <v>564</v>
      </c>
      <c r="BO201" s="29" t="str">
        <f t="shared" si="163"/>
        <v/>
      </c>
      <c r="BP201" s="29">
        <f t="shared" si="152"/>
        <v>100</v>
      </c>
      <c r="BQ201" s="29">
        <f t="shared" si="153"/>
        <v>451</v>
      </c>
      <c r="BR201" s="65"/>
      <c r="BS201" s="29" t="str">
        <f t="shared" si="171"/>
        <v/>
      </c>
      <c r="BT201" s="29">
        <f t="shared" si="164"/>
        <v>100</v>
      </c>
      <c r="BU201" s="29">
        <f t="shared" si="165"/>
        <v>564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584</v>
      </c>
      <c r="BM202" s="29">
        <v>677</v>
      </c>
      <c r="BO202" s="29" t="str">
        <f t="shared" si="163"/>
        <v/>
      </c>
      <c r="BP202" s="29">
        <f t="shared" si="152"/>
        <v>701</v>
      </c>
      <c r="BQ202" s="29">
        <f t="shared" si="153"/>
        <v>564</v>
      </c>
      <c r="BR202" s="65"/>
      <c r="BS202" s="29" t="str">
        <f t="shared" si="171"/>
        <v/>
      </c>
      <c r="BT202" s="29">
        <f t="shared" si="164"/>
        <v>100</v>
      </c>
      <c r="BU202" s="29">
        <f t="shared" si="165"/>
        <v>451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467</v>
      </c>
      <c r="BM203" s="29">
        <v>100</v>
      </c>
      <c r="BO203" s="29" t="str">
        <f t="shared" si="163"/>
        <v/>
      </c>
      <c r="BP203" s="29">
        <f t="shared" si="152"/>
        <v>584</v>
      </c>
      <c r="BQ203" s="29">
        <f t="shared" si="153"/>
        <v>677</v>
      </c>
      <c r="BR203" s="65"/>
      <c r="BS203" s="29" t="str">
        <f t="shared" si="171"/>
        <v/>
      </c>
      <c r="BT203" s="29">
        <f t="shared" si="164"/>
        <v>701</v>
      </c>
      <c r="BU203" s="29">
        <f t="shared" si="165"/>
        <v>564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584</v>
      </c>
      <c r="BM204" s="29">
        <v>100</v>
      </c>
      <c r="BO204" s="29" t="str">
        <f t="shared" si="163"/>
        <v/>
      </c>
      <c r="BP204" s="29">
        <f t="shared" si="152"/>
        <v>467</v>
      </c>
      <c r="BQ204" s="29">
        <f t="shared" si="153"/>
        <v>100</v>
      </c>
      <c r="BR204" s="65"/>
      <c r="BS204" s="29" t="str">
        <f t="shared" si="171"/>
        <v/>
      </c>
      <c r="BT204" s="29">
        <f t="shared" si="164"/>
        <v>584</v>
      </c>
      <c r="BU204" s="29">
        <f t="shared" si="165"/>
        <v>677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701</v>
      </c>
      <c r="BM205" s="29">
        <v>100</v>
      </c>
      <c r="BO205" s="29" t="str">
        <f t="shared" si="163"/>
        <v/>
      </c>
      <c r="BP205" s="29">
        <f t="shared" si="152"/>
        <v>584</v>
      </c>
      <c r="BQ205" s="29">
        <f t="shared" si="153"/>
        <v>100</v>
      </c>
      <c r="BR205" s="65"/>
      <c r="BS205" s="29" t="str">
        <f t="shared" si="171"/>
        <v/>
      </c>
      <c r="BT205" s="29">
        <f t="shared" si="164"/>
        <v>467</v>
      </c>
      <c r="BU205" s="29">
        <f t="shared" si="165"/>
        <v>100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100</v>
      </c>
      <c r="BM206" s="29"/>
      <c r="BO206" s="29" t="str">
        <f t="shared" si="163"/>
        <v/>
      </c>
      <c r="BP206" s="29">
        <f t="shared" si="152"/>
        <v>701</v>
      </c>
      <c r="BQ206" s="29">
        <f t="shared" si="153"/>
        <v>100</v>
      </c>
      <c r="BR206" s="65"/>
      <c r="BS206" s="29" t="str">
        <f t="shared" si="171"/>
        <v/>
      </c>
      <c r="BT206" s="29">
        <f t="shared" si="164"/>
        <v>584</v>
      </c>
      <c r="BU206" s="29">
        <f t="shared" si="165"/>
        <v>100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100</v>
      </c>
      <c r="BM207" s="29"/>
      <c r="BO207" s="29" t="str">
        <f t="shared" si="163"/>
        <v/>
      </c>
      <c r="BP207" s="29">
        <f t="shared" si="152"/>
        <v>100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701</v>
      </c>
      <c r="BU207" s="29">
        <f t="shared" si="165"/>
        <v>100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100</v>
      </c>
      <c r="BM208" s="29"/>
      <c r="BO208" s="29" t="str">
        <f t="shared" si="163"/>
        <v/>
      </c>
      <c r="BP208" s="29">
        <f t="shared" si="152"/>
        <v>100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100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100</v>
      </c>
      <c r="BM209" s="29"/>
      <c r="BO209" s="29" t="str">
        <f t="shared" si="163"/>
        <v/>
      </c>
      <c r="BP209" s="29">
        <f t="shared" si="152"/>
        <v>100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100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701</v>
      </c>
      <c r="BM210" s="29"/>
      <c r="BO210" s="29" t="str">
        <f t="shared" si="163"/>
        <v/>
      </c>
      <c r="BP210" s="29">
        <f t="shared" si="152"/>
        <v>100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100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584</v>
      </c>
      <c r="BM211" s="29"/>
      <c r="BO211" s="29" t="str">
        <f t="shared" si="163"/>
        <v/>
      </c>
      <c r="BP211" s="29">
        <f t="shared" si="152"/>
        <v>701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100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1:F1"/>
    <mergeCell ref="H1:M1"/>
    <mergeCell ref="O1:T1"/>
    <mergeCell ref="A27:F27"/>
    <mergeCell ref="H27:M27"/>
    <mergeCell ref="O27:T27"/>
    <mergeCell ref="A53:F53"/>
    <mergeCell ref="H53:M53"/>
    <mergeCell ref="O53:T53"/>
    <mergeCell ref="A79:F79"/>
    <mergeCell ref="H79:M79"/>
    <mergeCell ref="O79:T79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19" t="s">
        <v>113</v>
      </c>
      <c r="B1" s="319"/>
      <c r="C1" s="319"/>
      <c r="D1" s="319"/>
      <c r="E1" s="319"/>
      <c r="F1" s="1"/>
      <c r="G1" s="320" t="s">
        <v>114</v>
      </c>
      <c r="H1" s="320"/>
      <c r="I1" s="320"/>
      <c r="J1" s="320"/>
      <c r="K1" s="320"/>
      <c r="L1" s="1"/>
      <c r="M1" s="317" t="s">
        <v>115</v>
      </c>
      <c r="N1" s="317"/>
      <c r="O1" s="317"/>
      <c r="P1" s="317"/>
      <c r="Q1" s="317"/>
      <c r="R1" s="60"/>
      <c r="S1" s="318" t="s">
        <v>129</v>
      </c>
      <c r="T1" s="318"/>
      <c r="U1" s="318"/>
      <c r="V1" s="318"/>
      <c r="W1" s="318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topLeftCell="A5" zoomScale="70" zoomScaleNormal="70" workbookViewId="0">
      <selection activeCell="O31" sqref="O31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1">
        <f>PRODUCT('Regular Symbol'!C18:E18)</f>
        <v>5218521</v>
      </c>
      <c r="D11" s="321"/>
      <c r="E11" s="321"/>
      <c r="F11" s="321"/>
      <c r="G11" s="321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1">
        <f>PRODUCT('Regular Symbol'!C18:E18)</f>
        <v>5218521</v>
      </c>
      <c r="D23" s="321"/>
      <c r="E23" s="321"/>
      <c r="F23" s="321"/>
      <c r="G23" s="321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1">
        <f>PRODUCT('Regular Symbol'!C18:E18)</f>
        <v>5218521</v>
      </c>
      <c r="D35" s="321"/>
      <c r="E35" s="321"/>
      <c r="F35" s="321"/>
      <c r="G35" s="321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1">
        <f>PRODUCT('Regular Symbol'!C18:E18)</f>
        <v>5218521</v>
      </c>
      <c r="D47" s="321"/>
      <c r="E47" s="321"/>
      <c r="F47" s="321"/>
      <c r="G47" s="321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1">
        <f>PRODUCT('Regular Symbol'!C18:E18)</f>
        <v>5218521</v>
      </c>
      <c r="D59" s="321"/>
      <c r="E59" s="321"/>
      <c r="F59" s="321"/>
      <c r="G59" s="321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V26" sqref="V26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Symbol'!C44:E44)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>
        <v>2</v>
      </c>
      <c r="R20" s="180" cm="1">
        <f t="array" ref="R20:R30">S20:S30/SUM(S20:S30)</f>
        <v>0.20836289114841963</v>
      </c>
      <c r="S20" s="1">
        <v>5287</v>
      </c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>
        <v>3</v>
      </c>
      <c r="R21" s="180">
        <v>0.18507133286040831</v>
      </c>
      <c r="S21" s="1">
        <v>4696</v>
      </c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>
        <v>4</v>
      </c>
      <c r="R22" s="180">
        <v>0.1340742492314968</v>
      </c>
      <c r="S22" s="1">
        <v>3402</v>
      </c>
    </row>
    <row r="23" spans="1:19" ht="16.8" thickBot="1">
      <c r="A23" s="1"/>
      <c r="B23" s="61" t="s">
        <v>53</v>
      </c>
      <c r="C23" s="321">
        <f>PRODUCT('Regular Symbol'!C44:E44)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>
        <v>5</v>
      </c>
      <c r="R23" s="180">
        <v>0.14408449594072673</v>
      </c>
      <c r="S23" s="1">
        <v>3656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>
        <v>6</v>
      </c>
      <c r="R24" s="180">
        <v>0.11842831244581067</v>
      </c>
      <c r="S24" s="1">
        <v>3005</v>
      </c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>
        <v>7</v>
      </c>
      <c r="R25" s="180">
        <v>6.5381886970915112E-2</v>
      </c>
      <c r="S25" s="1">
        <v>1659</v>
      </c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>
        <v>8</v>
      </c>
      <c r="R26" s="180">
        <v>4.9696539765113894E-2</v>
      </c>
      <c r="S26" s="1">
        <v>1261</v>
      </c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>
        <v>9</v>
      </c>
      <c r="R27" s="180">
        <v>4.40214392685426E-2</v>
      </c>
      <c r="S27" s="1">
        <v>1117</v>
      </c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>
        <v>10</v>
      </c>
      <c r="R28" s="180">
        <v>3.9016315913927645E-2</v>
      </c>
      <c r="S28" s="1">
        <v>990</v>
      </c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>
        <v>20</v>
      </c>
      <c r="R29" s="180">
        <v>1.1074328052337037E-2</v>
      </c>
      <c r="S29" s="1">
        <v>281</v>
      </c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>
        <v>50</v>
      </c>
      <c r="R30" s="180">
        <v>7.8820840230156856E-4</v>
      </c>
      <c r="S30" s="1">
        <v>20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93">
        <f>SUMPRODUCT(_xlfn.ANCHORARRAY(R20),Q20:Q30)</f>
        <v>4.8417277528178451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Symbol'!C44:E44)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Symbol'!C44:E44)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Symbol'!C44:E44)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Symbol'!C70:E70)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Symbol'!C70:E70)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Symbol'!C70:E70)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Symbol'!C70:E70)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Symbol'!C70:E70)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1.0396634201786966E-2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3.7430545754079523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14.242592592592594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0.5675</v>
      </c>
      <c r="K4" s="33"/>
      <c r="L4" s="124">
        <v>2</v>
      </c>
      <c r="M4" s="108">
        <v>7.8235294117647056E-2</v>
      </c>
      <c r="N4" s="170">
        <v>13300000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8.026136363636363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9.4705882352941181E-2</v>
      </c>
      <c r="N5" s="170">
        <v>16100000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8.026136363636363</v>
      </c>
      <c r="U5" s="1"/>
      <c r="V5" s="116">
        <v>3</v>
      </c>
      <c r="W5" s="122">
        <v>0</v>
      </c>
      <c r="X5" s="92">
        <v>0.23863636363636365</v>
      </c>
      <c r="Y5" s="92">
        <v>0.23863636363636365</v>
      </c>
      <c r="Z5" s="92">
        <v>0.26464379947229549</v>
      </c>
      <c r="AA5" s="92">
        <v>0.26464379947229549</v>
      </c>
      <c r="AB5" s="92">
        <v>0.26464379947229549</v>
      </c>
      <c r="AC5" s="92">
        <v>0.26464379947229549</v>
      </c>
      <c r="AD5" s="92">
        <v>0.26464379947229549</v>
      </c>
      <c r="AE5" s="92">
        <v>0.26464379947229549</v>
      </c>
      <c r="AF5" s="110">
        <v>0.26464379947229549</v>
      </c>
      <c r="AG5" s="110">
        <v>0.26464379947229549</v>
      </c>
      <c r="AH5" s="174">
        <v>0</v>
      </c>
      <c r="AI5" s="278">
        <v>105000000</v>
      </c>
      <c r="AJ5" s="278">
        <v>105000000</v>
      </c>
      <c r="AK5" s="278">
        <v>100300000</v>
      </c>
      <c r="AL5" s="278">
        <v>100300000</v>
      </c>
      <c r="AM5" s="278">
        <v>100300000</v>
      </c>
      <c r="AN5" s="278">
        <v>100300000</v>
      </c>
      <c r="AO5" s="278">
        <v>100300000</v>
      </c>
      <c r="AP5" s="278">
        <v>100300000</v>
      </c>
      <c r="AQ5" s="278">
        <v>100300000</v>
      </c>
      <c r="AR5" s="278">
        <v>100300000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0.11529411764705882</v>
      </c>
      <c r="N6" s="170">
        <v>19600000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7.6224274406332464</v>
      </c>
      <c r="U6" s="26"/>
      <c r="V6" s="116">
        <v>5</v>
      </c>
      <c r="W6" s="122">
        <v>0</v>
      </c>
      <c r="X6" s="92">
        <v>0.38068181818181818</v>
      </c>
      <c r="Y6" s="92">
        <v>0.38068181818181818</v>
      </c>
      <c r="Z6" s="92">
        <v>0.42189973614775728</v>
      </c>
      <c r="AA6" s="92">
        <v>0.42189973614775728</v>
      </c>
      <c r="AB6" s="92">
        <v>0.42189973614775728</v>
      </c>
      <c r="AC6" s="92">
        <v>0.42189973614775728</v>
      </c>
      <c r="AD6" s="92">
        <v>0.42189973614775728</v>
      </c>
      <c r="AE6" s="92">
        <v>0.42189973614775728</v>
      </c>
      <c r="AF6" s="110">
        <v>0.42189973614775728</v>
      </c>
      <c r="AG6" s="110">
        <v>0.42189973614775728</v>
      </c>
      <c r="AH6" s="174">
        <v>0</v>
      </c>
      <c r="AI6" s="278">
        <v>167500000</v>
      </c>
      <c r="AJ6" s="278">
        <v>167500000</v>
      </c>
      <c r="AK6" s="278">
        <v>159900000</v>
      </c>
      <c r="AL6" s="278">
        <v>159900000</v>
      </c>
      <c r="AM6" s="278">
        <v>159900000</v>
      </c>
      <c r="AN6" s="278">
        <v>159900000</v>
      </c>
      <c r="AO6" s="278">
        <v>159900000</v>
      </c>
      <c r="AP6" s="278">
        <v>159900000</v>
      </c>
      <c r="AQ6" s="281">
        <v>159900000</v>
      </c>
      <c r="AR6" s="281">
        <v>159900000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8.7647058823529411E-2</v>
      </c>
      <c r="N7" s="170">
        <v>14900000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7.6224274406332464</v>
      </c>
      <c r="U7" s="1"/>
      <c r="V7" s="116">
        <v>10</v>
      </c>
      <c r="W7" s="122">
        <v>0.57481481481481478</v>
      </c>
      <c r="X7" s="92">
        <v>0.21863636363636363</v>
      </c>
      <c r="Y7" s="92">
        <v>0.21863636363636363</v>
      </c>
      <c r="Z7" s="92">
        <v>0.18179419525065962</v>
      </c>
      <c r="AA7" s="92">
        <v>0.18179419525065962</v>
      </c>
      <c r="AB7" s="92">
        <v>0.18179419525065962</v>
      </c>
      <c r="AC7" s="92">
        <v>0.18179419525065962</v>
      </c>
      <c r="AD7" s="92">
        <v>0.18179419525065962</v>
      </c>
      <c r="AE7" s="92">
        <v>0.18179419525065962</v>
      </c>
      <c r="AF7" s="110">
        <v>0.18179419525065962</v>
      </c>
      <c r="AG7" s="110">
        <v>0.18179419525065962</v>
      </c>
      <c r="AH7" s="174">
        <v>155200000</v>
      </c>
      <c r="AI7" s="278">
        <v>96200000</v>
      </c>
      <c r="AJ7" s="278">
        <v>96200000</v>
      </c>
      <c r="AK7" s="278">
        <v>68900000</v>
      </c>
      <c r="AL7" s="278">
        <v>68900000</v>
      </c>
      <c r="AM7" s="278">
        <v>68900000</v>
      </c>
      <c r="AN7" s="278">
        <v>68900000</v>
      </c>
      <c r="AO7" s="278">
        <v>68900000</v>
      </c>
      <c r="AP7" s="278">
        <v>68900000</v>
      </c>
      <c r="AQ7" s="281">
        <v>68900000</v>
      </c>
      <c r="AR7" s="281">
        <v>68900000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7.4705882352941178E-2</v>
      </c>
      <c r="N8" s="170">
        <v>12700000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7.6224274406332464</v>
      </c>
      <c r="U8" s="1"/>
      <c r="V8" s="116">
        <v>15</v>
      </c>
      <c r="W8" s="122">
        <v>0.31148148148148147</v>
      </c>
      <c r="X8" s="92">
        <v>0.11863636363636364</v>
      </c>
      <c r="Y8" s="92">
        <v>0.11863636363636364</v>
      </c>
      <c r="Z8" s="92">
        <v>7.3087071240105536E-2</v>
      </c>
      <c r="AA8" s="92">
        <v>7.3087071240105536E-2</v>
      </c>
      <c r="AB8" s="92">
        <v>7.3087071240105536E-2</v>
      </c>
      <c r="AC8" s="92">
        <v>7.3087071240105536E-2</v>
      </c>
      <c r="AD8" s="92">
        <v>7.3087071240105536E-2</v>
      </c>
      <c r="AE8" s="92">
        <v>7.3087071240105536E-2</v>
      </c>
      <c r="AF8" s="110">
        <v>7.3087071240105536E-2</v>
      </c>
      <c r="AG8" s="110">
        <v>7.3087071240105536E-2</v>
      </c>
      <c r="AH8" s="174">
        <v>84100000</v>
      </c>
      <c r="AI8" s="278">
        <v>52200000</v>
      </c>
      <c r="AJ8" s="278">
        <v>52200000</v>
      </c>
      <c r="AK8" s="278">
        <v>27700000</v>
      </c>
      <c r="AL8" s="278">
        <v>27700000</v>
      </c>
      <c r="AM8" s="278">
        <v>27700000</v>
      </c>
      <c r="AN8" s="278">
        <v>27700000</v>
      </c>
      <c r="AO8" s="278">
        <v>27700000</v>
      </c>
      <c r="AP8" s="278">
        <v>27700000</v>
      </c>
      <c r="AQ8" s="281">
        <v>27700000</v>
      </c>
      <c r="AR8" s="281">
        <v>27700000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6.6470588235294115E-2</v>
      </c>
      <c r="N9" s="170">
        <v>11300000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7.6224274406332464</v>
      </c>
      <c r="U9" s="1"/>
      <c r="V9" s="116">
        <v>20</v>
      </c>
      <c r="W9" s="122">
        <v>5.7777777777777775E-2</v>
      </c>
      <c r="X9" s="92">
        <v>2.2045454545454545E-2</v>
      </c>
      <c r="Y9" s="92">
        <v>2.2045454545454545E-2</v>
      </c>
      <c r="Z9" s="92">
        <v>3.4828496042216356E-2</v>
      </c>
      <c r="AA9" s="92">
        <v>3.4828496042216356E-2</v>
      </c>
      <c r="AB9" s="92">
        <v>3.4828496042216356E-2</v>
      </c>
      <c r="AC9" s="92">
        <v>3.4828496042216356E-2</v>
      </c>
      <c r="AD9" s="92">
        <v>3.4828496042216356E-2</v>
      </c>
      <c r="AE9" s="92">
        <v>3.4828496042216356E-2</v>
      </c>
      <c r="AF9" s="110">
        <v>3.4828496042216356E-2</v>
      </c>
      <c r="AG9" s="110">
        <v>3.4828496042216356E-2</v>
      </c>
      <c r="AH9" s="174">
        <v>15600000</v>
      </c>
      <c r="AI9" s="278">
        <v>9700000</v>
      </c>
      <c r="AJ9" s="278">
        <v>9700000</v>
      </c>
      <c r="AK9" s="278">
        <v>13200000</v>
      </c>
      <c r="AL9" s="278">
        <v>13200000</v>
      </c>
      <c r="AM9" s="278">
        <v>13200000</v>
      </c>
      <c r="AN9" s="278">
        <v>13200000</v>
      </c>
      <c r="AO9" s="278">
        <v>13200000</v>
      </c>
      <c r="AP9" s="278">
        <v>13200000</v>
      </c>
      <c r="AQ9" s="281">
        <v>13200000</v>
      </c>
      <c r="AR9" s="281">
        <v>13200000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2.0588235294117647E-2</v>
      </c>
      <c r="N10" s="170">
        <v>3500000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7.6224274406332464</v>
      </c>
      <c r="U10" s="1"/>
      <c r="V10" s="116">
        <v>25</v>
      </c>
      <c r="W10" s="122">
        <v>3.111111111111111E-2</v>
      </c>
      <c r="X10" s="92">
        <v>1.1818181818181818E-2</v>
      </c>
      <c r="Y10" s="92">
        <v>1.1818181818181818E-2</v>
      </c>
      <c r="Z10" s="92">
        <v>1.3192612137203167E-2</v>
      </c>
      <c r="AA10" s="92">
        <v>1.3192612137203167E-2</v>
      </c>
      <c r="AB10" s="92">
        <v>1.3192612137203167E-2</v>
      </c>
      <c r="AC10" s="92">
        <v>1.3192612137203167E-2</v>
      </c>
      <c r="AD10" s="92">
        <v>1.3192612137203167E-2</v>
      </c>
      <c r="AE10" s="92">
        <v>1.3192612137203167E-2</v>
      </c>
      <c r="AF10" s="110">
        <v>1.3192612137203167E-2</v>
      </c>
      <c r="AG10" s="110">
        <v>1.3192612137203167E-2</v>
      </c>
      <c r="AH10" s="174">
        <v>8400000</v>
      </c>
      <c r="AI10" s="278">
        <v>5200000</v>
      </c>
      <c r="AJ10" s="278">
        <v>5200000</v>
      </c>
      <c r="AK10" s="278">
        <v>5000000</v>
      </c>
      <c r="AL10" s="278">
        <v>5000000</v>
      </c>
      <c r="AM10" s="278">
        <v>5000000</v>
      </c>
      <c r="AN10" s="278">
        <v>5000000</v>
      </c>
      <c r="AO10" s="278">
        <v>5000000</v>
      </c>
      <c r="AP10" s="278">
        <v>5000000</v>
      </c>
      <c r="AQ10" s="281">
        <v>5000000</v>
      </c>
      <c r="AR10" s="281">
        <v>5000000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1.5294117647058824E-2</v>
      </c>
      <c r="N11" s="170">
        <v>2600000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7.6224274406332464</v>
      </c>
      <c r="U11" s="1"/>
      <c r="V11" s="116">
        <v>50</v>
      </c>
      <c r="W11" s="122">
        <v>1.7777777777777778E-2</v>
      </c>
      <c r="X11" s="92">
        <v>6.8181818181818179E-3</v>
      </c>
      <c r="Y11" s="92">
        <v>6.8181818181818179E-3</v>
      </c>
      <c r="Z11" s="92">
        <v>7.6517150395778366E-3</v>
      </c>
      <c r="AA11" s="92">
        <v>7.6517150395778366E-3</v>
      </c>
      <c r="AB11" s="92">
        <v>7.6517150395778366E-3</v>
      </c>
      <c r="AC11" s="92">
        <v>7.6517150395778366E-3</v>
      </c>
      <c r="AD11" s="92">
        <v>7.6517150395778366E-3</v>
      </c>
      <c r="AE11" s="92">
        <v>7.6517150395778366E-3</v>
      </c>
      <c r="AF11" s="110">
        <v>7.6517150395778366E-3</v>
      </c>
      <c r="AG11" s="110">
        <v>7.6517150395778366E-3</v>
      </c>
      <c r="AH11" s="174">
        <v>4800000</v>
      </c>
      <c r="AI11" s="278">
        <v>3000000</v>
      </c>
      <c r="AJ11" s="278">
        <v>3000000</v>
      </c>
      <c r="AK11" s="278">
        <v>2900000</v>
      </c>
      <c r="AL11" s="278">
        <v>2900000</v>
      </c>
      <c r="AM11" s="278">
        <v>2900000</v>
      </c>
      <c r="AN11" s="278">
        <v>2900000</v>
      </c>
      <c r="AO11" s="278">
        <v>2900000</v>
      </c>
      <c r="AP11" s="278">
        <v>2900000</v>
      </c>
      <c r="AQ11" s="281">
        <v>2900000</v>
      </c>
      <c r="AR11" s="281">
        <v>2900000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1.1764705882352941E-2</v>
      </c>
      <c r="N12" s="170">
        <v>2000000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7.6224274406332464</v>
      </c>
      <c r="U12" s="1"/>
      <c r="V12" s="116">
        <v>100</v>
      </c>
      <c r="W12" s="122">
        <v>6.2962962962962964E-3</v>
      </c>
      <c r="X12" s="92">
        <v>2.5000000000000001E-3</v>
      </c>
      <c r="Y12" s="92">
        <v>2.5000000000000001E-3</v>
      </c>
      <c r="Z12" s="92">
        <v>2.6385224274406332E-3</v>
      </c>
      <c r="AA12" s="92">
        <v>2.6385224274406332E-3</v>
      </c>
      <c r="AB12" s="92">
        <v>2.6385224274406332E-3</v>
      </c>
      <c r="AC12" s="92">
        <v>2.6385224274406332E-3</v>
      </c>
      <c r="AD12" s="92">
        <v>2.6385224274406332E-3</v>
      </c>
      <c r="AE12" s="92">
        <v>2.6385224274406332E-3</v>
      </c>
      <c r="AF12" s="110">
        <v>2.6385224274406332E-3</v>
      </c>
      <c r="AG12" s="110">
        <v>2.6385224274406332E-3</v>
      </c>
      <c r="AH12" s="174">
        <v>1700000</v>
      </c>
      <c r="AI12" s="278">
        <v>1100000</v>
      </c>
      <c r="AJ12" s="278">
        <v>1100000</v>
      </c>
      <c r="AK12" s="278">
        <v>1000000</v>
      </c>
      <c r="AL12" s="278">
        <v>1000000</v>
      </c>
      <c r="AM12" s="278">
        <v>1000000</v>
      </c>
      <c r="AN12" s="278">
        <v>1000000</v>
      </c>
      <c r="AO12" s="278">
        <v>1000000</v>
      </c>
      <c r="AP12" s="278">
        <v>1000000</v>
      </c>
      <c r="AQ12" s="281">
        <v>1000000</v>
      </c>
      <c r="AR12" s="281">
        <v>1000000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5.8823529411764705E-3</v>
      </c>
      <c r="N13" s="170">
        <v>1000000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7.6224274406332464</v>
      </c>
      <c r="U13" s="1"/>
      <c r="V13" s="117">
        <v>500</v>
      </c>
      <c r="W13" s="123">
        <v>7.407407407407407E-4</v>
      </c>
      <c r="X13" s="112">
        <v>2.2727272727272727E-4</v>
      </c>
      <c r="Y13" s="112">
        <v>2.2727272727272727E-4</v>
      </c>
      <c r="Z13" s="112">
        <v>2.6385224274406332E-4</v>
      </c>
      <c r="AA13" s="112">
        <v>2.6385224274406332E-4</v>
      </c>
      <c r="AB13" s="112">
        <v>2.6385224274406332E-4</v>
      </c>
      <c r="AC13" s="112">
        <v>2.6385224274406332E-4</v>
      </c>
      <c r="AD13" s="112">
        <v>2.6385224274406332E-4</v>
      </c>
      <c r="AE13" s="112">
        <v>2.6385224274406332E-4</v>
      </c>
      <c r="AF13" s="113">
        <v>2.6385224274406332E-4</v>
      </c>
      <c r="AG13" s="113">
        <v>2.6385224274406332E-4</v>
      </c>
      <c r="AH13" s="175">
        <v>200000</v>
      </c>
      <c r="AI13" s="279">
        <v>100000</v>
      </c>
      <c r="AJ13" s="279">
        <v>100000</v>
      </c>
      <c r="AK13" s="279">
        <v>100000</v>
      </c>
      <c r="AL13" s="279">
        <v>100000</v>
      </c>
      <c r="AM13" s="279">
        <v>100000</v>
      </c>
      <c r="AN13" s="279">
        <v>100000</v>
      </c>
      <c r="AO13" s="279">
        <v>100000</v>
      </c>
      <c r="AP13" s="279">
        <v>100000</v>
      </c>
      <c r="AQ13" s="282">
        <v>100000</v>
      </c>
      <c r="AR13" s="282">
        <v>100000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55.856560625129688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33.726052503732156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14.242592592592594</v>
      </c>
      <c r="X15" s="93">
        <f t="shared" si="3"/>
        <v>8.026136363636363</v>
      </c>
      <c r="Y15" s="93">
        <f t="shared" si="3"/>
        <v>8.026136363636363</v>
      </c>
      <c r="Z15" s="93">
        <f t="shared" si="3"/>
        <v>7.6224274406332464</v>
      </c>
      <c r="AA15" s="93">
        <f t="shared" si="3"/>
        <v>7.6224274406332464</v>
      </c>
      <c r="AB15" s="93">
        <f t="shared" si="3"/>
        <v>7.6224274406332464</v>
      </c>
      <c r="AC15" s="93">
        <f t="shared" si="3"/>
        <v>7.6224274406332464</v>
      </c>
      <c r="AD15" s="93">
        <f t="shared" si="3"/>
        <v>7.6224274406332464</v>
      </c>
      <c r="AE15" s="93">
        <f t="shared" si="3"/>
        <v>7.6224274406332464</v>
      </c>
      <c r="AF15" s="93">
        <f t="shared" si="3"/>
        <v>7.6224274406332464</v>
      </c>
      <c r="AG15" s="93">
        <f t="shared" si="3"/>
        <v>7.6224274406332464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55.856560625129688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1.0396634201786966E-2</v>
      </c>
      <c r="N21" s="288">
        <f>$O$15</f>
        <v>33.726052503732156</v>
      </c>
      <c r="O21" s="186" cm="1">
        <f t="array" aca="1" ref="O21:O25" ca="1">M21:M25*N21:N25</f>
        <v>0.35063743095156463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1.0396634201786966E-2</v>
      </c>
      <c r="N22" s="290">
        <f>$O$15+1*$O$15*_xlfn.BINOM.DIST(1,1,$I$4,FALSE)</f>
        <v>52.865587299600151</v>
      </c>
      <c r="O22" s="189">
        <f ca="1"/>
        <v>0.54962417301657751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1.0396634201786966E-2</v>
      </c>
      <c r="N23" s="290">
        <f>$O$15+1*$O$15*_xlfn.BINOM.DIST(1,2,$I$4,FALSE)+2*$O$15*_xlfn.BINOM.DIST(2,2,$I$4,FALSE)</f>
        <v>72.005122095468153</v>
      </c>
      <c r="O23" s="189">
        <f ca="1"/>
        <v>0.7486109150815905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1.0396634201786966E-2</v>
      </c>
      <c r="N24" s="290">
        <f>$O$15+1*$O$15*_xlfn.BINOM.DIST(1,3,$I$4,FALSE)+2*$O$15*_xlfn.BINOM.DIST(2,3,$I$4,FALSE)+3*$O$15*_xlfn.BINOM.DIST(3,3,$I$4,FALSE)</f>
        <v>91.144656891336155</v>
      </c>
      <c r="O24" s="189">
        <f ca="1"/>
        <v>0.94759765714660349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3.3048615501662048E-4</v>
      </c>
      <c r="J25" s="45">
        <f t="shared" ref="J25:J32" ca="1" si="7">F25/C$11</f>
        <v>1.6524307750831024E-2</v>
      </c>
      <c r="K25" s="34"/>
      <c r="L25" s="68" t="s">
        <v>281</v>
      </c>
      <c r="M25" s="291">
        <f t="shared" ca="1" si="4"/>
        <v>1.0396634201786966E-2</v>
      </c>
      <c r="N25" s="292">
        <f>$O$15+1*$O$15*_xlfn.BINOM.DIST(1,4,$I$4,FALSE)+2*$O$15*_xlfn.BINOM.DIST(2,4,$I$4,FALSE)+3*$O$15*_xlfn.BINOM.DIST(3,4,$I$4,FALSE)+4*$O$15*_xlfn.BINOM.DIST(4,4,$I$4,FALSE)</f>
        <v>110.28419168720414</v>
      </c>
      <c r="O25" s="192">
        <f ca="1"/>
        <v>1.1465843992116163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3.1886747829479621E-4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2.8634594881431935E-4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2.222365026054839E-4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3.4299665272923495E-4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2.2485860592231466E-4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1.4188223024246604E-4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6.6671258483207277E-5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4.0637702705002328E-4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3.3287341053658348E-4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3.3322410630077631E-4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2.4572171024516174E-4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3.6708112373066385E-4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1.7721492489336909E-4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1.7692362512666509E-4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7.7937301281663486E-5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3.7923883517510724E-4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3.1783535851601455E-4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2.8896992348264011E-4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2.5223960120830479E-4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3.0397419968782746E-4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2.3089071865168293E-4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1.782854265018422E-4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7.1085029471978909E-5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3.7923883517510724E-4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3.6355769379238615E-4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3.2593982631513467E-4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2.2341719215391252E-4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4.1360370489926696E-4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2.3881355914177926E-4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1.2216964937368337E-4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6.510877284245987E-5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19.888755997703353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2.599158550446741E-2</v>
      </c>
      <c r="N21" s="288">
        <f>$O$15</f>
        <v>108.57529814106596</v>
      </c>
      <c r="O21" s="186" cm="1">
        <f t="array" aca="1" ref="O21:O25" ca="1">M21:M25*N21:N25</f>
        <v>2.8220441453065574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2.599158550446741E-2</v>
      </c>
      <c r="N22" s="290">
        <f>$O$15+1*$O$15*_xlfn.BINOM.DIST(1,1,$I$4,FALSE)</f>
        <v>130.80762894742386</v>
      </c>
      <c r="O22" s="189">
        <f ca="1"/>
        <v>3.3998976724236138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2.599158550446741E-2</v>
      </c>
      <c r="N23" s="290">
        <f>$O$15+1*$O$15*_xlfn.BINOM.DIST(1,2,$I$4,FALSE)+2*$O$15*_xlfn.BINOM.DIST(2,2,$I$4,FALSE)</f>
        <v>153.03995975378177</v>
      </c>
      <c r="O23" s="189">
        <f ca="1"/>
        <v>3.9777511995406702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4.5556047266577284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281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5.1334582537747826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33.793115760067892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2.599158550446741E-2</v>
      </c>
      <c r="N21" s="288">
        <f>$O$15</f>
        <v>184.48100118421755</v>
      </c>
      <c r="O21" s="186" cm="1">
        <f t="array" aca="1" ref="O21:O25" ca="1">M21:M25*N21:N25</f>
        <v>4.7949537162293439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2.599158550446741E-2</v>
      </c>
      <c r="N22" s="290">
        <f>$O$15+1*$O$15*_xlfn.BINOM.DIST(1,1,$I$4,FALSE)</f>
        <v>222.25610027247288</v>
      </c>
      <c r="O22" s="189">
        <f ca="1"/>
        <v>5.7767884341214613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2.599158550446741E-2</v>
      </c>
      <c r="N23" s="290">
        <f>$O$15+1*$O$15*_xlfn.BINOM.DIST(1,2,$I$4,FALSE)+2*$O$15*_xlfn.BINOM.DIST(2,2,$I$4,FALSE)</f>
        <v>260.03119936072818</v>
      </c>
      <c r="O23" s="189">
        <f ca="1"/>
        <v>6.7586231520135778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7.740457869905697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281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8.7222925877978117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7.0066943814847335E-2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6.4653886116723385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0.23355647938282445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8.6325365241464844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23976978049206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23976978049206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23976978049206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23976978049206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23976978049206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2026-10-19T06:39:38Z</dcterms:modified>
</cp:coreProperties>
</file>