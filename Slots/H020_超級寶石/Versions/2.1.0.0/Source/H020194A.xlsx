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Versions\2.1.0.0\Source\"/>
    </mc:Choice>
  </mc:AlternateContent>
  <xr:revisionPtr revIDLastSave="0" documentId="13_ncr:1_{64BBC72C-ECB0-4989-9886-94DAE0A1A922}" xr6:coauthVersionLast="47" xr6:coauthVersionMax="47" xr10:uidLastSave="{00000000-0000-0000-0000-000000000000}"/>
  <bookViews>
    <workbookView xWindow="-108" yWindow="-108" windowWidth="23256" windowHeight="12456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P229" i="28" a="1"/>
  <c r="P229" i="28" s="1"/>
  <c r="E218" i="32" l="1"/>
  <c r="E239" i="32"/>
  <c r="E220" i="32"/>
  <c r="E201" i="32"/>
  <c r="E241" i="32"/>
  <c r="E222" i="32"/>
  <c r="E203" i="32"/>
  <c r="E243" i="32"/>
  <c r="E224" i="32"/>
  <c r="E205" i="32"/>
  <c r="E245" i="32"/>
  <c r="E226" i="32"/>
  <c r="E207" i="32"/>
  <c r="E247" i="32"/>
  <c r="E228" i="32"/>
  <c r="E248" i="32"/>
  <c r="E229" i="32"/>
  <c r="E210" i="32"/>
  <c r="E250" i="32"/>
  <c r="E231" i="32"/>
  <c r="E212" i="32"/>
  <c r="E252" i="32"/>
  <c r="E213" i="32"/>
  <c r="E233" i="32"/>
  <c r="E253" i="32"/>
  <c r="E216" i="32"/>
  <c r="E236" i="32"/>
  <c r="E256" i="32"/>
  <c r="E217" i="32"/>
  <c r="E237" i="32"/>
  <c r="E238" i="32"/>
  <c r="E219" i="32"/>
  <c r="E200" i="32"/>
  <c r="E240" i="32"/>
  <c r="E221" i="32"/>
  <c r="E202" i="32"/>
  <c r="E242" i="32"/>
  <c r="E223" i="32"/>
  <c r="E204" i="32"/>
  <c r="E244" i="32"/>
  <c r="E225" i="32"/>
  <c r="E206" i="32"/>
  <c r="E246" i="32"/>
  <c r="E227" i="32"/>
  <c r="E208" i="32"/>
  <c r="E209" i="32"/>
  <c r="E249" i="32"/>
  <c r="E230" i="32"/>
  <c r="E211" i="32"/>
  <c r="E251" i="32"/>
  <c r="E232" i="32"/>
  <c r="E214" i="32"/>
  <c r="E234" i="32"/>
  <c r="E254" i="32"/>
  <c r="E215" i="32"/>
  <c r="E235" i="32"/>
  <c r="E255" i="32"/>
  <c r="F199" i="32" a="1"/>
  <c r="F199" i="32" s="1"/>
  <c r="J199" i="32" s="1" a="1"/>
  <c r="J199" i="32" s="1"/>
  <c r="L199" i="32" s="1" a="1"/>
  <c r="L199" i="32" s="1"/>
  <c r="E199" i="32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I117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M4" i="39" l="1" a="1"/>
  <c r="M4" i="39" s="1"/>
  <c r="N4" i="39" s="1" a="1"/>
  <c r="N65" i="39" s="1"/>
  <c r="G199" i="32" a="1"/>
  <c r="G199" i="32" s="1"/>
  <c r="I93" i="39"/>
  <c r="I70" i="39"/>
  <c r="I125" i="39"/>
  <c r="I77" i="39"/>
  <c r="I85" i="39"/>
  <c r="I109" i="39"/>
  <c r="E219" i="38"/>
  <c r="E221" i="38"/>
  <c r="E203" i="38"/>
  <c r="E205" i="38"/>
  <c r="E220" i="38"/>
  <c r="E224" i="38"/>
  <c r="E230" i="39"/>
  <c r="E239" i="38"/>
  <c r="E238" i="39"/>
  <c r="Q4" i="39" a="1"/>
  <c r="Q4" i="39" s="1"/>
  <c r="P3" i="39" s="1"/>
  <c r="R4" i="39" s="1" a="1"/>
  <c r="R4" i="39" s="1"/>
  <c r="I101" i="39"/>
  <c r="E211" i="38"/>
  <c r="E213" i="38"/>
  <c r="I93" i="38"/>
  <c r="E225" i="39"/>
  <c r="E225" i="38"/>
  <c r="E231" i="39"/>
  <c r="E239" i="39"/>
  <c r="Q69" i="39" a="1"/>
  <c r="Q69" i="39" s="1"/>
  <c r="P68" i="39" s="1"/>
  <c r="R69" i="39" s="1" a="1"/>
  <c r="R69" i="39" s="1"/>
  <c r="E253" i="39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T3" i="40" a="1"/>
  <c r="T3" i="40" s="1"/>
  <c r="T16" i="40" s="1" a="1"/>
  <c r="T16" i="40" s="1"/>
  <c r="O14" i="40" s="1"/>
  <c r="O15" i="40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4" i="39" l="1"/>
  <c r="Q134" i="39" s="1" a="1"/>
  <c r="Q134" i="39" s="1"/>
  <c r="N64" i="39"/>
  <c r="S5" i="39" a="1"/>
  <c r="S5" i="39" s="1"/>
  <c r="S70" i="39" a="1"/>
  <c r="S70" i="39" s="1"/>
  <c r="O64" i="39" a="1"/>
  <c r="O64" i="39" s="1"/>
  <c r="L199" i="38" a="1"/>
  <c r="L199" i="38" s="1"/>
  <c r="M199" i="38" s="1" a="1"/>
  <c r="M199" i="38" s="1"/>
  <c r="N199" i="38" s="1" a="1"/>
  <c r="U224" i="38" s="1"/>
  <c r="E199" i="38"/>
  <c r="G199" i="38" s="1" a="1"/>
  <c r="G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E199" i="39"/>
  <c r="G199" i="39" s="1" a="1"/>
  <c r="G199" i="39" s="1"/>
  <c r="R3" i="39"/>
  <c r="S4" i="39"/>
  <c r="T4" i="39" s="1" a="1"/>
  <c r="T4" i="39" s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T3" i="37" a="1"/>
  <c r="T3" i="37" s="1"/>
  <c r="T16" i="37" s="1" a="1"/>
  <c r="T16" i="37" s="1"/>
  <c r="O14" i="37" s="1"/>
  <c r="O15" i="37" s="1"/>
  <c r="AG206" i="1"/>
  <c r="AK206" i="1"/>
  <c r="AK207" i="1"/>
  <c r="O4" i="39" l="1" a="1"/>
  <c r="O64" i="38" a="1"/>
  <c r="O64" i="38" s="1"/>
  <c r="O194" i="39" a="1"/>
  <c r="O194" i="39" s="1"/>
  <c r="N257" i="38"/>
  <c r="N260" i="38" s="1"/>
  <c r="U225" i="38"/>
  <c r="N259" i="38"/>
  <c r="O259" i="38" s="1" a="1"/>
  <c r="O259" i="38" s="1"/>
  <c r="U227" i="38"/>
  <c r="U228" i="38"/>
  <c r="N199" i="38"/>
  <c r="U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V223" i="38" l="1" a="1"/>
  <c r="V223" i="38" s="1"/>
  <c r="O199" i="38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M69" i="36" l="1" a="1"/>
  <c r="M69" i="36" s="1"/>
  <c r="N69" i="36" s="1" a="1"/>
  <c r="N69" i="36" s="1"/>
  <c r="Q4" i="36" a="1"/>
  <c r="Q4" i="36" s="1"/>
  <c r="P3" i="36" s="1"/>
  <c r="R4" i="36" s="1" a="1"/>
  <c r="R4" i="36" s="1"/>
  <c r="I84" i="36"/>
  <c r="Q69" i="36" a="1"/>
  <c r="Q69" i="36" s="1"/>
  <c r="P68" i="36" s="1"/>
  <c r="R69" i="36" s="1" a="1"/>
  <c r="I108" i="36"/>
  <c r="I92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I122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S5" i="36" l="1" a="1"/>
  <c r="S5" i="36" s="1"/>
  <c r="N129" i="36"/>
  <c r="N130" i="36"/>
  <c r="I107" i="34"/>
  <c r="I75" i="34"/>
  <c r="I123" i="34"/>
  <c r="I83" i="34"/>
  <c r="I84" i="34"/>
  <c r="I99" i="34"/>
  <c r="I73" i="34"/>
  <c r="I74" i="34"/>
  <c r="I89" i="34"/>
  <c r="I97" i="34"/>
  <c r="I114" i="34"/>
  <c r="I76" i="34"/>
  <c r="I90" i="34"/>
  <c r="I105" i="34"/>
  <c r="I81" i="34"/>
  <c r="I82" i="34"/>
  <c r="I98" i="34"/>
  <c r="I113" i="34"/>
  <c r="I115" i="34"/>
  <c r="I91" i="34"/>
  <c r="I106" i="34"/>
  <c r="I121" i="34"/>
  <c r="G69" i="34" a="1"/>
  <c r="G69" i="34" s="1"/>
  <c r="J69" i="34" a="1"/>
  <c r="J69" i="34" s="1"/>
  <c r="L69" i="34" s="1" a="1"/>
  <c r="L69" i="34" s="1"/>
  <c r="M69" i="34" s="1" a="1"/>
  <c r="M69" i="34" s="1"/>
  <c r="N69" i="34" s="1" a="1"/>
  <c r="N130" i="34" s="1"/>
  <c r="E209" i="34"/>
  <c r="E210" i="34"/>
  <c r="E217" i="34"/>
  <c r="E218" i="34"/>
  <c r="E242" i="34"/>
  <c r="E243" i="34"/>
  <c r="E244" i="34"/>
  <c r="Q4" i="34" a="1"/>
  <c r="Q4" i="34" s="1"/>
  <c r="P3" i="34" s="1"/>
  <c r="R4" i="34" s="1" a="1"/>
  <c r="S5" i="34" s="1" a="1"/>
  <c r="S5" i="34" s="1"/>
  <c r="E208" i="34"/>
  <c r="O129" i="36" a="1"/>
  <c r="O129" i="36" s="1"/>
  <c r="E216" i="34"/>
  <c r="E250" i="34"/>
  <c r="Q69" i="34" a="1"/>
  <c r="Q69" i="34" s="1"/>
  <c r="P68" i="34" s="1"/>
  <c r="R69" i="34" s="1" a="1"/>
  <c r="R69" i="34" s="1"/>
  <c r="E251" i="34"/>
  <c r="E227" i="34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 s="1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O129" i="34" s="1" a="1"/>
  <c r="O129" i="34" s="1"/>
  <c r="N69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R4" i="34" l="1"/>
  <c r="R3" i="34" s="1"/>
  <c r="S4" i="34" s="1"/>
  <c r="T4" i="34" s="1" a="1"/>
  <c r="T4" i="34" s="1"/>
  <c r="S70" i="34" a="1"/>
  <c r="S70" i="34" s="1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A134" i="34" a="1"/>
  <c r="I69" i="34"/>
  <c r="H69" i="34" a="1"/>
  <c r="H69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T69" i="34" l="1" a="1"/>
  <c r="T69" i="34" s="1"/>
  <c r="O194" i="34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I124" i="28" l="1"/>
  <c r="I125" i="28"/>
  <c r="I126" i="28"/>
  <c r="N257" i="32"/>
  <c r="N199" i="32"/>
  <c r="O199" i="32" s="1" a="1"/>
  <c r="G4" i="28" a="1"/>
  <c r="G4" i="28" s="1"/>
  <c r="I121" i="28"/>
  <c r="A134" i="28" a="1"/>
  <c r="A134" i="28" s="1"/>
  <c r="A199" i="28" s="1" a="1"/>
  <c r="I254" i="28" s="1"/>
  <c r="I122" i="28"/>
  <c r="I123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E116" i="32"/>
  <c r="E71" i="32"/>
  <c r="E90" i="32"/>
  <c r="E110" i="32"/>
  <c r="E120" i="32"/>
  <c r="E81" i="32"/>
  <c r="E111" i="32"/>
  <c r="E122" i="32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I186" i="28" l="1"/>
  <c r="O257" i="32"/>
  <c r="O199" i="32"/>
  <c r="O197" i="32" s="1"/>
  <c r="I253" i="28"/>
  <c r="I187" i="28"/>
  <c r="I191" i="28"/>
  <c r="A134" i="32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I247" i="32" l="1"/>
  <c r="I231" i="32"/>
  <c r="I228" i="32"/>
  <c r="I239" i="32"/>
  <c r="I213" i="32"/>
  <c r="I221" i="32"/>
  <c r="I240" i="32"/>
  <c r="I241" i="32"/>
  <c r="I234" i="32"/>
  <c r="I222" i="32"/>
  <c r="I243" i="32"/>
  <c r="I244" i="32"/>
  <c r="I206" i="32"/>
  <c r="I207" i="32"/>
  <c r="I254" i="32"/>
  <c r="I205" i="32"/>
  <c r="I226" i="32"/>
  <c r="I227" i="32"/>
  <c r="I235" i="32"/>
  <c r="I256" i="32"/>
  <c r="I245" i="32"/>
  <c r="I208" i="32"/>
  <c r="A199" i="32"/>
  <c r="I199" i="32" s="1"/>
  <c r="I202" i="32"/>
  <c r="I229" i="32"/>
  <c r="I249" i="32"/>
  <c r="I223" i="32"/>
  <c r="I203" i="32"/>
  <c r="I210" i="32"/>
  <c r="I238" i="32"/>
  <c r="I253" i="32"/>
  <c r="I250" i="32"/>
  <c r="I248" i="32"/>
  <c r="I215" i="32"/>
  <c r="I237" i="32"/>
  <c r="I225" i="32"/>
  <c r="I255" i="32"/>
  <c r="I209" i="32"/>
  <c r="I232" i="32"/>
  <c r="I230" i="32"/>
  <c r="I200" i="32"/>
  <c r="I233" i="32"/>
  <c r="I251" i="32"/>
  <c r="I211" i="32"/>
  <c r="I224" i="32"/>
  <c r="I242" i="32"/>
  <c r="I212" i="32"/>
  <c r="I252" i="32"/>
  <c r="I218" i="32"/>
  <c r="I204" i="32"/>
  <c r="I201" i="32"/>
  <c r="I219" i="32"/>
  <c r="I214" i="32"/>
  <c r="I220" i="32"/>
  <c r="I216" i="32"/>
  <c r="I217" i="32"/>
  <c r="I236" i="32"/>
  <c r="I246" i="32"/>
  <c r="O129" i="32" a="1"/>
  <c r="O129" i="32" s="1"/>
  <c r="I134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Q4" i="30" a="1"/>
  <c r="Q4" i="30" s="1"/>
  <c r="P3" i="30" s="1"/>
  <c r="R4" i="30" s="1" a="1"/>
  <c r="I63" i="30"/>
  <c r="A122" i="30" a="1"/>
  <c r="AC14" i="20"/>
  <c r="AC30" i="20"/>
  <c r="AC41" i="20"/>
  <c r="AC47" i="20"/>
  <c r="AC62" i="20"/>
  <c r="AC70" i="20"/>
  <c r="AC76" i="20"/>
  <c r="O4" i="30" l="1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71" i="1" l="1"/>
  <c r="C74" i="1"/>
  <c r="C49" i="1"/>
  <c r="C75" i="1"/>
  <c r="C77" i="1"/>
  <c r="C46" i="1"/>
  <c r="C72" i="1"/>
  <c r="C47" i="1"/>
  <c r="C73" i="1"/>
  <c r="C50" i="1"/>
  <c r="C20" i="24"/>
  <c r="C56" i="24"/>
  <c r="C45" i="1"/>
  <c r="C48" i="1"/>
  <c r="C76" i="1"/>
  <c r="O194" i="28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64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E16" i="24" l="1"/>
  <c r="C19" i="26"/>
  <c r="C55" i="26"/>
  <c r="C53" i="24"/>
  <c r="C17" i="24"/>
  <c r="C14" i="24"/>
  <c r="C50" i="24"/>
  <c r="C15" i="26"/>
  <c r="C51" i="26"/>
  <c r="C18" i="26"/>
  <c r="C54" i="26"/>
  <c r="C14" i="26"/>
  <c r="C50" i="26"/>
  <c r="J59" i="1"/>
  <c r="R34" i="1"/>
  <c r="C18" i="24"/>
  <c r="C54" i="24"/>
  <c r="C19" i="24"/>
  <c r="C55" i="24"/>
  <c r="C52" i="26"/>
  <c r="C16" i="26"/>
  <c r="C52" i="24"/>
  <c r="C16" i="24"/>
  <c r="C15" i="24"/>
  <c r="C51" i="24"/>
  <c r="C56" i="26"/>
  <c r="C20" i="26"/>
  <c r="C53" i="26"/>
  <c r="C17" i="26"/>
  <c r="E61" i="40"/>
  <c r="E13" i="40"/>
  <c r="E13" i="37"/>
  <c r="E61" i="37"/>
  <c r="E61" i="27"/>
  <c r="E13" i="27"/>
  <c r="E13" i="35"/>
  <c r="E61" i="35"/>
  <c r="E13" i="33"/>
  <c r="E61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C37" i="26" l="1"/>
  <c r="D102" i="1"/>
  <c r="D99" i="1"/>
  <c r="D101" i="1"/>
  <c r="D97" i="1"/>
  <c r="D103" i="1"/>
  <c r="D100" i="1"/>
  <c r="D98" i="1"/>
  <c r="C102" i="1"/>
  <c r="C99" i="1"/>
  <c r="C101" i="1"/>
  <c r="C97" i="1"/>
  <c r="C103" i="1"/>
  <c r="C100" i="1"/>
  <c r="C98" i="1"/>
  <c r="E14" i="40"/>
  <c r="E62" i="40"/>
  <c r="E14" i="37"/>
  <c r="E62" i="37"/>
  <c r="E62" i="27"/>
  <c r="E14" i="27"/>
  <c r="E14" i="35"/>
  <c r="E62" i="35"/>
  <c r="E62" i="33"/>
  <c r="E14" i="33"/>
  <c r="E66" i="40"/>
  <c r="E18" i="40"/>
  <c r="E18" i="37"/>
  <c r="E66" i="37"/>
  <c r="E18" i="27"/>
  <c r="E66" i="27"/>
  <c r="E66" i="35"/>
  <c r="E18" i="35"/>
  <c r="E66" i="33"/>
  <c r="E18" i="33"/>
  <c r="E68" i="40"/>
  <c r="E20" i="40"/>
  <c r="E68" i="37"/>
  <c r="E20" i="37"/>
  <c r="E20" i="27"/>
  <c r="E68" i="27"/>
  <c r="E20" i="35"/>
  <c r="E68" i="35"/>
  <c r="E20" i="33"/>
  <c r="E68" i="33"/>
  <c r="E63" i="40"/>
  <c r="E15" i="40"/>
  <c r="E15" i="37"/>
  <c r="E63" i="37"/>
  <c r="E63" i="27"/>
  <c r="E15" i="27"/>
  <c r="E15" i="35"/>
  <c r="E63" i="35"/>
  <c r="E15" i="33"/>
  <c r="E63" i="33"/>
  <c r="E17" i="40"/>
  <c r="E65" i="40"/>
  <c r="E17" i="37"/>
  <c r="E65" i="37"/>
  <c r="E17" i="27"/>
  <c r="E65" i="27"/>
  <c r="E17" i="35"/>
  <c r="E65" i="35"/>
  <c r="E65" i="33"/>
  <c r="E17" i="33"/>
  <c r="J24" i="1"/>
  <c r="C31" i="2" s="1"/>
  <c r="J50" i="1"/>
  <c r="C31" i="24" s="1"/>
  <c r="J75" i="1"/>
  <c r="C30" i="26" s="1"/>
  <c r="J74" i="1"/>
  <c r="C29" i="26" s="1"/>
  <c r="J47" i="1"/>
  <c r="C28" i="24" s="1"/>
  <c r="J72" i="1"/>
  <c r="C27" i="26" s="1"/>
  <c r="J46" i="1"/>
  <c r="C27" i="24" s="1"/>
  <c r="J49" i="1"/>
  <c r="C30" i="24" s="1"/>
  <c r="J48" i="1"/>
  <c r="C29" i="24" s="1"/>
  <c r="J73" i="1"/>
  <c r="C28" i="26" s="1"/>
  <c r="J71" i="1"/>
  <c r="C26" i="26" s="1"/>
  <c r="J45" i="1"/>
  <c r="C26" i="24" s="1"/>
  <c r="J76" i="1"/>
  <c r="C31" i="26" s="1"/>
  <c r="J51" i="1"/>
  <c r="C32" i="24" s="1"/>
  <c r="C39" i="26"/>
  <c r="Q21" i="1"/>
  <c r="C40" i="2" s="1"/>
  <c r="Q73" i="1"/>
  <c r="C64" i="26" s="1"/>
  <c r="Q45" i="1"/>
  <c r="C38" i="24" s="1"/>
  <c r="Q76" i="1"/>
  <c r="C67" i="26" s="1"/>
  <c r="Q48" i="1"/>
  <c r="C41" i="24" s="1"/>
  <c r="Q72" i="1"/>
  <c r="C63" i="26" s="1"/>
  <c r="Q46" i="1"/>
  <c r="C39" i="24" s="1"/>
  <c r="Q71" i="1"/>
  <c r="C62" i="26" s="1"/>
  <c r="Q74" i="1"/>
  <c r="C65" i="26" s="1"/>
  <c r="Q47" i="1"/>
  <c r="C40" i="24" s="1"/>
  <c r="Q50" i="1"/>
  <c r="C67" i="24" s="1"/>
  <c r="Q51" i="1"/>
  <c r="C68" i="24" s="1"/>
  <c r="Q75" i="1"/>
  <c r="C66" i="26" s="1"/>
  <c r="Q49" i="1"/>
  <c r="C66" i="24" s="1"/>
  <c r="E16" i="40"/>
  <c r="E64" i="40"/>
  <c r="E16" i="37"/>
  <c r="E64" i="37"/>
  <c r="E64" i="27"/>
  <c r="E16" i="27"/>
  <c r="E64" i="35"/>
  <c r="E16" i="35"/>
  <c r="E64" i="33"/>
  <c r="E16" i="33"/>
  <c r="E67" i="40"/>
  <c r="E19" i="40"/>
  <c r="E19" i="37"/>
  <c r="E67" i="37"/>
  <c r="E67" i="27"/>
  <c r="E19" i="27"/>
  <c r="E19" i="35"/>
  <c r="E67" i="35"/>
  <c r="E19" i="33"/>
  <c r="E67" i="33"/>
  <c r="C63" i="24"/>
  <c r="C64" i="24"/>
  <c r="Q77" i="1"/>
  <c r="C68" i="26" s="1"/>
  <c r="E37" i="24"/>
  <c r="S81" i="1"/>
  <c r="D13" i="40"/>
  <c r="D13" i="37"/>
  <c r="D13" i="27"/>
  <c r="D13" i="35"/>
  <c r="D13" i="33"/>
  <c r="C49" i="40"/>
  <c r="C13" i="40"/>
  <c r="C13" i="37"/>
  <c r="C49" i="37"/>
  <c r="C13" i="27"/>
  <c r="C49" i="27"/>
  <c r="C13" i="35"/>
  <c r="C49" i="35"/>
  <c r="C49" i="33"/>
  <c r="C13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K103" i="1" s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E55" i="27" s="1"/>
  <c r="S99" i="1"/>
  <c r="S101" i="1"/>
  <c r="S98" i="1"/>
  <c r="S100" i="1"/>
  <c r="L97" i="1"/>
  <c r="Q101" i="1"/>
  <c r="C66" i="40" s="1"/>
  <c r="Q103" i="1"/>
  <c r="C68" i="40" s="1"/>
  <c r="Q102" i="1"/>
  <c r="Q99" i="1"/>
  <c r="Q98" i="1"/>
  <c r="Q100" i="1"/>
  <c r="Q97" i="1"/>
  <c r="L100" i="1"/>
  <c r="L102" i="1"/>
  <c r="L99" i="1"/>
  <c r="L101" i="1"/>
  <c r="L98" i="1"/>
  <c r="L103" i="1"/>
  <c r="R103" i="1"/>
  <c r="D44" i="37" s="1"/>
  <c r="S97" i="1"/>
  <c r="E38" i="33" s="1"/>
  <c r="J97" i="1"/>
  <c r="J102" i="1"/>
  <c r="J99" i="1"/>
  <c r="J101" i="1"/>
  <c r="J98" i="1"/>
  <c r="J100" i="1"/>
  <c r="J103" i="1"/>
  <c r="C32" i="35" s="1"/>
  <c r="C40" i="26"/>
  <c r="R101" i="1"/>
  <c r="R102" i="1"/>
  <c r="K101" i="1"/>
  <c r="K102" i="1"/>
  <c r="R99" i="1"/>
  <c r="D40" i="33" s="1"/>
  <c r="R100" i="1"/>
  <c r="D41" i="37" s="1"/>
  <c r="K99" i="1"/>
  <c r="D64" i="27" s="1"/>
  <c r="K100" i="1"/>
  <c r="D65" i="37" s="1"/>
  <c r="R97" i="1"/>
  <c r="D38" i="35" s="1"/>
  <c r="R98" i="1"/>
  <c r="D39" i="35" s="1"/>
  <c r="K97" i="1"/>
  <c r="D50" i="27" s="1"/>
  <c r="K98" i="1"/>
  <c r="D27" i="27" s="1"/>
  <c r="E40" i="35"/>
  <c r="E54" i="35"/>
  <c r="E39" i="35"/>
  <c r="E53" i="27"/>
  <c r="E26" i="27"/>
  <c r="C38" i="26"/>
  <c r="C65" i="24"/>
  <c r="C41" i="26"/>
  <c r="D32" i="27"/>
  <c r="D43" i="35"/>
  <c r="D66" i="40"/>
  <c r="D67" i="40"/>
  <c r="D42" i="40"/>
  <c r="F13" i="40"/>
  <c r="C44" i="26"/>
  <c r="C42" i="24"/>
  <c r="C44" i="24"/>
  <c r="C42" i="26"/>
  <c r="D18" i="40"/>
  <c r="D18" i="37"/>
  <c r="D18" i="27"/>
  <c r="D18" i="35"/>
  <c r="D18" i="33"/>
  <c r="C54" i="40"/>
  <c r="C18" i="40"/>
  <c r="C18" i="37"/>
  <c r="C54" i="37"/>
  <c r="C54" i="27"/>
  <c r="C18" i="27"/>
  <c r="C18" i="35"/>
  <c r="C54" i="35"/>
  <c r="C18" i="33"/>
  <c r="C54" i="33"/>
  <c r="C65" i="2"/>
  <c r="C43" i="24"/>
  <c r="C43" i="26"/>
  <c r="D15" i="40"/>
  <c r="D15" i="37"/>
  <c r="D15" i="27"/>
  <c r="D15" i="35"/>
  <c r="D15" i="33"/>
  <c r="D19" i="40"/>
  <c r="D19" i="37"/>
  <c r="D19" i="27"/>
  <c r="D19" i="35"/>
  <c r="D19" i="33"/>
  <c r="C19" i="40"/>
  <c r="C55" i="40"/>
  <c r="C55" i="37"/>
  <c r="C19" i="37"/>
  <c r="C55" i="27"/>
  <c r="C19" i="27"/>
  <c r="C55" i="35"/>
  <c r="C19" i="35"/>
  <c r="C19" i="33"/>
  <c r="C55" i="33"/>
  <c r="D20" i="40"/>
  <c r="D20" i="37"/>
  <c r="D20" i="27"/>
  <c r="D20" i="35"/>
  <c r="D20" i="33"/>
  <c r="C56" i="40"/>
  <c r="C20" i="40"/>
  <c r="C20" i="37"/>
  <c r="C56" i="37"/>
  <c r="C56" i="27"/>
  <c r="C20" i="27"/>
  <c r="C20" i="35"/>
  <c r="C56" i="35"/>
  <c r="C20" i="33"/>
  <c r="C56" i="33"/>
  <c r="D14" i="40"/>
  <c r="D14" i="37"/>
  <c r="D14" i="27"/>
  <c r="D14" i="35"/>
  <c r="D14" i="33"/>
  <c r="C62" i="24"/>
  <c r="C64" i="2"/>
  <c r="C15" i="40"/>
  <c r="C51" i="40"/>
  <c r="C15" i="37"/>
  <c r="C51" i="37"/>
  <c r="C15" i="27"/>
  <c r="C51" i="27"/>
  <c r="C51" i="35"/>
  <c r="C15" i="35"/>
  <c r="C51" i="33"/>
  <c r="C15" i="33"/>
  <c r="D16" i="40"/>
  <c r="D16" i="37"/>
  <c r="D16" i="27"/>
  <c r="D16" i="35"/>
  <c r="D16" i="33"/>
  <c r="C52" i="40"/>
  <c r="C16" i="40"/>
  <c r="C52" i="37"/>
  <c r="C16" i="37"/>
  <c r="C16" i="27"/>
  <c r="C52" i="27"/>
  <c r="C52" i="35"/>
  <c r="C16" i="35"/>
  <c r="C16" i="33"/>
  <c r="C52" i="33"/>
  <c r="D17" i="40"/>
  <c r="D17" i="37"/>
  <c r="D17" i="27"/>
  <c r="D17" i="35"/>
  <c r="D17" i="33"/>
  <c r="C53" i="40"/>
  <c r="C17" i="40"/>
  <c r="C17" i="37"/>
  <c r="C53" i="37"/>
  <c r="C17" i="27"/>
  <c r="C53" i="27"/>
  <c r="C17" i="35"/>
  <c r="C53" i="35"/>
  <c r="C53" i="33"/>
  <c r="C17" i="33"/>
  <c r="C14" i="40"/>
  <c r="C50" i="40"/>
  <c r="C14" i="37"/>
  <c r="C50" i="37"/>
  <c r="C50" i="27"/>
  <c r="C14" i="27"/>
  <c r="C50" i="35"/>
  <c r="C14" i="35"/>
  <c r="C50" i="33"/>
  <c r="C14" i="33"/>
  <c r="F13" i="33"/>
  <c r="F13" i="37"/>
  <c r="F13" i="27"/>
  <c r="F13" i="35"/>
  <c r="E25" i="40"/>
  <c r="E25" i="37"/>
  <c r="E25" i="27"/>
  <c r="E49" i="40"/>
  <c r="E37" i="40"/>
  <c r="E37" i="37"/>
  <c r="E49" i="37"/>
  <c r="E37" i="27"/>
  <c r="E49" i="27"/>
  <c r="E37" i="35"/>
  <c r="E49" i="35"/>
  <c r="E37" i="33"/>
  <c r="E49" i="33"/>
  <c r="C37" i="40"/>
  <c r="C61" i="40"/>
  <c r="C61" i="37"/>
  <c r="C37" i="37"/>
  <c r="C61" i="27"/>
  <c r="C37" i="27"/>
  <c r="C37" i="35"/>
  <c r="C61" i="35"/>
  <c r="C61" i="33"/>
  <c r="C37" i="33"/>
  <c r="C25" i="40"/>
  <c r="C25" i="37"/>
  <c r="C25" i="27"/>
  <c r="C25" i="35"/>
  <c r="C25" i="33"/>
  <c r="C59" i="40"/>
  <c r="C23" i="40"/>
  <c r="C11" i="40"/>
  <c r="C35" i="40"/>
  <c r="C47" i="40"/>
  <c r="C35" i="37"/>
  <c r="C47" i="37"/>
  <c r="C23" i="37"/>
  <c r="C11" i="37"/>
  <c r="C59" i="37"/>
  <c r="C35" i="35"/>
  <c r="C11" i="35"/>
  <c r="C23" i="35"/>
  <c r="C47" i="35"/>
  <c r="C59" i="35"/>
  <c r="C11" i="33"/>
  <c r="C47" i="33"/>
  <c r="C23" i="33"/>
  <c r="C59" i="33"/>
  <c r="C35" i="33"/>
  <c r="D37" i="37"/>
  <c r="D37" i="40"/>
  <c r="D49" i="40"/>
  <c r="D25" i="40"/>
  <c r="D61" i="40"/>
  <c r="D61" i="27"/>
  <c r="D49" i="37"/>
  <c r="D61" i="37"/>
  <c r="D25" i="37"/>
  <c r="E42" i="27"/>
  <c r="E54" i="27"/>
  <c r="E42" i="35"/>
  <c r="E41" i="35"/>
  <c r="E41" i="33"/>
  <c r="E53" i="33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E38" i="37" l="1"/>
  <c r="E50" i="37"/>
  <c r="E50" i="27"/>
  <c r="E56" i="35"/>
  <c r="E50" i="35"/>
  <c r="E38" i="35"/>
  <c r="E38" i="27"/>
  <c r="E56" i="33"/>
  <c r="E50" i="33"/>
  <c r="E56" i="27"/>
  <c r="E44" i="27"/>
  <c r="E50" i="40"/>
  <c r="E38" i="40"/>
  <c r="E44" i="33"/>
  <c r="C68" i="33"/>
  <c r="C44" i="33"/>
  <c r="C44" i="27"/>
  <c r="C68" i="27"/>
  <c r="C44" i="35"/>
  <c r="C68" i="37"/>
  <c r="C44" i="40"/>
  <c r="C68" i="35"/>
  <c r="C44" i="37"/>
  <c r="E55" i="33"/>
  <c r="E26" i="40"/>
  <c r="E26" i="37"/>
  <c r="D44" i="27"/>
  <c r="D44" i="35"/>
  <c r="C32" i="27"/>
  <c r="C32" i="40"/>
  <c r="C32" i="33"/>
  <c r="D44" i="33"/>
  <c r="D68" i="40"/>
  <c r="C32" i="37"/>
  <c r="D44" i="40"/>
  <c r="F18" i="40"/>
  <c r="G18" i="40" s="1"/>
  <c r="D32" i="40"/>
  <c r="D56" i="40"/>
  <c r="F20" i="40"/>
  <c r="J20" i="40" s="1"/>
  <c r="F16" i="40"/>
  <c r="J16" i="40" s="1"/>
  <c r="D32" i="37"/>
  <c r="D68" i="37"/>
  <c r="D56" i="37"/>
  <c r="D68" i="27"/>
  <c r="C42" i="35"/>
  <c r="F14" i="40"/>
  <c r="G14" i="40" s="1"/>
  <c r="D56" i="27"/>
  <c r="E41" i="27"/>
  <c r="E39" i="33"/>
  <c r="E51" i="35"/>
  <c r="E51" i="27"/>
  <c r="E39" i="27"/>
  <c r="E52" i="33"/>
  <c r="E42" i="33"/>
  <c r="E53" i="35"/>
  <c r="E51" i="33"/>
  <c r="E43" i="33"/>
  <c r="E43" i="35"/>
  <c r="E40" i="33"/>
  <c r="E54" i="33"/>
  <c r="F18" i="37"/>
  <c r="J18" i="37" s="1"/>
  <c r="F14" i="37"/>
  <c r="J14" i="37" s="1"/>
  <c r="F19" i="40"/>
  <c r="J19" i="40" s="1"/>
  <c r="E55" i="35"/>
  <c r="E43" i="27"/>
  <c r="F18" i="33"/>
  <c r="J18" i="33" s="1"/>
  <c r="F15" i="37"/>
  <c r="G15" i="37" s="1"/>
  <c r="F17" i="37"/>
  <c r="G17" i="37" s="1"/>
  <c r="F15" i="40"/>
  <c r="G15" i="40" s="1"/>
  <c r="F16" i="37"/>
  <c r="G16" i="37" s="1"/>
  <c r="F17" i="40"/>
  <c r="G17" i="40" s="1"/>
  <c r="F19" i="37"/>
  <c r="G19" i="37" s="1"/>
  <c r="F20" i="37"/>
  <c r="J20" i="37" s="1"/>
  <c r="C42" i="37"/>
  <c r="D66" i="27"/>
  <c r="C66" i="35"/>
  <c r="C66" i="27"/>
  <c r="C42" i="40"/>
  <c r="C27" i="27"/>
  <c r="C27" i="33"/>
  <c r="C27" i="40"/>
  <c r="C27" i="35"/>
  <c r="C27" i="37"/>
  <c r="C66" i="37"/>
  <c r="E56" i="37"/>
  <c r="E44" i="37"/>
  <c r="E56" i="40"/>
  <c r="E44" i="40"/>
  <c r="C30" i="37"/>
  <c r="C30" i="40"/>
  <c r="C30" i="27"/>
  <c r="C30" i="35"/>
  <c r="C30" i="33"/>
  <c r="E27" i="37"/>
  <c r="E27" i="40"/>
  <c r="E27" i="27"/>
  <c r="C26" i="27"/>
  <c r="C26" i="35"/>
  <c r="C26" i="33"/>
  <c r="C26" i="40"/>
  <c r="C26" i="37"/>
  <c r="E30" i="40"/>
  <c r="E30" i="37"/>
  <c r="E30" i="27"/>
  <c r="C62" i="35"/>
  <c r="C62" i="37"/>
  <c r="C38" i="40"/>
  <c r="C62" i="33"/>
  <c r="C38" i="37"/>
  <c r="C38" i="33"/>
  <c r="C38" i="35"/>
  <c r="C38" i="27"/>
  <c r="C62" i="40"/>
  <c r="C62" i="27"/>
  <c r="E41" i="37"/>
  <c r="E53" i="40"/>
  <c r="E53" i="37"/>
  <c r="E41" i="40"/>
  <c r="C65" i="37"/>
  <c r="C41" i="37"/>
  <c r="C65" i="40"/>
  <c r="C65" i="35"/>
  <c r="C65" i="27"/>
  <c r="C41" i="40"/>
  <c r="C41" i="33"/>
  <c r="C65" i="33"/>
  <c r="C41" i="27"/>
  <c r="C41" i="35"/>
  <c r="E51" i="40"/>
  <c r="E39" i="40"/>
  <c r="E51" i="37"/>
  <c r="E39" i="37"/>
  <c r="E31" i="37"/>
  <c r="E31" i="40"/>
  <c r="E31" i="27"/>
  <c r="C64" i="40"/>
  <c r="C64" i="27"/>
  <c r="C64" i="33"/>
  <c r="C40" i="40"/>
  <c r="C64" i="37"/>
  <c r="C64" i="35"/>
  <c r="C40" i="35"/>
  <c r="C40" i="33"/>
  <c r="C40" i="37"/>
  <c r="C40" i="27"/>
  <c r="E40" i="40"/>
  <c r="E52" i="40"/>
  <c r="E40" i="37"/>
  <c r="E52" i="37"/>
  <c r="E29" i="37"/>
  <c r="E29" i="40"/>
  <c r="E29" i="27"/>
  <c r="E52" i="35"/>
  <c r="C42" i="27"/>
  <c r="E40" i="27"/>
  <c r="C66" i="33"/>
  <c r="C28" i="40"/>
  <c r="C28" i="27"/>
  <c r="C28" i="33"/>
  <c r="C28" i="35"/>
  <c r="C28" i="37"/>
  <c r="C31" i="40"/>
  <c r="C31" i="27"/>
  <c r="C31" i="37"/>
  <c r="C31" i="33"/>
  <c r="C31" i="35"/>
  <c r="C29" i="40"/>
  <c r="C29" i="35"/>
  <c r="C29" i="27"/>
  <c r="C29" i="33"/>
  <c r="C29" i="37"/>
  <c r="F20" i="35"/>
  <c r="G20" i="35" s="1"/>
  <c r="F16" i="27"/>
  <c r="J16" i="27" s="1"/>
  <c r="E28" i="37"/>
  <c r="E28" i="40"/>
  <c r="E28" i="27"/>
  <c r="C39" i="27"/>
  <c r="C39" i="37"/>
  <c r="C63" i="33"/>
  <c r="C63" i="27"/>
  <c r="C39" i="40"/>
  <c r="C63" i="37"/>
  <c r="C63" i="35"/>
  <c r="C63" i="40"/>
  <c r="C39" i="33"/>
  <c r="C39" i="35"/>
  <c r="E42" i="37"/>
  <c r="E42" i="40"/>
  <c r="E54" i="40"/>
  <c r="E54" i="37"/>
  <c r="E32" i="40"/>
  <c r="E32" i="37"/>
  <c r="E32" i="27"/>
  <c r="C42" i="33"/>
  <c r="C67" i="27"/>
  <c r="C43" i="33"/>
  <c r="C43" i="27"/>
  <c r="C43" i="40"/>
  <c r="C67" i="37"/>
  <c r="C43" i="37"/>
  <c r="C43" i="35"/>
  <c r="C67" i="35"/>
  <c r="C67" i="40"/>
  <c r="C67" i="33"/>
  <c r="E55" i="37"/>
  <c r="E43" i="37"/>
  <c r="E43" i="40"/>
  <c r="E55" i="40"/>
  <c r="E52" i="27"/>
  <c r="D42" i="27"/>
  <c r="D66" i="37"/>
  <c r="D42" i="37"/>
  <c r="D42" i="33"/>
  <c r="D30" i="37"/>
  <c r="D54" i="37"/>
  <c r="D54" i="27"/>
  <c r="D30" i="27"/>
  <c r="D31" i="37"/>
  <c r="D67" i="37"/>
  <c r="D43" i="33"/>
  <c r="J13" i="33"/>
  <c r="D55" i="27"/>
  <c r="D67" i="27"/>
  <c r="D43" i="40"/>
  <c r="D43" i="37"/>
  <c r="D55" i="37"/>
  <c r="D31" i="27"/>
  <c r="D43" i="27"/>
  <c r="D31" i="40"/>
  <c r="D55" i="40"/>
  <c r="J13" i="37"/>
  <c r="D42" i="35"/>
  <c r="D54" i="40"/>
  <c r="D40" i="40"/>
  <c r="F19" i="33"/>
  <c r="G19" i="33" s="1"/>
  <c r="D30" i="40"/>
  <c r="D40" i="37"/>
  <c r="F15" i="33"/>
  <c r="J15" i="33" s="1"/>
  <c r="F14" i="33"/>
  <c r="G14" i="33" s="1"/>
  <c r="F20" i="33"/>
  <c r="J20" i="33" s="1"/>
  <c r="F17" i="33"/>
  <c r="J17" i="33" s="1"/>
  <c r="G13" i="37"/>
  <c r="F16" i="33"/>
  <c r="J16" i="33" s="1"/>
  <c r="D39" i="37"/>
  <c r="D40" i="27"/>
  <c r="D41" i="35"/>
  <c r="D40" i="35"/>
  <c r="D41" i="33"/>
  <c r="F15" i="27"/>
  <c r="J15" i="27" s="1"/>
  <c r="D41" i="27"/>
  <c r="F19" i="27"/>
  <c r="J19" i="27" s="1"/>
  <c r="D53" i="40"/>
  <c r="D62" i="37"/>
  <c r="F18" i="35"/>
  <c r="J18" i="35" s="1"/>
  <c r="F15" i="35"/>
  <c r="G15" i="35" s="1"/>
  <c r="D26" i="27"/>
  <c r="F18" i="27"/>
  <c r="J18" i="27" s="1"/>
  <c r="D50" i="37"/>
  <c r="F19" i="35"/>
  <c r="G19" i="35" s="1"/>
  <c r="D65" i="40"/>
  <c r="D29" i="40"/>
  <c r="D26" i="37"/>
  <c r="F14" i="27"/>
  <c r="J14" i="27" s="1"/>
  <c r="F20" i="27"/>
  <c r="G20" i="27" s="1"/>
  <c r="D39" i="40"/>
  <c r="D65" i="27"/>
  <c r="D51" i="40"/>
  <c r="D27" i="37"/>
  <c r="D63" i="37"/>
  <c r="D62" i="27"/>
  <c r="D51" i="37"/>
  <c r="D38" i="33"/>
  <c r="D52" i="27"/>
  <c r="D41" i="40"/>
  <c r="F17" i="27"/>
  <c r="G17" i="27" s="1"/>
  <c r="F14" i="35"/>
  <c r="J14" i="35" s="1"/>
  <c r="D62" i="40"/>
  <c r="F17" i="35"/>
  <c r="G17" i="35" s="1"/>
  <c r="D27" i="40"/>
  <c r="D50" i="40"/>
  <c r="F16" i="35"/>
  <c r="J16" i="35" s="1"/>
  <c r="D63" i="40"/>
  <c r="D26" i="40"/>
  <c r="D28" i="27"/>
  <c r="D52" i="40"/>
  <c r="D28" i="40"/>
  <c r="D39" i="33"/>
  <c r="D63" i="27"/>
  <c r="D52" i="37"/>
  <c r="D64" i="40"/>
  <c r="D64" i="37"/>
  <c r="D53" i="27"/>
  <c r="D28" i="37"/>
  <c r="D38" i="37"/>
  <c r="D53" i="37"/>
  <c r="D29" i="27"/>
  <c r="D29" i="37"/>
  <c r="D38" i="40"/>
  <c r="D38" i="27"/>
  <c r="D39" i="27"/>
  <c r="D51" i="27"/>
  <c r="F49" i="40"/>
  <c r="F61" i="37"/>
  <c r="F49" i="37"/>
  <c r="F61" i="40"/>
  <c r="J61" i="40" s="1"/>
  <c r="F37" i="40"/>
  <c r="F37" i="37"/>
  <c r="G37" i="37" s="1"/>
  <c r="F25" i="37"/>
  <c r="G13" i="35"/>
  <c r="J16" i="37"/>
  <c r="J13" i="35"/>
  <c r="F37" i="33"/>
  <c r="F37" i="27"/>
  <c r="J37" i="27" s="1"/>
  <c r="F25" i="40"/>
  <c r="G13" i="40"/>
  <c r="J18" i="40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J14" i="40" l="1"/>
  <c r="G16" i="40"/>
  <c r="G20" i="40"/>
  <c r="J15" i="40"/>
  <c r="J17" i="40"/>
  <c r="J17" i="37"/>
  <c r="G19" i="40"/>
  <c r="G20" i="37"/>
  <c r="G18" i="37"/>
  <c r="J15" i="37"/>
  <c r="G18" i="33"/>
  <c r="G14" i="37"/>
  <c r="J19" i="37"/>
  <c r="G16" i="27"/>
  <c r="J20" i="35"/>
  <c r="F56" i="37"/>
  <c r="J56" i="37" s="1"/>
  <c r="G20" i="33"/>
  <c r="G15" i="27"/>
  <c r="G17" i="33"/>
  <c r="J19" i="33"/>
  <c r="F30" i="40"/>
  <c r="G30" i="40" s="1"/>
  <c r="F43" i="33"/>
  <c r="G43" i="33" s="1"/>
  <c r="G15" i="33"/>
  <c r="J14" i="33"/>
  <c r="F40" i="40"/>
  <c r="J40" i="40" s="1"/>
  <c r="G16" i="33"/>
  <c r="F50" i="40"/>
  <c r="J50" i="40" s="1"/>
  <c r="G19" i="27"/>
  <c r="J15" i="35"/>
  <c r="G14" i="27"/>
  <c r="G18" i="27"/>
  <c r="G18" i="35"/>
  <c r="J19" i="35"/>
  <c r="F63" i="40"/>
  <c r="J63" i="40" s="1"/>
  <c r="J20" i="27"/>
  <c r="F27" i="37"/>
  <c r="G27" i="37" s="1"/>
  <c r="F42" i="37"/>
  <c r="J42" i="37" s="1"/>
  <c r="F63" i="37"/>
  <c r="J63" i="37" s="1"/>
  <c r="G14" i="35"/>
  <c r="F39" i="37"/>
  <c r="J39" i="37" s="1"/>
  <c r="J17" i="35"/>
  <c r="J37" i="37"/>
  <c r="G16" i="35"/>
  <c r="J17" i="27"/>
  <c r="F62" i="40"/>
  <c r="J62" i="40" s="1"/>
  <c r="F64" i="40"/>
  <c r="G64" i="40" s="1"/>
  <c r="F68" i="40"/>
  <c r="J68" i="40" s="1"/>
  <c r="F41" i="40"/>
  <c r="G41" i="40" s="1"/>
  <c r="F62" i="37"/>
  <c r="G62" i="37" s="1"/>
  <c r="J49" i="40"/>
  <c r="F66" i="37"/>
  <c r="G66" i="37" s="1"/>
  <c r="F51" i="40"/>
  <c r="G51" i="40" s="1"/>
  <c r="F38" i="37"/>
  <c r="J38" i="37" s="1"/>
  <c r="F64" i="37"/>
  <c r="J64" i="37" s="1"/>
  <c r="F67" i="37"/>
  <c r="J67" i="37" s="1"/>
  <c r="F65" i="37"/>
  <c r="G65" i="37" s="1"/>
  <c r="G49" i="40"/>
  <c r="F52" i="40"/>
  <c r="J52" i="40" s="1"/>
  <c r="F53" i="37"/>
  <c r="G53" i="37" s="1"/>
  <c r="F68" i="37"/>
  <c r="G68" i="37" s="1"/>
  <c r="F54" i="40"/>
  <c r="J54" i="40" s="1"/>
  <c r="F55" i="40"/>
  <c r="G55" i="40" s="1"/>
  <c r="F53" i="40"/>
  <c r="J53" i="40" s="1"/>
  <c r="F56" i="40"/>
  <c r="G56" i="40" s="1"/>
  <c r="F44" i="37"/>
  <c r="J44" i="37" s="1"/>
  <c r="F42" i="40"/>
  <c r="G42" i="40" s="1"/>
  <c r="F43" i="40"/>
  <c r="J43" i="40" s="1"/>
  <c r="F67" i="40"/>
  <c r="J67" i="40" s="1"/>
  <c r="F26" i="37"/>
  <c r="J26" i="37" s="1"/>
  <c r="F39" i="40"/>
  <c r="J39" i="40" s="1"/>
  <c r="F43" i="37"/>
  <c r="J43" i="37" s="1"/>
  <c r="F65" i="40"/>
  <c r="J65" i="40" s="1"/>
  <c r="F41" i="37"/>
  <c r="J41" i="37" s="1"/>
  <c r="G49" i="37"/>
  <c r="F50" i="37"/>
  <c r="J50" i="37" s="1"/>
  <c r="G61" i="37"/>
  <c r="J61" i="37"/>
  <c r="G37" i="27"/>
  <c r="G25" i="40"/>
  <c r="F51" i="37"/>
  <c r="G51" i="37" s="1"/>
  <c r="J37" i="40"/>
  <c r="F66" i="40"/>
  <c r="J66" i="40" s="1"/>
  <c r="J25" i="40"/>
  <c r="G25" i="37"/>
  <c r="F40" i="37"/>
  <c r="G40" i="37" s="1"/>
  <c r="F54" i="37"/>
  <c r="J54" i="37" s="1"/>
  <c r="F52" i="37"/>
  <c r="G52" i="37" s="1"/>
  <c r="F43" i="27"/>
  <c r="J43" i="27" s="1"/>
  <c r="F55" i="37"/>
  <c r="J55" i="37" s="1"/>
  <c r="G37" i="40"/>
  <c r="F38" i="40"/>
  <c r="G38" i="40" s="1"/>
  <c r="F28" i="40"/>
  <c r="G28" i="40" s="1"/>
  <c r="F30" i="37"/>
  <c r="G30" i="37" s="1"/>
  <c r="F41" i="35"/>
  <c r="J41" i="35" s="1"/>
  <c r="F38" i="27"/>
  <c r="J38" i="27" s="1"/>
  <c r="F43" i="35"/>
  <c r="G43" i="35" s="1"/>
  <c r="F41" i="27"/>
  <c r="G41" i="27" s="1"/>
  <c r="F42" i="35"/>
  <c r="J42" i="35" s="1"/>
  <c r="F39" i="27"/>
  <c r="J39" i="27" s="1"/>
  <c r="F31" i="37"/>
  <c r="G31" i="37" s="1"/>
  <c r="F32" i="37"/>
  <c r="J32" i="37" s="1"/>
  <c r="G37" i="35"/>
  <c r="F39" i="35"/>
  <c r="J39" i="35" s="1"/>
  <c r="J49" i="37"/>
  <c r="J25" i="37"/>
  <c r="F29" i="37"/>
  <c r="J29" i="37" s="1"/>
  <c r="F32" i="40"/>
  <c r="J32" i="40" s="1"/>
  <c r="F38" i="35"/>
  <c r="G38" i="35" s="1"/>
  <c r="F31" i="40"/>
  <c r="J31" i="40" s="1"/>
  <c r="F44" i="35"/>
  <c r="J44" i="35" s="1"/>
  <c r="F28" i="37"/>
  <c r="J28" i="37" s="1"/>
  <c r="F44" i="40"/>
  <c r="G44" i="40" s="1"/>
  <c r="F40" i="27"/>
  <c r="J40" i="27" s="1"/>
  <c r="G61" i="40"/>
  <c r="F42" i="27"/>
  <c r="G42" i="27" s="1"/>
  <c r="F44" i="27"/>
  <c r="G44" i="27" s="1"/>
  <c r="F40" i="35"/>
  <c r="J40" i="35" s="1"/>
  <c r="F29" i="40"/>
  <c r="J29" i="40" s="1"/>
  <c r="F27" i="40"/>
  <c r="G27" i="40" s="1"/>
  <c r="F40" i="33"/>
  <c r="G40" i="33" s="1"/>
  <c r="F39" i="33"/>
  <c r="G39" i="33" s="1"/>
  <c r="F42" i="33"/>
  <c r="G42" i="33" s="1"/>
  <c r="G37" i="33"/>
  <c r="F44" i="33"/>
  <c r="J44" i="33" s="1"/>
  <c r="F41" i="33"/>
  <c r="G41" i="33" s="1"/>
  <c r="F26" i="40"/>
  <c r="G26" i="40" s="1"/>
  <c r="J37" i="33"/>
  <c r="F38" i="33"/>
  <c r="J38" i="33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3" i="33" l="1"/>
  <c r="J30" i="40"/>
  <c r="G40" i="40"/>
  <c r="G56" i="37"/>
  <c r="J27" i="37"/>
  <c r="G50" i="40"/>
  <c r="G63" i="37"/>
  <c r="G63" i="40"/>
  <c r="G42" i="37"/>
  <c r="G68" i="40"/>
  <c r="J41" i="40"/>
  <c r="G43" i="37"/>
  <c r="G62" i="40"/>
  <c r="G39" i="37"/>
  <c r="J64" i="40"/>
  <c r="G38" i="37"/>
  <c r="G52" i="40"/>
  <c r="J66" i="37"/>
  <c r="J62" i="37"/>
  <c r="G64" i="37"/>
  <c r="G67" i="37"/>
  <c r="J56" i="40"/>
  <c r="J51" i="40"/>
  <c r="J55" i="40"/>
  <c r="J53" i="37"/>
  <c r="J65" i="37"/>
  <c r="G67" i="40"/>
  <c r="G53" i="40"/>
  <c r="G43" i="40"/>
  <c r="J68" i="37"/>
  <c r="G44" i="37"/>
  <c r="G54" i="40"/>
  <c r="G41" i="37"/>
  <c r="G50" i="37"/>
  <c r="J42" i="40"/>
  <c r="G65" i="40"/>
  <c r="G39" i="40"/>
  <c r="G26" i="37"/>
  <c r="G43" i="27"/>
  <c r="G54" i="37"/>
  <c r="J51" i="37"/>
  <c r="J40" i="37"/>
  <c r="J28" i="40"/>
  <c r="G66" i="40"/>
  <c r="G55" i="37"/>
  <c r="J30" i="37"/>
  <c r="J52" i="37"/>
  <c r="G39" i="27"/>
  <c r="J41" i="27"/>
  <c r="G41" i="35"/>
  <c r="J38" i="40"/>
  <c r="J26" i="40"/>
  <c r="G39" i="35"/>
  <c r="G42" i="35"/>
  <c r="G38" i="27"/>
  <c r="J43" i="35"/>
  <c r="G29" i="37"/>
  <c r="J31" i="37"/>
  <c r="J38" i="35"/>
  <c r="J41" i="33"/>
  <c r="J27" i="40"/>
  <c r="G29" i="40"/>
  <c r="G32" i="37"/>
  <c r="J44" i="40"/>
  <c r="G31" i="40"/>
  <c r="G32" i="40"/>
  <c r="G28" i="37"/>
  <c r="G38" i="33"/>
  <c r="G44" i="35"/>
  <c r="J39" i="33"/>
  <c r="J40" i="33"/>
  <c r="J44" i="27"/>
  <c r="G44" i="33"/>
  <c r="G40" i="35"/>
  <c r="G40" i="27"/>
  <c r="J42" i="27"/>
  <c r="J42" i="33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E5" i="20"/>
  <c r="AC68" i="20"/>
  <c r="AC13" i="20"/>
  <c r="AC60" i="20"/>
  <c r="AC43" i="20"/>
  <c r="AC63" i="20"/>
  <c r="AC28" i="20"/>
  <c r="AC49" i="20"/>
  <c r="AC40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W2" i="20" a="1"/>
  <c r="AW2" i="20" s="1"/>
  <c r="AZ2" i="20" s="1" a="1"/>
  <c r="AZ2" i="20" s="1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N12" i="20" s="1"/>
  <c r="AM15" i="20" l="1"/>
  <c r="AM28" i="20"/>
  <c r="AC59" i="20"/>
  <c r="AC31" i="20"/>
  <c r="AC61" i="20"/>
  <c r="AC42" i="20"/>
  <c r="AC67" i="20"/>
  <c r="AC11" i="20"/>
  <c r="AC50" i="20"/>
  <c r="AC71" i="20"/>
  <c r="AC46" i="20"/>
  <c r="AC27" i="20"/>
  <c r="AC32" i="20"/>
  <c r="AC10" i="20"/>
  <c r="AC51" i="20"/>
  <c r="AC15" i="20"/>
  <c r="AD32" i="20"/>
  <c r="H13" i="33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52" i="20"/>
  <c r="AC23" i="20"/>
  <c r="AC72" i="20"/>
  <c r="AC6" i="20"/>
  <c r="AC66" i="20"/>
  <c r="AC33" i="20"/>
  <c r="AM33" i="20"/>
  <c r="AM16" i="20"/>
  <c r="AN48" i="20"/>
  <c r="AD48" i="20"/>
  <c r="AD16" i="20"/>
  <c r="AN16" i="20"/>
  <c r="AD6" i="20"/>
  <c r="H25" i="40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W77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C7" i="20" l="1"/>
  <c r="AC73" i="20"/>
  <c r="AC17" i="20"/>
  <c r="AC22" i="20"/>
  <c r="AC45" i="20"/>
  <c r="AC65" i="20"/>
  <c r="AC53" i="20"/>
  <c r="AC34" i="20"/>
  <c r="AC82" i="20"/>
  <c r="AM79" i="20"/>
  <c r="AD82" i="20"/>
  <c r="AM82" i="20"/>
  <c r="AN82" i="20"/>
  <c r="AD22" i="20"/>
  <c r="BG73" i="20"/>
  <c r="AN22" i="20"/>
  <c r="AM17" i="20"/>
  <c r="AM53" i="20"/>
  <c r="AM22" i="20"/>
  <c r="BG53" i="20"/>
  <c r="H25" i="35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26" i="20" l="1"/>
  <c r="AC54" i="20"/>
  <c r="AC35" i="20"/>
  <c r="AC18" i="20"/>
  <c r="AC44" i="20"/>
  <c r="AC64" i="20"/>
  <c r="AC9" i="20"/>
  <c r="AC74" i="20"/>
  <c r="AD44" i="20"/>
  <c r="AD64" i="20"/>
  <c r="AM44" i="20"/>
  <c r="AN64" i="20"/>
  <c r="AN44" i="20"/>
  <c r="AM64" i="20"/>
  <c r="AN74" i="20"/>
  <c r="AM35" i="20"/>
  <c r="AM85" i="20"/>
  <c r="AD74" i="20"/>
  <c r="AX18" i="20"/>
  <c r="BH44" i="20"/>
  <c r="AD18" i="20"/>
  <c r="AW15" i="20"/>
  <c r="BH18" i="20"/>
  <c r="BG44" i="20"/>
  <c r="AW44" i="20"/>
  <c r="AX44" i="20"/>
  <c r="AN18" i="20"/>
  <c r="H37" i="33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8" i="20"/>
  <c r="AC19" i="20"/>
  <c r="AC55" i="20"/>
  <c r="AC75" i="20"/>
  <c r="AM19" i="20"/>
  <c r="AM8" i="20"/>
  <c r="AD8" i="20"/>
  <c r="AM75" i="20"/>
  <c r="AN8" i="20"/>
  <c r="BG81" i="20"/>
  <c r="AN36" i="20"/>
  <c r="AD36" i="20"/>
  <c r="AX36" i="20"/>
  <c r="AM36" i="20"/>
  <c r="BH36" i="20"/>
  <c r="AW36" i="20"/>
  <c r="BG36" i="20"/>
  <c r="AW19" i="20"/>
  <c r="AW75" i="20"/>
  <c r="AW25" i="20"/>
  <c r="BG25" i="20"/>
  <c r="BH8" i="20"/>
  <c r="BG75" i="20"/>
  <c r="BG19" i="20"/>
  <c r="AM25" i="20"/>
  <c r="AW8" i="20"/>
  <c r="BG8" i="20"/>
  <c r="AX8" i="20"/>
  <c r="AW59" i="20"/>
  <c r="AW40" i="20"/>
  <c r="H37" i="35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M20" i="20" s="1"/>
  <c r="AW20" i="20" l="1"/>
  <c r="AM37" i="20"/>
  <c r="BG37" i="20"/>
  <c r="AX20" i="20"/>
  <c r="AN20" i="20"/>
  <c r="AD20" i="20"/>
  <c r="BH20" i="20"/>
  <c r="AC56" i="20"/>
  <c r="AC37" i="20"/>
  <c r="AC20" i="20"/>
  <c r="AC24" i="20"/>
  <c r="AC5" i="20"/>
  <c r="AX24" i="20"/>
  <c r="AN24" i="20"/>
  <c r="AM5" i="20"/>
  <c r="AM24" i="20"/>
  <c r="AD24" i="20"/>
  <c r="BG5" i="20"/>
  <c r="AC80" i="20"/>
  <c r="AD80" i="20"/>
  <c r="BG80" i="20"/>
  <c r="AN80" i="20"/>
  <c r="BH80" i="20"/>
  <c r="AM80" i="20"/>
  <c r="AX80" i="20"/>
  <c r="AW80" i="20"/>
  <c r="AW37" i="20"/>
  <c r="AW5" i="20"/>
  <c r="BG20" i="20"/>
  <c r="H49" i="33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57" i="20" l="1"/>
  <c r="AC21" i="20"/>
  <c r="AC4" i="20"/>
  <c r="AC39" i="20"/>
  <c r="AM57" i="20"/>
  <c r="BG57" i="20"/>
  <c r="AW57" i="20"/>
  <c r="BH4" i="20"/>
  <c r="H49" i="37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58" i="20" l="1"/>
  <c r="AC3" i="20"/>
  <c r="AC38" i="20"/>
  <c r="AM3" i="20"/>
  <c r="AD38" i="20"/>
  <c r="AM38" i="20"/>
  <c r="AN38" i="20"/>
  <c r="BG3" i="20"/>
  <c r="AW3" i="20"/>
  <c r="AM58" i="20"/>
  <c r="BH58" i="20"/>
  <c r="BH38" i="20"/>
  <c r="AW58" i="20"/>
  <c r="AD58" i="20"/>
  <c r="AX58" i="20"/>
  <c r="AX38" i="20"/>
  <c r="BG58" i="20"/>
  <c r="AN58" i="20"/>
  <c r="H61" i="33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29" i="20" l="1"/>
  <c r="AC69" i="20"/>
  <c r="AC48" i="20"/>
  <c r="AC12" i="20"/>
  <c r="AM69" i="20"/>
  <c r="AM48" i="20"/>
  <c r="AM12" i="20"/>
  <c r="AM29" i="20"/>
  <c r="BG48" i="20"/>
  <c r="AW48" i="20"/>
  <c r="AW69" i="20"/>
  <c r="BG69" i="20"/>
  <c r="AW12" i="20"/>
  <c r="BG12" i="20"/>
  <c r="H61" i="35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I1" i="35"/>
  <c r="I2" i="35" s="1"/>
  <c r="I1" i="40"/>
  <c r="I1" i="27"/>
  <c r="I1" i="26"/>
  <c r="I1" i="24"/>
  <c r="AD57" i="20"/>
  <c r="E16" i="20"/>
  <c r="BH47" i="20" s="1"/>
  <c r="AD83" i="20" l="1"/>
  <c r="M21" i="37"/>
  <c r="M22" i="37"/>
  <c r="M24" i="37"/>
  <c r="M25" i="37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AD61" i="20" l="1"/>
  <c r="AN61" i="20"/>
  <c r="O21" i="37" a="1"/>
  <c r="O21" i="37" s="1"/>
  <c r="I2" i="37" s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70" i="20"/>
  <c r="AX47" i="20"/>
  <c r="AN33" i="20"/>
  <c r="AD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D7" i="20" s="1"/>
  <c r="AX49" i="20" l="1"/>
  <c r="AN7" i="20"/>
  <c r="AX7" i="20"/>
  <c r="AX77" i="20"/>
  <c r="BH7" i="20"/>
  <c r="AX29" i="20"/>
  <c r="AX42" i="20"/>
  <c r="AD53" i="20"/>
  <c r="AN79" i="20"/>
  <c r="BH73" i="20"/>
  <c r="AN17" i="20"/>
  <c r="BH53" i="20"/>
  <c r="AN53" i="20"/>
  <c r="AD17" i="20"/>
  <c r="AX2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N19" i="20"/>
  <c r="AD81" i="20"/>
  <c r="AN81" i="20"/>
  <c r="BH81" i="20"/>
  <c r="AX19" i="20"/>
  <c r="AX81" i="20"/>
  <c r="BH19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X5" i="20" s="1"/>
  <c r="BH37" i="20" l="1"/>
  <c r="AN5" i="20"/>
  <c r="AD5" i="20"/>
  <c r="BH5" i="20"/>
  <c r="AD37" i="20"/>
  <c r="AX37" i="20"/>
  <c r="BH69" i="20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AD21" i="20"/>
  <c r="E24" i="20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Q134" i="28" a="1"/>
  <c r="Q134" i="28" s="1"/>
  <c r="O64" i="28" l="1" a="1"/>
  <c r="O64" i="28" s="1"/>
  <c r="O62" i="28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<sst xmlns="http://schemas.openxmlformats.org/spreadsheetml/2006/main" count="12319" uniqueCount="296">
  <si>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</si>
  <si>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</si>
  <si>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</si>
  <si>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</si>
  <si>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</si>
  <si>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</si>
  <si>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</si>
  <si>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</si>
  <si>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</si>
  <si>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</si>
  <si>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</si>
  <si>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</si>
  <si>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</si>
  <si>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</si>
  <si>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</si>
  <si>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</si>
  <si>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</si>
  <si>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</si>
  <si>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</si>
  <si>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</si>
  <si>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</si>
  <si>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</si>
  <si>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</si>
  <si>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</si>
  <si>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</si>
  <si>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</si>
  <si>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</si>
  <si>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</si>
  <si>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</si>
  <si>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</si>
  <si>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</si>
  <si>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</si>
  <si>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</si>
  <si>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</si>
  <si>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</si>
  <si>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</si>
  <si>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</si>
  <si>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</si>
  <si>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</si>
  <si>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</si>
  <si>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</si>
  <si>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</si>
  <si>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</si>
  <si>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</si>
  <si>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</si>
  <si>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</si>
  <si>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</si>
  <si>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</si>
  <si>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</si>
  <si>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</si>
  <si>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</si>
  <si>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</si>
  <si>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</si>
  <si>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</si>
  <si>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</si>
  <si>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</si>
  <si>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</si>
  <si>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</si>
  <si>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</si>
  <si>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</si>
  <si>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</si>
  <si>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</si>
  <si>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</si>
  <si>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</si>
  <si>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</si>
  <si>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</si>
  <si>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</si>
  <si>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</si>
  <si>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</si>
  <si>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</si>
  <si>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</si>
  <si>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</si>
  <si>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</si>
  <si>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</si>
  <si>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</si>
  <si>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</si>
  <si>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</si>
  <si>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</si>
  <si>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</si>
  <si>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</si>
  <si>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</si>
  <si>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</si>
  <si>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</si>
  <si>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</si>
  <si>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</si>
  <si>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</si>
  <si>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</si>
  <si>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</si>
  <si>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</si>
  <si>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</si>
  <si>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</si>
  <si>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</si>
  <si>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</si>
  <si>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</si>
  <si>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</si>
  <si>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</si>
  <si>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</si>
  <si>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</si>
  <si>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</si>
  <si>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</si>
  <si>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</si>
  <si>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</si>
  <si>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</si>
  <si>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</si>
  <si>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</si>
  <si>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</si>
  <si>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</si>
  <si>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</si>
  <si>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</si>
  <si>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</si>
  <si>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</si>
  <si>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</si>
  <si>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</si>
  <si>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</si>
  <si>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</si>
  <si>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</si>
  <si>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</si>
  <si>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</si>
  <si>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</si>
  <si>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</si>
  <si>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</si>
  <si>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</si>
  <si>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</si>
  <si>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</si>
  <si>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</si>
  <si>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</si>
  <si>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</si>
  <si>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</si>
  <si>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</si>
  <si>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</si>
  <si>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</si>
  <si>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</si>
  <si>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</si>
  <si>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</si>
  <si>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</si>
  <si>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</si>
  <si>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</si>
  <si>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</si>
  <si>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</si>
  <si>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</si>
  <si>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</si>
  <si>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</si>
  <si>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</si>
  <si>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</si>
  <si>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</si>
  <si>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</si>
  <si>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</si>
  <si>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</si>
  <si>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</si>
  <si>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</si>
  <si>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</si>
  <si>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</si>
  <si>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</si>
  <si>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</si>
  <si>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</si>
  <si>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</si>
  <si>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</si>
  <si>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</si>
  <si>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</si>
  <si>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</si>
  <si>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</si>
  <si>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</si>
  <si>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</si>
  <si>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</si>
  <si>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</si>
  <si>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</si>
  <si>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</si>
  <si>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</si>
  <si>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</si>
  <si>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</si>
  <si>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</si>
  <si>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</si>
  <si>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</si>
  <si>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</si>
  <si>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</si>
  <si>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</si>
  <si>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</si>
  <si>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</si>
  <si>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</si>
  <si>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</si>
  <si>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</si>
  <si>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</si>
  <si>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</si>
  <si>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</si>
  <si>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</si>
  <si>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</si>
  <si>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</si>
  <si>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</si>
  <si>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</si>
  <si>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</si>
  <si>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</si>
  <si>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</si>
  <si>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</si>
  <si>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</si>
  <si>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</si>
  <si>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</si>
  <si>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</si>
  <si>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</si>
  <si>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</si>
  <si>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</si>
  <si>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</si>
  <si>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</si>
  <si>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</si>
  <si>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</si>
  <si>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</si>
  <si>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</si>
  <si>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</si>
  <si>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</si>
  <si>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</si>
  <si>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</si>
  <si>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</si>
  <si>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</si>
  <si>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</si>
  <si>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</si>
  <si>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</si>
  <si>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</si>
  <si>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</si>
  <si>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</si>
  <si>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</si>
  <si>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</si>
  <si>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</si>
  <si>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</si>
  <si>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</si>
  <si>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</si>
  <si>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</si>
  <si>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</si>
  <si>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</si>
  <si>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</si>
  <si>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</si>
  <si>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</si>
  <si>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</si>
  <si>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</si>
  <si>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</si>
  <si>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</si>
  <si>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</si>
  <si>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</si>
  <si>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</si>
  <si>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</si>
  <si>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</si>
  <si>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</si>
  <si>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</si>
  <si>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</si>
  <si>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</si>
  <si>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</si>
  <si>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</si>
  <si>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</si>
  <si>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</si>
  <si>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</si>
  <si>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</si>
  <si>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</si>
  <si>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</si>
  <si>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</si>
  <si>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</si>
  <si>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</si>
  <si>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</si>
  <si>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</si>
  <si>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</si>
  <si>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</si>
  <si>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</si>
  <si>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</si>
  <si>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</si>
  <si>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</si>
  <si>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</si>
  <si>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</si>
  <si>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</si>
  <si>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</si>
  <si>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</si>
  <si>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</si>
  <si>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</si>
  <si>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</si>
  <si>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</si>
  <si>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</si>
  <si>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</si>
  <si>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</si>
  <si>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</si>
  <si>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</si>
  <si>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</si>
  <si>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</si>
  <si>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</si>
  <si>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</si>
  <si>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</si>
  <si>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</si>
  <si>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</si>
  <si>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</si>
  <si>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</si>
  <si>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</si>
  <si>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</si>
  <si>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</si>
  <si>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</si>
  <si>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</si>
  <si>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</si>
  <si>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</si>
  <si>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</si>
  <si>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</si>
  <si>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H020194</t>
    <phoneticPr fontId="2" type="noConversion"/>
  </si>
  <si>
    <t>2.1.0.0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</si>
</sst>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3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1.1579880000000001E-2</c:v>
                </c:pt>
                <c:pt idx="1">
                  <c:v>1.6080931999999999E-2</c:v>
                </c:pt>
                <c:pt idx="2">
                  <c:v>1.1410874999999999E-2</c:v>
                </c:pt>
                <c:pt idx="3">
                  <c:v>1.213234E-2</c:v>
                </c:pt>
                <c:pt idx="4">
                  <c:v>9.8985110000000005E-3</c:v>
                </c:pt>
                <c:pt idx="5">
                  <c:v>7.9030079999999996E-3</c:v>
                </c:pt>
                <c:pt idx="6">
                  <c:v>1.920564E-3</c:v>
                </c:pt>
                <c:pt idx="7">
                  <c:v>8.2475810000000004E-3</c:v>
                </c:pt>
                <c:pt idx="8">
                  <c:v>3.0179859999999998E-3</c:v>
                </c:pt>
                <c:pt idx="9">
                  <c:v>6.0717469999999997E-3</c:v>
                </c:pt>
                <c:pt idx="10">
                  <c:v>9.6731119999999993E-3</c:v>
                </c:pt>
                <c:pt idx="11">
                  <c:v>5.7440659999999999E-3</c:v>
                </c:pt>
                <c:pt idx="12">
                  <c:v>2.408182E-3</c:v>
                </c:pt>
                <c:pt idx="13">
                  <c:v>2.087687E-3</c:v>
                </c:pt>
                <c:pt idx="14">
                  <c:v>3.9895700000000002E-4</c:v>
                </c:pt>
                <c:pt idx="15">
                  <c:v>9.3097000000000004E-4</c:v>
                </c:pt>
                <c:pt idx="16">
                  <c:v>2.1623700000000001E-4</c:v>
                </c:pt>
                <c:pt idx="17">
                  <c:v>1.08117E-3</c:v>
                </c:pt>
                <c:pt idx="18">
                  <c:v>4.2158700000000001E-4</c:v>
                </c:pt>
                <c:pt idx="19">
                  <c:v>4.3346000000000001E-5</c:v>
                </c:pt>
                <c:pt idx="20">
                  <c:v>1.8583099999999999E-4</c:v>
                </c:pt>
                <c:pt idx="21">
                  <c:v>7.1508999999999996E-5</c:v>
                </c:pt>
                <c:pt idx="22">
                  <c:v>1.3489E-4</c:v>
                </c:pt>
                <c:pt idx="23">
                  <c:v>8.5066000000000002E-5</c:v>
                </c:pt>
                <c:pt idx="24">
                  <c:v>2.0613999999999999E-5</c:v>
                </c:pt>
                <c:pt idx="25">
                  <c:v>1.3876000000000001E-5</c:v>
                </c:pt>
                <c:pt idx="26">
                  <c:v>1.2367E-5</c:v>
                </c:pt>
                <c:pt idx="27">
                  <c:v>5.4909999999999996E-6</c:v>
                </c:pt>
                <c:pt idx="28">
                  <c:v>5.8409999999999996E-6</c:v>
                </c:pt>
                <c:pt idx="29">
                  <c:v>6.8599999999999998E-7</c:v>
                </c:pt>
                <c:pt idx="30">
                  <c:v>3.4400000000000001E-7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6.5E-8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2.1400000000000001E-7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3.9823539999999996E-3</c:v>
                </c:pt>
                <c:pt idx="1">
                  <c:v>1.152682E-2</c:v>
                </c:pt>
                <c:pt idx="2">
                  <c:v>5.9024810000000002E-3</c:v>
                </c:pt>
                <c:pt idx="3">
                  <c:v>1.0885382000000001E-2</c:v>
                </c:pt>
                <c:pt idx="4">
                  <c:v>1.015947E-2</c:v>
                </c:pt>
                <c:pt idx="5">
                  <c:v>8.9765980000000006E-3</c:v>
                </c:pt>
                <c:pt idx="6">
                  <c:v>2.04872E-3</c:v>
                </c:pt>
                <c:pt idx="7">
                  <c:v>9.3394589999999996E-3</c:v>
                </c:pt>
                <c:pt idx="8">
                  <c:v>3.5268819999999998E-3</c:v>
                </c:pt>
                <c:pt idx="9">
                  <c:v>8.2050279999999996E-3</c:v>
                </c:pt>
                <c:pt idx="10">
                  <c:v>1.4314686E-2</c:v>
                </c:pt>
                <c:pt idx="11">
                  <c:v>9.0133739999999993E-3</c:v>
                </c:pt>
                <c:pt idx="12">
                  <c:v>5.0327050000000002E-3</c:v>
                </c:pt>
                <c:pt idx="13">
                  <c:v>3.354522E-3</c:v>
                </c:pt>
                <c:pt idx="14">
                  <c:v>6.0238800000000003E-4</c:v>
                </c:pt>
                <c:pt idx="15">
                  <c:v>2.0222899999999999E-3</c:v>
                </c:pt>
                <c:pt idx="16">
                  <c:v>6.9076900000000004E-4</c:v>
                </c:pt>
                <c:pt idx="17">
                  <c:v>1.00843E-3</c:v>
                </c:pt>
                <c:pt idx="18">
                  <c:v>9.7329399999999998E-4</c:v>
                </c:pt>
                <c:pt idx="19">
                  <c:v>1.1222600000000001E-4</c:v>
                </c:pt>
                <c:pt idx="20">
                  <c:v>3.7143300000000001E-4</c:v>
                </c:pt>
                <c:pt idx="21">
                  <c:v>2.1647800000000001E-4</c:v>
                </c:pt>
                <c:pt idx="22">
                  <c:v>3.6333399999999999E-4</c:v>
                </c:pt>
                <c:pt idx="23">
                  <c:v>1.86095E-4</c:v>
                </c:pt>
                <c:pt idx="24">
                  <c:v>4.2585E-5</c:v>
                </c:pt>
                <c:pt idx="25">
                  <c:v>1.3780699999999999E-4</c:v>
                </c:pt>
                <c:pt idx="26">
                  <c:v>3.3600999999999999E-5</c:v>
                </c:pt>
                <c:pt idx="27">
                  <c:v>4.1431999999999999E-5</c:v>
                </c:pt>
                <c:pt idx="28">
                  <c:v>5.7092000000000002E-5</c:v>
                </c:pt>
                <c:pt idx="29">
                  <c:v>2.2378000000000002E-5</c:v>
                </c:pt>
                <c:pt idx="30">
                  <c:v>2.2340000000000001E-6</c:v>
                </c:pt>
                <c:pt idx="31">
                  <c:v>1.1149999999999999E-6</c:v>
                </c:pt>
                <c:pt idx="32">
                  <c:v>5.5879999999999997E-6</c:v>
                </c:pt>
                <c:pt idx="33">
                  <c:v>1.5645999999999999E-5</c:v>
                </c:pt>
                <c:pt idx="34">
                  <c:v>4.4680000000000003E-6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9.5999999999999991E-7</c:v>
                </c:pt>
                <c:pt idx="45">
                  <c:v>4.2800000000000002E-7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3.3077791000000002E-2</c:v>
                      </c:pt>
                      <c:pt idx="8">
                        <c:v>0</c:v>
                      </c:pt>
                      <c:pt idx="9">
                        <c:v>2.4931504E-2</c:v>
                      </c:pt>
                      <c:pt idx="10">
                        <c:v>3.9803E-3</c:v>
                      </c:pt>
                      <c:pt idx="11">
                        <c:v>1.3676142000000001E-2</c:v>
                      </c:pt>
                      <c:pt idx="12">
                        <c:v>8.6169579999999992E-3</c:v>
                      </c:pt>
                      <c:pt idx="13">
                        <c:v>6.8364940000000003E-3</c:v>
                      </c:pt>
                      <c:pt idx="14">
                        <c:v>4.5760330000000002E-3</c:v>
                      </c:pt>
                      <c:pt idx="15">
                        <c:v>4.0101909999999998E-3</c:v>
                      </c:pt>
                      <c:pt idx="16">
                        <c:v>8.5196899999999999E-3</c:v>
                      </c:pt>
                      <c:pt idx="17">
                        <c:v>2.904935E-3</c:v>
                      </c:pt>
                      <c:pt idx="18">
                        <c:v>3.0165330000000001E-3</c:v>
                      </c:pt>
                      <c:pt idx="19">
                        <c:v>8.2580499999999999E-4</c:v>
                      </c:pt>
                      <c:pt idx="20">
                        <c:v>1.5428849999999999E-3</c:v>
                      </c:pt>
                      <c:pt idx="21">
                        <c:v>1.4498254E-2</c:v>
                      </c:pt>
                      <c:pt idx="22">
                        <c:v>2.18373E-3</c:v>
                      </c:pt>
                      <c:pt idx="23">
                        <c:v>5.99583E-4</c:v>
                      </c:pt>
                      <c:pt idx="24">
                        <c:v>8.5097000000000002E-5</c:v>
                      </c:pt>
                      <c:pt idx="25">
                        <c:v>1.4962100000000001E-4</c:v>
                      </c:pt>
                      <c:pt idx="26">
                        <c:v>4.978863E-3</c:v>
                      </c:pt>
                      <c:pt idx="27">
                        <c:v>7.9359999999999999E-5</c:v>
                      </c:pt>
                      <c:pt idx="28">
                        <c:v>3.0700000000000001E-5</c:v>
                      </c:pt>
                      <c:pt idx="29">
                        <c:v>2.1303139999999999E-3</c:v>
                      </c:pt>
                      <c:pt idx="30">
                        <c:v>6.3865099999999995E-4</c:v>
                      </c:pt>
                      <c:pt idx="31">
                        <c:v>0</c:v>
                      </c:pt>
                      <c:pt idx="32">
                        <c:v>8.2905100000000003E-4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2.8431300000000001E-4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9.5730999999999995E-5</c:v>
                      </c:pt>
                      <c:pt idx="46">
                        <c:v>0</c:v>
                      </c:pt>
                      <c:pt idx="47">
                        <c:v>6.0056000000000002E-5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9.0775122E-2</c:v>
                      </c:pt>
                      <c:pt idx="19">
                        <c:v>7.1105003E-2</c:v>
                      </c:pt>
                      <c:pt idx="20">
                        <c:v>6.1193335000000001E-2</c:v>
                      </c:pt>
                      <c:pt idx="21">
                        <c:v>7.4031785000000003E-2</c:v>
                      </c:pt>
                      <c:pt idx="22">
                        <c:v>0.13645348600000001</c:v>
                      </c:pt>
                      <c:pt idx="23">
                        <c:v>0.150348801</c:v>
                      </c:pt>
                      <c:pt idx="24">
                        <c:v>7.8930366000000002E-2</c:v>
                      </c:pt>
                      <c:pt idx="25">
                        <c:v>3.5891684E-2</c:v>
                      </c:pt>
                      <c:pt idx="26">
                        <c:v>2.0412396999999999E-2</c:v>
                      </c:pt>
                      <c:pt idx="27">
                        <c:v>2.9873269000000001E-2</c:v>
                      </c:pt>
                      <c:pt idx="28">
                        <c:v>1.2615593E-2</c:v>
                      </c:pt>
                      <c:pt idx="29">
                        <c:v>7.2873713000000007E-2</c:v>
                      </c:pt>
                      <c:pt idx="30">
                        <c:v>1.0912349E-2</c:v>
                      </c:pt>
                      <c:pt idx="31">
                        <c:v>1.2460420999999999E-2</c:v>
                      </c:pt>
                      <c:pt idx="32">
                        <c:v>9.6797129999999995E-3</c:v>
                      </c:pt>
                      <c:pt idx="33">
                        <c:v>1.2013041E-2</c:v>
                      </c:pt>
                      <c:pt idx="34">
                        <c:v>3.4555880999999997E-2</c:v>
                      </c:pt>
                      <c:pt idx="35">
                        <c:v>1.8163383000000002E-2</c:v>
                      </c:pt>
                      <c:pt idx="36">
                        <c:v>1.1977511999999999E-2</c:v>
                      </c:pt>
                      <c:pt idx="37">
                        <c:v>5.6306419999999999E-3</c:v>
                      </c:pt>
                      <c:pt idx="38">
                        <c:v>4.7552979999999998E-3</c:v>
                      </c:pt>
                      <c:pt idx="39">
                        <c:v>7.8102550000000003E-3</c:v>
                      </c:pt>
                      <c:pt idx="40">
                        <c:v>4.3760489999999999E-3</c:v>
                      </c:pt>
                      <c:pt idx="41">
                        <c:v>4.248122E-3</c:v>
                      </c:pt>
                      <c:pt idx="42">
                        <c:v>3.2606610000000002E-3</c:v>
                      </c:pt>
                      <c:pt idx="43">
                        <c:v>5.9459550000000002E-3</c:v>
                      </c:pt>
                      <c:pt idx="44">
                        <c:v>1.4672810999999999E-2</c:v>
                      </c:pt>
                      <c:pt idx="45">
                        <c:v>1.5052760000000001E-3</c:v>
                      </c:pt>
                      <c:pt idx="46">
                        <c:v>1.2085419999999999E-3</c:v>
                      </c:pt>
                      <c:pt idx="47">
                        <c:v>9.5571299999999996E-4</c:v>
                      </c:pt>
                      <c:pt idx="48">
                        <c:v>3.1576400000000001E-4</c:v>
                      </c:pt>
                      <c:pt idx="49">
                        <c:v>2.9737399999999999E-4</c:v>
                      </c:pt>
                      <c:pt idx="50">
                        <c:v>2.7636400000000003E-4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8.5066000000000002E-5</c:v>
                </c:pt>
                <c:pt idx="1">
                  <c:v>2.0613999999999999E-5</c:v>
                </c:pt>
                <c:pt idx="2">
                  <c:v>1.3876000000000001E-5</c:v>
                </c:pt>
                <c:pt idx="3">
                  <c:v>1.2367E-5</c:v>
                </c:pt>
                <c:pt idx="4">
                  <c:v>5.4909999999999996E-6</c:v>
                </c:pt>
                <c:pt idx="5">
                  <c:v>5.8409999999999996E-6</c:v>
                </c:pt>
                <c:pt idx="6">
                  <c:v>6.8599999999999998E-7</c:v>
                </c:pt>
                <c:pt idx="7">
                  <c:v>3.4400000000000001E-7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6.5E-8</c:v>
                </c:pt>
                <c:pt idx="12">
                  <c:v>2.1400000000000001E-7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1.86095E-4</c:v>
                      </c:pt>
                      <c:pt idx="1">
                        <c:v>4.2585E-5</c:v>
                      </c:pt>
                      <c:pt idx="2">
                        <c:v>1.3780699999999999E-4</c:v>
                      </c:pt>
                      <c:pt idx="3">
                        <c:v>3.3600999999999999E-5</c:v>
                      </c:pt>
                      <c:pt idx="4">
                        <c:v>4.1431999999999999E-5</c:v>
                      </c:pt>
                      <c:pt idx="5">
                        <c:v>5.7092000000000002E-5</c:v>
                      </c:pt>
                      <c:pt idx="6">
                        <c:v>2.2378000000000002E-5</c:v>
                      </c:pt>
                      <c:pt idx="7">
                        <c:v>2.2340000000000001E-6</c:v>
                      </c:pt>
                      <c:pt idx="8">
                        <c:v>1.1149999999999999E-6</c:v>
                      </c:pt>
                      <c:pt idx="9">
                        <c:v>5.5879999999999997E-6</c:v>
                      </c:pt>
                      <c:pt idx="10">
                        <c:v>1.5645999999999999E-5</c:v>
                      </c:pt>
                      <c:pt idx="11">
                        <c:v>4.4680000000000003E-6</c:v>
                      </c:pt>
                      <c:pt idx="12">
                        <c:v>9.5999999999999991E-7</c:v>
                      </c:pt>
                      <c:pt idx="13">
                        <c:v>4.2800000000000002E-7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5.99583E-4</c:v>
                      </c:pt>
                      <c:pt idx="1">
                        <c:v>8.5097000000000002E-5</c:v>
                      </c:pt>
                      <c:pt idx="2">
                        <c:v>1.4962100000000001E-4</c:v>
                      </c:pt>
                      <c:pt idx="3">
                        <c:v>4.978863E-3</c:v>
                      </c:pt>
                      <c:pt idx="4">
                        <c:v>7.9359999999999999E-5</c:v>
                      </c:pt>
                      <c:pt idx="5">
                        <c:v>3.0700000000000001E-5</c:v>
                      </c:pt>
                      <c:pt idx="6">
                        <c:v>2.1303139999999999E-3</c:v>
                      </c:pt>
                      <c:pt idx="7">
                        <c:v>6.3865099999999995E-4</c:v>
                      </c:pt>
                      <c:pt idx="8">
                        <c:v>0</c:v>
                      </c:pt>
                      <c:pt idx="9">
                        <c:v>8.2905100000000003E-4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9.5730999999999995E-5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0.150348801</c:v>
                      </c:pt>
                      <c:pt idx="1">
                        <c:v>7.8930366000000002E-2</c:v>
                      </c:pt>
                      <c:pt idx="2">
                        <c:v>3.5891684E-2</c:v>
                      </c:pt>
                      <c:pt idx="3">
                        <c:v>2.0412396999999999E-2</c:v>
                      </c:pt>
                      <c:pt idx="4">
                        <c:v>2.9873269000000001E-2</c:v>
                      </c:pt>
                      <c:pt idx="5">
                        <c:v>1.2615593E-2</c:v>
                      </c:pt>
                      <c:pt idx="6">
                        <c:v>7.2873713000000007E-2</c:v>
                      </c:pt>
                      <c:pt idx="7">
                        <c:v>1.0912349E-2</c:v>
                      </c:pt>
                      <c:pt idx="8">
                        <c:v>1.2460420999999999E-2</c:v>
                      </c:pt>
                      <c:pt idx="9">
                        <c:v>9.6797129999999995E-3</c:v>
                      </c:pt>
                      <c:pt idx="10">
                        <c:v>1.2013041E-2</c:v>
                      </c:pt>
                      <c:pt idx="11">
                        <c:v>3.4555880999999997E-2</c:v>
                      </c:pt>
                      <c:pt idx="12">
                        <c:v>1.4672810999999999E-2</c:v>
                      </c:pt>
                      <c:pt idx="13">
                        <c:v>1.5052760000000001E-3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5.5273529999999996E-3</c:v>
                </c:pt>
                <c:pt idx="1">
                  <c:v>8.9676440000000003E-3</c:v>
                </c:pt>
                <c:pt idx="2">
                  <c:v>6.3264669999999997E-3</c:v>
                </c:pt>
                <c:pt idx="3">
                  <c:v>8.3238199999999991E-3</c:v>
                </c:pt>
                <c:pt idx="4">
                  <c:v>5.6919020000000004E-3</c:v>
                </c:pt>
                <c:pt idx="5">
                  <c:v>5.6604719999999997E-3</c:v>
                </c:pt>
                <c:pt idx="6">
                  <c:v>1.4257989999999999E-3</c:v>
                </c:pt>
                <c:pt idx="7">
                  <c:v>1.4843510000000001E-2</c:v>
                </c:pt>
                <c:pt idx="8">
                  <c:v>3.236367E-3</c:v>
                </c:pt>
                <c:pt idx="9">
                  <c:v>4.0230800000000001E-3</c:v>
                </c:pt>
                <c:pt idx="10">
                  <c:v>2.0179465000000001E-2</c:v>
                </c:pt>
                <c:pt idx="11">
                  <c:v>5.0662420000000003E-3</c:v>
                </c:pt>
                <c:pt idx="12">
                  <c:v>7.0012959999999997E-3</c:v>
                </c:pt>
                <c:pt idx="13">
                  <c:v>2.4362559999999999E-3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9.938512E-3</c:v>
                </c:pt>
                <c:pt idx="1">
                  <c:v>1.6126273E-2</c:v>
                </c:pt>
                <c:pt idx="2">
                  <c:v>1.1375532000000001E-2</c:v>
                </c:pt>
                <c:pt idx="3">
                  <c:v>1.2413103999999999E-2</c:v>
                </c:pt>
                <c:pt idx="4">
                  <c:v>8.4878369999999998E-3</c:v>
                </c:pt>
                <c:pt idx="5">
                  <c:v>8.4408480000000008E-3</c:v>
                </c:pt>
                <c:pt idx="6">
                  <c:v>2.1261750000000001E-3</c:v>
                </c:pt>
                <c:pt idx="7">
                  <c:v>8.8538079999999995E-3</c:v>
                </c:pt>
                <c:pt idx="8">
                  <c:v>3.860792E-3</c:v>
                </c:pt>
                <c:pt idx="9">
                  <c:v>4.7992800000000004E-3</c:v>
                </c:pt>
                <c:pt idx="10">
                  <c:v>7.2565219999999996E-3</c:v>
                </c:pt>
                <c:pt idx="11">
                  <c:v>1.8217934000000002E-2</c:v>
                </c:pt>
                <c:pt idx="12">
                  <c:v>2.5176019999999999E-3</c:v>
                </c:pt>
                <c:pt idx="13">
                  <c:v>1.752094E-3</c:v>
                </c:pt>
                <c:pt idx="14">
                  <c:v>8.6656909999999997E-3</c:v>
                </c:pt>
                <c:pt idx="15">
                  <c:v>1.5223649999999999E-3</c:v>
                </c:pt>
                <c:pt idx="16">
                  <c:v>2.6720170000000001E-3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3.2130939999999997E-2</c:v>
                      </c:pt>
                      <c:pt idx="8">
                        <c:v>0</c:v>
                      </c:pt>
                      <c:pt idx="9">
                        <c:v>4.8439260000000001E-3</c:v>
                      </c:pt>
                      <c:pt idx="10">
                        <c:v>3.8674159999999998E-3</c:v>
                      </c:pt>
                      <c:pt idx="11">
                        <c:v>1.3290161E-2</c:v>
                      </c:pt>
                      <c:pt idx="12">
                        <c:v>8.3748120000000006E-3</c:v>
                      </c:pt>
                      <c:pt idx="13">
                        <c:v>6.6450520000000003E-3</c:v>
                      </c:pt>
                      <c:pt idx="14">
                        <c:v>4.4480479999999996E-3</c:v>
                      </c:pt>
                      <c:pt idx="15">
                        <c:v>3.1187300000000001E-3</c:v>
                      </c:pt>
                      <c:pt idx="16">
                        <c:v>3.3130870000000001E-3</c:v>
                      </c:pt>
                      <c:pt idx="17">
                        <c:v>2.2594160000000002E-3</c:v>
                      </c:pt>
                      <c:pt idx="18">
                        <c:v>2.3464269999999999E-3</c:v>
                      </c:pt>
                      <c:pt idx="19">
                        <c:v>6.4238999999999995E-4</c:v>
                      </c:pt>
                      <c:pt idx="20">
                        <c:v>3.0007530000000001E-3</c:v>
                      </c:pt>
                      <c:pt idx="21">
                        <c:v>1.4099627E-2</c:v>
                      </c:pt>
                      <c:pt idx="22">
                        <c:v>2.435165E-3</c:v>
                      </c:pt>
                      <c:pt idx="23">
                        <c:v>1.9520799999999999E-3</c:v>
                      </c:pt>
                      <c:pt idx="24">
                        <c:v>7.05812E-4</c:v>
                      </c:pt>
                      <c:pt idx="25">
                        <c:v>2.3011099999999999E-3</c:v>
                      </c:pt>
                      <c:pt idx="26">
                        <c:v>6.458119E-3</c:v>
                      </c:pt>
                      <c:pt idx="27">
                        <c:v>2.3146859999999998E-3</c:v>
                      </c:pt>
                      <c:pt idx="28">
                        <c:v>6.4347659999999997E-3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1.9520799999999999E-3</c:v>
                      </c:pt>
                      <c:pt idx="1">
                        <c:v>7.05812E-4</c:v>
                      </c:pt>
                      <c:pt idx="2">
                        <c:v>2.3011099999999999E-3</c:v>
                      </c:pt>
                      <c:pt idx="3">
                        <c:v>6.458119E-3</c:v>
                      </c:pt>
                      <c:pt idx="4">
                        <c:v>2.3146859999999998E-3</c:v>
                      </c:pt>
                      <c:pt idx="5">
                        <c:v>6.4347659999999997E-3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tabSelected="1"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H020194-2.1.0.0</v>
      </c>
      <c r="C1" s="11" t="s">
        <v>294</v>
      </c>
    </row>
    <row r="2" spans="1:10" ht="16.2">
      <c r="A2" s="2" t="s">
        <v>85</v>
      </c>
      <c r="B2" s="11" t="s">
        <v>295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0.11180553199999999</v>
      </c>
      <c r="H5" s="188">
        <f>SUM('Multiplier Weight'!$N$12:$N$61)-I5-J5</f>
        <v>1.7337314000000003E-2</v>
      </c>
      <c r="I5" s="188">
        <f>SUM('Multiplier Weight'!$N$15:$N$61)-J5</f>
        <v>1.9913046999999996E-2</v>
      </c>
      <c r="J5" s="189">
        <f>SUM('Multiplier Weight'!$N$19:$N$61)</f>
        <v>3.6290610000000007E-3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0.11318055199999999</v>
      </c>
      <c r="H6" s="188">
        <f>SUM('Multiplier Weight'!N79:N126)-I6-J6</f>
        <v>2.2519713999999989E-2</v>
      </c>
      <c r="I6" s="188">
        <f>SUM('Multiplier Weight'!N81:N126)-J6</f>
        <v>2.0716048000000008E-2</v>
      </c>
      <c r="J6" s="189">
        <f>SUM('Multiplier Weight'!N87:N126)</f>
        <v>3.5966239999999984E-3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0.14319852099999997</v>
      </c>
      <c r="H7" s="188">
        <f>SUM('Multiplier Weight'!N153:N191)-I7-J7</f>
        <v>5.3852229999999928E-3</v>
      </c>
      <c r="I7" s="188">
        <f>SUM('Multiplier Weight'!N156:N191)-J7</f>
        <v>2.2605208000000009E-2</v>
      </c>
      <c r="J7" s="189">
        <f>SUM('Multiplier Weight'!N164:N191)</f>
        <v>4.0780520000000004E-3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7" t="s">
        <v>292</v>
      </c>
      <c r="B18" s="318"/>
      <c r="C18" s="318"/>
      <c r="D18" s="318"/>
      <c r="E18" s="318"/>
      <c r="F18" s="319"/>
    </row>
    <row r="19" spans="1:6" ht="31.8" customHeight="1">
      <c r="A19" s="320"/>
      <c r="B19" s="321"/>
      <c r="C19" s="321"/>
      <c r="D19" s="321"/>
      <c r="E19" s="321"/>
      <c r="F19" s="322"/>
    </row>
    <row r="20" spans="1:6" ht="31.8" customHeight="1">
      <c r="A20" s="320"/>
      <c r="B20" s="321"/>
      <c r="C20" s="321"/>
      <c r="D20" s="321"/>
      <c r="E20" s="321"/>
      <c r="F20" s="322"/>
    </row>
    <row r="21" spans="1:6" ht="31.8" customHeight="1">
      <c r="A21" s="320"/>
      <c r="B21" s="321"/>
      <c r="C21" s="321"/>
      <c r="D21" s="321"/>
      <c r="E21" s="321"/>
      <c r="F21" s="322"/>
    </row>
    <row r="22" spans="1:6" ht="31.8" customHeight="1" thickBot="1">
      <c r="A22" s="323"/>
      <c r="B22" s="324"/>
      <c r="C22" s="324"/>
      <c r="D22" s="324"/>
      <c r="E22" s="324"/>
      <c r="F22" s="325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10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888194468</v>
      </c>
      <c r="D3" s="100">
        <v>886819448</v>
      </c>
      <c r="E3" s="311">
        <v>856801479</v>
      </c>
      <c r="F3" s="100">
        <v>0</v>
      </c>
      <c r="G3" s="261">
        <v>901290327</v>
      </c>
      <c r="H3" s="261">
        <v>870973614</v>
      </c>
      <c r="I3" s="261">
        <v>875017477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11579880</v>
      </c>
      <c r="D4" s="101">
        <v>3982354</v>
      </c>
      <c r="E4" s="312">
        <v>0</v>
      </c>
      <c r="F4" s="101">
        <v>0</v>
      </c>
      <c r="G4" s="262">
        <v>5527353</v>
      </c>
      <c r="H4" s="262">
        <v>9938512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16080932</v>
      </c>
      <c r="D5" s="101">
        <v>11526820</v>
      </c>
      <c r="E5" s="312">
        <v>0</v>
      </c>
      <c r="F5" s="101">
        <v>0</v>
      </c>
      <c r="G5" s="262">
        <v>8967644</v>
      </c>
      <c r="H5" s="262">
        <v>16126273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11410875</v>
      </c>
      <c r="D6" s="101">
        <v>5902481</v>
      </c>
      <c r="E6" s="312">
        <v>0</v>
      </c>
      <c r="F6" s="101">
        <v>0</v>
      </c>
      <c r="G6" s="262">
        <v>6326467</v>
      </c>
      <c r="H6" s="262">
        <v>11375532</v>
      </c>
      <c r="I6" s="262">
        <v>0</v>
      </c>
      <c r="J6" s="262"/>
    </row>
    <row r="7" spans="1:16">
      <c r="A7" s="8">
        <v>3</v>
      </c>
      <c r="B7" s="8">
        <v>4</v>
      </c>
      <c r="C7" s="101">
        <v>12132340</v>
      </c>
      <c r="D7" s="101">
        <v>10885382</v>
      </c>
      <c r="E7" s="312">
        <v>0</v>
      </c>
      <c r="F7" s="101">
        <v>0</v>
      </c>
      <c r="G7" s="262">
        <v>8323820</v>
      </c>
      <c r="H7" s="262">
        <v>12413104</v>
      </c>
      <c r="I7" s="262">
        <v>0</v>
      </c>
      <c r="J7" s="262"/>
    </row>
    <row r="8" spans="1:16">
      <c r="A8" s="8">
        <v>4</v>
      </c>
      <c r="B8" s="8">
        <v>5</v>
      </c>
      <c r="C8" s="101">
        <v>9898511</v>
      </c>
      <c r="D8" s="101">
        <v>10159470</v>
      </c>
      <c r="E8" s="312">
        <v>0</v>
      </c>
      <c r="F8" s="101">
        <v>0</v>
      </c>
      <c r="G8" s="262">
        <v>5691902</v>
      </c>
      <c r="H8" s="262">
        <v>8487837</v>
      </c>
      <c r="I8" s="262">
        <v>0</v>
      </c>
      <c r="J8" s="262"/>
    </row>
    <row r="9" spans="1:16">
      <c r="A9" s="8">
        <v>5</v>
      </c>
      <c r="B9" s="8">
        <v>6</v>
      </c>
      <c r="C9" s="101">
        <v>7903008</v>
      </c>
      <c r="D9" s="101">
        <v>8976598</v>
      </c>
      <c r="E9" s="312">
        <v>0</v>
      </c>
      <c r="F9" s="101">
        <v>0</v>
      </c>
      <c r="G9" s="262">
        <v>5660472</v>
      </c>
      <c r="H9" s="262">
        <v>8440848</v>
      </c>
      <c r="I9" s="262">
        <v>0</v>
      </c>
      <c r="J9" s="262"/>
    </row>
    <row r="10" spans="1:16">
      <c r="A10" s="8">
        <v>6</v>
      </c>
      <c r="B10" s="8">
        <v>7</v>
      </c>
      <c r="C10" s="101">
        <v>1920564</v>
      </c>
      <c r="D10" s="101">
        <v>2048720</v>
      </c>
      <c r="E10" s="312">
        <v>0</v>
      </c>
      <c r="F10" s="101">
        <v>0</v>
      </c>
      <c r="G10" s="262">
        <v>1425799</v>
      </c>
      <c r="H10" s="262">
        <v>2126175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8247581</v>
      </c>
      <c r="D11" s="101">
        <v>9339459</v>
      </c>
      <c r="E11" s="312">
        <v>33077791</v>
      </c>
      <c r="F11" s="101">
        <v>0</v>
      </c>
      <c r="G11" s="262">
        <v>14843510</v>
      </c>
      <c r="H11" s="262">
        <v>8853808</v>
      </c>
      <c r="I11" s="262">
        <v>32130940</v>
      </c>
      <c r="J11" s="262"/>
    </row>
    <row r="12" spans="1:16">
      <c r="A12" s="8">
        <v>8</v>
      </c>
      <c r="B12" s="8">
        <v>9</v>
      </c>
      <c r="C12" s="101">
        <v>3017986</v>
      </c>
      <c r="D12" s="101">
        <v>3526882</v>
      </c>
      <c r="E12" s="312">
        <v>0</v>
      </c>
      <c r="F12" s="101">
        <v>0</v>
      </c>
      <c r="G12" s="262">
        <v>3236367</v>
      </c>
      <c r="H12" s="262">
        <v>3860792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6071747</v>
      </c>
      <c r="D13" s="101">
        <v>8205028</v>
      </c>
      <c r="E13" s="312">
        <v>24931504</v>
      </c>
      <c r="F13" s="101">
        <v>0</v>
      </c>
      <c r="G13" s="262">
        <v>4023080</v>
      </c>
      <c r="H13" s="262">
        <v>4799280</v>
      </c>
      <c r="I13" s="262">
        <v>4843926</v>
      </c>
      <c r="J13" s="262"/>
    </row>
    <row r="14" spans="1:16">
      <c r="A14" s="8">
        <v>10</v>
      </c>
      <c r="B14" s="8">
        <v>15</v>
      </c>
      <c r="C14" s="101">
        <v>9673112</v>
      </c>
      <c r="D14" s="101">
        <v>14314686</v>
      </c>
      <c r="E14" s="312">
        <v>3980300</v>
      </c>
      <c r="F14" s="101">
        <v>0</v>
      </c>
      <c r="G14" s="262">
        <v>20179465</v>
      </c>
      <c r="H14" s="262">
        <v>7256522</v>
      </c>
      <c r="I14" s="262">
        <v>3867416</v>
      </c>
      <c r="J14" s="262"/>
    </row>
    <row r="15" spans="1:16">
      <c r="A15" s="8">
        <v>15</v>
      </c>
      <c r="B15" s="8">
        <v>20</v>
      </c>
      <c r="C15" s="101">
        <v>5744066</v>
      </c>
      <c r="D15" s="101">
        <v>9013374</v>
      </c>
      <c r="E15" s="312">
        <v>13676142</v>
      </c>
      <c r="F15" s="101">
        <v>0</v>
      </c>
      <c r="G15" s="262">
        <v>5066242</v>
      </c>
      <c r="H15" s="262">
        <v>18217934</v>
      </c>
      <c r="I15" s="262">
        <v>13290161</v>
      </c>
      <c r="J15" s="262"/>
    </row>
    <row r="16" spans="1:16">
      <c r="A16" s="8">
        <v>20</v>
      </c>
      <c r="B16" s="8">
        <v>25</v>
      </c>
      <c r="C16" s="101">
        <v>2408182</v>
      </c>
      <c r="D16" s="101">
        <v>5032705</v>
      </c>
      <c r="E16" s="312">
        <v>8616958</v>
      </c>
      <c r="F16" s="101">
        <v>0</v>
      </c>
      <c r="G16" s="262">
        <v>7001296</v>
      </c>
      <c r="H16" s="262">
        <v>2517602</v>
      </c>
      <c r="I16" s="262">
        <v>8374812</v>
      </c>
      <c r="J16" s="262"/>
    </row>
    <row r="17" spans="1:10">
      <c r="A17" s="8">
        <v>25</v>
      </c>
      <c r="B17" s="8">
        <v>30</v>
      </c>
      <c r="C17" s="101">
        <v>2087687</v>
      </c>
      <c r="D17" s="101">
        <v>3354522</v>
      </c>
      <c r="E17" s="312">
        <v>6836494</v>
      </c>
      <c r="F17" s="101">
        <v>0</v>
      </c>
      <c r="G17" s="262">
        <v>2436256</v>
      </c>
      <c r="H17" s="262">
        <v>1752094</v>
      </c>
      <c r="I17" s="262">
        <v>6645052</v>
      </c>
      <c r="J17" s="262"/>
    </row>
    <row r="18" spans="1:10">
      <c r="A18" s="8">
        <v>30</v>
      </c>
      <c r="B18" s="8">
        <v>35</v>
      </c>
      <c r="C18" s="101">
        <v>398957</v>
      </c>
      <c r="D18" s="101">
        <v>602388</v>
      </c>
      <c r="E18" s="312">
        <v>4576033</v>
      </c>
      <c r="F18" s="101">
        <v>0</v>
      </c>
      <c r="G18" s="262">
        <v>0</v>
      </c>
      <c r="H18" s="262">
        <v>8665691</v>
      </c>
      <c r="I18" s="262">
        <v>4448048</v>
      </c>
      <c r="J18" s="262"/>
    </row>
    <row r="19" spans="1:10">
      <c r="A19" s="8">
        <v>35</v>
      </c>
      <c r="B19" s="8">
        <v>40</v>
      </c>
      <c r="C19" s="101">
        <v>930970</v>
      </c>
      <c r="D19" s="101">
        <v>2022290</v>
      </c>
      <c r="E19" s="312">
        <v>4010191</v>
      </c>
      <c r="F19" s="101">
        <v>0</v>
      </c>
      <c r="G19" s="262">
        <v>0</v>
      </c>
      <c r="H19" s="262">
        <v>1522365</v>
      </c>
      <c r="I19" s="262">
        <v>3118730</v>
      </c>
      <c r="J19" s="262"/>
    </row>
    <row r="20" spans="1:10">
      <c r="A20" s="8">
        <v>40</v>
      </c>
      <c r="B20" s="8">
        <v>45</v>
      </c>
      <c r="C20" s="101">
        <v>216237</v>
      </c>
      <c r="D20" s="101">
        <v>690769</v>
      </c>
      <c r="E20" s="312">
        <v>8519690</v>
      </c>
      <c r="F20" s="101">
        <v>0</v>
      </c>
      <c r="G20" s="262">
        <v>0</v>
      </c>
      <c r="H20" s="262">
        <v>2672017</v>
      </c>
      <c r="I20" s="262">
        <v>3313087</v>
      </c>
      <c r="J20" s="262"/>
    </row>
    <row r="21" spans="1:10">
      <c r="A21" s="8">
        <v>45</v>
      </c>
      <c r="B21" s="8">
        <v>50</v>
      </c>
      <c r="C21" s="101">
        <v>1081170</v>
      </c>
      <c r="D21" s="101">
        <v>1008430</v>
      </c>
      <c r="E21" s="312">
        <v>2904935</v>
      </c>
      <c r="F21" s="101">
        <v>0</v>
      </c>
      <c r="G21" s="262">
        <v>0</v>
      </c>
      <c r="H21" s="262">
        <v>0</v>
      </c>
      <c r="I21" s="262">
        <v>2259416</v>
      </c>
      <c r="J21" s="262"/>
    </row>
    <row r="22" spans="1:10">
      <c r="A22" s="8">
        <v>50</v>
      </c>
      <c r="B22" s="8">
        <v>60</v>
      </c>
      <c r="C22" s="101">
        <v>421587</v>
      </c>
      <c r="D22" s="101">
        <v>973294</v>
      </c>
      <c r="E22" s="312">
        <v>3016533</v>
      </c>
      <c r="F22" s="101">
        <v>90775122</v>
      </c>
      <c r="G22" s="262">
        <v>0</v>
      </c>
      <c r="H22" s="262">
        <v>0</v>
      </c>
      <c r="I22" s="262">
        <v>2346427</v>
      </c>
      <c r="J22" s="262"/>
    </row>
    <row r="23" spans="1:10">
      <c r="A23" s="8">
        <v>60</v>
      </c>
      <c r="B23" s="8">
        <v>70</v>
      </c>
      <c r="C23" s="101">
        <v>43346</v>
      </c>
      <c r="D23" s="101">
        <v>112226</v>
      </c>
      <c r="E23" s="312">
        <v>825805</v>
      </c>
      <c r="F23" s="101">
        <v>71105003</v>
      </c>
      <c r="G23" s="262">
        <v>0</v>
      </c>
      <c r="H23" s="262">
        <v>0</v>
      </c>
      <c r="I23" s="262">
        <v>642390</v>
      </c>
      <c r="J23" s="262"/>
    </row>
    <row r="24" spans="1:10">
      <c r="A24" s="8">
        <v>70</v>
      </c>
      <c r="B24" s="8">
        <v>80</v>
      </c>
      <c r="C24" s="101">
        <v>185831</v>
      </c>
      <c r="D24" s="101">
        <v>371433</v>
      </c>
      <c r="E24" s="312">
        <v>1542885</v>
      </c>
      <c r="F24" s="101">
        <v>61193335</v>
      </c>
      <c r="G24" s="262">
        <v>0</v>
      </c>
      <c r="H24" s="262">
        <v>0</v>
      </c>
      <c r="I24" s="262">
        <v>3000753</v>
      </c>
      <c r="J24" s="262"/>
    </row>
    <row r="25" spans="1:10">
      <c r="A25" s="8">
        <v>80</v>
      </c>
      <c r="B25" s="8">
        <v>90</v>
      </c>
      <c r="C25" s="101">
        <v>71509</v>
      </c>
      <c r="D25" s="101">
        <v>216478</v>
      </c>
      <c r="E25" s="312">
        <v>14498254</v>
      </c>
      <c r="F25" s="101">
        <v>74031785</v>
      </c>
      <c r="G25" s="262">
        <v>0</v>
      </c>
      <c r="H25" s="262">
        <v>0</v>
      </c>
      <c r="I25" s="262">
        <v>14099627</v>
      </c>
      <c r="J25" s="262"/>
    </row>
    <row r="26" spans="1:10">
      <c r="A26" s="8">
        <v>90</v>
      </c>
      <c r="B26" s="8">
        <v>100</v>
      </c>
      <c r="C26" s="101">
        <v>134890</v>
      </c>
      <c r="D26" s="101">
        <v>363334</v>
      </c>
      <c r="E26" s="312">
        <v>2183730</v>
      </c>
      <c r="F26" s="101">
        <v>136453486</v>
      </c>
      <c r="G26" s="262">
        <v>0</v>
      </c>
      <c r="H26" s="262">
        <v>0</v>
      </c>
      <c r="I26" s="262">
        <v>2435165</v>
      </c>
      <c r="J26" s="262"/>
    </row>
    <row r="27" spans="1:10">
      <c r="A27" s="8">
        <v>100</v>
      </c>
      <c r="B27" s="8">
        <v>120</v>
      </c>
      <c r="C27" s="101">
        <v>85066</v>
      </c>
      <c r="D27" s="101">
        <v>186095</v>
      </c>
      <c r="E27" s="312">
        <v>599583</v>
      </c>
      <c r="F27" s="101">
        <v>150348801</v>
      </c>
      <c r="G27" s="262">
        <v>0</v>
      </c>
      <c r="H27" s="262">
        <v>0</v>
      </c>
      <c r="I27" s="262">
        <v>1952080</v>
      </c>
      <c r="J27" s="262"/>
    </row>
    <row r="28" spans="1:10">
      <c r="A28" s="8">
        <v>120</v>
      </c>
      <c r="B28" s="8">
        <v>140</v>
      </c>
      <c r="C28" s="101">
        <v>20614</v>
      </c>
      <c r="D28" s="101">
        <v>42585</v>
      </c>
      <c r="E28" s="312">
        <v>85097</v>
      </c>
      <c r="F28" s="101">
        <v>78930366</v>
      </c>
      <c r="G28" s="262">
        <v>0</v>
      </c>
      <c r="H28" s="262">
        <v>0</v>
      </c>
      <c r="I28" s="262">
        <v>705812</v>
      </c>
      <c r="J28" s="262"/>
    </row>
    <row r="29" spans="1:10">
      <c r="A29" s="8">
        <v>140</v>
      </c>
      <c r="B29" s="8">
        <v>160</v>
      </c>
      <c r="C29" s="101">
        <v>13876</v>
      </c>
      <c r="D29" s="101">
        <v>137807</v>
      </c>
      <c r="E29" s="312">
        <v>149621</v>
      </c>
      <c r="F29" s="101">
        <v>35891684</v>
      </c>
      <c r="G29" s="262">
        <v>0</v>
      </c>
      <c r="H29" s="262">
        <v>0</v>
      </c>
      <c r="I29" s="262">
        <v>2301110</v>
      </c>
      <c r="J29" s="262"/>
    </row>
    <row r="30" spans="1:10">
      <c r="A30" s="8">
        <v>160</v>
      </c>
      <c r="B30" s="8">
        <v>180</v>
      </c>
      <c r="C30" s="101">
        <v>12367</v>
      </c>
      <c r="D30" s="101">
        <v>33601</v>
      </c>
      <c r="E30" s="312">
        <v>4978863</v>
      </c>
      <c r="F30" s="101">
        <v>20412397</v>
      </c>
      <c r="G30" s="262">
        <v>0</v>
      </c>
      <c r="H30" s="262">
        <v>0</v>
      </c>
      <c r="I30" s="262">
        <v>6458119</v>
      </c>
      <c r="J30" s="262"/>
    </row>
    <row r="31" spans="1:10">
      <c r="A31" s="8">
        <v>180</v>
      </c>
      <c r="B31" s="8">
        <v>200</v>
      </c>
      <c r="C31" s="101">
        <v>5491</v>
      </c>
      <c r="D31" s="101">
        <v>41432</v>
      </c>
      <c r="E31" s="312">
        <v>79360</v>
      </c>
      <c r="F31" s="101">
        <v>29873269</v>
      </c>
      <c r="G31" s="262">
        <v>0</v>
      </c>
      <c r="H31" s="262">
        <v>0</v>
      </c>
      <c r="I31" s="262">
        <v>2314686</v>
      </c>
      <c r="J31" s="262"/>
    </row>
    <row r="32" spans="1:10">
      <c r="A32" s="8">
        <v>200</v>
      </c>
      <c r="B32" s="8">
        <v>250</v>
      </c>
      <c r="C32" s="101">
        <v>5841</v>
      </c>
      <c r="D32" s="101">
        <v>57092</v>
      </c>
      <c r="E32" s="312">
        <v>30700</v>
      </c>
      <c r="F32" s="101">
        <v>12615593</v>
      </c>
      <c r="G32" s="262">
        <v>0</v>
      </c>
      <c r="H32" s="262">
        <v>0</v>
      </c>
      <c r="I32" s="262">
        <v>6434766</v>
      </c>
      <c r="J32" s="262"/>
    </row>
    <row r="33" spans="1:10">
      <c r="A33" s="8">
        <v>250</v>
      </c>
      <c r="B33" s="8">
        <v>300</v>
      </c>
      <c r="C33" s="101">
        <v>686</v>
      </c>
      <c r="D33" s="101">
        <v>22378</v>
      </c>
      <c r="E33" s="312">
        <v>2130314</v>
      </c>
      <c r="F33" s="101">
        <v>72873713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344</v>
      </c>
      <c r="D34" s="101">
        <v>2234</v>
      </c>
      <c r="E34" s="312">
        <v>638651</v>
      </c>
      <c r="F34" s="101">
        <v>10912349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1115</v>
      </c>
      <c r="E35" s="312">
        <v>0</v>
      </c>
      <c r="F35" s="101">
        <v>12460421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5588</v>
      </c>
      <c r="E36" s="312">
        <v>829051</v>
      </c>
      <c r="F36" s="101">
        <v>9679713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15646</v>
      </c>
      <c r="E37" s="312">
        <v>0</v>
      </c>
      <c r="F37" s="101">
        <v>12013041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65</v>
      </c>
      <c r="D38" s="101">
        <v>4468</v>
      </c>
      <c r="E38" s="312">
        <v>0</v>
      </c>
      <c r="F38" s="101">
        <v>34555881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18163383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312">
        <v>0</v>
      </c>
      <c r="F40" s="101">
        <v>11977512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5630642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4755298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7810255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284313</v>
      </c>
      <c r="F44" s="101">
        <v>4376049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4248122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3260661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5945955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214</v>
      </c>
      <c r="D48" s="101">
        <v>960</v>
      </c>
      <c r="E48" s="312">
        <v>0</v>
      </c>
      <c r="F48" s="101">
        <v>14672811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428</v>
      </c>
      <c r="E49" s="312">
        <v>95731</v>
      </c>
      <c r="F49" s="101">
        <v>1505276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1208542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60056</v>
      </c>
      <c r="F51" s="101">
        <v>955713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315764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297374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276364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34130</v>
      </c>
      <c r="F55" s="101">
        <v>222030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70069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5806</v>
      </c>
      <c r="F57" s="101">
        <v>182221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0.89999999997141111</v>
      </c>
      <c r="P2" s="215">
        <v>0.94</v>
      </c>
      <c r="Q2" s="181">
        <f>P2-O2</f>
        <v>4.0000000028588834E-2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0.91998770794638574</v>
      </c>
      <c r="R3" s="216">
        <f>1-SUM(_xlfn.ANCHORARRAY(R4))</f>
        <v>-2.1752781999975213E-2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1.116960318834624</v>
      </c>
      <c r="L4" s="185" cm="1">
        <f t="array" ref="L4:L61">K4:K61*_xlfn.ANCHORARRAY(J4)*_xlfn.ANCHORARRAY(F4)</f>
        <v>0.88819446849999995</v>
      </c>
      <c r="M4" s="240" cm="1">
        <f t="array" ref="M4:M61">INT(_xlfn.ANCHORARRAY(L4)*$M$2)</f>
        <v>888194468</v>
      </c>
      <c r="N4" s="194" cm="1">
        <f t="array" ref="N4:N61">_xlfn.ANCHORARRAY(M4)/SUM(_xlfn.ANCHORARRAY(M4))</f>
        <v>0.88819446800000001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0.90524002459951625</v>
      </c>
      <c r="S4" s="182">
        <f>R4+R3</f>
        <v>0.88348724259954103</v>
      </c>
      <c r="T4" s="213" cm="1">
        <f t="array" ref="T4:T61">S4:S55/_xlfn.ANCHORARRAY(F4)</f>
        <v>1.1110406866717681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0.9473431699329482</v>
      </c>
      <c r="L5" s="188">
        <v>1.15798805E-2</v>
      </c>
      <c r="M5" s="233">
        <v>11579880</v>
      </c>
      <c r="N5" s="195">
        <v>1.1579880000000001E-2</v>
      </c>
      <c r="O5" s="211">
        <v>8.6940492560015174E-3</v>
      </c>
      <c r="P5" s="198">
        <v>1.1765347051168376E-2</v>
      </c>
      <c r="Q5" s="198">
        <v>8.8332959216166369E-3</v>
      </c>
      <c r="R5" s="1">
        <v>1.2021276080726487E-2</v>
      </c>
      <c r="S5" s="182" cm="1">
        <f t="array" ref="S5:S55">R5:R55</f>
        <v>1.2021276080726487E-2</v>
      </c>
      <c r="T5" s="1">
        <v>0.98345348114383024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0.80994974120131047</v>
      </c>
      <c r="L6" s="188">
        <v>1.6080932500000002E-2</v>
      </c>
      <c r="M6" s="233">
        <v>16080932</v>
      </c>
      <c r="N6" s="195">
        <v>1.6080931999999999E-2</v>
      </c>
      <c r="O6" s="211">
        <v>2.7614591333621628E-2</v>
      </c>
      <c r="P6" s="198">
        <v>1.6366761835715376E-2</v>
      </c>
      <c r="Q6" s="198">
        <v>2.8105425702191579E-2</v>
      </c>
      <c r="R6" s="1">
        <v>1.67227844379732E-2</v>
      </c>
      <c r="S6" s="182">
        <v>1.67227844379732E-2</v>
      </c>
      <c r="T6" s="1">
        <v>0.84227795419834606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0.81384659077576738</v>
      </c>
      <c r="L7" s="188">
        <v>1.1410875500000001E-2</v>
      </c>
      <c r="M7" s="233">
        <v>11410875</v>
      </c>
      <c r="N7" s="195">
        <v>1.1410874999999999E-2</v>
      </c>
      <c r="O7" s="211">
        <v>3.1371444076981551E-2</v>
      </c>
      <c r="P7" s="198">
        <v>1.1624640403900662E-2</v>
      </c>
      <c r="Q7" s="198">
        <v>3.1959140411755446E-2</v>
      </c>
      <c r="R7" s="1">
        <v>1.1877508672434813E-2</v>
      </c>
      <c r="S7" s="182">
        <v>1.1877508672434813E-2</v>
      </c>
      <c r="T7" s="1">
        <v>0.84712780714947622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0.65711054957262205</v>
      </c>
      <c r="L8" s="188">
        <v>1.21323405E-2</v>
      </c>
      <c r="M8" s="233">
        <v>12132340</v>
      </c>
      <c r="N8" s="195">
        <v>1.213234E-2</v>
      </c>
      <c r="O8" s="211">
        <v>4.4870484500619479E-2</v>
      </c>
      <c r="P8" s="198">
        <v>1.2367798075398522E-2</v>
      </c>
      <c r="Q8" s="198">
        <v>4.5741307270399677E-2</v>
      </c>
      <c r="R8" s="1">
        <v>1.2636832090752375E-2</v>
      </c>
      <c r="S8" s="182">
        <v>1.2636832090752375E-2</v>
      </c>
      <c r="T8" s="1">
        <v>0.6844347700273693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0.78552776000375202</v>
      </c>
      <c r="L9" s="188">
        <v>9.8985115000000002E-3</v>
      </c>
      <c r="M9" s="233">
        <v>9898511</v>
      </c>
      <c r="N9" s="195">
        <v>9.8985110000000005E-3</v>
      </c>
      <c r="O9" s="211">
        <v>4.7567462844222516E-2</v>
      </c>
      <c r="P9" s="198">
        <v>1.0096140468408626E-2</v>
      </c>
      <c r="Q9" s="198">
        <v>4.8517174613543247E-2</v>
      </c>
      <c r="R9" s="1">
        <v>1.0315759611059043E-2</v>
      </c>
      <c r="S9" s="182">
        <v>1.0315759611059043E-2</v>
      </c>
      <c r="T9" s="1">
        <v>0.81863980660247615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0.63003650987094673</v>
      </c>
      <c r="L10" s="188">
        <v>7.903008500000001E-3</v>
      </c>
      <c r="M10" s="233">
        <v>7903008</v>
      </c>
      <c r="N10" s="195">
        <v>7.9030079999999996E-3</v>
      </c>
      <c r="O10" s="211">
        <v>4.7038783308053021E-2</v>
      </c>
      <c r="P10" s="198">
        <v>8.0644016058650896E-3</v>
      </c>
      <c r="Q10" s="198">
        <v>4.7999399677616773E-2</v>
      </c>
      <c r="R10" s="1">
        <v>8.2398247759577197E-3</v>
      </c>
      <c r="S10" s="182">
        <v>8.2398247759577197E-3</v>
      </c>
      <c r="T10" s="1">
        <v>0.65688787299071694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0.60794191429588884</v>
      </c>
      <c r="L11" s="188">
        <v>1.9205644999999998E-3</v>
      </c>
      <c r="M11" s="233">
        <v>1920564</v>
      </c>
      <c r="N11" s="195">
        <v>1.920564E-3</v>
      </c>
      <c r="O11" s="211">
        <v>1.253708043142022E-2</v>
      </c>
      <c r="P11" s="198">
        <v>1.9601644638672913E-3</v>
      </c>
      <c r="Q11" s="198">
        <v>1.2795584808585355E-2</v>
      </c>
      <c r="R11" s="1">
        <v>2.002803494133894E-3</v>
      </c>
      <c r="S11" s="182">
        <v>2.002803494133894E-3</v>
      </c>
      <c r="T11" s="1">
        <v>0.63397412072453418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0.6273066172949483</v>
      </c>
      <c r="L12" s="188">
        <v>8.2475815000000001E-3</v>
      </c>
      <c r="M12" s="233">
        <v>8247581</v>
      </c>
      <c r="N12" s="195">
        <v>8.2475810000000004E-3</v>
      </c>
      <c r="O12" s="211">
        <v>6.3622485011289101E-2</v>
      </c>
      <c r="P12" s="198">
        <v>8.4202434744829677E-3</v>
      </c>
      <c r="Q12" s="198">
        <v>6.4954416846187676E-2</v>
      </c>
      <c r="R12" s="1">
        <v>8.6034071951701062E-3</v>
      </c>
      <c r="S12" s="182">
        <v>8.6034071951701062E-3</v>
      </c>
      <c r="T12" s="1">
        <v>0.65437052847712729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0.52393061169432942</v>
      </c>
      <c r="L13" s="188">
        <v>3.0179865E-3</v>
      </c>
      <c r="M13" s="233">
        <v>3017986</v>
      </c>
      <c r="N13" s="195">
        <v>3.0179859999999998E-3</v>
      </c>
      <c r="O13" s="211">
        <v>2.6924093161010357E-2</v>
      </c>
      <c r="P13" s="198">
        <v>3.0822244211840284E-3</v>
      </c>
      <c r="Q13" s="198">
        <v>2.7497177740088925E-2</v>
      </c>
      <c r="R13" s="1">
        <v>3.1492713770930434E-3</v>
      </c>
      <c r="S13" s="182">
        <v>3.1492713770930434E-3</v>
      </c>
      <c r="T13" s="1">
        <v>0.5467220211196443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0.85081748155119219</v>
      </c>
      <c r="L14" s="188">
        <v>6.0717474999999995E-3</v>
      </c>
      <c r="M14" s="233">
        <v>6071747</v>
      </c>
      <c r="N14" s="195">
        <v>6.0717469999999997E-3</v>
      </c>
      <c r="O14" s="211">
        <v>5.9201734016857431E-2</v>
      </c>
      <c r="P14" s="198">
        <v>6.2021371585412157E-3</v>
      </c>
      <c r="Q14" s="198">
        <v>6.047308532388207E-2</v>
      </c>
      <c r="R14" s="1">
        <v>6.3370508960849054E-3</v>
      </c>
      <c r="S14" s="182">
        <v>6.3370508960849054E-3</v>
      </c>
      <c r="T14" s="1">
        <v>0.88799372567266421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0.54010387986951891</v>
      </c>
      <c r="L15" s="188">
        <v>9.6731124999999991E-3</v>
      </c>
      <c r="M15" s="233">
        <v>9673112</v>
      </c>
      <c r="N15" s="195">
        <v>9.6731119999999993E-3</v>
      </c>
      <c r="O15" s="211">
        <v>0.1231424134297933</v>
      </c>
      <c r="P15" s="198">
        <v>9.886347575376592E-3</v>
      </c>
      <c r="Q15" s="198">
        <v>0.12585698381634153</v>
      </c>
      <c r="R15" s="1">
        <v>1.010140313895974E-2</v>
      </c>
      <c r="S15" s="182">
        <v>1.010140313895974E-2</v>
      </c>
      <c r="T15" s="1">
        <v>0.56401773756671314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0.5097118776932823</v>
      </c>
      <c r="L16" s="188">
        <v>5.7440665000000005E-3</v>
      </c>
      <c r="M16" s="233">
        <v>5744066</v>
      </c>
      <c r="N16" s="195">
        <v>5.7440659999999999E-3</v>
      </c>
      <c r="O16" s="211">
        <v>0.1025168694985393</v>
      </c>
      <c r="P16" s="198">
        <v>5.8748370439853752E-3</v>
      </c>
      <c r="Q16" s="198">
        <v>0.1048507977734645</v>
      </c>
      <c r="R16" s="1">
        <v>6.0026310934885654E-3</v>
      </c>
      <c r="S16" s="182">
        <v>6.0026310934885654E-3</v>
      </c>
      <c r="T16" s="1">
        <v>0.53265615322561755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0.38752435119532869</v>
      </c>
      <c r="L17" s="188">
        <v>2.4081824999999998E-3</v>
      </c>
      <c r="M17" s="233">
        <v>2408182</v>
      </c>
      <c r="N17" s="195">
        <v>2.408182E-3</v>
      </c>
      <c r="O17" s="211">
        <v>5.5973650072751346E-2</v>
      </c>
      <c r="P17" s="198">
        <v>2.464368450227477E-3</v>
      </c>
      <c r="Q17" s="198">
        <v>5.7279598171301564E-2</v>
      </c>
      <c r="R17" s="1">
        <v>2.5179753198928912E-3</v>
      </c>
      <c r="S17" s="182">
        <v>2.5179753198928912E-3</v>
      </c>
      <c r="T17" s="1">
        <v>0.40519219459793554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0.48237752985735383</v>
      </c>
      <c r="L18" s="188">
        <v>2.0876874999999997E-3</v>
      </c>
      <c r="M18" s="233">
        <v>2087687</v>
      </c>
      <c r="N18" s="195">
        <v>2.087687E-3</v>
      </c>
      <c r="O18" s="211">
        <v>5.936346478201511E-2</v>
      </c>
      <c r="P18" s="198">
        <v>2.1372963496844662E-3</v>
      </c>
      <c r="Q18" s="198">
        <v>6.0774108658636694E-2</v>
      </c>
      <c r="R18" s="1">
        <v>2.183788491248494E-3</v>
      </c>
      <c r="S18" s="182">
        <v>2.183788491248494E-3</v>
      </c>
      <c r="T18" s="1">
        <v>0.50458246176181354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0.18596408879309501</v>
      </c>
      <c r="L19" s="188">
        <v>3.9895750000000003E-4</v>
      </c>
      <c r="M19" s="233">
        <v>398957</v>
      </c>
      <c r="N19" s="195">
        <v>3.9895700000000002E-4</v>
      </c>
      <c r="O19" s="211">
        <v>1.299927653643462E-2</v>
      </c>
      <c r="P19" s="198">
        <v>4.0855510816272726E-4</v>
      </c>
      <c r="Q19" s="198">
        <v>1.3312013152746409E-2</v>
      </c>
      <c r="R19" s="1">
        <v>4.1744231836556716E-4</v>
      </c>
      <c r="S19" s="182">
        <v>4.1744231836556716E-4</v>
      </c>
      <c r="T19" s="1">
        <v>0.19458032587062471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0.24640921954354356</v>
      </c>
      <c r="L20" s="188">
        <v>9.3097049999999999E-4</v>
      </c>
      <c r="M20" s="233">
        <v>930970</v>
      </c>
      <c r="N20" s="195">
        <v>9.3097000000000004E-4</v>
      </c>
      <c r="O20" s="211">
        <v>3.5627338976815102E-2</v>
      </c>
      <c r="P20" s="198">
        <v>9.536856097028299E-4</v>
      </c>
      <c r="Q20" s="198">
        <v>3.6496643816871975E-2</v>
      </c>
      <c r="R20" s="1">
        <v>9.7443092486720862E-4</v>
      </c>
      <c r="S20" s="182">
        <v>9.7443092486720862E-4</v>
      </c>
      <c r="T20" s="1">
        <v>0.25791232235137657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0.13121303067740783</v>
      </c>
      <c r="L21" s="188">
        <v>2.1623749999999996E-4</v>
      </c>
      <c r="M21" s="233">
        <v>216237</v>
      </c>
      <c r="N21" s="195">
        <v>2.1623700000000001E-4</v>
      </c>
      <c r="O21" s="211">
        <v>9.4119001069136437E-3</v>
      </c>
      <c r="P21" s="198">
        <v>2.215736170282081E-4</v>
      </c>
      <c r="Q21" s="198">
        <v>9.6441809209202606E-3</v>
      </c>
      <c r="R21" s="1">
        <v>2.2639345961636862E-4</v>
      </c>
      <c r="S21" s="182">
        <v>2.2639345961636862E-4</v>
      </c>
      <c r="T21" s="1">
        <v>0.13737567240560528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0.5315384653202494</v>
      </c>
      <c r="L22" s="188">
        <v>1.0811705000000002E-3</v>
      </c>
      <c r="M22" s="233">
        <v>1081170</v>
      </c>
      <c r="N22" s="195">
        <v>1.08117E-3</v>
      </c>
      <c r="O22" s="211">
        <v>5.2030806816688958E-2</v>
      </c>
      <c r="P22" s="198">
        <v>1.1080800981705132E-3</v>
      </c>
      <c r="Q22" s="198">
        <v>5.3325842860352864E-2</v>
      </c>
      <c r="R22" s="1">
        <v>1.1321839229845271E-3</v>
      </c>
      <c r="S22" s="182">
        <v>1.1321839229845271E-3</v>
      </c>
      <c r="T22" s="1">
        <v>0.55661831772459103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0.13019695343684135</v>
      </c>
      <c r="L23" s="188">
        <v>4.2158750000000002E-4</v>
      </c>
      <c r="M23" s="233">
        <v>421587</v>
      </c>
      <c r="N23" s="195">
        <v>4.2158700000000001E-4</v>
      </c>
      <c r="O23" s="211">
        <v>2.3934017309523836E-2</v>
      </c>
      <c r="P23" s="198">
        <v>4.3223056316148964E-4</v>
      </c>
      <c r="Q23" s="198">
        <v>2.4538265602146954E-2</v>
      </c>
      <c r="R23" s="1">
        <v>4.4163278037566791E-4</v>
      </c>
      <c r="S23" s="182">
        <v>4.4163278037566791E-4</v>
      </c>
      <c r="T23" s="1">
        <v>0.13638744636108427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2.1945594831863424E-2</v>
      </c>
      <c r="L24" s="188">
        <v>4.3346499999999996E-5</v>
      </c>
      <c r="M24" s="233">
        <v>43346</v>
      </c>
      <c r="N24" s="195">
        <v>4.3346000000000001E-5</v>
      </c>
      <c r="O24" s="211">
        <v>2.8397456839344263E-3</v>
      </c>
      <c r="P24" s="198">
        <v>4.4454732010010405E-5</v>
      </c>
      <c r="Q24" s="198">
        <v>2.9123825348564719E-3</v>
      </c>
      <c r="R24" s="1">
        <v>4.5421746104291465E-5</v>
      </c>
      <c r="S24" s="182">
        <v>4.5421746104291465E-5</v>
      </c>
      <c r="T24" s="1">
        <v>2.2996256596508401E-2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7.2557722026867583E-2</v>
      </c>
      <c r="L25" s="188">
        <v>1.8583150000000002E-4</v>
      </c>
      <c r="M25" s="233">
        <v>185831</v>
      </c>
      <c r="N25" s="195">
        <v>1.8583099999999999E-4</v>
      </c>
      <c r="O25" s="211">
        <v>1.4151661457882266E-2</v>
      </c>
      <c r="P25" s="198">
        <v>1.9063971595438369E-4</v>
      </c>
      <c r="Q25" s="198">
        <v>1.4517861501112703E-2</v>
      </c>
      <c r="R25" s="1">
        <v>1.9478666013607651E-4</v>
      </c>
      <c r="S25" s="182">
        <v>1.9478666013607651E-4</v>
      </c>
      <c r="T25" s="1">
        <v>7.6054255283390423E-2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4.2343530353613289E-2</v>
      </c>
      <c r="L26" s="188">
        <v>7.1509500000000004E-5</v>
      </c>
      <c r="M26" s="233">
        <v>71509</v>
      </c>
      <c r="N26" s="195">
        <v>7.1508999999999996E-5</v>
      </c>
      <c r="O26" s="211">
        <v>6.1704063506476219E-3</v>
      </c>
      <c r="P26" s="198">
        <v>7.3379509611142663E-5</v>
      </c>
      <c r="Q26" s="198">
        <v>6.3318098716525599E-3</v>
      </c>
      <c r="R26" s="1">
        <v>7.497571808697891E-5</v>
      </c>
      <c r="S26" s="182">
        <v>7.497571808697891E-5</v>
      </c>
      <c r="T26" s="1">
        <v>4.4396011643207466E-2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8.0619143643668179E-2</v>
      </c>
      <c r="L27" s="188">
        <v>1.3489050000000001E-4</v>
      </c>
      <c r="M27" s="233">
        <v>134890</v>
      </c>
      <c r="N27" s="195">
        <v>1.3489E-4</v>
      </c>
      <c r="O27" s="211">
        <v>1.2972133189017096E-2</v>
      </c>
      <c r="P27" s="198">
        <v>1.3844850849153786E-4</v>
      </c>
      <c r="Q27" s="198">
        <v>1.3314348669085872E-2</v>
      </c>
      <c r="R27" s="1">
        <v>1.4146014871497593E-4</v>
      </c>
      <c r="S27" s="182">
        <v>1.4146014871497593E-4</v>
      </c>
      <c r="T27" s="1">
        <v>8.4545583633445692E-2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2.9781727054137966E-2</v>
      </c>
      <c r="L28" s="188">
        <v>8.506650000000001E-5</v>
      </c>
      <c r="M28" s="233">
        <v>85066</v>
      </c>
      <c r="N28" s="195">
        <v>8.5066000000000002E-5</v>
      </c>
      <c r="O28" s="211">
        <v>9.5055101833540351E-3</v>
      </c>
      <c r="P28" s="198">
        <v>8.7337367405251263E-5</v>
      </c>
      <c r="Q28" s="198">
        <v>9.7593190611754248E-3</v>
      </c>
      <c r="R28" s="1">
        <v>8.92371981188694E-5</v>
      </c>
      <c r="S28" s="182">
        <v>8.92371981188694E-5</v>
      </c>
      <c r="T28" s="1">
        <v>3.1241885788791147E-2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1.0462646456495093E-2</v>
      </c>
      <c r="L29" s="188">
        <v>2.0614499999999997E-5</v>
      </c>
      <c r="M29" s="233">
        <v>20614</v>
      </c>
      <c r="N29" s="195">
        <v>2.0613999999999999E-5</v>
      </c>
      <c r="O29" s="211">
        <v>2.7002182298906511E-3</v>
      </c>
      <c r="P29" s="198">
        <v>2.1173301226400169E-5</v>
      </c>
      <c r="Q29" s="198">
        <v>2.7734808362516647E-3</v>
      </c>
      <c r="R29" s="1">
        <v>2.1633879432197852E-5</v>
      </c>
      <c r="S29" s="182">
        <v>2.1633879432197852E-5</v>
      </c>
      <c r="T29" s="1">
        <v>1.0980020470131555E-2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7.5083353804299008E-3</v>
      </c>
      <c r="L30" s="188">
        <v>1.3876499999999998E-5</v>
      </c>
      <c r="M30" s="233">
        <v>13876</v>
      </c>
      <c r="N30" s="195">
        <v>1.3876000000000001E-5</v>
      </c>
      <c r="O30" s="211">
        <v>2.0971778273608257E-3</v>
      </c>
      <c r="P30" s="198">
        <v>1.4257876232041717E-5</v>
      </c>
      <c r="Q30" s="198">
        <v>2.1548934778821568E-3</v>
      </c>
      <c r="R30" s="1">
        <v>1.4568024705499943E-5</v>
      </c>
      <c r="S30" s="182">
        <v>1.4568024705499943E-5</v>
      </c>
      <c r="T30" s="1">
        <v>7.8825074996780251E-3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8.6846640104152762E-3</v>
      </c>
      <c r="L31" s="188">
        <v>1.23675E-5</v>
      </c>
      <c r="M31" s="233">
        <v>12367</v>
      </c>
      <c r="N31" s="195">
        <v>1.2367E-5</v>
      </c>
      <c r="O31" s="211">
        <v>2.1205275070787649E-3</v>
      </c>
      <c r="P31" s="198">
        <v>1.2709781092306809E-5</v>
      </c>
      <c r="Q31" s="198">
        <v>2.1793030173191705E-3</v>
      </c>
      <c r="R31" s="1">
        <v>1.298625418967516E-5</v>
      </c>
      <c r="S31" s="182">
        <v>1.298625418967516E-5</v>
      </c>
      <c r="T31" s="1">
        <v>9.119163484226922E-3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4.2444375569538366E-3</v>
      </c>
      <c r="L32" s="188">
        <v>5.4914999999999999E-6</v>
      </c>
      <c r="M32" s="233">
        <v>5491</v>
      </c>
      <c r="N32" s="195">
        <v>5.4909999999999996E-6</v>
      </c>
      <c r="O32" s="211">
        <v>1.0547776090863348E-3</v>
      </c>
      <c r="P32" s="198">
        <v>5.6453469404415714E-6</v>
      </c>
      <c r="Q32" s="198">
        <v>1.0844264338557305E-3</v>
      </c>
      <c r="R32" s="1">
        <v>5.7681489417512219E-6</v>
      </c>
      <c r="S32" s="182">
        <v>5.7681489417512219E-6</v>
      </c>
      <c r="T32" s="1">
        <v>4.458262405986054E-3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2.3332373383479731E-3</v>
      </c>
      <c r="L33" s="188">
        <v>5.8415000000000007E-6</v>
      </c>
      <c r="M33" s="233">
        <v>5841</v>
      </c>
      <c r="N33" s="195">
        <v>5.8409999999999996E-6</v>
      </c>
      <c r="O33" s="211">
        <v>1.3098789162561315E-3</v>
      </c>
      <c r="P33" s="198">
        <v>6.0073691888808718E-6</v>
      </c>
      <c r="Q33" s="198">
        <v>1.3471881942615567E-3</v>
      </c>
      <c r="R33" s="1">
        <v>6.1380461812399628E-6</v>
      </c>
      <c r="S33" s="182">
        <v>6.1380461812399628E-6</v>
      </c>
      <c r="T33" s="1">
        <v>2.4516851039242094E-3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3.9449783270418637E-4</v>
      </c>
      <c r="L34" s="188">
        <v>6.8650000000000001E-7</v>
      </c>
      <c r="M34" s="233">
        <v>686</v>
      </c>
      <c r="N34" s="195">
        <v>6.8599999999999998E-7</v>
      </c>
      <c r="O34" s="211">
        <v>1.8882564774498373E-4</v>
      </c>
      <c r="P34" s="198">
        <v>7.0704345206238994E-7</v>
      </c>
      <c r="Q34" s="198">
        <v>1.946179851596649E-4</v>
      </c>
      <c r="R34" s="1">
        <v>7.224236141396128E-7</v>
      </c>
      <c r="S34" s="182">
        <v>7.224236141396128E-7</v>
      </c>
      <c r="T34" s="1">
        <v>4.1514136936985095E-4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2.8784347999007381E-4</v>
      </c>
      <c r="L35" s="188">
        <v>3.4450000000000005E-7</v>
      </c>
      <c r="M35" s="233">
        <v>344</v>
      </c>
      <c r="N35" s="195">
        <v>3.4400000000000001E-7</v>
      </c>
      <c r="O35" s="211">
        <v>1.1167062687112884E-4</v>
      </c>
      <c r="P35" s="198">
        <v>3.550218182208606E-7</v>
      </c>
      <c r="Q35" s="198">
        <v>1.1524857265596353E-4</v>
      </c>
      <c r="R35" s="1">
        <v>3.6274453043785367E-7</v>
      </c>
      <c r="S35" s="182">
        <v>3.6274453043785367E-7</v>
      </c>
      <c r="T35" s="1">
        <v>3.0308751230361989E-4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1.0241528067259476E-4</v>
      </c>
      <c r="L39" s="188">
        <v>6.5499999999999998E-8</v>
      </c>
      <c r="M39" s="233">
        <v>65</v>
      </c>
      <c r="N39" s="195">
        <v>6.5E-8</v>
      </c>
      <c r="O39" s="211">
        <v>3.4110066016420843E-5</v>
      </c>
      <c r="P39" s="198">
        <v>6.8004179264840897E-8</v>
      </c>
      <c r="Q39" s="198">
        <v>3.5686569909480621E-5</v>
      </c>
      <c r="R39" s="1">
        <v>6.9483459351476187E-8</v>
      </c>
      <c r="S39" s="182">
        <v>6.9483459351476187E-8</v>
      </c>
      <c r="T39" s="1">
        <v>1.0864378613105746E-4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8.6790768699162159E-5</v>
      </c>
      <c r="L49" s="188">
        <v>2.145E-7</v>
      </c>
      <c r="M49" s="233">
        <v>214</v>
      </c>
      <c r="N49" s="195">
        <v>2.1400000000000001E-7</v>
      </c>
      <c r="O49" s="211">
        <v>3.0141120671829338E-4</v>
      </c>
      <c r="P49" s="198">
        <v>2.2201364407050998E-7</v>
      </c>
      <c r="Q49" s="198">
        <v>3.1269813255709386E-4</v>
      </c>
      <c r="R49" s="1">
        <v>2.2684305847099578E-7</v>
      </c>
      <c r="S49" s="182">
        <v>2.2684305847099578E-7</v>
      </c>
      <c r="T49" s="1">
        <v>9.1785004283294696E-5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f>SUM(O28:O55)</f>
        <v>1.9424107820377567E-2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1605136.4365971107</v>
      </c>
      <c r="O64" s="220" cm="1">
        <f t="array" ref="O64:O65">N66/N64:N65</f>
        <v>2.1804999999999999</v>
      </c>
    </row>
    <row r="65" spans="1:47" ht="16.8" thickBot="1">
      <c r="L65" s="180"/>
      <c r="M65" s="124" t="s">
        <v>179</v>
      </c>
      <c r="N65" s="253">
        <f>1/N49</f>
        <v>4672897.1962616816</v>
      </c>
      <c r="O65" s="220">
        <v>0.74900000000000011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0.89999999977942491</v>
      </c>
      <c r="P67" s="222">
        <v>0.94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0.92025934598505776</v>
      </c>
      <c r="R68" s="216">
        <f>1-SUM(_xlfn.ANCHORARRAY(R69))</f>
        <v>-2.1451185582703092E-2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1.115190530694796</v>
      </c>
      <c r="L69" s="185" cm="1">
        <f t="array" ref="L69:L126">K69:K126*_xlfn.ANCHORARRAY(J69)*_xlfn.ANCHORARRAY(F69)</f>
        <v>0.88681944850000005</v>
      </c>
      <c r="M69" s="240" cm="1">
        <f t="array" ref="M69:M126">INT(_xlfn.ANCHORARRAY(L69)*$M$2)</f>
        <v>886819448</v>
      </c>
      <c r="N69" s="194" cm="1">
        <f t="array" ref="N69:N126">_xlfn.ANCHORARRAY(M69)/SUM(_xlfn.ANCHORARRAY(M69))</f>
        <v>0.88681944800000001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0.90362651980501962</v>
      </c>
      <c r="S69" s="182">
        <f>R69+R68</f>
        <v>0.88217533422231653</v>
      </c>
      <c r="T69" s="213" cm="1">
        <f t="array" ref="T69:T120">S69:S120/F69:F120</f>
        <v>1.1093504780496977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0.89439076905593573</v>
      </c>
      <c r="L70" s="188">
        <v>3.9823544999999993E-3</v>
      </c>
      <c r="M70" s="233">
        <v>3982354</v>
      </c>
      <c r="N70" s="195">
        <v>3.9823539999999996E-3</v>
      </c>
      <c r="O70" s="211">
        <v>2.123922133333333E-3</v>
      </c>
      <c r="P70" s="183">
        <v>4.0361703930230355E-3</v>
      </c>
      <c r="Q70" s="183">
        <v>2.1526242096122855E-3</v>
      </c>
      <c r="R70" s="1">
        <v>4.1227510331671834E-3</v>
      </c>
      <c r="S70" s="182" cm="1">
        <f t="array" ref="S70:S120">R70:R120</f>
        <v>4.1227510331671834E-3</v>
      </c>
      <c r="T70" s="1">
        <v>0.925922206870471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0.91237375216481398</v>
      </c>
      <c r="L71" s="188">
        <v>1.15268205E-2</v>
      </c>
      <c r="M71" s="233">
        <v>11526820</v>
      </c>
      <c r="N71" s="195">
        <v>1.152682E-2</v>
      </c>
      <c r="O71" s="211">
        <v>1.2754053150904077E-2</v>
      </c>
      <c r="P71" s="183">
        <v>1.1713281321625699E-2</v>
      </c>
      <c r="Q71" s="183">
        <v>1.2960366566625151E-2</v>
      </c>
      <c r="R71" s="1">
        <v>1.1964545093038298E-2</v>
      </c>
      <c r="S71" s="1">
        <v>1.1964545093038298E-2</v>
      </c>
      <c r="T71" s="1">
        <v>0.94702063760604793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0.7725021990696963</v>
      </c>
      <c r="L72" s="188">
        <v>5.9024815E-3</v>
      </c>
      <c r="M72" s="233">
        <v>5902481</v>
      </c>
      <c r="N72" s="195">
        <v>5.9024810000000002E-3</v>
      </c>
      <c r="O72" s="211">
        <v>1.0999948032572223E-2</v>
      </c>
      <c r="P72" s="183">
        <v>6.0042766017396332E-3</v>
      </c>
      <c r="Q72" s="183">
        <v>1.1189655772263446E-2</v>
      </c>
      <c r="R72" s="1">
        <v>6.1330754534134301E-3</v>
      </c>
      <c r="S72" s="1">
        <v>6.1330754534134301E-3</v>
      </c>
      <c r="T72" s="1">
        <v>0.80268176610502706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0.76703137368694974</v>
      </c>
      <c r="L73" s="188">
        <v>1.08853825E-2</v>
      </c>
      <c r="M73" s="233">
        <v>10885382</v>
      </c>
      <c r="N73" s="195">
        <v>1.0885382000000001E-2</v>
      </c>
      <c r="O73" s="211">
        <v>2.6485252168554213E-2</v>
      </c>
      <c r="P73" s="183">
        <v>1.1079075131773286E-2</v>
      </c>
      <c r="Q73" s="183">
        <v>2.6956527447486313E-2</v>
      </c>
      <c r="R73" s="1">
        <v>1.1316734428509662E-2</v>
      </c>
      <c r="S73" s="1">
        <v>1.1316734428509662E-2</v>
      </c>
      <c r="T73" s="1">
        <v>0.79742630581425722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0.83474989392536614</v>
      </c>
      <c r="L74" s="188">
        <v>1.01594705E-2</v>
      </c>
      <c r="M74" s="233">
        <v>10159470</v>
      </c>
      <c r="N74" s="195">
        <v>1.015947E-2</v>
      </c>
      <c r="O74" s="211">
        <v>3.2657707690614393E-2</v>
      </c>
      <c r="P74" s="183">
        <v>1.0346060977555142E-2</v>
      </c>
      <c r="Q74" s="183">
        <v>3.3257506066189282E-2</v>
      </c>
      <c r="R74" s="1">
        <v>1.0567996251634636E-2</v>
      </c>
      <c r="S74" s="1">
        <v>1.0567996251634636E-2</v>
      </c>
      <c r="T74" s="1">
        <v>0.86831629168623303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0.70957315254125819</v>
      </c>
      <c r="L75" s="188">
        <v>8.9765985000000003E-3</v>
      </c>
      <c r="M75" s="233">
        <v>8976598</v>
      </c>
      <c r="N75" s="195">
        <v>8.9765980000000006E-3</v>
      </c>
      <c r="O75" s="211">
        <v>3.5784044281731785E-2</v>
      </c>
      <c r="P75" s="183">
        <v>9.1454352594481318E-3</v>
      </c>
      <c r="Q75" s="183">
        <v>3.6457092129980995E-2</v>
      </c>
      <c r="R75" s="1">
        <v>9.3416156884331466E-3</v>
      </c>
      <c r="S75" s="1">
        <v>9.3416156884331466E-3</v>
      </c>
      <c r="T75" s="1">
        <v>0.7384266650525122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0.72528833170838081</v>
      </c>
      <c r="L76" s="188">
        <v>2.0487204999999997E-3</v>
      </c>
      <c r="M76" s="233">
        <v>2048720</v>
      </c>
      <c r="N76" s="195">
        <v>2.04872E-3</v>
      </c>
      <c r="O76" s="211">
        <v>8.8531577183297711E-3</v>
      </c>
      <c r="P76" s="183">
        <v>2.0875943749210993E-3</v>
      </c>
      <c r="Q76" s="183">
        <v>9.0211460097400064E-3</v>
      </c>
      <c r="R76" s="1">
        <v>2.1323757492789381E-3</v>
      </c>
      <c r="S76" s="1">
        <v>2.1323757492789381E-3</v>
      </c>
      <c r="T76" s="1">
        <v>0.75490397532017162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0.66039286598665359</v>
      </c>
      <c r="L77" s="188">
        <v>9.3394594999999993E-3</v>
      </c>
      <c r="M77" s="233">
        <v>9339459</v>
      </c>
      <c r="N77" s="195">
        <v>9.3394589999999996E-3</v>
      </c>
      <c r="O77" s="211">
        <v>4.7956618957144974E-2</v>
      </c>
      <c r="P77" s="183">
        <v>9.5199849150527701E-3</v>
      </c>
      <c r="Q77" s="183">
        <v>4.8883590478736923E-2</v>
      </c>
      <c r="R77" s="1">
        <v>9.7241998782100977E-3</v>
      </c>
      <c r="S77" s="1">
        <v>9.7241998782100977E-3</v>
      </c>
      <c r="T77" s="1">
        <v>0.68759784514277678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0.55212347626768377</v>
      </c>
      <c r="L78" s="188">
        <v>3.5268825E-3</v>
      </c>
      <c r="M78" s="233">
        <v>3526882</v>
      </c>
      <c r="N78" s="195">
        <v>3.5268819999999998E-3</v>
      </c>
      <c r="O78" s="211">
        <v>2.1006790205292517E-2</v>
      </c>
      <c r="P78" s="183">
        <v>3.5961320982492791E-3</v>
      </c>
      <c r="Q78" s="183">
        <v>2.1419257162116845E-2</v>
      </c>
      <c r="R78" s="1">
        <v>3.6732733952687386E-3</v>
      </c>
      <c r="S78" s="1">
        <v>3.6732733952687386E-3</v>
      </c>
      <c r="T78" s="1">
        <v>0.57504055671754695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0.96143837008112609</v>
      </c>
      <c r="L79" s="188">
        <v>8.2050284999999994E-3</v>
      </c>
      <c r="M79" s="233">
        <v>8205028</v>
      </c>
      <c r="N79" s="195">
        <v>8.2050279999999996E-3</v>
      </c>
      <c r="O79" s="211">
        <v>5.3351404088239698E-2</v>
      </c>
      <c r="P79" s="183">
        <v>8.3676136679093991E-3</v>
      </c>
      <c r="Q79" s="183">
        <v>5.4408581914761521E-2</v>
      </c>
      <c r="R79" s="1">
        <v>8.5471089015840846E-3</v>
      </c>
      <c r="S79" s="1">
        <v>8.5471089015840846E-3</v>
      </c>
      <c r="T79" s="1">
        <v>1.0015222313054595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0.65811167877966548</v>
      </c>
      <c r="L80" s="188">
        <v>1.43146865E-2</v>
      </c>
      <c r="M80" s="233">
        <v>14314686</v>
      </c>
      <c r="N80" s="195">
        <v>1.4314686E-2</v>
      </c>
      <c r="O80" s="211">
        <v>0.12184685732846894</v>
      </c>
      <c r="P80" s="183">
        <v>1.4606271557210398E-2</v>
      </c>
      <c r="Q80" s="183">
        <v>0.12432883868582861</v>
      </c>
      <c r="R80" s="1">
        <v>1.4919593399055471E-2</v>
      </c>
      <c r="S80" s="1">
        <v>1.4919593399055471E-2</v>
      </c>
      <c r="T80" s="1">
        <v>0.68592201852009904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0.63519289667779655</v>
      </c>
      <c r="L81" s="188">
        <v>9.0133744999999991E-3</v>
      </c>
      <c r="M81" s="233">
        <v>9013374</v>
      </c>
      <c r="N81" s="195">
        <v>9.0133739999999993E-3</v>
      </c>
      <c r="O81" s="211">
        <v>0.10738274346274597</v>
      </c>
      <c r="P81" s="183">
        <v>9.2028818201265652E-3</v>
      </c>
      <c r="Q81" s="183">
        <v>0.10964048508456653</v>
      </c>
      <c r="R81" s="1">
        <v>9.4002945459457816E-3</v>
      </c>
      <c r="S81" s="1">
        <v>9.4002945459457816E-3</v>
      </c>
      <c r="T81" s="1">
        <v>0.66246002784681735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0.63249917649644838</v>
      </c>
      <c r="L82" s="188">
        <v>5.0327055000000008E-3</v>
      </c>
      <c r="M82" s="233">
        <v>5032705</v>
      </c>
      <c r="N82" s="195">
        <v>5.0327050000000002E-3</v>
      </c>
      <c r="O82" s="211">
        <v>7.7993832554600392E-2</v>
      </c>
      <c r="P82" s="183">
        <v>5.1414351804073607E-3</v>
      </c>
      <c r="Q82" s="183">
        <v>7.9678867438290807E-2</v>
      </c>
      <c r="R82" s="1">
        <v>5.2517250606237157E-3</v>
      </c>
      <c r="S82" s="1">
        <v>5.2517250606237157E-3</v>
      </c>
      <c r="T82" s="1">
        <v>0.66002506525173399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0.60531138455952949</v>
      </c>
      <c r="L83" s="188">
        <v>3.3545224999999997E-3</v>
      </c>
      <c r="M83" s="233">
        <v>3354522</v>
      </c>
      <c r="N83" s="195">
        <v>3.354522E-3</v>
      </c>
      <c r="O83" s="211">
        <v>6.3596363924985702E-2</v>
      </c>
      <c r="P83" s="183">
        <v>3.4283894610811403E-3</v>
      </c>
      <c r="Q83" s="183">
        <v>6.4996772667909708E-2</v>
      </c>
      <c r="R83" s="1">
        <v>3.5019324796605744E-3</v>
      </c>
      <c r="S83" s="1">
        <v>3.5019324796605744E-3</v>
      </c>
      <c r="T83" s="1">
        <v>0.63191097925183959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0.22163095387015358</v>
      </c>
      <c r="L84" s="188">
        <v>6.0238849999999999E-4</v>
      </c>
      <c r="M84" s="233">
        <v>602388</v>
      </c>
      <c r="N84" s="195">
        <v>6.0238800000000003E-4</v>
      </c>
      <c r="O84" s="211">
        <v>1.3084801489369016E-2</v>
      </c>
      <c r="P84" s="183">
        <v>6.1582301043258182E-4</v>
      </c>
      <c r="Q84" s="183">
        <v>1.3376630749775822E-2</v>
      </c>
      <c r="R84" s="1">
        <v>6.2903314411546986E-4</v>
      </c>
      <c r="S84" s="1">
        <v>6.2903314411546986E-4</v>
      </c>
      <c r="T84" s="1">
        <v>0.23143405915991649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0.41915240986305097</v>
      </c>
      <c r="L85" s="188">
        <v>2.0222905000000001E-3</v>
      </c>
      <c r="M85" s="233">
        <v>2022290</v>
      </c>
      <c r="N85" s="195">
        <v>2.0222899999999999E-3</v>
      </c>
      <c r="O85" s="211">
        <v>5.1603161532153261E-2</v>
      </c>
      <c r="P85" s="183">
        <v>2.0680631842966788E-3</v>
      </c>
      <c r="Q85" s="183">
        <v>5.2771164648967639E-2</v>
      </c>
      <c r="R85" s="1">
        <v>2.1124255914597824E-3</v>
      </c>
      <c r="S85" s="1">
        <v>2.1124255914597824E-3</v>
      </c>
      <c r="T85" s="1">
        <v>0.43783436519963309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0.33011132430281931</v>
      </c>
      <c r="L86" s="188">
        <v>6.9076949999999999E-4</v>
      </c>
      <c r="M86" s="233">
        <v>690769</v>
      </c>
      <c r="N86" s="195">
        <v>6.9076900000000004E-4</v>
      </c>
      <c r="O86" s="211">
        <v>2.0047250960796674E-2</v>
      </c>
      <c r="P86" s="183">
        <v>7.065878962978679E-4</v>
      </c>
      <c r="Q86" s="183">
        <v>2.0506341313731122E-2</v>
      </c>
      <c r="R86" s="1">
        <v>7.21745044391845E-4</v>
      </c>
      <c r="S86" s="1">
        <v>7.21745044391845E-4</v>
      </c>
      <c r="T86" s="1">
        <v>0.34491420425075087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0.38936066703604105</v>
      </c>
      <c r="L87" s="188">
        <v>1.0084305E-3</v>
      </c>
      <c r="M87" s="233">
        <v>1008430</v>
      </c>
      <c r="N87" s="195">
        <v>1.00843E-3</v>
      </c>
      <c r="O87" s="211">
        <v>3.2355305922506288E-2</v>
      </c>
      <c r="P87" s="183">
        <v>1.0317330697147604E-3</v>
      </c>
      <c r="Q87" s="183">
        <v>3.3102980971398688E-2</v>
      </c>
      <c r="R87" s="1">
        <v>1.0538649672650233E-3</v>
      </c>
      <c r="S87" s="1">
        <v>1.0538649672650233E-3</v>
      </c>
      <c r="T87" s="1">
        <v>0.40690316945017529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0.23657772933682508</v>
      </c>
      <c r="L88" s="188">
        <v>9.7329450000000004E-4</v>
      </c>
      <c r="M88" s="233">
        <v>973294</v>
      </c>
      <c r="N88" s="195">
        <v>9.7329399999999998E-4</v>
      </c>
      <c r="O88" s="211">
        <v>3.6846528405704015E-2</v>
      </c>
      <c r="P88" s="183">
        <v>9.961167220992077E-4</v>
      </c>
      <c r="Q88" s="183">
        <v>3.7710540798797931E-2</v>
      </c>
      <c r="R88" s="1">
        <v>1.0174846067669914E-3</v>
      </c>
      <c r="S88" s="1">
        <v>1.0174846067669914E-3</v>
      </c>
      <c r="T88" s="1">
        <v>0.24731897478523426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4.5374033098241909E-2</v>
      </c>
      <c r="L89" s="188">
        <v>1.122265E-4</v>
      </c>
      <c r="M89" s="233">
        <v>112226</v>
      </c>
      <c r="N89" s="195">
        <v>1.1222600000000001E-4</v>
      </c>
      <c r="O89" s="211">
        <v>4.9005582864419476E-3</v>
      </c>
      <c r="P89" s="183">
        <v>1.1489212134710435E-4</v>
      </c>
      <c r="Q89" s="183">
        <v>5.0169794638893483E-3</v>
      </c>
      <c r="R89" s="1">
        <v>1.1735669356411149E-4</v>
      </c>
      <c r="S89" s="1">
        <v>1.1735669356411149E-4</v>
      </c>
      <c r="T89" s="1">
        <v>4.7448209630329981E-2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0.11549215150183779</v>
      </c>
      <c r="L90" s="188">
        <v>3.7143350000000001E-4</v>
      </c>
      <c r="M90" s="233">
        <v>371433</v>
      </c>
      <c r="N90" s="195">
        <v>3.7143300000000001E-4</v>
      </c>
      <c r="O90" s="211">
        <v>1.8861512766379207E-2</v>
      </c>
      <c r="P90" s="183">
        <v>3.803697124083931E-4</v>
      </c>
      <c r="Q90" s="183">
        <v>1.9315322511825536E-2</v>
      </c>
      <c r="R90" s="1">
        <v>3.8852909369930486E-4</v>
      </c>
      <c r="S90" s="1">
        <v>3.8852909369930486E-4</v>
      </c>
      <c r="T90" s="1">
        <v>0.12080779184535548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0.10271863686185936</v>
      </c>
      <c r="L91" s="188">
        <v>2.1647849999999999E-4</v>
      </c>
      <c r="M91" s="233">
        <v>216478</v>
      </c>
      <c r="N91" s="195">
        <v>2.1647800000000001E-4</v>
      </c>
      <c r="O91" s="211">
        <v>1.2457103735832862E-2</v>
      </c>
      <c r="P91" s="183">
        <v>2.2174216420352264E-4</v>
      </c>
      <c r="Q91" s="183">
        <v>1.2760027079386199E-2</v>
      </c>
      <c r="R91" s="1">
        <v>2.2649879651936256E-4</v>
      </c>
      <c r="S91" s="1">
        <v>2.2649879651936256E-4</v>
      </c>
      <c r="T91" s="1">
        <v>0.10747324851807721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0.17342132607702648</v>
      </c>
      <c r="L92" s="188">
        <v>3.633345E-4</v>
      </c>
      <c r="M92" s="233">
        <v>363334</v>
      </c>
      <c r="N92" s="195">
        <v>3.6333399999999999E-4</v>
      </c>
      <c r="O92" s="211">
        <v>2.3298405687139447E-2</v>
      </c>
      <c r="P92" s="183">
        <v>3.7225063316617972E-4</v>
      </c>
      <c r="Q92" s="183">
        <v>2.3870175289954099E-2</v>
      </c>
      <c r="R92" s="1">
        <v>3.8023585058150603E-4</v>
      </c>
      <c r="S92" s="1">
        <v>3.8023585058150603E-4</v>
      </c>
      <c r="T92" s="1">
        <v>0.18148842300929552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5.2028285507717202E-2</v>
      </c>
      <c r="L93" s="188">
        <v>1.8609550000000001E-4</v>
      </c>
      <c r="M93" s="233">
        <v>186095</v>
      </c>
      <c r="N93" s="195">
        <v>1.86095E-4</v>
      </c>
      <c r="O93" s="211">
        <v>1.3867255875142141E-2</v>
      </c>
      <c r="P93" s="183">
        <v>1.9072086143560762E-4</v>
      </c>
      <c r="Q93" s="183">
        <v>1.4211961558639944E-2</v>
      </c>
      <c r="R93" s="1">
        <v>1.9481205002875581E-4</v>
      </c>
      <c r="S93" s="1">
        <v>1.9481205002875581E-4</v>
      </c>
      <c r="T93" s="1">
        <v>5.4465244776148773E-2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1.7279303463772926E-2</v>
      </c>
      <c r="L94" s="188">
        <v>4.2585500000000001E-5</v>
      </c>
      <c r="M94" s="233">
        <v>42585</v>
      </c>
      <c r="N94" s="195">
        <v>4.2585E-5</v>
      </c>
      <c r="O94" s="211">
        <v>3.718938517580983E-3</v>
      </c>
      <c r="P94" s="183">
        <v>4.3658426106238795E-5</v>
      </c>
      <c r="Q94" s="183">
        <v>3.8126805791582619E-3</v>
      </c>
      <c r="R94" s="1">
        <v>4.4594951106892443E-5</v>
      </c>
      <c r="S94" s="1">
        <v>4.4594951106892443E-5</v>
      </c>
      <c r="T94" s="1">
        <v>1.8094649425933966E-2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5.906585870569659E-2</v>
      </c>
      <c r="L95" s="188">
        <v>1.378075E-4</v>
      </c>
      <c r="M95" s="233">
        <v>137807</v>
      </c>
      <c r="N95" s="195">
        <v>1.3780699999999999E-4</v>
      </c>
      <c r="O95" s="211">
        <v>1.3886579058044149E-2</v>
      </c>
      <c r="P95" s="183">
        <v>1.4131737925762155E-4</v>
      </c>
      <c r="Q95" s="183">
        <v>1.4240314057606437E-2</v>
      </c>
      <c r="R95" s="1">
        <v>1.4434880458613798E-4</v>
      </c>
      <c r="S95" s="1">
        <v>1.4434880458613798E-4</v>
      </c>
      <c r="T95" s="1">
        <v>6.1869536099421536E-2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1.8754814078878333E-2</v>
      </c>
      <c r="L96" s="188">
        <v>3.36015E-5</v>
      </c>
      <c r="M96" s="233">
        <v>33601</v>
      </c>
      <c r="N96" s="195">
        <v>3.3600999999999999E-5</v>
      </c>
      <c r="O96" s="211">
        <v>3.8412246449226212E-3</v>
      </c>
      <c r="P96" s="183">
        <v>3.4467336401203274E-5</v>
      </c>
      <c r="Q96" s="183">
        <v>3.9402631477974048E-3</v>
      </c>
      <c r="R96" s="1">
        <v>3.5206701630886936E-5</v>
      </c>
      <c r="S96" s="1">
        <v>3.5206701630886936E-5</v>
      </c>
      <c r="T96" s="1">
        <v>1.9650763906903772E-2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2.5353445975880493E-2</v>
      </c>
      <c r="L97" s="188">
        <v>4.14325E-5</v>
      </c>
      <c r="M97" s="233">
        <v>41432</v>
      </c>
      <c r="N97" s="195">
        <v>4.1431999999999999E-5</v>
      </c>
      <c r="O97" s="211">
        <v>5.3067942296396919E-3</v>
      </c>
      <c r="P97" s="183">
        <v>4.2509414891889347E-5</v>
      </c>
      <c r="Q97" s="183">
        <v>5.4447943052142785E-3</v>
      </c>
      <c r="R97" s="1">
        <v>4.3421292239747379E-5</v>
      </c>
      <c r="S97" s="1">
        <v>4.3421292239747379E-5</v>
      </c>
      <c r="T97" s="1">
        <v>2.657043111092389E-2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1.8039844539939332E-2</v>
      </c>
      <c r="L98" s="188">
        <v>5.7092500000000003E-5</v>
      </c>
      <c r="M98" s="233">
        <v>57092</v>
      </c>
      <c r="N98" s="195">
        <v>5.7092000000000002E-5</v>
      </c>
      <c r="O98" s="211">
        <v>8.5384171748517021E-3</v>
      </c>
      <c r="P98" s="183">
        <v>5.8594571883021578E-5</v>
      </c>
      <c r="Q98" s="183">
        <v>8.763134921163632E-3</v>
      </c>
      <c r="R98" s="1">
        <v>5.9851494918623296E-5</v>
      </c>
      <c r="S98" s="1">
        <v>5.9851494918623296E-5</v>
      </c>
      <c r="T98" s="1">
        <v>1.8911619981870353E-2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1.0234166847308619E-2</v>
      </c>
      <c r="L99" s="188">
        <v>2.2378500000000003E-5</v>
      </c>
      <c r="M99" s="233">
        <v>22378</v>
      </c>
      <c r="N99" s="195">
        <v>2.2378000000000002E-5</v>
      </c>
      <c r="O99" s="211">
        <v>4.1053939026815195E-3</v>
      </c>
      <c r="P99" s="183">
        <v>2.2978224267468849E-5</v>
      </c>
      <c r="Q99" s="183">
        <v>4.2155090625665892E-3</v>
      </c>
      <c r="R99" s="1">
        <v>2.3471134420591289E-5</v>
      </c>
      <c r="S99" s="1">
        <v>2.3471134420591289E-5</v>
      </c>
      <c r="T99" s="1">
        <v>1.0733851945212572E-2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1.4578029809771227E-3</v>
      </c>
      <c r="L100" s="188">
        <v>2.2345E-6</v>
      </c>
      <c r="M100" s="233">
        <v>2234</v>
      </c>
      <c r="N100" s="195">
        <v>2.2340000000000001E-6</v>
      </c>
      <c r="O100" s="211">
        <v>4.8368061171035403E-4</v>
      </c>
      <c r="P100" s="183">
        <v>2.297022418938809E-6</v>
      </c>
      <c r="Q100" s="183">
        <v>4.9732551866818269E-4</v>
      </c>
      <c r="R100" s="1">
        <v>2.3462962731350944E-6</v>
      </c>
      <c r="S100" s="1">
        <v>2.3462962731350944E-6</v>
      </c>
      <c r="T100" s="1">
        <v>1.5307396291035372E-3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8.4380876592873432E-4</v>
      </c>
      <c r="L101" s="188">
        <v>1.1155E-6</v>
      </c>
      <c r="M101" s="233">
        <v>1115</v>
      </c>
      <c r="N101" s="195">
        <v>1.1149999999999999E-6</v>
      </c>
      <c r="O101" s="211">
        <v>2.7961870399849115E-4</v>
      </c>
      <c r="P101" s="183">
        <v>1.1480112045893569E-6</v>
      </c>
      <c r="Q101" s="183">
        <v>2.8789722439732972E-4</v>
      </c>
      <c r="R101" s="1">
        <v>1.1726374059900255E-6</v>
      </c>
      <c r="S101" s="1">
        <v>1.1726374059900255E-6</v>
      </c>
      <c r="T101" s="1">
        <v>8.8702978254622639E-4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5.5515985246069374E-3</v>
      </c>
      <c r="L102" s="188">
        <v>5.5884999999999999E-6</v>
      </c>
      <c r="M102" s="233">
        <v>5588</v>
      </c>
      <c r="N102" s="195">
        <v>5.5879999999999997E-6</v>
      </c>
      <c r="O102" s="211">
        <v>1.5846171438999635E-3</v>
      </c>
      <c r="P102" s="183">
        <v>5.7440560619871648E-6</v>
      </c>
      <c r="Q102" s="183">
        <v>1.6288707429039681E-3</v>
      </c>
      <c r="R102" s="1">
        <v>5.8672728745703007E-6</v>
      </c>
      <c r="S102" s="1">
        <v>5.8672728745703007E-6</v>
      </c>
      <c r="T102" s="1">
        <v>5.8285306314629663E-3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1.8064819294079073E-2</v>
      </c>
      <c r="L103" s="188">
        <v>1.5646500000000003E-5</v>
      </c>
      <c r="M103" s="233">
        <v>15646</v>
      </c>
      <c r="N103" s="195">
        <v>1.5645999999999999E-5</v>
      </c>
      <c r="O103" s="211">
        <v>4.9790325557114721E-3</v>
      </c>
      <c r="P103" s="183">
        <v>1.6084156981372139E-5</v>
      </c>
      <c r="Q103" s="183">
        <v>5.1184674192397955E-3</v>
      </c>
      <c r="R103" s="1">
        <v>1.6429181217720878E-5</v>
      </c>
      <c r="S103" s="1">
        <v>1.6429181217720878E-5</v>
      </c>
      <c r="T103" s="1">
        <v>1.8968471533429558E-2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5.4212855064780024E-3</v>
      </c>
      <c r="L104" s="188">
        <v>4.4684999999999997E-6</v>
      </c>
      <c r="M104" s="233">
        <v>4468</v>
      </c>
      <c r="N104" s="195">
        <v>4.4680000000000003E-6</v>
      </c>
      <c r="O104" s="211">
        <v>1.5632432543575521E-3</v>
      </c>
      <c r="P104" s="183">
        <v>4.5950448476377131E-6</v>
      </c>
      <c r="Q104" s="183">
        <v>1.607693120308881E-3</v>
      </c>
      <c r="R104" s="1">
        <v>4.6936140074252325E-6</v>
      </c>
      <c r="S104" s="1">
        <v>4.6936140074252325E-6</v>
      </c>
      <c r="T104" s="1">
        <v>5.6943989239021031E-3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2.5370247613616707E-6</v>
      </c>
      <c r="Q106" s="183">
        <v>1.0585098644919791E-3</v>
      </c>
      <c r="R106" s="1">
        <v>2.5914469503455523E-6</v>
      </c>
      <c r="S106" s="1">
        <v>2.5914469503455523E-6</v>
      </c>
      <c r="T106" s="1">
        <v>5.3198262277945356E-3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2.7668457842833943E-4</v>
      </c>
      <c r="L114" s="188">
        <v>9.6049999999999995E-7</v>
      </c>
      <c r="M114" s="233">
        <v>960</v>
      </c>
      <c r="N114" s="195">
        <v>9.5999999999999991E-7</v>
      </c>
      <c r="O114" s="211">
        <v>9.0767196533564235E-4</v>
      </c>
      <c r="P114" s="183">
        <v>9.9000966249430593E-7</v>
      </c>
      <c r="Q114" s="183">
        <v>9.3604585005987789E-4</v>
      </c>
      <c r="R114" s="1">
        <v>1.0112465434931404E-6</v>
      </c>
      <c r="S114" s="1">
        <v>1.0112465434931404E-6</v>
      </c>
      <c r="T114" s="1">
        <v>2.9130278352266001E-4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2.6353856334888941E-4</v>
      </c>
      <c r="L115" s="188">
        <v>4.2850000000000006E-7</v>
      </c>
      <c r="M115" s="233">
        <v>428</v>
      </c>
      <c r="N115" s="195">
        <v>4.2800000000000002E-7</v>
      </c>
      <c r="O115" s="211">
        <v>6.9020765770811874E-4</v>
      </c>
      <c r="P115" s="183">
        <v>4.430043237221995E-7</v>
      </c>
      <c r="Q115" s="183">
        <v>7.1440415100670202E-4</v>
      </c>
      <c r="R115" s="1">
        <v>4.5250729168430414E-7</v>
      </c>
      <c r="S115" s="1">
        <v>4.5250729168430414E-7</v>
      </c>
      <c r="T115" s="1">
        <v>2.783036675738118E-4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3.2279901844817119E-2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46507.301646358479</v>
      </c>
      <c r="O129" s="220" cm="1">
        <f t="array" ref="O129:O130">N131/N129:N130</f>
        <v>75.257000000000005</v>
      </c>
    </row>
    <row r="130" spans="1:55" ht="16.8" thickBot="1">
      <c r="M130" s="124" t="s">
        <v>179</v>
      </c>
      <c r="N130" s="218">
        <f>1/SUM(N115:N120)</f>
        <v>2336448.5981308408</v>
      </c>
      <c r="O130" s="220">
        <v>1.4980000000000002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0.90000000024821203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1.0774689947168383</v>
      </c>
      <c r="L134" s="185" cm="1">
        <f t="array" ref="L134:L191">K134:K191*_xlfn.ANCHORARRAY(J134)*_xlfn.ANCHORARRAY(F134)</f>
        <v>0.85680147949999996</v>
      </c>
      <c r="M134" s="240" cm="1">
        <f t="array" ref="M134:M191">INT(_xlfn.ANCHORARRAY(L134)*$M$2)</f>
        <v>856801479</v>
      </c>
      <c r="N134" s="194" cm="1">
        <f t="array" ref="N134:N191">_xlfn.ANCHORARRAY(M134)/SUM(_xlfn.ANCHORARRAY(M134))</f>
        <v>0.85680147900000003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1.1152180312404578</v>
      </c>
      <c r="Q134" s="1" cm="1">
        <f t="array" ref="Q134:Q191">IFERROR(_xlfn.ANCHORARRAY(N4)/(_xlfn.ANCHORARRAY(J69)*_xlfn.ANCHORARRAY(F69)),0)</f>
        <v>1.1169196410887035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2.6007071391498298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1.2728419139646727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1.4934271341315377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7.0821803371480998</v>
      </c>
      <c r="Q138" s="1">
        <v>0.85489742011703562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0.81330823365933003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5.8461489366136279</v>
      </c>
      <c r="Q140" s="1">
        <v>0.62470904776667724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0.67991834879339319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/>
      <c r="I142" s="214" t="str">
        <f t="shared" si="5"/>
        <v>(7, 8]</v>
      </c>
      <c r="J142" s="160">
        <v>1</v>
      </c>
      <c r="K142" s="234">
        <v>15.216043371379047</v>
      </c>
      <c r="L142" s="188">
        <v>3.3077791499999995E-2</v>
      </c>
      <c r="M142" s="233">
        <v>33077791</v>
      </c>
      <c r="N142" s="195">
        <v>3.3077791000000002E-2</v>
      </c>
      <c r="O142" s="211">
        <v>3.3077791000000002E-2</v>
      </c>
      <c r="P142" s="1">
        <v>4.2962243476628839</v>
      </c>
      <c r="Q142" s="1">
        <v>0.5831861741085842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0.47245716908550306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/>
      <c r="I144" s="124" t="str">
        <f t="shared" si="5"/>
        <v>(9, 10]</v>
      </c>
      <c r="J144" s="160">
        <v>1</v>
      </c>
      <c r="K144" s="234">
        <v>7.6282627366401012</v>
      </c>
      <c r="L144" s="188">
        <v>2.4931504499999996E-2</v>
      </c>
      <c r="M144" s="233">
        <v>24931504</v>
      </c>
      <c r="N144" s="195">
        <v>2.4931504E-2</v>
      </c>
      <c r="O144" s="211">
        <v>3.1164379999999998E-2</v>
      </c>
      <c r="P144" s="1">
        <v>2.5104826443782668</v>
      </c>
      <c r="Q144" s="1">
        <v>0.71146742990898415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/>
      <c r="I145" s="214" t="str">
        <f t="shared" si="5"/>
        <v>(10, 15]</v>
      </c>
      <c r="J145" s="160">
        <v>1</v>
      </c>
      <c r="K145" s="234">
        <v>1.5106869235247813</v>
      </c>
      <c r="L145" s="188">
        <v>3.9803004999999997E-3</v>
      </c>
      <c r="M145" s="233">
        <v>3980300</v>
      </c>
      <c r="N145" s="195">
        <v>3.9803E-3</v>
      </c>
      <c r="O145" s="211">
        <v>6.9543789644425187E-3</v>
      </c>
      <c r="P145" s="1">
        <v>5.433009129477349</v>
      </c>
      <c r="Q145" s="1">
        <v>0.44471724737693191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/>
      <c r="I146" s="124" t="str">
        <f t="shared" si="5"/>
        <v>(15, 20]</v>
      </c>
      <c r="J146" s="160">
        <v>1</v>
      </c>
      <c r="K146" s="234">
        <v>1.5168336726468361</v>
      </c>
      <c r="L146" s="188">
        <v>1.36761425E-2</v>
      </c>
      <c r="M146" s="233">
        <v>13676142</v>
      </c>
      <c r="N146" s="195">
        <v>1.3676142000000001E-2</v>
      </c>
      <c r="O146" s="211">
        <v>3.2084037367826786E-2</v>
      </c>
      <c r="P146" s="1">
        <v>0.99968168563317494</v>
      </c>
      <c r="Q146" s="1">
        <v>0.40479732881934999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/>
      <c r="I147" s="124" t="str">
        <f t="shared" si="5"/>
        <v>(20, 25]</v>
      </c>
      <c r="J147" s="160">
        <v>1</v>
      </c>
      <c r="K147" s="234">
        <v>1.5180250710526182</v>
      </c>
      <c r="L147" s="188">
        <v>8.6169585000000007E-3</v>
      </c>
      <c r="M147" s="233">
        <v>8616958</v>
      </c>
      <c r="N147" s="195">
        <v>8.6169579999999992E-3</v>
      </c>
      <c r="O147" s="211">
        <v>2.6173619773604061E-2</v>
      </c>
      <c r="P147" s="1">
        <v>0.88659732609967501</v>
      </c>
      <c r="Q147" s="1">
        <v>0.30265493020673867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/>
      <c r="I148" s="124" t="str">
        <f t="shared" si="5"/>
        <v>(25, 30]</v>
      </c>
      <c r="J148" s="160">
        <v>1</v>
      </c>
      <c r="K148" s="234">
        <v>1.5203000752089373</v>
      </c>
      <c r="L148" s="188">
        <v>6.8364945E-3</v>
      </c>
      <c r="M148" s="233">
        <v>6836494</v>
      </c>
      <c r="N148" s="195">
        <v>6.8364940000000003E-3</v>
      </c>
      <c r="O148" s="211">
        <v>2.5539196601923733E-2</v>
      </c>
      <c r="P148" s="1">
        <v>0.74597881251715104</v>
      </c>
      <c r="Q148" s="1">
        <v>0.37671552612836273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/>
      <c r="I149" s="124" t="str">
        <f t="shared" si="5"/>
        <v>(30, 35]</v>
      </c>
      <c r="J149" s="160">
        <v>1</v>
      </c>
      <c r="K149" s="234">
        <v>1.5186084590783482</v>
      </c>
      <c r="L149" s="188">
        <v>4.5760334999999999E-3</v>
      </c>
      <c r="M149" s="233">
        <v>4576033</v>
      </c>
      <c r="N149" s="195">
        <v>4.5760330000000002E-3</v>
      </c>
      <c r="O149" s="211">
        <v>1.8390399581308843E-2</v>
      </c>
      <c r="P149" s="1">
        <v>0.1999092691186129</v>
      </c>
      <c r="Q149" s="1">
        <v>0.14678437663264632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/>
      <c r="I150" s="214" t="str">
        <f t="shared" si="5"/>
        <v>(35, 40]</v>
      </c>
      <c r="J150" s="160">
        <v>1</v>
      </c>
      <c r="K150" s="234">
        <v>0.37951258904279289</v>
      </c>
      <c r="L150" s="188">
        <v>4.0101915000000004E-3</v>
      </c>
      <c r="M150" s="233">
        <v>4010191</v>
      </c>
      <c r="N150" s="195">
        <v>4.0101909999999998E-3</v>
      </c>
      <c r="O150" s="211">
        <v>1.9702560209621859E-2</v>
      </c>
      <c r="P150" s="1">
        <v>0.19138350717050534</v>
      </c>
      <c r="Q150" s="1">
        <v>0.19295858780437555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/>
      <c r="I151" s="124" t="str">
        <f t="shared" si="5"/>
        <v>(40, 45]</v>
      </c>
      <c r="J151" s="160">
        <v>1</v>
      </c>
      <c r="K151" s="234">
        <v>3.7796132587616347</v>
      </c>
      <c r="L151" s="188">
        <v>8.5196904999999996E-3</v>
      </c>
      <c r="M151" s="233">
        <v>8519690</v>
      </c>
      <c r="N151" s="195">
        <v>8.5196899999999999E-3</v>
      </c>
      <c r="O151" s="211">
        <v>4.7534119575458479E-2</v>
      </c>
      <c r="P151" s="1">
        <v>0.30644771322872771</v>
      </c>
      <c r="Q151" s="1">
        <v>0.10333733963828563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/>
      <c r="I152" s="124" t="str">
        <f t="shared" si="5"/>
        <v>(45, 50]</v>
      </c>
      <c r="J152" s="160">
        <v>1</v>
      </c>
      <c r="K152" s="234">
        <v>0.37963256763033187</v>
      </c>
      <c r="L152" s="188">
        <v>2.9049354999999997E-3</v>
      </c>
      <c r="M152" s="233">
        <v>2904935</v>
      </c>
      <c r="N152" s="195">
        <v>2.904935E-3</v>
      </c>
      <c r="O152" s="211">
        <v>1.7821550852368691E-2</v>
      </c>
      <c r="P152" s="1">
        <v>0.13178704662305088</v>
      </c>
      <c r="Q152" s="1">
        <v>0.41744579559955441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/>
      <c r="I153" s="214" t="str">
        <f t="shared" si="5"/>
        <v>(50, 60]</v>
      </c>
      <c r="J153" s="160">
        <v>1</v>
      </c>
      <c r="K153" s="234">
        <v>0.37928765376759288</v>
      </c>
      <c r="L153" s="188">
        <v>3.0165335000000002E-3</v>
      </c>
      <c r="M153" s="233">
        <v>3016533</v>
      </c>
      <c r="N153" s="195">
        <v>3.0165330000000001E-3</v>
      </c>
      <c r="O153" s="211">
        <v>2.2337632050104486E-2</v>
      </c>
      <c r="P153" s="1">
        <v>0.12237835173588343</v>
      </c>
      <c r="Q153" s="1">
        <v>0.10247473419188548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/>
      <c r="I154" s="124" t="str">
        <f t="shared" si="5"/>
        <v>(60, 70]</v>
      </c>
      <c r="J154" s="160">
        <v>1</v>
      </c>
      <c r="K154" s="234">
        <v>0.3785502602573006</v>
      </c>
      <c r="L154" s="188">
        <v>8.2580549999999994E-4</v>
      </c>
      <c r="M154" s="233">
        <v>825805</v>
      </c>
      <c r="N154" s="195">
        <v>8.2580499999999999E-4</v>
      </c>
      <c r="O154" s="211">
        <v>6.7923538224838355E-3</v>
      </c>
      <c r="P154" s="1">
        <v>5.1444536888693312E-2</v>
      </c>
      <c r="Q154" s="1">
        <v>1.752511963463526E-2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/>
      <c r="I155" s="214" t="str">
        <f t="shared" si="5"/>
        <v>(70, 80]</v>
      </c>
      <c r="J155" s="160">
        <v>1</v>
      </c>
      <c r="K155" s="234">
        <v>0.15137528718552834</v>
      </c>
      <c r="L155" s="188">
        <v>1.5428855000000001E-3</v>
      </c>
      <c r="M155" s="233">
        <v>1542885</v>
      </c>
      <c r="N155" s="195">
        <v>1.5428849999999999E-3</v>
      </c>
      <c r="O155" s="211">
        <v>1.5009624452262865E-2</v>
      </c>
      <c r="P155" s="1">
        <v>3.6441963480233854E-2</v>
      </c>
      <c r="Q155" s="1">
        <v>5.7781600221137874E-2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/>
      <c r="I156" s="124" t="str">
        <f t="shared" si="5"/>
        <v>(80, 90]</v>
      </c>
      <c r="J156" s="160">
        <v>1</v>
      </c>
      <c r="K156" s="234">
        <v>6.0629909784378269</v>
      </c>
      <c r="L156" s="188">
        <v>1.44982545E-2</v>
      </c>
      <c r="M156" s="233">
        <v>14498254</v>
      </c>
      <c r="N156" s="195">
        <v>1.4498254E-2</v>
      </c>
      <c r="O156" s="211">
        <v>0.15921576854749045</v>
      </c>
      <c r="P156" s="1">
        <v>9.0528426096414844E-2</v>
      </c>
      <c r="Q156" s="1">
        <v>3.3930884606807148E-2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/>
      <c r="I157" s="124" t="str">
        <f t="shared" si="5"/>
        <v>(90, 100]</v>
      </c>
      <c r="J157" s="160">
        <v>1</v>
      </c>
      <c r="K157" s="234">
        <v>0.26383447369641949</v>
      </c>
      <c r="L157" s="188">
        <v>2.1837304999999998E-3</v>
      </c>
      <c r="M157" s="233">
        <v>2183730</v>
      </c>
      <c r="N157" s="195">
        <v>2.18373E-3</v>
      </c>
      <c r="O157" s="211">
        <v>2.705405930112614E-2</v>
      </c>
      <c r="P157" s="1">
        <v>4.3897374088063927E-2</v>
      </c>
      <c r="Q157" s="1">
        <v>6.4383653835598062E-2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/>
      <c r="I158" s="124" t="str">
        <f t="shared" si="5"/>
        <v>(100, 120]</v>
      </c>
      <c r="J158" s="160">
        <v>1</v>
      </c>
      <c r="K158" s="234">
        <v>9.042378796214523E-2</v>
      </c>
      <c r="L158" s="188">
        <v>5.9958350000000006E-4</v>
      </c>
      <c r="M158" s="233">
        <v>599583</v>
      </c>
      <c r="N158" s="195">
        <v>5.99583E-4</v>
      </c>
      <c r="O158" s="211">
        <v>8.7540852914560971E-3</v>
      </c>
      <c r="P158" s="1">
        <v>2.8065173275807983E-2</v>
      </c>
      <c r="Q158" s="1">
        <v>2.3782617715095052E-2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/>
      <c r="I159" s="124" t="str">
        <f t="shared" si="5"/>
        <v>(120, 140]</v>
      </c>
      <c r="J159" s="160">
        <v>1</v>
      </c>
      <c r="K159" s="234">
        <v>3.5524818425690836E-2</v>
      </c>
      <c r="L159" s="188">
        <v>8.509750000000001E-5</v>
      </c>
      <c r="M159" s="233">
        <v>85097</v>
      </c>
      <c r="N159" s="195">
        <v>8.5097000000000002E-5</v>
      </c>
      <c r="O159" s="211">
        <v>1.4086832057347656E-3</v>
      </c>
      <c r="P159" s="1">
        <v>1.7777542144693369E-2</v>
      </c>
      <c r="Q159" s="1">
        <v>8.3642451445260727E-3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/>
      <c r="I160" s="124" t="str">
        <f t="shared" si="5"/>
        <v>(140, 160]</v>
      </c>
      <c r="J160" s="160">
        <v>1</v>
      </c>
      <c r="K160" s="234">
        <v>1.9167533736289048E-2</v>
      </c>
      <c r="L160" s="188">
        <v>1.4962149999999999E-4</v>
      </c>
      <c r="M160" s="233">
        <v>149621</v>
      </c>
      <c r="N160" s="195">
        <v>1.4962100000000001E-4</v>
      </c>
      <c r="O160" s="211">
        <v>2.8934685607048876E-3</v>
      </c>
      <c r="P160" s="1">
        <v>1.7654015777122837E-2</v>
      </c>
      <c r="Q160" s="1">
        <v>5.9474111017197599E-3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/>
      <c r="I161" s="124" t="str">
        <f t="shared" si="5"/>
        <v>(160, 180]</v>
      </c>
      <c r="J161" s="160">
        <v>1</v>
      </c>
      <c r="K161" s="234">
        <v>2.2697660604369703</v>
      </c>
      <c r="L161" s="188">
        <v>4.9788634999999998E-3</v>
      </c>
      <c r="M161" s="233">
        <v>4978863</v>
      </c>
      <c r="N161" s="195">
        <v>4.978863E-3</v>
      </c>
      <c r="O161" s="211">
        <v>0.10871367747536707</v>
      </c>
      <c r="P161" s="1">
        <v>1.5318035812137176E-2</v>
      </c>
      <c r="Q161" s="1">
        <v>6.9026914189392842E-3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/>
      <c r="I162" s="124" t="str">
        <f t="shared" si="5"/>
        <v>(180, 200]</v>
      </c>
      <c r="J162" s="160">
        <v>1</v>
      </c>
      <c r="K162" s="234">
        <v>1.0081156866436437E-2</v>
      </c>
      <c r="L162" s="188">
        <v>7.9360499999999993E-5</v>
      </c>
      <c r="M162" s="233">
        <v>79360</v>
      </c>
      <c r="N162" s="195">
        <v>7.9359999999999999E-5</v>
      </c>
      <c r="O162" s="211">
        <v>1.9724347365818943E-3</v>
      </c>
      <c r="P162" s="1">
        <v>5.2631030713036642E-3</v>
      </c>
      <c r="Q162" s="1">
        <v>3.3600620733375917E-3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/>
      <c r="I163" s="124" t="str">
        <f t="shared" si="5"/>
        <v>(200, 250]</v>
      </c>
      <c r="J163" s="160">
        <v>1</v>
      </c>
      <c r="K163" s="234">
        <v>4.813875401371885E-3</v>
      </c>
      <c r="L163" s="188">
        <v>3.0700500000000002E-5</v>
      </c>
      <c r="M163" s="233">
        <v>30700</v>
      </c>
      <c r="N163" s="195">
        <v>3.0700000000000001E-5</v>
      </c>
      <c r="O163" s="211">
        <v>8.9686634644724531E-4</v>
      </c>
      <c r="P163" s="1">
        <v>8.9520944093784676E-3</v>
      </c>
      <c r="Q163" s="1">
        <v>1.8456142568250757E-3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/>
      <c r="I164" s="124" t="str">
        <f t="shared" si="5"/>
        <v>(250, 300]</v>
      </c>
      <c r="J164" s="160">
        <v>1</v>
      </c>
      <c r="K164" s="234">
        <v>0.33958261733955736</v>
      </c>
      <c r="L164" s="188">
        <v>2.1303145000000001E-3</v>
      </c>
      <c r="M164" s="233">
        <v>2130314</v>
      </c>
      <c r="N164" s="195">
        <v>2.1303139999999999E-3</v>
      </c>
      <c r="O164" s="211">
        <v>7.6471313051151082E-2</v>
      </c>
      <c r="P164" s="1">
        <v>3.567163351150553E-3</v>
      </c>
      <c r="Q164" s="1">
        <v>3.1372247725512041E-4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/>
      <c r="I165" s="124" t="str">
        <f t="shared" si="5"/>
        <v>(300, 350]</v>
      </c>
      <c r="J165" s="160">
        <v>1</v>
      </c>
      <c r="K165" s="234">
        <v>0.17547516111172931</v>
      </c>
      <c r="L165" s="188">
        <v>6.3865150000000002E-4</v>
      </c>
      <c r="M165" s="233">
        <v>638651</v>
      </c>
      <c r="N165" s="195">
        <v>6.3865099999999995E-4</v>
      </c>
      <c r="O165" s="211">
        <v>2.6041372059513557E-2</v>
      </c>
      <c r="P165" s="1">
        <v>6.1381130385445475E-4</v>
      </c>
      <c r="Q165" s="1">
        <v>2.2442793710276583E-4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1.839846858737878E-4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/>
      <c r="I167" s="124" t="str">
        <f t="shared" si="5"/>
        <v>(400, 450]</v>
      </c>
      <c r="J167" s="160">
        <v>1</v>
      </c>
      <c r="K167" s="234">
        <v>0.33995981424339039</v>
      </c>
      <c r="L167" s="188">
        <v>8.2905150000000009E-4</v>
      </c>
      <c r="M167" s="233">
        <v>829051</v>
      </c>
      <c r="N167" s="195">
        <v>8.2905100000000003E-4</v>
      </c>
      <c r="O167" s="211">
        <v>4.4694847970815507E-2</v>
      </c>
      <c r="P167" s="1">
        <v>2.2914082442309861E-3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3.1647970037386518E-3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2.4748375818599059E-3</v>
      </c>
      <c r="Q169" s="1">
        <v>7.8859473631211845E-5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/>
      <c r="I175" s="124" t="str">
        <f t="shared" si="5"/>
        <v>(800, 850]</v>
      </c>
      <c r="J175" s="160">
        <v>1</v>
      </c>
      <c r="K175" s="234">
        <v>0.2648250263135834</v>
      </c>
      <c r="L175" s="188">
        <v>2.8431349999999997E-4</v>
      </c>
      <c r="M175" s="233">
        <v>284313</v>
      </c>
      <c r="N175" s="195">
        <v>2.8431300000000001E-4</v>
      </c>
      <c r="O175" s="211">
        <v>2.9422989789944717E-2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4.8701891662641997E-5</v>
      </c>
      <c r="Q179" s="1">
        <v>6.1645496911675839E-5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/>
      <c r="I180" s="124" t="str">
        <f t="shared" si="5"/>
        <v>(2000, 3000]</v>
      </c>
      <c r="J180" s="160">
        <v>1</v>
      </c>
      <c r="K180" s="234">
        <v>1.128250209517955E-2</v>
      </c>
      <c r="L180" s="188">
        <v>9.5731500000000003E-5</v>
      </c>
      <c r="M180" s="233">
        <v>95731</v>
      </c>
      <c r="N180" s="195">
        <v>9.5730999999999995E-5</v>
      </c>
      <c r="O180" s="211">
        <v>3.0044112870386892E-2</v>
      </c>
      <c r="P180" s="1">
        <v>5.0442235802602565E-5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/>
      <c r="I182" s="124" t="str">
        <f t="shared" si="5"/>
        <v>(4000, 5000]</v>
      </c>
      <c r="J182" s="160">
        <v>1</v>
      </c>
      <c r="K182" s="234">
        <v>2.2563330159906164E-2</v>
      </c>
      <c r="L182" s="188">
        <v>6.0056499999999997E-5</v>
      </c>
      <c r="M182" s="233">
        <v>60056</v>
      </c>
      <c r="N182" s="195">
        <v>6.0056000000000002E-5</v>
      </c>
      <c r="O182" s="211">
        <v>3.385061527650144E-2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5.9217329446873482E-2</v>
      </c>
      <c r="L186" s="188">
        <v>3.4130500000000001E-5</v>
      </c>
      <c r="M186" s="233">
        <v>34130</v>
      </c>
      <c r="N186" s="195">
        <v>3.413E-5</v>
      </c>
      <c r="O186" s="211">
        <v>3.6223628685786657E-2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3.7567764638747106E-3</v>
      </c>
      <c r="L188" s="188">
        <v>5.8065000000000002E-6</v>
      </c>
      <c r="M188" s="233">
        <v>5806</v>
      </c>
      <c r="N188" s="195">
        <v>5.806E-6</v>
      </c>
      <c r="O188" s="211">
        <v>9.760432827797429E-3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29299.73630237328</v>
      </c>
      <c r="O192" s="10">
        <f>SUM(O175:O185)</f>
        <v>9.331771793683305E-2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16651.125616091645</v>
      </c>
      <c r="O194" s="220" cm="1">
        <f t="array" ref="O194:O195">N196/N194:N195</f>
        <v>210.19600000000003</v>
      </c>
    </row>
    <row r="195" spans="1:20" ht="16.8" thickBot="1">
      <c r="M195" s="124" t="s">
        <v>179</v>
      </c>
      <c r="N195" s="218">
        <f>1/SUM(N192)</f>
        <v>3.413E-5</v>
      </c>
      <c r="O195" s="220">
        <v>102549077058.30647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0.89999999998969349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7.2070957662349189</v>
      </c>
      <c r="L218" s="188">
        <v>9.0775122499999999E-2</v>
      </c>
      <c r="M218" s="233">
        <v>90775122</v>
      </c>
      <c r="N218" s="195">
        <v>9.0775122E-2</v>
      </c>
      <c r="O218" s="211">
        <v>2.0317679086041665E-2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6.4194805064658853</v>
      </c>
      <c r="L219" s="188">
        <v>7.1105003500000014E-2</v>
      </c>
      <c r="M219" s="233">
        <v>71105003</v>
      </c>
      <c r="N219" s="195">
        <v>7.1105003E-2</v>
      </c>
      <c r="O219" s="211">
        <v>1.8630625988416909E-2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4.9983602857609144</v>
      </c>
      <c r="L220" s="188">
        <v>6.1193335500000001E-2</v>
      </c>
      <c r="M220" s="233">
        <v>61193335</v>
      </c>
      <c r="N220" s="195">
        <v>6.1193335000000001E-2</v>
      </c>
      <c r="O220" s="211">
        <v>1.8539251962898271E-2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6.8134223391664319</v>
      </c>
      <c r="L221" s="188">
        <v>7.4031785500000002E-2</v>
      </c>
      <c r="M221" s="233">
        <v>74031785</v>
      </c>
      <c r="N221" s="195">
        <v>7.4031785000000003E-2</v>
      </c>
      <c r="O221" s="211">
        <v>2.5371501906059857E-2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12.140675785509234</v>
      </c>
      <c r="L222" s="188">
        <v>0.1364534865</v>
      </c>
      <c r="M222" s="233">
        <v>136453486</v>
      </c>
      <c r="N222" s="195">
        <v>0.13645348600000001</v>
      </c>
      <c r="O222" s="211">
        <v>5.2242992511066233E-2</v>
      </c>
      <c r="Q222" s="1">
        <v>8.1534868779438843E-2</v>
      </c>
      <c r="R222" s="1">
        <v>7.2544017192642869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6.9970365324541985</v>
      </c>
      <c r="L223" s="188">
        <v>0.15034880149999999</v>
      </c>
      <c r="M223" s="233">
        <v>150348801</v>
      </c>
      <c r="N223" s="195">
        <v>0.150348801</v>
      </c>
      <c r="O223" s="211">
        <v>6.6608025300092216E-2</v>
      </c>
      <c r="Q223" s="1">
        <v>9.0112979805137619E-2</v>
      </c>
      <c r="R223" s="1">
        <v>4.1937401925006723</v>
      </c>
      <c r="U223" s="128" t="s">
        <v>270</v>
      </c>
      <c r="V223" s="185">
        <f>SUM(N199:N228)</f>
        <v>0.761630841</v>
      </c>
      <c r="W223" s="296" cm="1">
        <f t="array" ref="W223:W228">1/V223:V228</f>
        <v>1.3129720412674308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3.8844496747594377</v>
      </c>
      <c r="L224" s="188">
        <v>7.8930366500000002E-2</v>
      </c>
      <c r="M224" s="233">
        <v>78930366</v>
      </c>
      <c r="N224" s="195">
        <v>7.8930366000000002E-2</v>
      </c>
      <c r="O224" s="211">
        <v>4.1229812201011011E-2</v>
      </c>
      <c r="Q224" s="1">
        <v>4.747126106777233E-2</v>
      </c>
      <c r="R224" s="272">
        <v>2.3362329708063445</v>
      </c>
      <c r="U224" s="124" t="s">
        <v>274</v>
      </c>
      <c r="V224" s="188">
        <f>SUM(N229:N256)</f>
        <v>0.23836915899999997</v>
      </c>
      <c r="W224" s="297">
        <v>4.1951735878717438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1.7871693487305842</v>
      </c>
      <c r="L225" s="188">
        <v>3.58916845E-2</v>
      </c>
      <c r="M225" s="233">
        <v>35891684</v>
      </c>
      <c r="N225" s="195">
        <v>3.5891684E-2</v>
      </c>
      <c r="O225" s="211">
        <v>2.1621289580595403E-2</v>
      </c>
      <c r="Q225" s="1">
        <v>2.1651011757170088E-2</v>
      </c>
      <c r="R225" s="272">
        <v>1.0780776973958937</v>
      </c>
      <c r="U225" s="124" t="s">
        <v>271</v>
      </c>
      <c r="V225" s="188">
        <f>SUM(N234:N256)</f>
        <v>0.12042992199999998</v>
      </c>
      <c r="W225" s="297">
        <v>8.303584220539479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1.0591895199357981</v>
      </c>
      <c r="L226" s="188">
        <v>2.0412397499999999E-2</v>
      </c>
      <c r="M226" s="233">
        <v>20412397</v>
      </c>
      <c r="N226" s="195">
        <v>2.0412396999999999E-2</v>
      </c>
      <c r="O226" s="211">
        <v>1.3927748065199166E-2</v>
      </c>
      <c r="Q226" s="1">
        <v>1.2345605360363113E-2</v>
      </c>
      <c r="R226" s="272">
        <v>0.64060754328147018</v>
      </c>
      <c r="U226" s="124" t="s">
        <v>286</v>
      </c>
      <c r="V226" s="188">
        <f>SUM(N245:N256)</f>
        <v>5.0333529999999991E-3</v>
      </c>
      <c r="W226" s="297">
        <v>198.67472041003288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1.5897969885930847</v>
      </c>
      <c r="L227" s="188">
        <v>2.9873269500000004E-2</v>
      </c>
      <c r="M227" s="233">
        <v>29873269</v>
      </c>
      <c r="N227" s="195">
        <v>2.9873269000000001E-2</v>
      </c>
      <c r="O227" s="211">
        <v>2.2782602214288565E-2</v>
      </c>
      <c r="Q227" s="1">
        <v>1.8109825476012021E-2</v>
      </c>
      <c r="R227" s="272">
        <v>0.96376949987714722</v>
      </c>
      <c r="U227" s="124" t="s">
        <v>287</v>
      </c>
      <c r="V227" s="188">
        <f>SUM(N246:N256)</f>
        <v>3.5280769999999993E-3</v>
      </c>
      <c r="W227" s="297">
        <v>283.44052581618831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0.28478198261600091</v>
      </c>
      <c r="L228" s="188">
        <v>1.2615593499999999E-2</v>
      </c>
      <c r="M228" s="233">
        <v>12615593</v>
      </c>
      <c r="N228" s="195">
        <v>1.2615593E-2</v>
      </c>
      <c r="O228" s="211">
        <v>1.1365418624342167E-2</v>
      </c>
      <c r="Q228" s="1">
        <v>7.674595432961279E-3</v>
      </c>
      <c r="R228" s="272">
        <v>0.17324484204206636</v>
      </c>
      <c r="U228" s="125" t="s">
        <v>272</v>
      </c>
      <c r="V228" s="191">
        <f>SUM(N253)</f>
        <v>1.8222099999999999E-4</v>
      </c>
      <c r="W228" s="298">
        <v>5487.8416867430215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1.7580124384319906</v>
      </c>
      <c r="L229" s="188">
        <v>7.2873713500000006E-2</v>
      </c>
      <c r="M229" s="233">
        <v>72873713</v>
      </c>
      <c r="N229" s="195">
        <v>7.2873713000000007E-2</v>
      </c>
      <c r="O229" s="211">
        <v>8.0214522520746193E-2</v>
      </c>
      <c r="P229" s="1" cm="1">
        <f t="array" ref="P229:P256">2*K229:K256</f>
        <v>3.5160248768639812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0.28404808713458257</v>
      </c>
      <c r="L230" s="188">
        <v>1.0912349500000001E-2</v>
      </c>
      <c r="M230" s="233">
        <v>10912349</v>
      </c>
      <c r="N230" s="195">
        <v>1.0912349E-2</v>
      </c>
      <c r="O230" s="211">
        <v>1.4190680609980749E-2</v>
      </c>
      <c r="P230" s="1">
        <v>0.56809617426916514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0.34519204744318582</v>
      </c>
      <c r="L231" s="188">
        <v>1.2460421500000001E-2</v>
      </c>
      <c r="M231" s="233">
        <v>12460421</v>
      </c>
      <c r="N231" s="195">
        <v>1.2460420999999999E-2</v>
      </c>
      <c r="O231" s="211">
        <v>1.8698605461105945E-2</v>
      </c>
      <c r="P231" s="1">
        <v>0.69038409488637165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0.28830177928862705</v>
      </c>
      <c r="L232" s="188">
        <v>9.6797134999999992E-3</v>
      </c>
      <c r="M232" s="233">
        <v>9679713</v>
      </c>
      <c r="N232" s="195">
        <v>9.6797129999999995E-3</v>
      </c>
      <c r="O232" s="211">
        <v>1.6459903451355316E-2</v>
      </c>
      <c r="P232" s="1">
        <v>0.57660355857725409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0.38135358818741899</v>
      </c>
      <c r="L233" s="188">
        <v>1.20130415E-2</v>
      </c>
      <c r="M233" s="233">
        <v>12013041</v>
      </c>
      <c r="N233" s="195">
        <v>1.2013041E-2</v>
      </c>
      <c r="O233" s="211">
        <v>2.2830986895984333E-2</v>
      </c>
      <c r="P233" s="1">
        <v>0.76270717637483798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1.1748384846530673</v>
      </c>
      <c r="L234" s="188">
        <v>3.4555881500000003E-2</v>
      </c>
      <c r="M234" s="233">
        <v>34555881</v>
      </c>
      <c r="N234" s="195">
        <v>3.4555880999999997E-2</v>
      </c>
      <c r="O234" s="211">
        <v>7.2571093811125031E-2</v>
      </c>
      <c r="P234" s="1">
        <v>2.3496769693061346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0.65582194241526148</v>
      </c>
      <c r="L235" s="188">
        <v>1.8163383500000001E-2</v>
      </c>
      <c r="M235" s="233">
        <v>18163383</v>
      </c>
      <c r="N235" s="195">
        <v>1.8163383000000002E-2</v>
      </c>
      <c r="O235" s="211">
        <v>4.1781924062664129E-2</v>
      </c>
      <c r="P235" s="1">
        <v>1.311643884830523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0.46323884972392693</v>
      </c>
      <c r="L236" s="188">
        <v>1.1977512499999999E-2</v>
      </c>
      <c r="M236" s="233">
        <v>11977512</v>
      </c>
      <c r="N236" s="195">
        <v>1.1977511999999999E-2</v>
      </c>
      <c r="O236" s="211">
        <v>2.9947378306192245E-2</v>
      </c>
      <c r="P236" s="1">
        <v>0.92647769944785385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0.23179992605479266</v>
      </c>
      <c r="L237" s="188">
        <v>5.6306425000000005E-3</v>
      </c>
      <c r="M237" s="233">
        <v>5630642</v>
      </c>
      <c r="N237" s="195">
        <v>5.6306419999999999E-3</v>
      </c>
      <c r="O237" s="211">
        <v>1.5203706996134643E-2</v>
      </c>
      <c r="P237" s="1">
        <v>0.46359985210958532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0.2088161748736006</v>
      </c>
      <c r="L238" s="188">
        <v>4.7552985000000004E-3</v>
      </c>
      <c r="M238" s="233">
        <v>4755298</v>
      </c>
      <c r="N238" s="195">
        <v>4.7552979999999998E-3</v>
      </c>
      <c r="O238" s="211">
        <v>1.3790611788635032E-2</v>
      </c>
      <c r="P238" s="1">
        <v>0.4176323497472012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0.36363825351145035</v>
      </c>
      <c r="L239" s="188">
        <v>7.8102555000000009E-3</v>
      </c>
      <c r="M239" s="233">
        <v>7810255</v>
      </c>
      <c r="N239" s="195">
        <v>7.8102550000000003E-3</v>
      </c>
      <c r="O239" s="211">
        <v>2.4214948613374584E-2</v>
      </c>
      <c r="P239" s="1">
        <v>0.7272765070229007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0.2176965114130682</v>
      </c>
      <c r="L240" s="188">
        <v>4.3760495000000005E-3</v>
      </c>
      <c r="M240" s="233">
        <v>4376049</v>
      </c>
      <c r="N240" s="195">
        <v>4.3760489999999999E-3</v>
      </c>
      <c r="O240" s="211">
        <v>1.4441203980863685E-2</v>
      </c>
      <c r="P240" s="1">
        <v>0.4353930228261364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0.22425974378640784</v>
      </c>
      <c r="L241" s="188">
        <v>4.2481224999999997E-3</v>
      </c>
      <c r="M241" s="233">
        <v>4248122</v>
      </c>
      <c r="N241" s="195">
        <v>4.248122E-3</v>
      </c>
      <c r="O241" s="211">
        <v>1.4869000696903245E-2</v>
      </c>
      <c r="P241" s="1">
        <v>0.44851948757281568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0.18372357375334614</v>
      </c>
      <c r="L242" s="188">
        <v>3.2606614999999999E-3</v>
      </c>
      <c r="M242" s="233">
        <v>3260661</v>
      </c>
      <c r="N242" s="195">
        <v>3.2606610000000002E-3</v>
      </c>
      <c r="O242" s="211">
        <v>1.2064478753776576E-2</v>
      </c>
      <c r="P242" s="1">
        <v>0.36744714750669227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0.35457054453224091</v>
      </c>
      <c r="L243" s="188">
        <v>5.9459554999999999E-3</v>
      </c>
      <c r="M243" s="233">
        <v>5945955</v>
      </c>
      <c r="N243" s="195">
        <v>5.9459550000000002E-3</v>
      </c>
      <c r="O243" s="211">
        <v>2.319108287526539E-2</v>
      </c>
      <c r="P243" s="1">
        <v>0.70914108906448181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7.6948850917796352E-2</v>
      </c>
      <c r="L244" s="188">
        <v>1.4672811499999999E-2</v>
      </c>
      <c r="M244" s="233">
        <v>14672811</v>
      </c>
      <c r="N244" s="195">
        <v>1.4672810999999999E-2</v>
      </c>
      <c r="O244" s="211">
        <v>8.2499807205471551E-2</v>
      </c>
      <c r="P244" s="1">
        <v>0.1538977018355927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2.3766114353629356E-2</v>
      </c>
      <c r="L245" s="188">
        <v>1.5052765E-3</v>
      </c>
      <c r="M245" s="233">
        <v>1505276</v>
      </c>
      <c r="N245" s="195">
        <v>1.5052760000000001E-3</v>
      </c>
      <c r="O245" s="211">
        <v>1.4543513780976854E-2</v>
      </c>
      <c r="P245" s="1">
        <v>4.7532228707258713E-2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5.039764785330459E-2</v>
      </c>
      <c r="L246" s="188">
        <v>1.2085424999999999E-3</v>
      </c>
      <c r="M246" s="233">
        <v>1208542</v>
      </c>
      <c r="N246" s="195">
        <v>1.2085419999999999E-3</v>
      </c>
      <c r="O246" s="211">
        <v>1.6562469537212732E-2</v>
      </c>
      <c r="P246" s="1">
        <v>0.10079529570660918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9.1161477346401953E-2</v>
      </c>
      <c r="L247" s="188">
        <v>9.5571350000000002E-4</v>
      </c>
      <c r="M247" s="233">
        <v>955713</v>
      </c>
      <c r="N247" s="195">
        <v>9.5571299999999996E-4</v>
      </c>
      <c r="O247" s="211">
        <v>1.6965232464475257E-2</v>
      </c>
      <c r="P247" s="1">
        <v>0.18232295469280391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5.949383854895586E-2</v>
      </c>
      <c r="L248" s="188">
        <v>3.1576450000000002E-4</v>
      </c>
      <c r="M248" s="233">
        <v>315764</v>
      </c>
      <c r="N248" s="195">
        <v>3.1576400000000001E-4</v>
      </c>
      <c r="O248" s="211">
        <v>6.8830136177951808E-3</v>
      </c>
      <c r="P248" s="1">
        <v>0.11898767709791172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9.559292950268769E-2</v>
      </c>
      <c r="L249" s="188">
        <v>2.973745E-4</v>
      </c>
      <c r="M249" s="233">
        <v>297374</v>
      </c>
      <c r="N249" s="195">
        <v>2.9737399999999999E-4</v>
      </c>
      <c r="O249" s="211">
        <v>7.6844421569207165E-3</v>
      </c>
      <c r="P249" s="1">
        <v>0.19118585900537538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0.1362910750427074</v>
      </c>
      <c r="L250" s="188">
        <v>2.7636449999999998E-4</v>
      </c>
      <c r="M250" s="233">
        <v>276364</v>
      </c>
      <c r="N250" s="195">
        <v>2.7636400000000003E-4</v>
      </c>
      <c r="O250" s="211">
        <v>8.2557728136086004E-3</v>
      </c>
      <c r="P250" s="1">
        <v>0.27258215008541481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0.15527933152338871</v>
      </c>
      <c r="L251" s="188">
        <v>2.2203050000000002E-4</v>
      </c>
      <c r="M251" s="233">
        <v>222030</v>
      </c>
      <c r="N251" s="195">
        <v>2.2202999999999999E-4</v>
      </c>
      <c r="O251" s="211">
        <v>7.5245798882551933E-3</v>
      </c>
      <c r="P251" s="198">
        <v>0.31055866304677743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6.721301411320299E-2</v>
      </c>
      <c r="L252" s="188">
        <v>7.0069500000000004E-5</v>
      </c>
      <c r="M252" s="233">
        <v>70069</v>
      </c>
      <c r="N252" s="195">
        <v>7.0068999999999996E-5</v>
      </c>
      <c r="O252" s="211">
        <v>2.6554776187501781E-3</v>
      </c>
      <c r="P252" s="198">
        <v>0.13442602822640598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6.3842187559669805E-2</v>
      </c>
      <c r="L253" s="188">
        <v>1.822215E-4</v>
      </c>
      <c r="M253" s="233">
        <v>182221</v>
      </c>
      <c r="N253" s="195">
        <v>1.8222099999999999E-4</v>
      </c>
      <c r="O253" s="211">
        <v>9.3186146421087006E-3</v>
      </c>
      <c r="P253" s="198">
        <v>0.12768437511933961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4503.8958699274872</v>
      </c>
      <c r="O257" s="10">
        <f>SUM(O240:O250)</f>
        <v>0.21796001788326977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50.745543374144248</v>
      </c>
      <c r="O259" s="220" cm="1">
        <f t="array" ref="O259:O260">N261/N259:N260</f>
        <v>275.88629600000002</v>
      </c>
    </row>
    <row r="260" spans="13:15" ht="16.8" thickBot="1">
      <c r="M260" s="124" t="s">
        <v>179</v>
      </c>
      <c r="N260" s="218">
        <f>1/SUM(N257)</f>
        <v>2.2203000000000001E-4</v>
      </c>
      <c r="O260" s="220">
        <v>63054542.178984821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0.8999999999017908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1.1334291838893193</v>
      </c>
      <c r="L4" s="185" cm="1">
        <f t="array" ref="L4:L61">K4:K61*_xlfn.ANCHORARRAY(J4)*_xlfn.ANCHORARRAY(F4)</f>
        <v>0.90129032750000004</v>
      </c>
      <c r="M4" s="240" cm="1">
        <f t="array" ref="M4:M61">INT(_xlfn.ANCHORARRAY(L4)*$M$2)</f>
        <v>901290327</v>
      </c>
      <c r="N4" s="194" cm="1">
        <f t="array" ref="N4:N61">_xlfn.ANCHORARRAY(M4)/SUM(_xlfn.ANCHORARRAY(M4))</f>
        <v>0.901290327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0.4521895183659258</v>
      </c>
      <c r="L5" s="188">
        <v>5.5273535000000002E-3</v>
      </c>
      <c r="M5" s="233">
        <v>5527353</v>
      </c>
      <c r="N5" s="195">
        <v>5.5273529999999996E-3</v>
      </c>
      <c r="O5" s="211">
        <v>4.1498771349364368E-3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0.45167413904388659</v>
      </c>
      <c r="L6" s="188">
        <v>8.9676445E-3</v>
      </c>
      <c r="M6" s="233">
        <v>8967644</v>
      </c>
      <c r="N6" s="195">
        <v>8.9676440000000003E-3</v>
      </c>
      <c r="O6" s="211">
        <v>1.5399469650478219E-2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0.45121638620355575</v>
      </c>
      <c r="L7" s="188">
        <v>6.3264675000000003E-3</v>
      </c>
      <c r="M7" s="233">
        <v>6326467</v>
      </c>
      <c r="N7" s="195">
        <v>6.3264669999999997E-3</v>
      </c>
      <c r="O7" s="211">
        <v>1.7393092615191147E-2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0.45083389007247676</v>
      </c>
      <c r="L8" s="188">
        <v>8.3238205000000006E-3</v>
      </c>
      <c r="M8" s="233">
        <v>8323820</v>
      </c>
      <c r="N8" s="195">
        <v>8.3238199999999991E-3</v>
      </c>
      <c r="O8" s="211">
        <v>3.0784979344128702E-2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0.45169896716135111</v>
      </c>
      <c r="L9" s="188">
        <v>5.6919025000000002E-3</v>
      </c>
      <c r="M9" s="233">
        <v>5691902</v>
      </c>
      <c r="N9" s="195">
        <v>5.6919020000000004E-3</v>
      </c>
      <c r="O9" s="211">
        <v>2.7352531799778354E-2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0.45125907913682139</v>
      </c>
      <c r="L10" s="188">
        <v>5.6604725000000003E-3</v>
      </c>
      <c r="M10" s="233">
        <v>5660472</v>
      </c>
      <c r="N10" s="195">
        <v>5.6604719999999997E-3</v>
      </c>
      <c r="O10" s="211">
        <v>3.3691186422853361E-2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0.45132734538835911</v>
      </c>
      <c r="L11" s="188">
        <v>1.4257994999999999E-3</v>
      </c>
      <c r="M11" s="233">
        <v>1425799</v>
      </c>
      <c r="N11" s="195">
        <v>1.4257989999999999E-3</v>
      </c>
      <c r="O11" s="211">
        <v>9.3073476031199781E-3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1.1289894329067309</v>
      </c>
      <c r="L12" s="188">
        <v>1.4843510499999999E-2</v>
      </c>
      <c r="M12" s="233">
        <v>14843510</v>
      </c>
      <c r="N12" s="195">
        <v>1.4843510000000001E-2</v>
      </c>
      <c r="O12" s="211">
        <v>0.11450399729204476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0.56184214341006744</v>
      </c>
      <c r="L13" s="188">
        <v>3.2363674999999997E-3</v>
      </c>
      <c r="M13" s="233">
        <v>3236367</v>
      </c>
      <c r="N13" s="195">
        <v>3.236367E-3</v>
      </c>
      <c r="O13" s="211">
        <v>2.8872316376291875E-2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0.56374334062602427</v>
      </c>
      <c r="L14" s="188">
        <v>4.0230804999999998E-3</v>
      </c>
      <c r="M14" s="233">
        <v>4023080</v>
      </c>
      <c r="N14" s="195">
        <v>4.0230800000000001E-3</v>
      </c>
      <c r="O14" s="211">
        <v>3.9226488206530803E-2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1.126732229180949</v>
      </c>
      <c r="L15" s="188">
        <v>2.01794655E-2</v>
      </c>
      <c r="M15" s="233">
        <v>20179465</v>
      </c>
      <c r="N15" s="195">
        <v>2.0179465000000001E-2</v>
      </c>
      <c r="O15" s="211">
        <v>0.25689230330653096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0.44956373285798634</v>
      </c>
      <c r="L16" s="188">
        <v>5.0662425000000001E-3</v>
      </c>
      <c r="M16" s="233">
        <v>5066242</v>
      </c>
      <c r="N16" s="195">
        <v>5.0662420000000003E-3</v>
      </c>
      <c r="O16" s="211">
        <v>9.0419446775510379E-2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1.1266475375884617</v>
      </c>
      <c r="L17" s="188">
        <v>7.0012964999999995E-3</v>
      </c>
      <c r="M17" s="233">
        <v>7001296</v>
      </c>
      <c r="N17" s="195">
        <v>7.0012959999999997E-3</v>
      </c>
      <c r="O17" s="211">
        <v>0.16273192489593963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0.5629172912942777</v>
      </c>
      <c r="L18" s="188">
        <v>2.4362564999999997E-3</v>
      </c>
      <c r="M18" s="233">
        <v>2436256</v>
      </c>
      <c r="N18" s="195">
        <v>2.4362559999999999E-3</v>
      </c>
      <c r="O18" s="211">
        <v>6.9275038478456299E-2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0.90000000007960046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1.095264125091433</v>
      </c>
      <c r="L69" s="185" cm="1">
        <f t="array" ref="L69:L126">K69:K126*_xlfn.ANCHORARRAY(J69)*_xlfn.ANCHORARRAY(F69)</f>
        <v>0.87097361449999999</v>
      </c>
      <c r="M69" s="207" cm="1">
        <f t="array" ref="M69:M126">INT(_xlfn.ANCHORARRAY(L69)*$M$2)</f>
        <v>870973614</v>
      </c>
      <c r="N69" s="194" cm="1">
        <f t="array" ref="N69:N126">_xlfn.ANCHORARRAY(M69)/SUM(_xlfn.ANCHORARRAY(M69))</f>
        <v>0.87097361399999995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2.2320749792985608</v>
      </c>
      <c r="L70" s="188">
        <v>9.9385124999999998E-3</v>
      </c>
      <c r="M70" s="208">
        <v>9938512</v>
      </c>
      <c r="N70" s="195">
        <v>9.938512E-3</v>
      </c>
      <c r="O70" s="211">
        <v>5.3005397333333332E-3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/>
      <c r="I71" s="214" t="str">
        <f t="shared" si="3"/>
        <v>(1, 2]</v>
      </c>
      <c r="J71" s="160">
        <v>1</v>
      </c>
      <c r="K71" s="205">
        <v>1.2764307956067336</v>
      </c>
      <c r="L71" s="188">
        <v>1.61262735E-2</v>
      </c>
      <c r="M71" s="208">
        <v>16126273</v>
      </c>
      <c r="N71" s="195">
        <v>1.6126273E-2</v>
      </c>
      <c r="O71" s="211">
        <v>1.7843198988792167E-2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/>
      <c r="I72" s="124" t="str">
        <f t="shared" si="3"/>
        <v>(2, 3]</v>
      </c>
      <c r="J72" s="160">
        <v>1</v>
      </c>
      <c r="K72" s="205">
        <v>1.4888015950306326</v>
      </c>
      <c r="L72" s="188">
        <v>1.13755325E-2</v>
      </c>
      <c r="M72" s="208">
        <v>11375532</v>
      </c>
      <c r="N72" s="195">
        <v>1.1375532000000001E-2</v>
      </c>
      <c r="O72" s="211">
        <v>2.1199604173713117E-2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/>
      <c r="I73" s="124" t="str">
        <f t="shared" si="3"/>
        <v>(3, 4]</v>
      </c>
      <c r="J73" s="160">
        <v>1</v>
      </c>
      <c r="K73" s="205">
        <v>0.87468130737295247</v>
      </c>
      <c r="L73" s="188">
        <v>1.2413104500000001E-2</v>
      </c>
      <c r="M73" s="208">
        <v>12413104</v>
      </c>
      <c r="N73" s="195">
        <v>1.2413103999999999E-2</v>
      </c>
      <c r="O73" s="211">
        <v>3.0202356668281274E-2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/>
      <c r="I74" s="124" t="str">
        <f t="shared" si="3"/>
        <v>(4, 5]</v>
      </c>
      <c r="J74" s="160">
        <v>1</v>
      </c>
      <c r="K74" s="205">
        <v>0.69740066205032492</v>
      </c>
      <c r="L74" s="188">
        <v>8.4878374999999995E-3</v>
      </c>
      <c r="M74" s="208">
        <v>8487837</v>
      </c>
      <c r="N74" s="195">
        <v>8.4878369999999998E-3</v>
      </c>
      <c r="O74" s="211">
        <v>2.7284228377226508E-2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/>
      <c r="I75" s="124" t="str">
        <f t="shared" si="3"/>
        <v>(5, 6]</v>
      </c>
      <c r="J75" s="160">
        <v>1</v>
      </c>
      <c r="K75" s="205">
        <v>0.66722372402733066</v>
      </c>
      <c r="L75" s="188">
        <v>8.4408485000000005E-3</v>
      </c>
      <c r="M75" s="208">
        <v>8440848</v>
      </c>
      <c r="N75" s="195">
        <v>8.4408480000000008E-3</v>
      </c>
      <c r="O75" s="211">
        <v>3.3648346356533645E-2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/>
      <c r="I76" s="124" t="str">
        <f t="shared" si="3"/>
        <v>(6, 7]</v>
      </c>
      <c r="J76" s="160">
        <v>1</v>
      </c>
      <c r="K76" s="205">
        <v>0.75270896216161864</v>
      </c>
      <c r="L76" s="188">
        <v>2.1261754999999999E-3</v>
      </c>
      <c r="M76" s="208">
        <v>2126175</v>
      </c>
      <c r="N76" s="195">
        <v>2.1261750000000001E-3</v>
      </c>
      <c r="O76" s="211">
        <v>9.1878649165185108E-3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/>
      <c r="I77" s="214" t="str">
        <f t="shared" si="3"/>
        <v>(7, 8]</v>
      </c>
      <c r="J77" s="160">
        <v>1</v>
      </c>
      <c r="K77" s="205">
        <v>0.62605250017005742</v>
      </c>
      <c r="L77" s="188">
        <v>8.8538084999999992E-3</v>
      </c>
      <c r="M77" s="208">
        <v>8853808</v>
      </c>
      <c r="N77" s="195">
        <v>8.8538079999999995E-3</v>
      </c>
      <c r="O77" s="211">
        <v>4.5462879228413744E-2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/>
      <c r="I78" s="124" t="str">
        <f t="shared" si="3"/>
        <v>(8, 9]</v>
      </c>
      <c r="J78" s="160">
        <v>1</v>
      </c>
      <c r="K78" s="205">
        <v>0.6043961419889099</v>
      </c>
      <c r="L78" s="188">
        <v>3.8607925000000002E-3</v>
      </c>
      <c r="M78" s="208">
        <v>3860792</v>
      </c>
      <c r="N78" s="195">
        <v>3.860792E-3</v>
      </c>
      <c r="O78" s="211">
        <v>2.2995622640698415E-2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/>
      <c r="I79" s="124" t="str">
        <f t="shared" si="3"/>
        <v>(9, 10]</v>
      </c>
      <c r="J79" s="160">
        <v>1</v>
      </c>
      <c r="K79" s="205">
        <v>0.56236397246909409</v>
      </c>
      <c r="L79" s="188">
        <v>4.7992805000000001E-3</v>
      </c>
      <c r="M79" s="208">
        <v>4799280</v>
      </c>
      <c r="N79" s="195">
        <v>4.7992800000000004E-3</v>
      </c>
      <c r="O79" s="211">
        <v>3.1206270912495001E-2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/>
      <c r="I80" s="214" t="str">
        <f t="shared" si="3"/>
        <v>(10, 15]</v>
      </c>
      <c r="J80" s="160">
        <v>1</v>
      </c>
      <c r="K80" s="205">
        <v>0.33361556360856492</v>
      </c>
      <c r="L80" s="188">
        <v>7.2565225000000002E-3</v>
      </c>
      <c r="M80" s="208">
        <v>7256522</v>
      </c>
      <c r="N80" s="195">
        <v>7.2565219999999996E-3</v>
      </c>
      <c r="O80" s="211">
        <v>6.1767642045022574E-2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/>
      <c r="I81" s="124" t="str">
        <f t="shared" si="3"/>
        <v>(15, 20]</v>
      </c>
      <c r="J81" s="160">
        <v>1</v>
      </c>
      <c r="K81" s="205">
        <v>1.2838590681593631</v>
      </c>
      <c r="L81" s="188">
        <v>1.8217934499999998E-2</v>
      </c>
      <c r="M81" s="208">
        <v>18217934</v>
      </c>
      <c r="N81" s="195">
        <v>1.8217934000000002E-2</v>
      </c>
      <c r="O81" s="211">
        <v>0.2170432218992841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/>
      <c r="I82" s="124" t="str">
        <f t="shared" si="3"/>
        <v>(20, 25]</v>
      </c>
      <c r="J82" s="160">
        <v>1</v>
      </c>
      <c r="K82" s="205">
        <v>0.31640665403437568</v>
      </c>
      <c r="L82" s="188">
        <v>2.5176025E-3</v>
      </c>
      <c r="M82" s="208">
        <v>2517602</v>
      </c>
      <c r="N82" s="195">
        <v>2.5176019999999999E-3</v>
      </c>
      <c r="O82" s="211">
        <v>3.9016280276139181E-2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/>
      <c r="I83" s="124" t="str">
        <f t="shared" si="3"/>
        <v>(25, 30]</v>
      </c>
      <c r="J83" s="160">
        <v>1</v>
      </c>
      <c r="K83" s="205">
        <v>0.31615908007000598</v>
      </c>
      <c r="L83" s="188">
        <v>1.7520945E-3</v>
      </c>
      <c r="M83" s="208">
        <v>1752094</v>
      </c>
      <c r="N83" s="195">
        <v>1.752094E-3</v>
      </c>
      <c r="O83" s="211">
        <v>3.3216895776740744E-2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/>
      <c r="I84" s="124" t="str">
        <f t="shared" si="3"/>
        <v>(30, 35]</v>
      </c>
      <c r="J84" s="160">
        <v>1</v>
      </c>
      <c r="K84" s="205">
        <v>3.1882837622057556</v>
      </c>
      <c r="L84" s="188">
        <v>8.6656914999999994E-3</v>
      </c>
      <c r="M84" s="208">
        <v>8665691</v>
      </c>
      <c r="N84" s="195">
        <v>8.6656909999999997E-3</v>
      </c>
      <c r="O84" s="211">
        <v>0.18823224649762557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/>
      <c r="I85" s="214" t="str">
        <f t="shared" si="3"/>
        <v>(35, 40]</v>
      </c>
      <c r="J85" s="160">
        <v>1</v>
      </c>
      <c r="K85" s="205">
        <v>0.31553486900985217</v>
      </c>
      <c r="L85" s="188">
        <v>1.5223654999999999E-3</v>
      </c>
      <c r="M85" s="208">
        <v>1522365</v>
      </c>
      <c r="N85" s="195">
        <v>1.5223649999999999E-3</v>
      </c>
      <c r="O85" s="211">
        <v>3.8846479489042865E-2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/>
      <c r="I86" s="124" t="str">
        <f t="shared" si="3"/>
        <v>(40, 45]</v>
      </c>
      <c r="J86" s="160">
        <v>1</v>
      </c>
      <c r="K86" s="205">
        <v>1.2769284623674155</v>
      </c>
      <c r="L86" s="188">
        <v>2.6720174999999998E-3</v>
      </c>
      <c r="M86" s="208">
        <v>2672017</v>
      </c>
      <c r="N86" s="195">
        <v>2.6720170000000001E-3</v>
      </c>
      <c r="O86" s="211">
        <v>7.7546322099739634E-2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/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/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/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/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/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/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0.9000000001103956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1.1003764867350334</v>
      </c>
      <c r="L134" s="185" cm="1">
        <f t="array" ref="L134:L191">K134:K191*_xlfn.ANCHORARRAY(J134)*_xlfn.ANCHORARRAY(F134)</f>
        <v>0.87501747750000003</v>
      </c>
      <c r="M134" s="207" cm="1">
        <f t="array" ref="M134:M191">INT(_xlfn.ANCHORARRAY(L134)*$M$2)</f>
        <v>875017477</v>
      </c>
      <c r="N134" s="194" cm="1">
        <f t="array" ref="N134:N191">_xlfn.ANCHORARRAY(M134)/SUM(_xlfn.ANCHORARRAY(M134))</f>
        <v>0.87501747699999999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/>
      <c r="I142" s="214" t="str">
        <f t="shared" si="5"/>
        <v>(7, 8]</v>
      </c>
      <c r="J142" s="160">
        <v>1</v>
      </c>
      <c r="K142" s="205">
        <v>14.7804844894557</v>
      </c>
      <c r="L142" s="188">
        <v>3.2130940499999996E-2</v>
      </c>
      <c r="M142" s="208">
        <v>32130940</v>
      </c>
      <c r="N142" s="195">
        <v>3.2130939999999997E-2</v>
      </c>
      <c r="O142" s="211">
        <v>3.2130939999999997E-2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/>
      <c r="I144" s="124" t="str">
        <f t="shared" si="5"/>
        <v>(9, 10]</v>
      </c>
      <c r="J144" s="160">
        <v>1</v>
      </c>
      <c r="K144" s="205">
        <v>1.4820904217382271</v>
      </c>
      <c r="L144" s="188">
        <v>4.8439264999999999E-3</v>
      </c>
      <c r="M144" s="208">
        <v>4843926</v>
      </c>
      <c r="N144" s="195">
        <v>4.8439260000000001E-3</v>
      </c>
      <c r="O144" s="211">
        <v>6.0549074999999997E-3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/>
      <c r="I145" s="214" t="str">
        <f t="shared" si="5"/>
        <v>(10, 15]</v>
      </c>
      <c r="J145" s="160">
        <v>1</v>
      </c>
      <c r="K145" s="205">
        <v>1.4678428260313454</v>
      </c>
      <c r="L145" s="188">
        <v>3.8674165E-3</v>
      </c>
      <c r="M145" s="208">
        <v>3867416</v>
      </c>
      <c r="N145" s="195">
        <v>3.8674159999999998E-3</v>
      </c>
      <c r="O145" s="211">
        <v>6.7571480735493369E-3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/>
      <c r="I146" s="124" t="str">
        <f t="shared" si="5"/>
        <v>(15, 20]</v>
      </c>
      <c r="J146" s="160">
        <v>1</v>
      </c>
      <c r="K146" s="205">
        <v>1.4740241612804623</v>
      </c>
      <c r="L146" s="188">
        <v>1.32901615E-2</v>
      </c>
      <c r="M146" s="208">
        <v>13290161</v>
      </c>
      <c r="N146" s="195">
        <v>1.3290161E-2</v>
      </c>
      <c r="O146" s="211">
        <v>3.1178531353976448E-2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/>
      <c r="I147" s="124" t="str">
        <f t="shared" si="5"/>
        <v>(20, 25]</v>
      </c>
      <c r="J147" s="160">
        <v>1</v>
      </c>
      <c r="K147" s="205">
        <v>1.4753668989313171</v>
      </c>
      <c r="L147" s="188">
        <v>8.3748125000000003E-3</v>
      </c>
      <c r="M147" s="208">
        <v>8374812</v>
      </c>
      <c r="N147" s="195">
        <v>8.3748120000000006E-3</v>
      </c>
      <c r="O147" s="211">
        <v>2.5438112262287527E-2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/>
      <c r="I148" s="124" t="str">
        <f t="shared" si="5"/>
        <v>(25, 30]</v>
      </c>
      <c r="J148" s="160">
        <v>1</v>
      </c>
      <c r="K148" s="205">
        <v>1.4777271912553043</v>
      </c>
      <c r="L148" s="188">
        <v>6.6450525E-3</v>
      </c>
      <c r="M148" s="208">
        <v>6645052</v>
      </c>
      <c r="N148" s="195">
        <v>6.6450520000000003E-3</v>
      </c>
      <c r="O148" s="211">
        <v>2.4824023755159665E-2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/>
      <c r="I149" s="124" t="str">
        <f t="shared" si="5"/>
        <v>(30, 35]</v>
      </c>
      <c r="J149" s="160">
        <v>1</v>
      </c>
      <c r="K149" s="205">
        <v>1.4761351896769894</v>
      </c>
      <c r="L149" s="188">
        <v>4.4480484999999993E-3</v>
      </c>
      <c r="M149" s="208">
        <v>4448048</v>
      </c>
      <c r="N149" s="195">
        <v>4.4480479999999996E-3</v>
      </c>
      <c r="O149" s="211">
        <v>1.7876046802293957E-2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/>
      <c r="I150" s="214" t="str">
        <f t="shared" si="5"/>
        <v>(35, 40]</v>
      </c>
      <c r="J150" s="160">
        <v>1</v>
      </c>
      <c r="K150" s="205">
        <v>0.29514737303236616</v>
      </c>
      <c r="L150" s="188">
        <v>3.1187305000000003E-3</v>
      </c>
      <c r="M150" s="208">
        <v>3118730</v>
      </c>
      <c r="N150" s="195">
        <v>3.1187300000000001E-3</v>
      </c>
      <c r="O150" s="211">
        <v>1.5322702984110727E-2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/>
      <c r="I151" s="124" t="str">
        <f t="shared" si="5"/>
        <v>(40, 45]</v>
      </c>
      <c r="J151" s="160">
        <v>1</v>
      </c>
      <c r="K151" s="205">
        <v>1.4697939370494078</v>
      </c>
      <c r="L151" s="188">
        <v>3.3130874999999999E-3</v>
      </c>
      <c r="M151" s="208">
        <v>3313087</v>
      </c>
      <c r="N151" s="195">
        <v>3.3130870000000001E-3</v>
      </c>
      <c r="O151" s="211">
        <v>1.8484789190909179E-2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/>
      <c r="I152" s="124" t="str">
        <f t="shared" si="5"/>
        <v>(45, 50]</v>
      </c>
      <c r="J152" s="160">
        <v>1</v>
      </c>
      <c r="K152" s="205">
        <v>0.29527267894290171</v>
      </c>
      <c r="L152" s="188">
        <v>2.2594164999999999E-3</v>
      </c>
      <c r="M152" s="208">
        <v>2259416</v>
      </c>
      <c r="N152" s="195">
        <v>2.2594160000000002E-3</v>
      </c>
      <c r="O152" s="211">
        <v>1.3861341868460211E-2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/>
      <c r="I153" s="214" t="str">
        <f t="shared" si="5"/>
        <v>(50, 60]</v>
      </c>
      <c r="J153" s="160">
        <v>1</v>
      </c>
      <c r="K153" s="205">
        <v>0.29503102856665059</v>
      </c>
      <c r="L153" s="188">
        <v>2.3464275000000001E-3</v>
      </c>
      <c r="M153" s="208">
        <v>2346427</v>
      </c>
      <c r="N153" s="195">
        <v>2.3464269999999999E-3</v>
      </c>
      <c r="O153" s="211">
        <v>1.7375451539376668E-2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/>
      <c r="I154" s="124" t="str">
        <f t="shared" si="5"/>
        <v>(60, 70]</v>
      </c>
      <c r="J154" s="160">
        <v>1</v>
      </c>
      <c r="K154" s="205">
        <v>0.29447259792023361</v>
      </c>
      <c r="L154" s="188">
        <v>6.4239050000000002E-4</v>
      </c>
      <c r="M154" s="208">
        <v>642390</v>
      </c>
      <c r="N154" s="195">
        <v>6.4238999999999995E-4</v>
      </c>
      <c r="O154" s="211">
        <v>5.2837415273889006E-3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/>
      <c r="I155" s="214" t="str">
        <f t="shared" si="5"/>
        <v>(70, 80]</v>
      </c>
      <c r="J155" s="160">
        <v>1</v>
      </c>
      <c r="K155" s="205">
        <v>0.29440935366589377</v>
      </c>
      <c r="L155" s="188">
        <v>3.0007535000000003E-3</v>
      </c>
      <c r="M155" s="208">
        <v>3000753</v>
      </c>
      <c r="N155" s="195">
        <v>3.0007530000000001E-3</v>
      </c>
      <c r="O155" s="211">
        <v>2.9192179328985084E-2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/>
      <c r="I156" s="124" t="str">
        <f t="shared" si="5"/>
        <v>(80, 90]</v>
      </c>
      <c r="J156" s="160">
        <v>1</v>
      </c>
      <c r="K156" s="205">
        <v>5.896290090081802</v>
      </c>
      <c r="L156" s="188">
        <v>1.40996275E-2</v>
      </c>
      <c r="M156" s="208">
        <v>14099627</v>
      </c>
      <c r="N156" s="195">
        <v>1.4099627E-2</v>
      </c>
      <c r="O156" s="211">
        <v>0.15483815837672227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/>
      <c r="I157" s="124" t="str">
        <f t="shared" si="5"/>
        <v>(90, 100]</v>
      </c>
      <c r="J157" s="160">
        <v>1</v>
      </c>
      <c r="K157" s="205">
        <v>0.294212407646538</v>
      </c>
      <c r="L157" s="188">
        <v>2.4351655000000002E-3</v>
      </c>
      <c r="M157" s="208">
        <v>2435165</v>
      </c>
      <c r="N157" s="195">
        <v>2.435165E-3</v>
      </c>
      <c r="O157" s="211">
        <v>3.0169067750146234E-2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/>
      <c r="I158" s="124" t="str">
        <f t="shared" si="5"/>
        <v>(100, 120]</v>
      </c>
      <c r="J158" s="160">
        <v>1</v>
      </c>
      <c r="K158" s="205">
        <v>0.29439521470660623</v>
      </c>
      <c r="L158" s="188">
        <v>1.9520805000000001E-3</v>
      </c>
      <c r="M158" s="208">
        <v>1952080</v>
      </c>
      <c r="N158" s="195">
        <v>1.9520799999999999E-3</v>
      </c>
      <c r="O158" s="211">
        <v>2.8500932841234016E-2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/>
      <c r="I159" s="124" t="str">
        <f t="shared" si="5"/>
        <v>(120, 140]</v>
      </c>
      <c r="J159" s="160">
        <v>1</v>
      </c>
      <c r="K159" s="205">
        <v>0.29464861958439331</v>
      </c>
      <c r="L159" s="188">
        <v>7.0581249999999995E-4</v>
      </c>
      <c r="M159" s="208">
        <v>705812</v>
      </c>
      <c r="N159" s="195">
        <v>7.05812E-4</v>
      </c>
      <c r="O159" s="211">
        <v>1.1683907902817564E-2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/>
      <c r="I160" s="124" t="str">
        <f t="shared" si="5"/>
        <v>(140, 160]</v>
      </c>
      <c r="J160" s="160">
        <v>1</v>
      </c>
      <c r="K160" s="205">
        <v>0.29478793582258539</v>
      </c>
      <c r="L160" s="188">
        <v>2.3011105E-3</v>
      </c>
      <c r="M160" s="208">
        <v>2301110</v>
      </c>
      <c r="N160" s="195">
        <v>2.3011099999999999E-3</v>
      </c>
      <c r="O160" s="211">
        <v>4.4500367192597451E-2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/>
      <c r="I161" s="124" t="str">
        <f t="shared" si="5"/>
        <v>(160, 180]</v>
      </c>
      <c r="J161" s="160">
        <v>1</v>
      </c>
      <c r="K161" s="205">
        <v>2.9441298110193577</v>
      </c>
      <c r="L161" s="188">
        <v>6.4581194999999997E-3</v>
      </c>
      <c r="M161" s="208">
        <v>6458119</v>
      </c>
      <c r="N161" s="195">
        <v>6.458119E-3</v>
      </c>
      <c r="O161" s="211">
        <v>0.14101329280671915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/>
      <c r="I162" s="124" t="str">
        <f t="shared" si="5"/>
        <v>(180, 200]</v>
      </c>
      <c r="J162" s="160">
        <v>1</v>
      </c>
      <c r="K162" s="205">
        <v>0.29403440884473669</v>
      </c>
      <c r="L162" s="188">
        <v>2.3146865E-3</v>
      </c>
      <c r="M162" s="208">
        <v>2314686</v>
      </c>
      <c r="N162" s="195">
        <v>2.3146859999999998E-3</v>
      </c>
      <c r="O162" s="211">
        <v>5.7529826999493432E-2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/>
      <c r="I163" s="124" t="str">
        <f t="shared" si="5"/>
        <v>(200, 250]</v>
      </c>
      <c r="J163" s="160">
        <v>1</v>
      </c>
      <c r="K163" s="205">
        <v>1.0089791426172818</v>
      </c>
      <c r="L163" s="188">
        <v>6.4347665000000004E-3</v>
      </c>
      <c r="M163" s="208">
        <v>6434766</v>
      </c>
      <c r="N163" s="195">
        <v>6.4347659999999997E-3</v>
      </c>
      <c r="O163" s="211">
        <v>0.1879845300541679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31"/>
      <c r="C197" s="331"/>
      <c r="D197" s="331"/>
      <c r="E197" s="331"/>
      <c r="F197" s="332"/>
      <c r="G197" s="331"/>
      <c r="H197" s="331"/>
      <c r="I197" s="331"/>
      <c r="J197" s="229">
        <v>3000</v>
      </c>
      <c r="K197" s="331"/>
      <c r="L197" s="331"/>
      <c r="M197" s="331"/>
      <c r="N197" s="331"/>
      <c r="O197" s="308">
        <f>SUM(_xlfn.ANCHORARRAY(O199))</f>
        <v>0.89999999998969349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14" t="str">
        <v>Count</v>
      </c>
      <c r="D198" s="315" t="str">
        <v>Pay</v>
      </c>
      <c r="E198" s="315" t="str">
        <v>Multi.</v>
      </c>
      <c r="F198" s="315" t="str">
        <v>Prob.</v>
      </c>
      <c r="G198" s="316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7.2070957662349189</v>
      </c>
      <c r="L218" s="188">
        <v>9.0775122499999999E-2</v>
      </c>
      <c r="M218" s="233">
        <v>90775122</v>
      </c>
      <c r="N218" s="195">
        <v>9.0775122E-2</v>
      </c>
      <c r="O218" s="211">
        <v>2.0317679086041665E-2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6.4194805064658853</v>
      </c>
      <c r="L219" s="188">
        <v>7.1105003500000014E-2</v>
      </c>
      <c r="M219" s="233">
        <v>71105003</v>
      </c>
      <c r="N219" s="195">
        <v>7.1105003E-2</v>
      </c>
      <c r="O219" s="211">
        <v>1.8630625988416909E-2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4.9983602857609144</v>
      </c>
      <c r="L220" s="188">
        <v>6.1193335500000001E-2</v>
      </c>
      <c r="M220" s="233">
        <v>61193335</v>
      </c>
      <c r="N220" s="195">
        <v>6.1193335000000001E-2</v>
      </c>
      <c r="O220" s="211">
        <v>1.8539251962898271E-2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6.8134223391664319</v>
      </c>
      <c r="L221" s="188">
        <v>7.4031785500000002E-2</v>
      </c>
      <c r="M221" s="233">
        <v>74031785</v>
      </c>
      <c r="N221" s="195">
        <v>7.4031785000000003E-2</v>
      </c>
      <c r="O221" s="211">
        <v>2.5371501906059857E-2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12.140675785509234</v>
      </c>
      <c r="L222" s="188">
        <v>0.1364534865</v>
      </c>
      <c r="M222" s="233">
        <v>136453486</v>
      </c>
      <c r="N222" s="195">
        <v>0.13645348600000001</v>
      </c>
      <c r="O222" s="211">
        <v>5.2242992511066233E-2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6.9970365324541985</v>
      </c>
      <c r="L223" s="188">
        <v>0.15034880149999999</v>
      </c>
      <c r="M223" s="233">
        <v>150348801</v>
      </c>
      <c r="N223" s="195">
        <v>0.150348801</v>
      </c>
      <c r="O223" s="211">
        <v>6.6608025300092216E-2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3.8844496747594377</v>
      </c>
      <c r="L224" s="188">
        <v>7.8930366500000002E-2</v>
      </c>
      <c r="M224" s="233">
        <v>78930366</v>
      </c>
      <c r="N224" s="195">
        <v>7.8930366000000002E-2</v>
      </c>
      <c r="O224" s="211">
        <v>4.1229812201011011E-2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1.7871693487305842</v>
      </c>
      <c r="L225" s="188">
        <v>3.58916845E-2</v>
      </c>
      <c r="M225" s="233">
        <v>35891684</v>
      </c>
      <c r="N225" s="195">
        <v>3.5891684E-2</v>
      </c>
      <c r="O225" s="211">
        <v>2.1621289580595403E-2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1.0591895199357981</v>
      </c>
      <c r="L226" s="188">
        <v>2.0412397499999999E-2</v>
      </c>
      <c r="M226" s="233">
        <v>20412397</v>
      </c>
      <c r="N226" s="195">
        <v>2.0412396999999999E-2</v>
      </c>
      <c r="O226" s="211">
        <v>1.3927748065199166E-2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1.5897969885930847</v>
      </c>
      <c r="L227" s="188">
        <v>2.9873269500000004E-2</v>
      </c>
      <c r="M227" s="233">
        <v>29873269</v>
      </c>
      <c r="N227" s="195">
        <v>2.9873269000000001E-2</v>
      </c>
      <c r="O227" s="211">
        <v>2.2782602214288565E-2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0.28478198261600091</v>
      </c>
      <c r="L228" s="188">
        <v>1.2615593499999999E-2</v>
      </c>
      <c r="M228" s="233">
        <v>12615593</v>
      </c>
      <c r="N228" s="195">
        <v>1.2615593E-2</v>
      </c>
      <c r="O228" s="211">
        <v>1.1365418624342167E-2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1.7580124384319906</v>
      </c>
      <c r="L229" s="188">
        <v>7.2873713500000006E-2</v>
      </c>
      <c r="M229" s="233">
        <v>72873713</v>
      </c>
      <c r="N229" s="195">
        <v>7.2873713000000007E-2</v>
      </c>
      <c r="O229" s="211">
        <v>8.0214522520746193E-2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0.28404808713458257</v>
      </c>
      <c r="L230" s="188">
        <v>1.0912349500000001E-2</v>
      </c>
      <c r="M230" s="233">
        <v>10912349</v>
      </c>
      <c r="N230" s="195">
        <v>1.0912349E-2</v>
      </c>
      <c r="O230" s="211">
        <v>1.4190680609980749E-2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0.34519204744318582</v>
      </c>
      <c r="L231" s="188">
        <v>1.2460421500000001E-2</v>
      </c>
      <c r="M231" s="233">
        <v>12460421</v>
      </c>
      <c r="N231" s="195">
        <v>1.2460420999999999E-2</v>
      </c>
      <c r="O231" s="211">
        <v>1.8698605461105945E-2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0.28830177928862705</v>
      </c>
      <c r="L232" s="188">
        <v>9.6797134999999992E-3</v>
      </c>
      <c r="M232" s="233">
        <v>9679713</v>
      </c>
      <c r="N232" s="195">
        <v>9.6797129999999995E-3</v>
      </c>
      <c r="O232" s="211">
        <v>1.6459903451355316E-2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0.38135358818741899</v>
      </c>
      <c r="L233" s="188">
        <v>1.20130415E-2</v>
      </c>
      <c r="M233" s="233">
        <v>12013041</v>
      </c>
      <c r="N233" s="195">
        <v>1.2013041E-2</v>
      </c>
      <c r="O233" s="211">
        <v>2.2830986895984333E-2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1.1748384846530673</v>
      </c>
      <c r="L234" s="188">
        <v>3.4555881500000003E-2</v>
      </c>
      <c r="M234" s="233">
        <v>34555881</v>
      </c>
      <c r="N234" s="195">
        <v>3.4555880999999997E-2</v>
      </c>
      <c r="O234" s="211">
        <v>7.2571093811125031E-2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0.65582194241526148</v>
      </c>
      <c r="L235" s="188">
        <v>1.8163383500000001E-2</v>
      </c>
      <c r="M235" s="233">
        <v>18163383</v>
      </c>
      <c r="N235" s="195">
        <v>1.8163383000000002E-2</v>
      </c>
      <c r="O235" s="211">
        <v>4.1781924062664129E-2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0.46323884972392693</v>
      </c>
      <c r="L236" s="188">
        <v>1.1977512499999999E-2</v>
      </c>
      <c r="M236" s="233">
        <v>11977512</v>
      </c>
      <c r="N236" s="195">
        <v>1.1977511999999999E-2</v>
      </c>
      <c r="O236" s="211">
        <v>2.9947378306192245E-2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0.23179992605479266</v>
      </c>
      <c r="L237" s="188">
        <v>5.6306425000000005E-3</v>
      </c>
      <c r="M237" s="233">
        <v>5630642</v>
      </c>
      <c r="N237" s="195">
        <v>5.6306419999999999E-3</v>
      </c>
      <c r="O237" s="211">
        <v>1.5203706996134643E-2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0.2088161748736006</v>
      </c>
      <c r="L238" s="188">
        <v>4.7552985000000004E-3</v>
      </c>
      <c r="M238" s="233">
        <v>4755298</v>
      </c>
      <c r="N238" s="195">
        <v>4.7552979999999998E-3</v>
      </c>
      <c r="O238" s="211">
        <v>1.3790611788635032E-2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0.36363825351145035</v>
      </c>
      <c r="L239" s="188">
        <v>7.8102555000000009E-3</v>
      </c>
      <c r="M239" s="233">
        <v>7810255</v>
      </c>
      <c r="N239" s="195">
        <v>7.8102550000000003E-3</v>
      </c>
      <c r="O239" s="211">
        <v>2.4214948613374584E-2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0.2176965114130682</v>
      </c>
      <c r="L240" s="188">
        <v>4.3760495000000005E-3</v>
      </c>
      <c r="M240" s="233">
        <v>4376049</v>
      </c>
      <c r="N240" s="195">
        <v>4.3760489999999999E-3</v>
      </c>
      <c r="O240" s="211">
        <v>1.4441203980863685E-2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0.22425974378640784</v>
      </c>
      <c r="L241" s="188">
        <v>4.2481224999999997E-3</v>
      </c>
      <c r="M241" s="233">
        <v>4248122</v>
      </c>
      <c r="N241" s="195">
        <v>4.248122E-3</v>
      </c>
      <c r="O241" s="211">
        <v>1.4869000696903245E-2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0.18372357375334614</v>
      </c>
      <c r="L242" s="188">
        <v>3.2606614999999999E-3</v>
      </c>
      <c r="M242" s="233">
        <v>3260661</v>
      </c>
      <c r="N242" s="195">
        <v>3.2606610000000002E-3</v>
      </c>
      <c r="O242" s="211">
        <v>1.2064478753776576E-2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0.35457054453224091</v>
      </c>
      <c r="L243" s="188">
        <v>5.9459554999999999E-3</v>
      </c>
      <c r="M243" s="233">
        <v>5945955</v>
      </c>
      <c r="N243" s="195">
        <v>5.9459550000000002E-3</v>
      </c>
      <c r="O243" s="211">
        <v>2.319108287526539E-2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7.6948850917796352E-2</v>
      </c>
      <c r="L244" s="188">
        <v>1.4672811499999999E-2</v>
      </c>
      <c r="M244" s="233">
        <v>14672811</v>
      </c>
      <c r="N244" s="195">
        <v>1.4672810999999999E-2</v>
      </c>
      <c r="O244" s="211">
        <v>8.2499807205471551E-2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2.3766114353629356E-2</v>
      </c>
      <c r="L245" s="188">
        <v>1.5052765E-3</v>
      </c>
      <c r="M245" s="233">
        <v>1505276</v>
      </c>
      <c r="N245" s="195">
        <v>1.5052760000000001E-3</v>
      </c>
      <c r="O245" s="211">
        <v>1.4543513780976854E-2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5.039764785330459E-2</v>
      </c>
      <c r="L246" s="188">
        <v>1.2085424999999999E-3</v>
      </c>
      <c r="M246" s="233">
        <v>1208542</v>
      </c>
      <c r="N246" s="195">
        <v>1.2085419999999999E-3</v>
      </c>
      <c r="O246" s="211">
        <v>1.6562469537212732E-2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9.1161477346401953E-2</v>
      </c>
      <c r="L247" s="188">
        <v>9.5571350000000002E-4</v>
      </c>
      <c r="M247" s="233">
        <v>955713</v>
      </c>
      <c r="N247" s="195">
        <v>9.5571299999999996E-4</v>
      </c>
      <c r="O247" s="211">
        <v>1.6965232464475257E-2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5.949383854895586E-2</v>
      </c>
      <c r="L248" s="188">
        <v>3.1576450000000002E-4</v>
      </c>
      <c r="M248" s="233">
        <v>315764</v>
      </c>
      <c r="N248" s="195">
        <v>3.1576400000000001E-4</v>
      </c>
      <c r="O248" s="211">
        <v>6.8830136177951808E-3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9.559292950268769E-2</v>
      </c>
      <c r="L249" s="188">
        <v>2.973745E-4</v>
      </c>
      <c r="M249" s="233">
        <v>297374</v>
      </c>
      <c r="N249" s="195">
        <v>2.9737399999999999E-4</v>
      </c>
      <c r="O249" s="211">
        <v>7.6844421569207165E-3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0.1362910750427074</v>
      </c>
      <c r="L250" s="188">
        <v>2.7636449999999998E-4</v>
      </c>
      <c r="M250" s="233">
        <v>276364</v>
      </c>
      <c r="N250" s="195">
        <v>2.7636400000000003E-4</v>
      </c>
      <c r="O250" s="211">
        <v>8.2557728136086004E-3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0.15527933152338871</v>
      </c>
      <c r="L251" s="188">
        <v>2.2203050000000002E-4</v>
      </c>
      <c r="M251" s="233">
        <v>222030</v>
      </c>
      <c r="N251" s="195">
        <v>2.2202999999999999E-4</v>
      </c>
      <c r="O251" s="211">
        <v>7.5245798882551933E-3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6.721301411320299E-2</v>
      </c>
      <c r="L252" s="188">
        <v>7.0069500000000004E-5</v>
      </c>
      <c r="M252" s="233">
        <v>70069</v>
      </c>
      <c r="N252" s="195">
        <v>7.0068999999999996E-5</v>
      </c>
      <c r="O252" s="211">
        <v>2.6554776187501781E-3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6.3842187559669805E-2</v>
      </c>
      <c r="L253" s="188">
        <v>1.822215E-4</v>
      </c>
      <c r="M253" s="233">
        <v>182221</v>
      </c>
      <c r="N253" s="195">
        <v>1.8222099999999999E-4</v>
      </c>
      <c r="O253" s="211">
        <v>9.3186146421087006E-3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4503.8958699274872</v>
      </c>
      <c r="O257" s="10">
        <f>SUM(O240:O250)</f>
        <v>0.21796001788326977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{68FF3A99-BF9B-4605-8004-A089E87FD183}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{2D20773C-9AD4-4AC7-85BD-AC4004C63419}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{F0BB97AC-37D6-4D79-9DBD-9B13B1BED80E}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68FF3A99-BF9B-4605-8004-A089E87FD1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D20773C-9AD4-4AC7-85BD-AC4004C634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F0BB97AC-37D6-4D79-9DBD-9B13B1BED8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6" t="s">
        <v>138</v>
      </c>
      <c r="B1" s="326"/>
      <c r="C1" s="326"/>
      <c r="D1" s="326"/>
      <c r="E1" s="326"/>
      <c r="F1" s="326"/>
      <c r="G1" s="1"/>
      <c r="H1" s="326" t="s">
        <v>139</v>
      </c>
      <c r="I1" s="326"/>
      <c r="J1" s="326"/>
      <c r="K1" s="326"/>
      <c r="L1" s="326"/>
      <c r="M1" s="326"/>
      <c r="N1" s="1"/>
      <c r="O1" s="326" t="s">
        <v>140</v>
      </c>
      <c r="P1" s="326"/>
      <c r="Q1" s="326"/>
      <c r="R1" s="326"/>
      <c r="S1" s="326"/>
      <c r="T1" s="326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7" t="s">
        <v>145</v>
      </c>
      <c r="B27" s="327"/>
      <c r="C27" s="327"/>
      <c r="D27" s="327"/>
      <c r="E27" s="327"/>
      <c r="F27" s="327"/>
      <c r="H27" s="327" t="s">
        <v>146</v>
      </c>
      <c r="I27" s="327"/>
      <c r="J27" s="327"/>
      <c r="K27" s="327"/>
      <c r="L27" s="327"/>
      <c r="M27" s="327"/>
      <c r="O27" s="327" t="s">
        <v>147</v>
      </c>
      <c r="P27" s="327"/>
      <c r="Q27" s="327"/>
      <c r="R27" s="327"/>
      <c r="S27" s="327"/>
      <c r="T27" s="327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8" t="s">
        <v>148</v>
      </c>
      <c r="B53" s="328"/>
      <c r="C53" s="328"/>
      <c r="D53" s="328"/>
      <c r="E53" s="328"/>
      <c r="F53" s="328"/>
      <c r="H53" s="328" t="s">
        <v>149</v>
      </c>
      <c r="I53" s="328"/>
      <c r="J53" s="328"/>
      <c r="K53" s="328"/>
      <c r="L53" s="328"/>
      <c r="M53" s="328"/>
      <c r="O53" s="328" t="s">
        <v>150</v>
      </c>
      <c r="P53" s="328"/>
      <c r="Q53" s="328"/>
      <c r="R53" s="328"/>
      <c r="S53" s="328"/>
      <c r="T53" s="328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9" t="s">
        <v>151</v>
      </c>
      <c r="B79" s="329"/>
      <c r="C79" s="329"/>
      <c r="D79" s="329"/>
      <c r="E79" s="329"/>
      <c r="F79" s="329"/>
      <c r="H79" s="329" t="s">
        <v>152</v>
      </c>
      <c r="I79" s="329"/>
      <c r="J79" s="329"/>
      <c r="K79" s="329"/>
      <c r="L79" s="329"/>
      <c r="M79" s="329"/>
      <c r="O79" s="329" t="s">
        <v>153</v>
      </c>
      <c r="P79" s="329"/>
      <c r="Q79" s="329"/>
      <c r="R79" s="329"/>
      <c r="S79" s="329"/>
      <c r="T79" s="329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53:F53"/>
    <mergeCell ref="H53:M53"/>
    <mergeCell ref="O53:T53"/>
    <mergeCell ref="A79:F79"/>
    <mergeCell ref="H79:M79"/>
    <mergeCell ref="O79:T79"/>
    <mergeCell ref="A1:F1"/>
    <mergeCell ref="H1:M1"/>
    <mergeCell ref="O1:T1"/>
    <mergeCell ref="A27:F27"/>
    <mergeCell ref="H27:M27"/>
    <mergeCell ref="O27:T27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6" t="s">
        <v>113</v>
      </c>
      <c r="B1" s="326"/>
      <c r="C1" s="326"/>
      <c r="D1" s="326"/>
      <c r="E1" s="326"/>
      <c r="F1" s="1"/>
      <c r="G1" s="327" t="s">
        <v>114</v>
      </c>
      <c r="H1" s="327"/>
      <c r="I1" s="327"/>
      <c r="J1" s="327"/>
      <c r="K1" s="327"/>
      <c r="L1" s="1"/>
      <c r="M1" s="328" t="s">
        <v>115</v>
      </c>
      <c r="N1" s="328"/>
      <c r="O1" s="328"/>
      <c r="P1" s="328"/>
      <c r="Q1" s="328"/>
      <c r="R1" s="60"/>
      <c r="S1" s="329" t="s">
        <v>129</v>
      </c>
      <c r="T1" s="329"/>
      <c r="U1" s="329"/>
      <c r="V1" s="329"/>
      <c r="W1" s="329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30">
        <f>PRODUCT('Regular Symbol'!C18:E18)</f>
        <v>5218521</v>
      </c>
      <c r="D11" s="330"/>
      <c r="E11" s="330"/>
      <c r="F11" s="330"/>
      <c r="G11" s="330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30">
        <f>PRODUCT('Regular Symbol'!C18:E18)</f>
        <v>5218521</v>
      </c>
      <c r="D23" s="330"/>
      <c r="E23" s="330"/>
      <c r="F23" s="330"/>
      <c r="G23" s="330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30">
        <f>PRODUCT('Regular Symbol'!C18:E18)</f>
        <v>5218521</v>
      </c>
      <c r="D35" s="330"/>
      <c r="E35" s="330"/>
      <c r="F35" s="330"/>
      <c r="G35" s="330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30">
        <f>PRODUCT('Regular Symbol'!C18:E18)</f>
        <v>5218521</v>
      </c>
      <c r="D47" s="330"/>
      <c r="E47" s="330"/>
      <c r="F47" s="330"/>
      <c r="G47" s="330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30">
        <f>PRODUCT('Regular Symbol'!C18:E18)</f>
        <v>5218521</v>
      </c>
      <c r="D59" s="330"/>
      <c r="E59" s="330"/>
      <c r="F59" s="330"/>
      <c r="G59" s="330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0">
        <f>PRODUCT('Regular Symbol'!C44:E44)</f>
        <v>5218521</v>
      </c>
      <c r="D11" s="330"/>
      <c r="E11" s="330"/>
      <c r="F11" s="330"/>
      <c r="G11" s="330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Symbol'!C44:E44)</f>
        <v>5218521</v>
      </c>
      <c r="D23" s="330"/>
      <c r="E23" s="330"/>
      <c r="F23" s="330"/>
      <c r="G23" s="330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0">
        <f>PRODUCT('Regular Symbol'!C44:E44)</f>
        <v>5218521</v>
      </c>
      <c r="D35" s="330"/>
      <c r="E35" s="330"/>
      <c r="F35" s="330"/>
      <c r="G35" s="330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0">
        <f>PRODUCT('Regular Symbol'!C44:E44)</f>
        <v>5218521</v>
      </c>
      <c r="D47" s="330"/>
      <c r="E47" s="330"/>
      <c r="F47" s="330"/>
      <c r="G47" s="330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Symbol'!C44:E44)</f>
        <v>5218521</v>
      </c>
      <c r="D59" s="330"/>
      <c r="E59" s="330"/>
      <c r="F59" s="330"/>
      <c r="G59" s="330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0">
        <f>PRODUCT('Regular Symbol'!C70:E70)</f>
        <v>5218521</v>
      </c>
      <c r="D11" s="330"/>
      <c r="E11" s="330"/>
      <c r="F11" s="330"/>
      <c r="G11" s="330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Symbol'!C70:E70)</f>
        <v>5218521</v>
      </c>
      <c r="D23" s="330"/>
      <c r="E23" s="330"/>
      <c r="F23" s="330"/>
      <c r="G23" s="330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0">
        <f>PRODUCT('Regular Symbol'!C70:E70)</f>
        <v>5218521</v>
      </c>
      <c r="D35" s="330"/>
      <c r="E35" s="330"/>
      <c r="F35" s="330"/>
      <c r="G35" s="330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0">
        <f>PRODUCT('Regular Symbol'!C70:E70)</f>
        <v>5218521</v>
      </c>
      <c r="D47" s="330"/>
      <c r="E47" s="330"/>
      <c r="F47" s="330"/>
      <c r="G47" s="330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Symbol'!C70:E70)</f>
        <v>5218521</v>
      </c>
      <c r="D59" s="330"/>
      <c r="E59" s="330"/>
      <c r="F59" s="330"/>
      <c r="G59" s="330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30">
        <f>PRODUCT('Regular Symbol'!C96:E96)</f>
        <v>23976978049206</v>
      </c>
      <c r="D11" s="330"/>
      <c r="E11" s="330"/>
      <c r="F11" s="330"/>
      <c r="G11" s="330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Symbol'!C96:E96)</f>
        <v>23976978049206</v>
      </c>
      <c r="D23" s="330"/>
      <c r="E23" s="330"/>
      <c r="F23" s="330"/>
      <c r="G23" s="330"/>
      <c r="H23" s="1"/>
      <c r="I23" s="33"/>
      <c r="J23" s="285"/>
      <c r="K23" s="34"/>
      <c r="L23" s="51" t="s">
        <v>278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0">
        <f>PRODUCT('Regular Symbol'!C96:E96)</f>
        <v>23976978049206</v>
      </c>
      <c r="D35" s="330"/>
      <c r="E35" s="330"/>
      <c r="F35" s="330"/>
      <c r="G35" s="330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0">
        <f>PRODUCT('Regular Symbol'!C96:E96)</f>
        <v>23976978049206</v>
      </c>
      <c r="D47" s="330"/>
      <c r="E47" s="330"/>
      <c r="F47" s="330"/>
      <c r="G47" s="330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Symbol'!C96:E96)</f>
        <v>23976978049206</v>
      </c>
      <c r="D59" s="330"/>
      <c r="E59" s="330"/>
      <c r="F59" s="330"/>
      <c r="G59" s="330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0">
        <f>PRODUCT('Regular Symbol'!C96:E96)</f>
        <v>23976978049206</v>
      </c>
      <c r="D11" s="330"/>
      <c r="E11" s="330"/>
      <c r="F11" s="330"/>
      <c r="G11" s="330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Symbol'!C96:E96)</f>
        <v>23976978049206</v>
      </c>
      <c r="D23" s="330"/>
      <c r="E23" s="330"/>
      <c r="F23" s="330"/>
      <c r="G23" s="330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0">
        <f>PRODUCT('Regular Symbol'!C96:E96)</f>
        <v>23976978049206</v>
      </c>
      <c r="D35" s="330"/>
      <c r="E35" s="330"/>
      <c r="F35" s="330"/>
      <c r="G35" s="330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0">
        <f>PRODUCT('Regular Symbol'!C96:E96)</f>
        <v>23976978049206</v>
      </c>
      <c r="D47" s="330"/>
      <c r="E47" s="330"/>
      <c r="F47" s="330"/>
      <c r="G47" s="330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Symbol'!C96:E96)</f>
        <v>23976978049206</v>
      </c>
      <c r="D59" s="330"/>
      <c r="E59" s="330"/>
      <c r="F59" s="330"/>
      <c r="G59" s="330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0">
        <f>PRODUCT('Regular Symbol'!C96:E96)</f>
        <v>23976978049206</v>
      </c>
      <c r="D11" s="330"/>
      <c r="E11" s="330"/>
      <c r="F11" s="330"/>
      <c r="G11" s="330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Symbol'!C96:E96)</f>
        <v>23976978049206</v>
      </c>
      <c r="D23" s="330"/>
      <c r="E23" s="330"/>
      <c r="F23" s="330"/>
      <c r="G23" s="330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0">
        <f>PRODUCT('Regular Symbol'!C96:E96)</f>
        <v>23976978049206</v>
      </c>
      <c r="D35" s="330"/>
      <c r="E35" s="330"/>
      <c r="F35" s="330"/>
      <c r="G35" s="330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0">
        <f>PRODUCT('Regular Symbol'!C96:E96)</f>
        <v>23976978049206</v>
      </c>
      <c r="D47" s="330"/>
      <c r="E47" s="330"/>
      <c r="F47" s="330"/>
      <c r="G47" s="330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Symbol'!C96:E96)</f>
        <v>23976978049206</v>
      </c>
      <c r="D59" s="330"/>
      <c r="E59" s="330"/>
      <c r="F59" s="330"/>
      <c r="G59" s="330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0">
        <f>PRODUCT('Regular Symbol'!C96:E96)</f>
        <v>23976978049206</v>
      </c>
      <c r="D11" s="330"/>
      <c r="E11" s="330"/>
      <c r="F11" s="330"/>
      <c r="G11" s="330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Symbol'!C96:E96)</f>
        <v>23976978049206</v>
      </c>
      <c r="D23" s="330"/>
      <c r="E23" s="330"/>
      <c r="F23" s="330"/>
      <c r="G23" s="330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0">
        <f>PRODUCT('Regular Symbol'!C96:E96)</f>
        <v>23976978049206</v>
      </c>
      <c r="D35" s="330"/>
      <c r="E35" s="330"/>
      <c r="F35" s="330"/>
      <c r="G35" s="330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0">
        <f>PRODUCT('Regular Symbol'!C96:E96)</f>
        <v>23976978049206</v>
      </c>
      <c r="D47" s="330"/>
      <c r="E47" s="330"/>
      <c r="F47" s="330"/>
      <c r="G47" s="330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Symbol'!C96:E96)</f>
        <v>23976978049206</v>
      </c>
      <c r="D59" s="330"/>
      <c r="E59" s="330"/>
      <c r="F59" s="330"/>
      <c r="G59" s="330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0">
        <f>PRODUCT('Regular Symbol'!C96:E96)</f>
        <v>23976978049206</v>
      </c>
      <c r="D11" s="330"/>
      <c r="E11" s="330"/>
      <c r="F11" s="330"/>
      <c r="G11" s="330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0">
        <f>PRODUCT('Regular Symbol'!C96:E96)</f>
        <v>23976978049206</v>
      </c>
      <c r="D23" s="330"/>
      <c r="E23" s="330"/>
      <c r="F23" s="330"/>
      <c r="G23" s="330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0">
        <f>PRODUCT('Regular Symbol'!C96:E96)</f>
        <v>23976978049206</v>
      </c>
      <c r="D35" s="330"/>
      <c r="E35" s="330"/>
      <c r="F35" s="330"/>
      <c r="G35" s="330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0">
        <f>PRODUCT('Regular Symbol'!C96:E96)</f>
        <v>23976978049206</v>
      </c>
      <c r="D47" s="330"/>
      <c r="E47" s="330"/>
      <c r="F47" s="330"/>
      <c r="G47" s="330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0">
        <f>PRODUCT('Regular Symbol'!C96:E96)</f>
        <v>23976978049206</v>
      </c>
      <c r="D59" s="330"/>
      <c r="E59" s="330"/>
      <c r="F59" s="330"/>
      <c r="G59" s="330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2026-10-20T08:57:13Z</dcterms:modified>
</cp:coreProperties>
</file>