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Versions\2.1.0.0\Source\"/>
    </mc:Choice>
  </mc:AlternateContent>
  <xr:revisionPtr revIDLastSave="0" documentId="13_ncr:1_{59090438-CD53-4F46-85CD-D95953AA93F6}" xr6:coauthVersionLast="47" xr6:coauthVersionMax="47" xr10:uidLastSave="{00000000-0000-0000-0000-000000000000}"/>
  <bookViews>
    <workbookView xWindow="-108" yWindow="-108" windowWidth="23256" windowHeight="12456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R20" i="24" a="1"/>
  <c r="R20" i="24" s="1"/>
  <c r="S31" i="24" s="1"/>
  <c r="E217" i="32" l="1"/>
  <c r="E237" i="32"/>
  <c r="E218" i="32"/>
  <c r="E238" i="32"/>
  <c r="E219" i="32"/>
  <c r="E239" i="32"/>
  <c r="E200" i="32"/>
  <c r="E220" i="32"/>
  <c r="E240" i="32"/>
  <c r="E201" i="32"/>
  <c r="E221" i="32"/>
  <c r="E241" i="32"/>
  <c r="E202" i="32"/>
  <c r="E222" i="32"/>
  <c r="E242" i="32"/>
  <c r="E203" i="32"/>
  <c r="E223" i="32"/>
  <c r="E243" i="32"/>
  <c r="E204" i="32"/>
  <c r="E224" i="32"/>
  <c r="E244" i="32"/>
  <c r="E205" i="32"/>
  <c r="E225" i="32"/>
  <c r="E245" i="32"/>
  <c r="E206" i="32"/>
  <c r="E226" i="32"/>
  <c r="E246" i="32"/>
  <c r="E207" i="32"/>
  <c r="E227" i="32"/>
  <c r="E247" i="32"/>
  <c r="E208" i="32"/>
  <c r="E228" i="32"/>
  <c r="E248" i="32"/>
  <c r="E209" i="32"/>
  <c r="E229" i="32"/>
  <c r="E249" i="32"/>
  <c r="E210" i="32"/>
  <c r="E230" i="32"/>
  <c r="E250" i="32"/>
  <c r="E211" i="32"/>
  <c r="E231" i="32"/>
  <c r="E251" i="32"/>
  <c r="E212" i="32"/>
  <c r="E232" i="32"/>
  <c r="E252" i="32"/>
  <c r="E213" i="32"/>
  <c r="E233" i="32"/>
  <c r="E253" i="32"/>
  <c r="E214" i="32"/>
  <c r="E234" i="32"/>
  <c r="E254" i="32"/>
  <c r="E215" i="32"/>
  <c r="E235" i="32"/>
  <c r="E255" i="32"/>
  <c r="E216" i="32"/>
  <c r="E236" i="32"/>
  <c r="E256" i="32"/>
  <c r="F199" i="32" a="1"/>
  <c r="F199" i="32" s="1"/>
  <c r="J199" i="32" s="1" a="1"/>
  <c r="J199" i="32" s="1"/>
  <c r="L199" i="32" s="1" a="1"/>
  <c r="L199" i="32" s="1"/>
  <c r="E199" i="32"/>
  <c r="P229" i="28" a="1"/>
  <c r="P229" i="28" s="1"/>
  <c r="G199" i="32" l="1" a="1"/>
  <c r="G199" i="32" s="1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I93" i="38" l="1"/>
  <c r="M4" i="39" a="1"/>
  <c r="M4" i="39" s="1"/>
  <c r="N4" i="39" s="1" a="1"/>
  <c r="N64" i="39" s="1"/>
  <c r="O64" i="39" s="1" a="1"/>
  <c r="O64" i="39" s="1"/>
  <c r="I117" i="39"/>
  <c r="Q69" i="39" a="1"/>
  <c r="Q69" i="39" s="1"/>
  <c r="P68" i="39" s="1"/>
  <c r="R69" i="39" s="1" a="1"/>
  <c r="S70" i="39" s="1" a="1"/>
  <c r="S70" i="39" s="1"/>
  <c r="I101" i="39"/>
  <c r="I125" i="39"/>
  <c r="I109" i="39"/>
  <c r="I93" i="39"/>
  <c r="I77" i="39"/>
  <c r="Q4" i="39" a="1"/>
  <c r="Q4" i="39" s="1"/>
  <c r="P3" i="39" s="1"/>
  <c r="R4" i="39" s="1" a="1"/>
  <c r="R4" i="39" s="1"/>
  <c r="I85" i="39"/>
  <c r="I70" i="39"/>
  <c r="E220" i="38"/>
  <c r="E231" i="39"/>
  <c r="E211" i="38"/>
  <c r="E221" i="38"/>
  <c r="E205" i="38"/>
  <c r="E230" i="39"/>
  <c r="E238" i="39"/>
  <c r="E213" i="38"/>
  <c r="E219" i="38"/>
  <c r="E239" i="39"/>
  <c r="E253" i="39"/>
  <c r="E254" i="39"/>
  <c r="E225" i="38"/>
  <c r="E246" i="39"/>
  <c r="E224" i="38"/>
  <c r="E238" i="38"/>
  <c r="E239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E203" i="38"/>
  <c r="E225" i="39"/>
  <c r="T3" i="40" a="1"/>
  <c r="T3" i="40" s="1"/>
  <c r="T16" i="40" s="1" a="1"/>
  <c r="T16" i="40" s="1"/>
  <c r="O14" i="40" s="1"/>
  <c r="O15" i="40" s="1"/>
  <c r="S5" i="39" a="1"/>
  <c r="S5" i="39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65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4" i="39" l="1"/>
  <c r="R69" i="39"/>
  <c r="E199" i="38"/>
  <c r="L199" i="38" a="1"/>
  <c r="L199" i="38" s="1"/>
  <c r="M199" i="38" s="1" a="1"/>
  <c r="M199" i="38" s="1"/>
  <c r="N199" i="38" s="1" a="1"/>
  <c r="N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G199" i="38" a="1"/>
  <c r="G199" i="38" s="1"/>
  <c r="N65" i="38"/>
  <c r="N4" i="38"/>
  <c r="N64" i="38"/>
  <c r="T3" i="37" a="1"/>
  <c r="T3" i="37" s="1"/>
  <c r="T16" i="37" s="1" a="1"/>
  <c r="T16" i="37" s="1"/>
  <c r="O14" i="37" s="1"/>
  <c r="O15" i="37" s="1"/>
  <c r="AG206" i="1"/>
  <c r="AK206" i="1"/>
  <c r="AK207" i="1"/>
  <c r="O194" i="39" l="1" a="1"/>
  <c r="O194" i="39" s="1"/>
  <c r="O64" i="38" a="1"/>
  <c r="O64" i="38" s="1"/>
  <c r="U225" i="38"/>
  <c r="U227" i="38"/>
  <c r="U228" i="38"/>
  <c r="U224" i="38"/>
  <c r="U226" i="38"/>
  <c r="N257" i="38"/>
  <c r="N260" i="38" s="1"/>
  <c r="N259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U223" i="38"/>
  <c r="O199" i="38" a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O259" i="38" l="1" a="1"/>
  <c r="O259" i="38" s="1"/>
  <c r="V223" i="38" a="1"/>
  <c r="V223" i="38" s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Q4" i="36" a="1"/>
  <c r="Q4" i="36" s="1"/>
  <c r="P3" i="36" s="1"/>
  <c r="R4" i="36" s="1" a="1"/>
  <c r="I108" i="36"/>
  <c r="Q69" i="36" a="1"/>
  <c r="Q69" i="36" s="1"/>
  <c r="P68" i="36" s="1"/>
  <c r="R69" i="36" s="1" a="1"/>
  <c r="I92" i="36"/>
  <c r="I84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E122" i="34"/>
  <c r="E121" i="34"/>
  <c r="E120" i="34"/>
  <c r="E119" i="34"/>
  <c r="E118" i="34"/>
  <c r="E117" i="34"/>
  <c r="E116" i="34"/>
  <c r="E115" i="34"/>
  <c r="I114" i="34"/>
  <c r="E114" i="34"/>
  <c r="E113" i="34"/>
  <c r="E112" i="34"/>
  <c r="E111" i="34"/>
  <c r="E110" i="34"/>
  <c r="E109" i="34"/>
  <c r="E108" i="34"/>
  <c r="E107" i="34"/>
  <c r="I106" i="34"/>
  <c r="E106" i="34"/>
  <c r="I105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I91" i="34"/>
  <c r="E91" i="34"/>
  <c r="I90" i="34"/>
  <c r="E90" i="34"/>
  <c r="I89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I76" i="34"/>
  <c r="E76" i="34"/>
  <c r="I75" i="34"/>
  <c r="E75" i="34"/>
  <c r="I74" i="34"/>
  <c r="E74" i="34"/>
  <c r="I73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121" i="34" l="1"/>
  <c r="I115" i="34"/>
  <c r="I99" i="34"/>
  <c r="J69" i="34" a="1"/>
  <c r="J69" i="34" s="1"/>
  <c r="L69" i="34" s="1" a="1"/>
  <c r="L69" i="34" s="1"/>
  <c r="M69" i="34" s="1" a="1"/>
  <c r="M69" i="34" s="1"/>
  <c r="N69" i="34" s="1" a="1"/>
  <c r="N129" i="34" s="1"/>
  <c r="O129" i="34" s="1" a="1"/>
  <c r="O129" i="34" s="1"/>
  <c r="G69" i="34" a="1"/>
  <c r="G69" i="34" s="1"/>
  <c r="I107" i="34"/>
  <c r="I122" i="34"/>
  <c r="I123" i="34"/>
  <c r="O129" i="36" a="1"/>
  <c r="O129" i="36" s="1"/>
  <c r="I81" i="34"/>
  <c r="I82" i="34"/>
  <c r="I97" i="34"/>
  <c r="Q69" i="34" a="1"/>
  <c r="Q69" i="34" s="1"/>
  <c r="P68" i="34" s="1"/>
  <c r="R69" i="34" s="1" a="1"/>
  <c r="S70" i="34" s="1" a="1"/>
  <c r="S70" i="34" s="1"/>
  <c r="I83" i="34"/>
  <c r="Q4" i="34" a="1"/>
  <c r="Q4" i="34" s="1"/>
  <c r="P3" i="34" s="1"/>
  <c r="R4" i="34" s="1" a="1"/>
  <c r="S5" i="34" s="1" a="1"/>
  <c r="S5" i="34" s="1"/>
  <c r="I98" i="34"/>
  <c r="I113" i="34"/>
  <c r="I84" i="34"/>
  <c r="E243" i="34"/>
  <c r="E252" i="34"/>
  <c r="E210" i="34"/>
  <c r="E244" i="34"/>
  <c r="E218" i="34"/>
  <c r="E250" i="34"/>
  <c r="E251" i="34"/>
  <c r="E209" i="34"/>
  <c r="E225" i="34"/>
  <c r="E217" i="34"/>
  <c r="E227" i="34"/>
  <c r="E216" i="34"/>
  <c r="E223" i="34"/>
  <c r="E228" i="34"/>
  <c r="E229" i="34"/>
  <c r="E200" i="34"/>
  <c r="E234" i="34"/>
  <c r="E201" i="34"/>
  <c r="E235" i="34"/>
  <c r="E202" i="34"/>
  <c r="E236" i="34"/>
  <c r="E208" i="34"/>
  <c r="E242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69" i="34"/>
  <c r="N130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O194" i="36" l="1" a="1"/>
  <c r="O194" i="36" s="1"/>
  <c r="R69" i="34"/>
  <c r="R68" i="34" s="1"/>
  <c r="S69" i="34" s="1"/>
  <c r="T69" i="34" s="1" a="1"/>
  <c r="T69" i="34" s="1"/>
  <c r="O64" i="36" a="1"/>
  <c r="O64" i="36" s="1"/>
  <c r="R4" i="34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194" i="34" l="1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H4" i="32" a="1"/>
  <c r="H4" i="32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N257" i="32" l="1"/>
  <c r="N199" i="32"/>
  <c r="O199" i="32" s="1" a="1"/>
  <c r="G4" i="28" a="1"/>
  <c r="G4" i="28" s="1"/>
  <c r="I121" i="28"/>
  <c r="I122" i="28"/>
  <c r="A134" i="28" a="1"/>
  <c r="A134" i="28" s="1"/>
  <c r="I123" i="28"/>
  <c r="I124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E116" i="32"/>
  <c r="E71" i="32"/>
  <c r="E90" i="32"/>
  <c r="E110" i="32"/>
  <c r="E120" i="32"/>
  <c r="E81" i="32"/>
  <c r="E111" i="32"/>
  <c r="E122" i="32"/>
  <c r="E91" i="32"/>
  <c r="E121" i="32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L4" i="32" s="1" a="1"/>
  <c r="L4" i="32" s="1"/>
  <c r="M4" i="32" s="1" a="1"/>
  <c r="M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O257" i="32" l="1"/>
  <c r="O199" i="32"/>
  <c r="O197" i="32" s="1"/>
  <c r="I188" i="28"/>
  <c r="A199" i="28" a="1"/>
  <c r="H134" i="28" a="1"/>
  <c r="H134" i="28" s="1"/>
  <c r="I187" i="28"/>
  <c r="I186" i="28"/>
  <c r="I191" i="28"/>
  <c r="A134" i="32" a="1"/>
  <c r="H69" i="32" a="1"/>
  <c r="H69" i="32" s="1"/>
  <c r="L199" i="28" a="1"/>
  <c r="L199" i="28" s="1"/>
  <c r="N69" i="32" a="1"/>
  <c r="N69" i="32" s="1"/>
  <c r="H2" i="31" a="1"/>
  <c r="H2" i="31" s="1"/>
  <c r="J2" i="31" a="1"/>
  <c r="J2" i="31" s="1"/>
  <c r="N4" i="32" a="1"/>
  <c r="N4" i="32" s="1"/>
  <c r="G2" i="31" a="1"/>
  <c r="G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252" i="28" l="1"/>
  <c r="I255" i="28"/>
  <c r="I253" i="28"/>
  <c r="A199" i="28"/>
  <c r="H199" i="28" s="1" a="1"/>
  <c r="H199" i="28" s="1"/>
  <c r="I256" i="28"/>
  <c r="I254" i="28"/>
  <c r="I251" i="28"/>
  <c r="N65" i="32"/>
  <c r="I158" i="32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O129" i="32" s="1" a="1"/>
  <c r="O129" i="32" s="1"/>
  <c r="N194" i="32"/>
  <c r="O194" i="32" s="1" a="1"/>
  <c r="O194" i="32" s="1"/>
  <c r="O134" i="32"/>
  <c r="O132" i="32" s="1"/>
  <c r="N64" i="32"/>
  <c r="O64" i="32" s="1" a="1"/>
  <c r="O64" i="32" s="1"/>
  <c r="O69" i="32" a="1"/>
  <c r="O4" i="32" a="1"/>
  <c r="I247" i="32" l="1"/>
  <c r="I201" i="32"/>
  <c r="I215" i="32"/>
  <c r="I211" i="32"/>
  <c r="I225" i="32"/>
  <c r="A199" i="32"/>
  <c r="I221" i="32"/>
  <c r="I235" i="32"/>
  <c r="I200" i="32"/>
  <c r="I231" i="32"/>
  <c r="I245" i="32"/>
  <c r="I210" i="32"/>
  <c r="I241" i="32"/>
  <c r="I255" i="32"/>
  <c r="I220" i="32"/>
  <c r="I251" i="32"/>
  <c r="I206" i="32"/>
  <c r="I230" i="32"/>
  <c r="I202" i="32"/>
  <c r="I216" i="32"/>
  <c r="I240" i="32"/>
  <c r="I232" i="32"/>
  <c r="I226" i="32"/>
  <c r="I250" i="32"/>
  <c r="I203" i="32"/>
  <c r="I236" i="32"/>
  <c r="I212" i="32"/>
  <c r="I213" i="32"/>
  <c r="I246" i="32"/>
  <c r="I222" i="32"/>
  <c r="I223" i="32"/>
  <c r="I256" i="32"/>
  <c r="I242" i="32"/>
  <c r="I233" i="32"/>
  <c r="I209" i="32"/>
  <c r="I252" i="32"/>
  <c r="I243" i="32"/>
  <c r="I219" i="32"/>
  <c r="I244" i="32"/>
  <c r="I253" i="32"/>
  <c r="I229" i="32"/>
  <c r="I208" i="32"/>
  <c r="I204" i="32"/>
  <c r="I249" i="32"/>
  <c r="I218" i="32"/>
  <c r="I214" i="32"/>
  <c r="I207" i="32"/>
  <c r="I228" i="32"/>
  <c r="I224" i="32"/>
  <c r="I217" i="32"/>
  <c r="I238" i="32"/>
  <c r="I234" i="32"/>
  <c r="I227" i="32"/>
  <c r="I248" i="32"/>
  <c r="I254" i="32"/>
  <c r="I237" i="32"/>
  <c r="I239" i="32"/>
  <c r="I205" i="32"/>
  <c r="H134" i="32" a="1"/>
  <c r="H134" i="32" s="1"/>
  <c r="I134" i="32"/>
  <c r="O4" i="32"/>
  <c r="O2" i="32" s="1"/>
  <c r="O62" i="32"/>
  <c r="O127" i="32"/>
  <c r="O69" i="32"/>
  <c r="O67" i="32" s="1"/>
  <c r="I199" i="32" l="1"/>
  <c r="H199" i="32" a="1"/>
  <c r="H199" i="32" s="1"/>
  <c r="N131" i="28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I63" i="30"/>
  <c r="A122" i="30" a="1"/>
  <c r="AC14" i="20"/>
  <c r="AC30" i="20"/>
  <c r="AC41" i="20"/>
  <c r="AC47" i="20"/>
  <c r="AC62" i="20"/>
  <c r="AC70" i="20"/>
  <c r="AC76" i="20"/>
  <c r="Q4" i="30" l="1" a="1"/>
  <c r="Q4" i="30" s="1"/>
  <c r="P3" i="30" s="1"/>
  <c r="R4" i="30" s="1" a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6" i="28"/>
  <c r="V224" i="28"/>
  <c r="V227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O194" i="28" s="1" a="1"/>
  <c r="O194" i="28" s="1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56" i="24" l="1"/>
  <c r="C20" i="24"/>
  <c r="C72" i="1"/>
  <c r="C47" i="1"/>
  <c r="C73" i="1"/>
  <c r="C49" i="1"/>
  <c r="C77" i="1"/>
  <c r="C46" i="1"/>
  <c r="C75" i="1"/>
  <c r="C45" i="1"/>
  <c r="C71" i="1"/>
  <c r="C48" i="1"/>
  <c r="C74" i="1"/>
  <c r="C50" i="1"/>
  <c r="C76" i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16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64" i="24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C55" i="26" l="1"/>
  <c r="C19" i="26"/>
  <c r="C55" i="24"/>
  <c r="C19" i="24"/>
  <c r="C14" i="26"/>
  <c r="C50" i="26"/>
  <c r="C52" i="24"/>
  <c r="C16" i="24"/>
  <c r="C52" i="26"/>
  <c r="C16" i="26"/>
  <c r="C51" i="26"/>
  <c r="C15" i="26"/>
  <c r="C53" i="26"/>
  <c r="C17" i="26"/>
  <c r="J59" i="1"/>
  <c r="C14" i="24"/>
  <c r="C50" i="24"/>
  <c r="C54" i="26"/>
  <c r="C18" i="26"/>
  <c r="C51" i="24"/>
  <c r="C15" i="24"/>
  <c r="C56" i="26"/>
  <c r="C20" i="26"/>
  <c r="C17" i="24"/>
  <c r="C53" i="24"/>
  <c r="R34" i="1"/>
  <c r="C18" i="24"/>
  <c r="C54" i="24"/>
  <c r="E13" i="40"/>
  <c r="E61" i="40"/>
  <c r="E13" i="37"/>
  <c r="E61" i="37"/>
  <c r="E13" i="27"/>
  <c r="E61" i="27"/>
  <c r="E13" i="35"/>
  <c r="E61" i="35"/>
  <c r="E61" i="33"/>
  <c r="E13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Q75" i="1" s="1"/>
  <c r="C97" i="1" l="1"/>
  <c r="C103" i="1"/>
  <c r="C100" i="1"/>
  <c r="C102" i="1"/>
  <c r="C99" i="1"/>
  <c r="C101" i="1"/>
  <c r="C98" i="1"/>
  <c r="D97" i="1"/>
  <c r="D103" i="1"/>
  <c r="D100" i="1"/>
  <c r="D102" i="1"/>
  <c r="D99" i="1"/>
  <c r="D101" i="1"/>
  <c r="D98" i="1"/>
  <c r="C37" i="26"/>
  <c r="E62" i="40"/>
  <c r="E14" i="40"/>
  <c r="E62" i="37"/>
  <c r="E14" i="37"/>
  <c r="E62" i="27"/>
  <c r="E14" i="27"/>
  <c r="E14" i="35"/>
  <c r="E62" i="35"/>
  <c r="E14" i="33"/>
  <c r="E62" i="33"/>
  <c r="E17" i="40"/>
  <c r="E65" i="40"/>
  <c r="E65" i="37"/>
  <c r="E17" i="37"/>
  <c r="E65" i="27"/>
  <c r="E17" i="27"/>
  <c r="E65" i="35"/>
  <c r="E17" i="35"/>
  <c r="E17" i="33"/>
  <c r="E65" i="33"/>
  <c r="E68" i="40"/>
  <c r="E20" i="40"/>
  <c r="E68" i="37"/>
  <c r="E20" i="37"/>
  <c r="E20" i="27"/>
  <c r="E68" i="27"/>
  <c r="E68" i="35"/>
  <c r="E20" i="35"/>
  <c r="E68" i="33"/>
  <c r="E20" i="33"/>
  <c r="E63" i="40"/>
  <c r="E15" i="40"/>
  <c r="E15" i="37"/>
  <c r="E63" i="37"/>
  <c r="E63" i="27"/>
  <c r="E15" i="27"/>
  <c r="E63" i="35"/>
  <c r="E15" i="35"/>
  <c r="E15" i="33"/>
  <c r="E63" i="33"/>
  <c r="Q51" i="1"/>
  <c r="C68" i="24" s="1"/>
  <c r="J24" i="1"/>
  <c r="C31" i="2" s="1"/>
  <c r="J50" i="1"/>
  <c r="C31" i="24" s="1"/>
  <c r="J75" i="1"/>
  <c r="C30" i="26" s="1"/>
  <c r="J48" i="1"/>
  <c r="C29" i="24" s="1"/>
  <c r="J73" i="1"/>
  <c r="C28" i="26" s="1"/>
  <c r="J45" i="1"/>
  <c r="C26" i="24" s="1"/>
  <c r="J49" i="1"/>
  <c r="C30" i="24" s="1"/>
  <c r="J47" i="1"/>
  <c r="C28" i="24" s="1"/>
  <c r="J74" i="1"/>
  <c r="C29" i="26" s="1"/>
  <c r="J72" i="1"/>
  <c r="C27" i="26" s="1"/>
  <c r="J46" i="1"/>
  <c r="C27" i="24" s="1"/>
  <c r="J71" i="1"/>
  <c r="C26" i="26" s="1"/>
  <c r="J76" i="1"/>
  <c r="C31" i="26" s="1"/>
  <c r="J51" i="1"/>
  <c r="C32" i="24" s="1"/>
  <c r="E16" i="40"/>
  <c r="E64" i="40"/>
  <c r="E16" i="37"/>
  <c r="E64" i="37"/>
  <c r="E16" i="27"/>
  <c r="E64" i="27"/>
  <c r="E64" i="35"/>
  <c r="E16" i="35"/>
  <c r="E64" i="33"/>
  <c r="E16" i="33"/>
  <c r="Q21" i="1"/>
  <c r="C64" i="2" s="1"/>
  <c r="Q73" i="1"/>
  <c r="C40" i="26" s="1"/>
  <c r="Q47" i="1"/>
  <c r="C64" i="24" s="1"/>
  <c r="Q71" i="1"/>
  <c r="C62" i="26" s="1"/>
  <c r="Q50" i="1"/>
  <c r="C67" i="24" s="1"/>
  <c r="Q74" i="1"/>
  <c r="C41" i="26" s="1"/>
  <c r="Q48" i="1"/>
  <c r="C41" i="24" s="1"/>
  <c r="Q72" i="1"/>
  <c r="C39" i="26" s="1"/>
  <c r="Q46" i="1"/>
  <c r="C63" i="24" s="1"/>
  <c r="Q45" i="1"/>
  <c r="C38" i="24" s="1"/>
  <c r="Q76" i="1"/>
  <c r="C67" i="26" s="1"/>
  <c r="Q49" i="1"/>
  <c r="C66" i="24" s="1"/>
  <c r="E18" i="40"/>
  <c r="E66" i="40"/>
  <c r="E18" i="37"/>
  <c r="E66" i="37"/>
  <c r="E66" i="27"/>
  <c r="E18" i="27"/>
  <c r="E66" i="35"/>
  <c r="E18" i="35"/>
  <c r="E18" i="33"/>
  <c r="E66" i="33"/>
  <c r="E19" i="40"/>
  <c r="E67" i="40"/>
  <c r="E67" i="37"/>
  <c r="E19" i="37"/>
  <c r="E67" i="27"/>
  <c r="E19" i="27"/>
  <c r="E19" i="35"/>
  <c r="E67" i="35"/>
  <c r="E19" i="33"/>
  <c r="E67" i="33"/>
  <c r="Q77" i="1"/>
  <c r="C44" i="26" s="1"/>
  <c r="E37" i="24"/>
  <c r="S81" i="1"/>
  <c r="D13" i="40"/>
  <c r="D13" i="37"/>
  <c r="D13" i="27"/>
  <c r="D13" i="35"/>
  <c r="D13" i="33"/>
  <c r="C49" i="40"/>
  <c r="C13" i="40"/>
  <c r="C49" i="37"/>
  <c r="C13" i="37"/>
  <c r="C13" i="27"/>
  <c r="C49" i="27"/>
  <c r="C13" i="35"/>
  <c r="C49" i="35"/>
  <c r="C13" i="33"/>
  <c r="C49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103" i="1" s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Q103" i="1" s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66" i="26"/>
  <c r="C42" i="26"/>
  <c r="C68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S99" i="1"/>
  <c r="S101" i="1"/>
  <c r="S98" i="1"/>
  <c r="S100" i="1"/>
  <c r="Q102" i="1"/>
  <c r="Q99" i="1"/>
  <c r="Q98" i="1"/>
  <c r="Q100" i="1"/>
  <c r="Q97" i="1"/>
  <c r="Q101" i="1"/>
  <c r="C66" i="27" s="1"/>
  <c r="S97" i="1"/>
  <c r="E50" i="40" s="1"/>
  <c r="K103" i="1"/>
  <c r="R103" i="1"/>
  <c r="D44" i="27" s="1"/>
  <c r="J97" i="1"/>
  <c r="J100" i="1"/>
  <c r="J102" i="1"/>
  <c r="J99" i="1"/>
  <c r="J101" i="1"/>
  <c r="J98" i="1"/>
  <c r="L100" i="1"/>
  <c r="L103" i="1"/>
  <c r="L102" i="1"/>
  <c r="L99" i="1"/>
  <c r="L101" i="1"/>
  <c r="L98" i="1"/>
  <c r="L97" i="1"/>
  <c r="E26" i="27" s="1"/>
  <c r="C64" i="26"/>
  <c r="R101" i="1"/>
  <c r="D42" i="33" s="1"/>
  <c r="R102" i="1"/>
  <c r="D43" i="37" s="1"/>
  <c r="K101" i="1"/>
  <c r="D30" i="27" s="1"/>
  <c r="K102" i="1"/>
  <c r="D67" i="37" s="1"/>
  <c r="R99" i="1"/>
  <c r="D40" i="33" s="1"/>
  <c r="R100" i="1"/>
  <c r="D41" i="37" s="1"/>
  <c r="K99" i="1"/>
  <c r="D64" i="40" s="1"/>
  <c r="K100" i="1"/>
  <c r="D29" i="27" s="1"/>
  <c r="R97" i="1"/>
  <c r="D38" i="27" s="1"/>
  <c r="R98" i="1"/>
  <c r="D39" i="33" s="1"/>
  <c r="K97" i="1"/>
  <c r="D62" i="27" s="1"/>
  <c r="K98" i="1"/>
  <c r="D27" i="27" s="1"/>
  <c r="C62" i="24"/>
  <c r="C32" i="35"/>
  <c r="C39" i="24"/>
  <c r="C44" i="33"/>
  <c r="C63" i="26"/>
  <c r="C40" i="2"/>
  <c r="E55" i="27"/>
  <c r="E52" i="35"/>
  <c r="E42" i="27"/>
  <c r="E39" i="33"/>
  <c r="E41" i="35"/>
  <c r="C38" i="26"/>
  <c r="C43" i="26"/>
  <c r="D68" i="37"/>
  <c r="F13" i="35"/>
  <c r="F13" i="27"/>
  <c r="F13" i="37"/>
  <c r="F13" i="40"/>
  <c r="C44" i="24"/>
  <c r="C42" i="24"/>
  <c r="C65" i="26"/>
  <c r="C53" i="40"/>
  <c r="C17" i="40"/>
  <c r="C17" i="37"/>
  <c r="C53" i="37"/>
  <c r="C17" i="27"/>
  <c r="C53" i="27"/>
  <c r="C53" i="35"/>
  <c r="C17" i="35"/>
  <c r="C17" i="33"/>
  <c r="C53" i="33"/>
  <c r="C14" i="40"/>
  <c r="C50" i="40"/>
  <c r="C14" i="37"/>
  <c r="C50" i="37"/>
  <c r="C14" i="27"/>
  <c r="C50" i="27"/>
  <c r="C14" i="35"/>
  <c r="C50" i="35"/>
  <c r="C14" i="33"/>
  <c r="C50" i="33"/>
  <c r="D19" i="40"/>
  <c r="D19" i="37"/>
  <c r="D19" i="27"/>
  <c r="D19" i="35"/>
  <c r="D19" i="33"/>
  <c r="D17" i="40"/>
  <c r="D17" i="37"/>
  <c r="D17" i="27"/>
  <c r="D17" i="35"/>
  <c r="D17" i="33"/>
  <c r="C65" i="24"/>
  <c r="D20" i="40"/>
  <c r="D20" i="37"/>
  <c r="D20" i="27"/>
  <c r="D20" i="35"/>
  <c r="D20" i="33"/>
  <c r="C55" i="40"/>
  <c r="C19" i="40"/>
  <c r="C19" i="37"/>
  <c r="C55" i="37"/>
  <c r="C19" i="27"/>
  <c r="C55" i="27"/>
  <c r="C55" i="35"/>
  <c r="C19" i="35"/>
  <c r="C19" i="33"/>
  <c r="C55" i="33"/>
  <c r="C40" i="24"/>
  <c r="D15" i="40"/>
  <c r="D15" i="37"/>
  <c r="D15" i="27"/>
  <c r="D15" i="35"/>
  <c r="D15" i="33"/>
  <c r="D16" i="40"/>
  <c r="D16" i="37"/>
  <c r="D16" i="27"/>
  <c r="D16" i="35"/>
  <c r="D16" i="33"/>
  <c r="C43" i="24"/>
  <c r="C65" i="2"/>
  <c r="F13" i="33"/>
  <c r="C18" i="40"/>
  <c r="C54" i="40"/>
  <c r="C18" i="37"/>
  <c r="C54" i="37"/>
  <c r="C54" i="27"/>
  <c r="C18" i="27"/>
  <c r="C18" i="35"/>
  <c r="C54" i="35"/>
  <c r="C18" i="33"/>
  <c r="C54" i="33"/>
  <c r="C15" i="40"/>
  <c r="C51" i="40"/>
  <c r="C15" i="37"/>
  <c r="C51" i="37"/>
  <c r="C15" i="27"/>
  <c r="C51" i="27"/>
  <c r="C51" i="35"/>
  <c r="C15" i="35"/>
  <c r="C51" i="33"/>
  <c r="C15" i="33"/>
  <c r="C56" i="40"/>
  <c r="C20" i="40"/>
  <c r="C20" i="37"/>
  <c r="C56" i="37"/>
  <c r="C56" i="27"/>
  <c r="C20" i="27"/>
  <c r="C20" i="35"/>
  <c r="C56" i="35"/>
  <c r="C20" i="33"/>
  <c r="C56" i="33"/>
  <c r="D18" i="40"/>
  <c r="D18" i="37"/>
  <c r="D18" i="27"/>
  <c r="D18" i="35"/>
  <c r="D18" i="33"/>
  <c r="D14" i="40"/>
  <c r="D14" i="37"/>
  <c r="D14" i="27"/>
  <c r="D14" i="35"/>
  <c r="D14" i="33"/>
  <c r="C52" i="40"/>
  <c r="C16" i="40"/>
  <c r="C52" i="37"/>
  <c r="C16" i="37"/>
  <c r="C52" i="27"/>
  <c r="C16" i="27"/>
  <c r="C16" i="35"/>
  <c r="C52" i="35"/>
  <c r="C16" i="33"/>
  <c r="C52" i="33"/>
  <c r="E25" i="40"/>
  <c r="E25" i="37"/>
  <c r="E25" i="27"/>
  <c r="E49" i="40"/>
  <c r="E37" i="40"/>
  <c r="E49" i="37"/>
  <c r="E37" i="37"/>
  <c r="E49" i="27"/>
  <c r="E37" i="27"/>
  <c r="E37" i="35"/>
  <c r="E49" i="35"/>
  <c r="E37" i="33"/>
  <c r="E49" i="33"/>
  <c r="C25" i="40"/>
  <c r="C25" i="37"/>
  <c r="C25" i="27"/>
  <c r="C25" i="35"/>
  <c r="C25" i="33"/>
  <c r="C35" i="40"/>
  <c r="C11" i="40"/>
  <c r="C47" i="40"/>
  <c r="C59" i="40"/>
  <c r="C23" i="40"/>
  <c r="C47" i="37"/>
  <c r="C11" i="37"/>
  <c r="C35" i="37"/>
  <c r="C59" i="37"/>
  <c r="C23" i="37"/>
  <c r="C47" i="35"/>
  <c r="C35" i="35"/>
  <c r="C59" i="35"/>
  <c r="C11" i="35"/>
  <c r="C23" i="35"/>
  <c r="C35" i="33"/>
  <c r="C59" i="33"/>
  <c r="C11" i="33"/>
  <c r="C23" i="33"/>
  <c r="C47" i="33"/>
  <c r="C37" i="40"/>
  <c r="C61" i="40"/>
  <c r="C61" i="37"/>
  <c r="C37" i="37"/>
  <c r="C61" i="27"/>
  <c r="C37" i="27"/>
  <c r="C37" i="35"/>
  <c r="C61" i="35"/>
  <c r="C61" i="33"/>
  <c r="C37" i="33"/>
  <c r="D37" i="37"/>
  <c r="D37" i="40"/>
  <c r="D49" i="40"/>
  <c r="D25" i="40"/>
  <c r="D61" i="40"/>
  <c r="D61" i="27"/>
  <c r="D49" i="37"/>
  <c r="D61" i="37"/>
  <c r="D25" i="37"/>
  <c r="E43" i="27"/>
  <c r="E43" i="35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C32" i="27" l="1"/>
  <c r="C32" i="37"/>
  <c r="C32" i="33"/>
  <c r="C32" i="40"/>
  <c r="C44" i="35"/>
  <c r="C68" i="27"/>
  <c r="C44" i="37"/>
  <c r="C44" i="27"/>
  <c r="C68" i="40"/>
  <c r="C68" i="37"/>
  <c r="C68" i="33"/>
  <c r="C68" i="35"/>
  <c r="C44" i="40"/>
  <c r="E38" i="37"/>
  <c r="E38" i="35"/>
  <c r="E44" i="33"/>
  <c r="E50" i="37"/>
  <c r="E50" i="27"/>
  <c r="E38" i="40"/>
  <c r="E56" i="33"/>
  <c r="E50" i="33"/>
  <c r="E55" i="33"/>
  <c r="E38" i="33"/>
  <c r="E50" i="35"/>
  <c r="E38" i="27"/>
  <c r="E43" i="33"/>
  <c r="E55" i="35"/>
  <c r="E26" i="40"/>
  <c r="E41" i="33"/>
  <c r="E52" i="27"/>
  <c r="E26" i="37"/>
  <c r="E53" i="33"/>
  <c r="E40" i="35"/>
  <c r="E42" i="33"/>
  <c r="E54" i="33"/>
  <c r="E53" i="27"/>
  <c r="E54" i="35"/>
  <c r="E40" i="27"/>
  <c r="E42" i="35"/>
  <c r="E54" i="27"/>
  <c r="F20" i="40"/>
  <c r="G20" i="40" s="1"/>
  <c r="F19" i="40"/>
  <c r="J19" i="40" s="1"/>
  <c r="F17" i="40"/>
  <c r="J17" i="40" s="1"/>
  <c r="D32" i="27"/>
  <c r="F16" i="35"/>
  <c r="J16" i="35" s="1"/>
  <c r="F20" i="35"/>
  <c r="J20" i="35" s="1"/>
  <c r="D32" i="37"/>
  <c r="D56" i="37"/>
  <c r="D68" i="27"/>
  <c r="F16" i="27"/>
  <c r="G16" i="27" s="1"/>
  <c r="F16" i="37"/>
  <c r="G16" i="37" s="1"/>
  <c r="F20" i="27"/>
  <c r="J20" i="27" s="1"/>
  <c r="F20" i="37"/>
  <c r="J20" i="37" s="1"/>
  <c r="F17" i="37"/>
  <c r="J17" i="37" s="1"/>
  <c r="G13" i="37"/>
  <c r="D44" i="33"/>
  <c r="F16" i="33"/>
  <c r="J16" i="33" s="1"/>
  <c r="F20" i="33"/>
  <c r="J20" i="33" s="1"/>
  <c r="F18" i="33"/>
  <c r="J18" i="33" s="1"/>
  <c r="F19" i="37"/>
  <c r="G19" i="37" s="1"/>
  <c r="C66" i="33"/>
  <c r="F15" i="27"/>
  <c r="J15" i="27" s="1"/>
  <c r="F19" i="27"/>
  <c r="J19" i="27" s="1"/>
  <c r="F17" i="33"/>
  <c r="J17" i="33" s="1"/>
  <c r="F14" i="40"/>
  <c r="J14" i="40" s="1"/>
  <c r="D32" i="40"/>
  <c r="D68" i="40"/>
  <c r="D44" i="40"/>
  <c r="D44" i="35"/>
  <c r="F14" i="37"/>
  <c r="J14" i="37" s="1"/>
  <c r="D56" i="40"/>
  <c r="F14" i="27"/>
  <c r="G14" i="27" s="1"/>
  <c r="F18" i="37"/>
  <c r="G18" i="37" s="1"/>
  <c r="D44" i="37"/>
  <c r="D56" i="27"/>
  <c r="C66" i="40"/>
  <c r="F18" i="40"/>
  <c r="G18" i="40" s="1"/>
  <c r="F15" i="40"/>
  <c r="G15" i="40" s="1"/>
  <c r="F15" i="35"/>
  <c r="J15" i="35" s="1"/>
  <c r="E53" i="35"/>
  <c r="E41" i="27"/>
  <c r="J13" i="33"/>
  <c r="E40" i="33"/>
  <c r="E51" i="33"/>
  <c r="E52" i="33"/>
  <c r="C66" i="37"/>
  <c r="C42" i="40"/>
  <c r="C42" i="37"/>
  <c r="F15" i="37"/>
  <c r="J15" i="37" s="1"/>
  <c r="F16" i="40"/>
  <c r="G16" i="40" s="1"/>
  <c r="F19" i="33"/>
  <c r="G19" i="33" s="1"/>
  <c r="F17" i="35"/>
  <c r="G17" i="35" s="1"/>
  <c r="D42" i="37"/>
  <c r="C42" i="35"/>
  <c r="C66" i="35"/>
  <c r="C42" i="27"/>
  <c r="F15" i="33"/>
  <c r="J15" i="33" s="1"/>
  <c r="F19" i="35"/>
  <c r="J19" i="35" s="1"/>
  <c r="F14" i="35"/>
  <c r="G14" i="35" s="1"/>
  <c r="F17" i="27"/>
  <c r="G17" i="27" s="1"/>
  <c r="F18" i="27"/>
  <c r="J18" i="27" s="1"/>
  <c r="J13" i="37"/>
  <c r="F18" i="35"/>
  <c r="J18" i="35" s="1"/>
  <c r="F14" i="33"/>
  <c r="G14" i="33" s="1"/>
  <c r="C42" i="33"/>
  <c r="E28" i="40"/>
  <c r="E28" i="37"/>
  <c r="E28" i="27"/>
  <c r="C65" i="35"/>
  <c r="C41" i="37"/>
  <c r="C65" i="33"/>
  <c r="C65" i="40"/>
  <c r="C41" i="40"/>
  <c r="C41" i="27"/>
  <c r="C41" i="33"/>
  <c r="C65" i="37"/>
  <c r="C41" i="35"/>
  <c r="C65" i="27"/>
  <c r="E29" i="37"/>
  <c r="E29" i="40"/>
  <c r="E29" i="27"/>
  <c r="C26" i="27"/>
  <c r="C26" i="35"/>
  <c r="C26" i="33"/>
  <c r="C26" i="37"/>
  <c r="C26" i="40"/>
  <c r="E39" i="37"/>
  <c r="E39" i="40"/>
  <c r="E51" i="37"/>
  <c r="E51" i="40"/>
  <c r="E39" i="35"/>
  <c r="E56" i="27"/>
  <c r="E54" i="37"/>
  <c r="E42" i="37"/>
  <c r="E54" i="40"/>
  <c r="E42" i="40"/>
  <c r="E32" i="40"/>
  <c r="E32" i="37"/>
  <c r="E32" i="27"/>
  <c r="C30" i="37"/>
  <c r="C30" i="27"/>
  <c r="C30" i="40"/>
  <c r="C30" i="35"/>
  <c r="C30" i="33"/>
  <c r="C28" i="33"/>
  <c r="C28" i="40"/>
  <c r="C28" i="27"/>
  <c r="C28" i="37"/>
  <c r="C28" i="35"/>
  <c r="C29" i="40"/>
  <c r="C29" i="35"/>
  <c r="C29" i="37"/>
  <c r="C29" i="27"/>
  <c r="C29" i="33"/>
  <c r="E51" i="35"/>
  <c r="E44" i="27"/>
  <c r="E40" i="40"/>
  <c r="E52" i="40"/>
  <c r="E40" i="37"/>
  <c r="E52" i="37"/>
  <c r="E30" i="37"/>
  <c r="E30" i="40"/>
  <c r="E30" i="27"/>
  <c r="C63" i="40"/>
  <c r="C39" i="37"/>
  <c r="C63" i="33"/>
  <c r="C39" i="27"/>
  <c r="C63" i="35"/>
  <c r="C63" i="37"/>
  <c r="C39" i="35"/>
  <c r="C39" i="33"/>
  <c r="C39" i="40"/>
  <c r="C63" i="27"/>
  <c r="C62" i="35"/>
  <c r="C62" i="37"/>
  <c r="C38" i="33"/>
  <c r="C38" i="37"/>
  <c r="C38" i="35"/>
  <c r="C62" i="33"/>
  <c r="C38" i="40"/>
  <c r="C62" i="40"/>
  <c r="C38" i="27"/>
  <c r="C62" i="27"/>
  <c r="C27" i="33"/>
  <c r="C27" i="40"/>
  <c r="C27" i="27"/>
  <c r="C27" i="35"/>
  <c r="C27" i="37"/>
  <c r="E53" i="40"/>
  <c r="E53" i="37"/>
  <c r="E41" i="40"/>
  <c r="E41" i="37"/>
  <c r="E51" i="27"/>
  <c r="E43" i="40"/>
  <c r="E43" i="37"/>
  <c r="E55" i="40"/>
  <c r="E55" i="37"/>
  <c r="E27" i="37"/>
  <c r="E27" i="40"/>
  <c r="E27" i="27"/>
  <c r="E31" i="40"/>
  <c r="E31" i="37"/>
  <c r="E31" i="27"/>
  <c r="C40" i="33"/>
  <c r="C40" i="37"/>
  <c r="C40" i="40"/>
  <c r="C64" i="37"/>
  <c r="C40" i="27"/>
  <c r="C64" i="33"/>
  <c r="C64" i="40"/>
  <c r="C64" i="27"/>
  <c r="C40" i="35"/>
  <c r="C64" i="35"/>
  <c r="C67" i="37"/>
  <c r="C43" i="27"/>
  <c r="C67" i="40"/>
  <c r="C43" i="37"/>
  <c r="C43" i="35"/>
  <c r="C67" i="33"/>
  <c r="C43" i="40"/>
  <c r="C43" i="33"/>
  <c r="C67" i="27"/>
  <c r="C67" i="35"/>
  <c r="E56" i="37"/>
  <c r="E44" i="40"/>
  <c r="E56" i="40"/>
  <c r="E44" i="37"/>
  <c r="E56" i="35"/>
  <c r="C31" i="35"/>
  <c r="C31" i="33"/>
  <c r="C31" i="37"/>
  <c r="C31" i="40"/>
  <c r="C31" i="27"/>
  <c r="E39" i="27"/>
  <c r="D54" i="37"/>
  <c r="D42" i="27"/>
  <c r="D42" i="35"/>
  <c r="D66" i="37"/>
  <c r="D66" i="27"/>
  <c r="D66" i="40"/>
  <c r="D31" i="40"/>
  <c r="D54" i="40"/>
  <c r="D67" i="40"/>
  <c r="D55" i="40"/>
  <c r="D30" i="40"/>
  <c r="D30" i="37"/>
  <c r="D42" i="40"/>
  <c r="D43" i="27"/>
  <c r="D43" i="35"/>
  <c r="D43" i="33"/>
  <c r="D55" i="27"/>
  <c r="D55" i="37"/>
  <c r="D31" i="27"/>
  <c r="D43" i="40"/>
  <c r="D67" i="27"/>
  <c r="D54" i="27"/>
  <c r="D31" i="37"/>
  <c r="D50" i="27"/>
  <c r="D40" i="40"/>
  <c r="D40" i="37"/>
  <c r="D41" i="27"/>
  <c r="D41" i="35"/>
  <c r="D40" i="27"/>
  <c r="D65" i="27"/>
  <c r="D41" i="33"/>
  <c r="D65" i="40"/>
  <c r="D29" i="40"/>
  <c r="D39" i="35"/>
  <c r="D41" i="40"/>
  <c r="D52" i="37"/>
  <c r="D27" i="40"/>
  <c r="D26" i="40"/>
  <c r="D64" i="37"/>
  <c r="D63" i="40"/>
  <c r="D40" i="35"/>
  <c r="D62" i="40"/>
  <c r="D50" i="40"/>
  <c r="D65" i="37"/>
  <c r="D51" i="40"/>
  <c r="D26" i="27"/>
  <c r="D52" i="40"/>
  <c r="D29" i="37"/>
  <c r="D39" i="40"/>
  <c r="D39" i="27"/>
  <c r="D53" i="37"/>
  <c r="D39" i="37"/>
  <c r="D63" i="37"/>
  <c r="D27" i="37"/>
  <c r="D62" i="37"/>
  <c r="D52" i="27"/>
  <c r="D51" i="37"/>
  <c r="D63" i="27"/>
  <c r="D50" i="37"/>
  <c r="D28" i="27"/>
  <c r="D26" i="37"/>
  <c r="D53" i="40"/>
  <c r="D53" i="27"/>
  <c r="D28" i="37"/>
  <c r="D28" i="40"/>
  <c r="D64" i="27"/>
  <c r="D38" i="35"/>
  <c r="F49" i="40"/>
  <c r="F61" i="40"/>
  <c r="D38" i="33"/>
  <c r="D38" i="40"/>
  <c r="D38" i="37"/>
  <c r="D51" i="27"/>
  <c r="F37" i="40"/>
  <c r="J37" i="40" s="1"/>
  <c r="F25" i="37"/>
  <c r="F25" i="40"/>
  <c r="F49" i="37"/>
  <c r="G49" i="37" s="1"/>
  <c r="F37" i="33"/>
  <c r="G13" i="35"/>
  <c r="F37" i="37"/>
  <c r="G37" i="37" s="1"/>
  <c r="F61" i="37"/>
  <c r="G13" i="40"/>
  <c r="J13" i="35"/>
  <c r="F37" i="27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G20" i="37" l="1"/>
  <c r="G16" i="35"/>
  <c r="G20" i="35"/>
  <c r="G19" i="40"/>
  <c r="G17" i="40"/>
  <c r="J20" i="40"/>
  <c r="G17" i="37"/>
  <c r="J19" i="37"/>
  <c r="G15" i="27"/>
  <c r="G16" i="33"/>
  <c r="G18" i="33"/>
  <c r="G20" i="33"/>
  <c r="J16" i="37"/>
  <c r="J16" i="27"/>
  <c r="G20" i="27"/>
  <c r="G14" i="37"/>
  <c r="G17" i="33"/>
  <c r="G14" i="40"/>
  <c r="J18" i="40"/>
  <c r="J15" i="40"/>
  <c r="G19" i="35"/>
  <c r="G19" i="27"/>
  <c r="G15" i="35"/>
  <c r="J18" i="37"/>
  <c r="J14" i="27"/>
  <c r="J19" i="33"/>
  <c r="J16" i="40"/>
  <c r="J14" i="33"/>
  <c r="G15" i="37"/>
  <c r="J17" i="35"/>
  <c r="G15" i="33"/>
  <c r="J17" i="27"/>
  <c r="G18" i="27"/>
  <c r="J14" i="35"/>
  <c r="G18" i="35"/>
  <c r="F40" i="33"/>
  <c r="G40" i="33" s="1"/>
  <c r="F67" i="37"/>
  <c r="J67" i="37" s="1"/>
  <c r="F30" i="40"/>
  <c r="J30" i="40" s="1"/>
  <c r="F67" i="40"/>
  <c r="G67" i="40" s="1"/>
  <c r="F43" i="27"/>
  <c r="J43" i="27" s="1"/>
  <c r="F50" i="40"/>
  <c r="J50" i="40" s="1"/>
  <c r="F26" i="37"/>
  <c r="J26" i="37" s="1"/>
  <c r="F63" i="40"/>
  <c r="J63" i="40" s="1"/>
  <c r="F62" i="40"/>
  <c r="J62" i="40" s="1"/>
  <c r="F64" i="40"/>
  <c r="G64" i="40" s="1"/>
  <c r="F68" i="40"/>
  <c r="J68" i="40" s="1"/>
  <c r="F27" i="40"/>
  <c r="J27" i="40" s="1"/>
  <c r="F66" i="40"/>
  <c r="G66" i="40" s="1"/>
  <c r="F54" i="40"/>
  <c r="J54" i="40" s="1"/>
  <c r="F32" i="40"/>
  <c r="J32" i="40" s="1"/>
  <c r="G61" i="40"/>
  <c r="J61" i="40"/>
  <c r="F65" i="40"/>
  <c r="J65" i="40" s="1"/>
  <c r="F27" i="37"/>
  <c r="G27" i="37" s="1"/>
  <c r="F30" i="37"/>
  <c r="G30" i="37" s="1"/>
  <c r="F32" i="37"/>
  <c r="J32" i="37" s="1"/>
  <c r="G49" i="40"/>
  <c r="F55" i="40"/>
  <c r="J55" i="40" s="1"/>
  <c r="F53" i="40"/>
  <c r="J53" i="40" s="1"/>
  <c r="F56" i="40"/>
  <c r="J56" i="40" s="1"/>
  <c r="J49" i="40"/>
  <c r="F51" i="40"/>
  <c r="J51" i="40" s="1"/>
  <c r="F52" i="40"/>
  <c r="J52" i="40" s="1"/>
  <c r="F31" i="40"/>
  <c r="J31" i="40" s="1"/>
  <c r="G37" i="40"/>
  <c r="F29" i="40"/>
  <c r="J29" i="40" s="1"/>
  <c r="G25" i="40"/>
  <c r="J25" i="40"/>
  <c r="F42" i="40"/>
  <c r="G42" i="40" s="1"/>
  <c r="F43" i="40"/>
  <c r="J43" i="40" s="1"/>
  <c r="F40" i="40"/>
  <c r="J40" i="40" s="1"/>
  <c r="F44" i="40"/>
  <c r="J44" i="40" s="1"/>
  <c r="F39" i="40"/>
  <c r="G39" i="40" s="1"/>
  <c r="F41" i="40"/>
  <c r="G41" i="40" s="1"/>
  <c r="F38" i="40"/>
  <c r="G38" i="40" s="1"/>
  <c r="F28" i="40"/>
  <c r="J28" i="40" s="1"/>
  <c r="F28" i="37"/>
  <c r="J28" i="37" s="1"/>
  <c r="J61" i="37"/>
  <c r="F31" i="37"/>
  <c r="G31" i="37" s="1"/>
  <c r="F50" i="37"/>
  <c r="J50" i="37" s="1"/>
  <c r="G61" i="37"/>
  <c r="G25" i="37"/>
  <c r="J25" i="37"/>
  <c r="F29" i="37"/>
  <c r="G29" i="37" s="1"/>
  <c r="J37" i="33"/>
  <c r="F39" i="33"/>
  <c r="G39" i="33" s="1"/>
  <c r="F51" i="37"/>
  <c r="G51" i="37" s="1"/>
  <c r="F44" i="33"/>
  <c r="G44" i="33" s="1"/>
  <c r="F38" i="33"/>
  <c r="J38" i="33" s="1"/>
  <c r="F42" i="33"/>
  <c r="G42" i="33" s="1"/>
  <c r="F44" i="37"/>
  <c r="J44" i="37" s="1"/>
  <c r="F43" i="37"/>
  <c r="J43" i="37" s="1"/>
  <c r="F41" i="37"/>
  <c r="J41" i="37" s="1"/>
  <c r="F40" i="37"/>
  <c r="G40" i="37" s="1"/>
  <c r="F54" i="37"/>
  <c r="J54" i="37" s="1"/>
  <c r="F52" i="37"/>
  <c r="G52" i="37" s="1"/>
  <c r="F55" i="37"/>
  <c r="J55" i="37" s="1"/>
  <c r="F53" i="37"/>
  <c r="G53" i="37" s="1"/>
  <c r="F68" i="37"/>
  <c r="G68" i="37" s="1"/>
  <c r="F26" i="40"/>
  <c r="G26" i="40" s="1"/>
  <c r="F41" i="33"/>
  <c r="J41" i="33" s="1"/>
  <c r="F40" i="27"/>
  <c r="J40" i="27" s="1"/>
  <c r="F43" i="33"/>
  <c r="J43" i="33" s="1"/>
  <c r="F42" i="27"/>
  <c r="G42" i="27" s="1"/>
  <c r="F56" i="37"/>
  <c r="J56" i="37" s="1"/>
  <c r="J49" i="37"/>
  <c r="G37" i="33"/>
  <c r="F62" i="37"/>
  <c r="G62" i="37" s="1"/>
  <c r="F63" i="37"/>
  <c r="J63" i="37" s="1"/>
  <c r="J37" i="37"/>
  <c r="F38" i="35"/>
  <c r="G38" i="35" s="1"/>
  <c r="F42" i="37"/>
  <c r="J42" i="37" s="1"/>
  <c r="F44" i="35"/>
  <c r="J44" i="35" s="1"/>
  <c r="F65" i="37"/>
  <c r="G65" i="37" s="1"/>
  <c r="F44" i="27"/>
  <c r="G44" i="27" s="1"/>
  <c r="J37" i="27"/>
  <c r="F38" i="27"/>
  <c r="J38" i="27" s="1"/>
  <c r="F41" i="27"/>
  <c r="G41" i="27" s="1"/>
  <c r="F39" i="27"/>
  <c r="J39" i="27" s="1"/>
  <c r="F66" i="37"/>
  <c r="G66" i="37" s="1"/>
  <c r="F40" i="35"/>
  <c r="J40" i="35" s="1"/>
  <c r="G37" i="27"/>
  <c r="F41" i="35"/>
  <c r="J41" i="35" s="1"/>
  <c r="F64" i="37"/>
  <c r="J64" i="37" s="1"/>
  <c r="G37" i="35"/>
  <c r="F39" i="35"/>
  <c r="J39" i="35" s="1"/>
  <c r="F38" i="37"/>
  <c r="J38" i="37" s="1"/>
  <c r="F43" i="35"/>
  <c r="G43" i="35" s="1"/>
  <c r="F39" i="37"/>
  <c r="J39" i="37" s="1"/>
  <c r="F42" i="35"/>
  <c r="J42" i="35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0" i="33" l="1"/>
  <c r="G43" i="27"/>
  <c r="J67" i="40"/>
  <c r="G67" i="37"/>
  <c r="G30" i="40"/>
  <c r="G26" i="37"/>
  <c r="G32" i="40"/>
  <c r="G54" i="40"/>
  <c r="G62" i="40"/>
  <c r="J64" i="40"/>
  <c r="G68" i="40"/>
  <c r="G63" i="40"/>
  <c r="J66" i="40"/>
  <c r="G50" i="40"/>
  <c r="G27" i="40"/>
  <c r="G55" i="40"/>
  <c r="J27" i="37"/>
  <c r="J30" i="37"/>
  <c r="G53" i="40"/>
  <c r="J41" i="40"/>
  <c r="G32" i="37"/>
  <c r="G42" i="37"/>
  <c r="G43" i="40"/>
  <c r="G52" i="40"/>
  <c r="G65" i="40"/>
  <c r="G29" i="40"/>
  <c r="G51" i="40"/>
  <c r="G44" i="37"/>
  <c r="J42" i="40"/>
  <c r="G40" i="40"/>
  <c r="G56" i="40"/>
  <c r="J29" i="37"/>
  <c r="G50" i="37"/>
  <c r="J31" i="37"/>
  <c r="G31" i="40"/>
  <c r="J39" i="40"/>
  <c r="J39" i="33"/>
  <c r="G44" i="40"/>
  <c r="J38" i="40"/>
  <c r="G28" i="40"/>
  <c r="J51" i="37"/>
  <c r="J62" i="37"/>
  <c r="G28" i="37"/>
  <c r="G41" i="37"/>
  <c r="G43" i="37"/>
  <c r="G56" i="37"/>
  <c r="G38" i="33"/>
  <c r="J43" i="35"/>
  <c r="J40" i="37"/>
  <c r="J44" i="33"/>
  <c r="J66" i="37"/>
  <c r="G40" i="27"/>
  <c r="J52" i="37"/>
  <c r="G43" i="33"/>
  <c r="G55" i="37"/>
  <c r="J53" i="37"/>
  <c r="G41" i="33"/>
  <c r="G54" i="37"/>
  <c r="J68" i="37"/>
  <c r="J26" i="40"/>
  <c r="J42" i="33"/>
  <c r="G63" i="37"/>
  <c r="G38" i="27"/>
  <c r="J41" i="27"/>
  <c r="G44" i="35"/>
  <c r="J38" i="35"/>
  <c r="G42" i="35"/>
  <c r="J42" i="27"/>
  <c r="J44" i="27"/>
  <c r="G39" i="27"/>
  <c r="G41" i="35"/>
  <c r="J65" i="37"/>
  <c r="G38" i="37"/>
  <c r="G39" i="37"/>
  <c r="G64" i="37"/>
  <c r="G39" i="35"/>
  <c r="G40" i="35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AW2" i="20" s="1" a="1"/>
  <c r="AW2" i="20" s="1"/>
  <c r="AZ2" i="20" s="1" a="1"/>
  <c r="AZ2" i="20" s="1"/>
  <c r="E5" i="20"/>
  <c r="AC60" i="20"/>
  <c r="AC68" i="20"/>
  <c r="AC49" i="20"/>
  <c r="AC40" i="20"/>
  <c r="AC43" i="20"/>
  <c r="AC28" i="20"/>
  <c r="AC13" i="20"/>
  <c r="AC63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M15" i="20" s="1"/>
  <c r="AN12" i="20" l="1"/>
  <c r="AM28" i="20"/>
  <c r="AC67" i="20"/>
  <c r="AC50" i="20"/>
  <c r="AC11" i="20"/>
  <c r="AC59" i="20"/>
  <c r="AC31" i="20"/>
  <c r="AC61" i="20"/>
  <c r="AC42" i="20"/>
  <c r="AC10" i="20"/>
  <c r="AC51" i="20"/>
  <c r="AC27" i="20"/>
  <c r="AC32" i="20"/>
  <c r="AC46" i="20"/>
  <c r="AC71" i="20"/>
  <c r="AC15" i="20"/>
  <c r="AD32" i="20"/>
  <c r="H13" i="33"/>
  <c r="I17" i="33"/>
  <c r="I16" i="33"/>
  <c r="I14" i="33"/>
  <c r="I15" i="33"/>
  <c r="I20" i="33"/>
  <c r="I18" i="33"/>
  <c r="I19" i="33"/>
  <c r="H13" i="35"/>
  <c r="I16" i="35"/>
  <c r="I20" i="35"/>
  <c r="I17" i="35"/>
  <c r="I18" i="35"/>
  <c r="I19" i="35"/>
  <c r="I14" i="35"/>
  <c r="I15" i="35"/>
  <c r="H13" i="37"/>
  <c r="I16" i="37"/>
  <c r="I15" i="37"/>
  <c r="I20" i="37"/>
  <c r="I19" i="37"/>
  <c r="I18" i="37"/>
  <c r="I14" i="37"/>
  <c r="I17" i="37"/>
  <c r="H13" i="40"/>
  <c r="I15" i="40"/>
  <c r="I16" i="40"/>
  <c r="I20" i="40"/>
  <c r="I17" i="40"/>
  <c r="I14" i="40"/>
  <c r="I18" i="40"/>
  <c r="I19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66" i="20"/>
  <c r="AC23" i="20"/>
  <c r="AC52" i="20"/>
  <c r="AC33" i="20"/>
  <c r="AC6" i="20"/>
  <c r="AC72" i="20"/>
  <c r="AM33" i="20"/>
  <c r="AM16" i="20"/>
  <c r="AD16" i="20"/>
  <c r="AD48" i="20"/>
  <c r="AN16" i="20"/>
  <c r="AN48" i="20"/>
  <c r="AD6" i="20"/>
  <c r="H25" i="35" a="1"/>
  <c r="I13" i="35"/>
  <c r="H25" i="40" a="1"/>
  <c r="I13" i="40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AW67" i="20"/>
  <c r="AC87" i="20"/>
  <c r="AN100" i="20"/>
  <c r="AM49" i="20"/>
  <c r="AM77" i="20"/>
  <c r="AX100" i="20"/>
  <c r="AN32" i="20"/>
  <c r="AM23" i="20"/>
  <c r="AM87" i="20"/>
  <c r="AW23" i="20"/>
  <c r="AW87" i="20"/>
  <c r="AX32" i="20"/>
  <c r="AD100" i="20"/>
  <c r="AC77" i="20"/>
  <c r="AW33" i="20"/>
  <c r="AM27" i="20"/>
  <c r="E8" i="20"/>
  <c r="AW77" i="20" s="1"/>
  <c r="AW27" i="20" l="1"/>
  <c r="BG7" i="20"/>
  <c r="AW49" i="20"/>
  <c r="AW7" i="20"/>
  <c r="AM7" i="20"/>
  <c r="AC65" i="20"/>
  <c r="AC17" i="20"/>
  <c r="AC22" i="20"/>
  <c r="AC7" i="20"/>
  <c r="AC73" i="20"/>
  <c r="AC45" i="20"/>
  <c r="AC53" i="20"/>
  <c r="AC34" i="20"/>
  <c r="AC82" i="20"/>
  <c r="AM79" i="20"/>
  <c r="AM82" i="20"/>
  <c r="AN82" i="20"/>
  <c r="AD82" i="20"/>
  <c r="AM17" i="20"/>
  <c r="AD22" i="20"/>
  <c r="BG53" i="20"/>
  <c r="AM53" i="20"/>
  <c r="AM22" i="20"/>
  <c r="BG73" i="20"/>
  <c r="AN22" i="20"/>
  <c r="H25" i="37"/>
  <c r="I32" i="37"/>
  <c r="I26" i="37"/>
  <c r="I28" i="37"/>
  <c r="I27" i="37"/>
  <c r="I29" i="37"/>
  <c r="I31" i="37"/>
  <c r="I30" i="37"/>
  <c r="H25" i="33"/>
  <c r="I31" i="33"/>
  <c r="I32" i="33"/>
  <c r="I26" i="33"/>
  <c r="I29" i="33"/>
  <c r="I27" i="33"/>
  <c r="I28" i="33"/>
  <c r="I30" i="33"/>
  <c r="H25" i="40"/>
  <c r="I27" i="40"/>
  <c r="I26" i="40"/>
  <c r="I28" i="40"/>
  <c r="I32" i="40"/>
  <c r="I30" i="40"/>
  <c r="I29" i="40"/>
  <c r="I31" i="40"/>
  <c r="H25" i="35"/>
  <c r="I30" i="35"/>
  <c r="I27" i="35"/>
  <c r="I26" i="35"/>
  <c r="I29" i="35"/>
  <c r="I28" i="35"/>
  <c r="I32" i="35"/>
  <c r="I31" i="35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35" i="20" l="1"/>
  <c r="AC44" i="20"/>
  <c r="AC26" i="20"/>
  <c r="AC54" i="20"/>
  <c r="AC18" i="20"/>
  <c r="AC74" i="20"/>
  <c r="AC64" i="20"/>
  <c r="AC9" i="20"/>
  <c r="AD44" i="20"/>
  <c r="AM64" i="20"/>
  <c r="AN44" i="20"/>
  <c r="AD64" i="20"/>
  <c r="AN64" i="20"/>
  <c r="AM44" i="20"/>
  <c r="AN74" i="20"/>
  <c r="AM85" i="20"/>
  <c r="AM35" i="20"/>
  <c r="AD74" i="20"/>
  <c r="AX18" i="20"/>
  <c r="BH44" i="20"/>
  <c r="AN18" i="20"/>
  <c r="AD18" i="20"/>
  <c r="AW44" i="20"/>
  <c r="AW15" i="20"/>
  <c r="BH18" i="20"/>
  <c r="AX44" i="20"/>
  <c r="BG44" i="20"/>
  <c r="H37" i="33" a="1"/>
  <c r="I25" i="33"/>
  <c r="H37" i="35" a="1"/>
  <c r="I25" i="35"/>
  <c r="H37" i="40" a="1"/>
  <c r="I25" i="40"/>
  <c r="H37" i="37" a="1"/>
  <c r="I25" i="37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75" i="20"/>
  <c r="AC55" i="20"/>
  <c r="AC19" i="20"/>
  <c r="AC8" i="20"/>
  <c r="AM8" i="20"/>
  <c r="AN8" i="20"/>
  <c r="AM19" i="20"/>
  <c r="AD8" i="20"/>
  <c r="AM75" i="20"/>
  <c r="BG81" i="20"/>
  <c r="AX36" i="20"/>
  <c r="AM36" i="20"/>
  <c r="AN36" i="20"/>
  <c r="AD36" i="20"/>
  <c r="BH36" i="20"/>
  <c r="AW36" i="20"/>
  <c r="BG36" i="20"/>
  <c r="AW19" i="20"/>
  <c r="AW75" i="20"/>
  <c r="AW25" i="20"/>
  <c r="BG75" i="20"/>
  <c r="AM25" i="20"/>
  <c r="AX8" i="20"/>
  <c r="BG8" i="20"/>
  <c r="BG19" i="20"/>
  <c r="AW8" i="20"/>
  <c r="BG25" i="20"/>
  <c r="BH8" i="20"/>
  <c r="AW59" i="20"/>
  <c r="AW40" i="20"/>
  <c r="H37" i="37"/>
  <c r="I38" i="37"/>
  <c r="I44" i="37"/>
  <c r="I39" i="37"/>
  <c r="I43" i="37"/>
  <c r="I41" i="37"/>
  <c r="I42" i="37"/>
  <c r="I40" i="37"/>
  <c r="H37" i="40"/>
  <c r="I43" i="40"/>
  <c r="I44" i="40"/>
  <c r="I38" i="40"/>
  <c r="I41" i="40"/>
  <c r="I42" i="40"/>
  <c r="I39" i="40"/>
  <c r="I40" i="40"/>
  <c r="H37" i="35"/>
  <c r="I40" i="35"/>
  <c r="I44" i="35"/>
  <c r="I42" i="35"/>
  <c r="I39" i="35"/>
  <c r="I41" i="35"/>
  <c r="I38" i="35"/>
  <c r="I43" i="35"/>
  <c r="H37" i="33"/>
  <c r="I38" i="33"/>
  <c r="I44" i="33"/>
  <c r="I39" i="33"/>
  <c r="I42" i="33"/>
  <c r="I40" i="33"/>
  <c r="I41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W5" i="20" s="1"/>
  <c r="AD20" i="20" l="1"/>
  <c r="AW20" i="20"/>
  <c r="AN20" i="20"/>
  <c r="AM20" i="20"/>
  <c r="BH20" i="20"/>
  <c r="BG37" i="20"/>
  <c r="AW37" i="20"/>
  <c r="AX20" i="20"/>
  <c r="AM37" i="20"/>
  <c r="AC56" i="20"/>
  <c r="AC20" i="20"/>
  <c r="AC5" i="20"/>
  <c r="AC37" i="20"/>
  <c r="AC24" i="20"/>
  <c r="AX24" i="20"/>
  <c r="AN24" i="20"/>
  <c r="AM5" i="20"/>
  <c r="AD24" i="20"/>
  <c r="AM24" i="20"/>
  <c r="BG5" i="20"/>
  <c r="AM80" i="20"/>
  <c r="AD80" i="20"/>
  <c r="AN80" i="20"/>
  <c r="BH80" i="20"/>
  <c r="AC80" i="20"/>
  <c r="AW80" i="20"/>
  <c r="AX80" i="20"/>
  <c r="BG80" i="20"/>
  <c r="BG20" i="20"/>
  <c r="H49" i="33" a="1"/>
  <c r="I37" i="33"/>
  <c r="H49" i="40" a="1"/>
  <c r="I37" i="40"/>
  <c r="H49" i="37" a="1"/>
  <c r="I37" i="37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21" i="20" l="1"/>
  <c r="AC57" i="20"/>
  <c r="AC39" i="20"/>
  <c r="AC4" i="20"/>
  <c r="AW57" i="20"/>
  <c r="AM57" i="20"/>
  <c r="BG57" i="20"/>
  <c r="BH4" i="20"/>
  <c r="H49" i="35"/>
  <c r="I53" i="35"/>
  <c r="I54" i="35"/>
  <c r="I55" i="35"/>
  <c r="I52" i="35"/>
  <c r="I51" i="35"/>
  <c r="I56" i="35"/>
  <c r="I50" i="35"/>
  <c r="H49" i="37"/>
  <c r="I56" i="37"/>
  <c r="I55" i="37"/>
  <c r="I54" i="37"/>
  <c r="I51" i="37"/>
  <c r="I50" i="37"/>
  <c r="I52" i="37"/>
  <c r="I53" i="37"/>
  <c r="H49" i="40"/>
  <c r="I50" i="40"/>
  <c r="I56" i="40"/>
  <c r="I54" i="40"/>
  <c r="I55" i="40"/>
  <c r="I52" i="40"/>
  <c r="I51" i="40"/>
  <c r="I53" i="40"/>
  <c r="H49" i="33"/>
  <c r="I54" i="33"/>
  <c r="I56" i="33"/>
  <c r="I52" i="33"/>
  <c r="I53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38" i="20" l="1"/>
  <c r="AC58" i="20"/>
  <c r="AC3" i="20"/>
  <c r="AM3" i="20"/>
  <c r="AD38" i="20"/>
  <c r="AM38" i="20"/>
  <c r="AN38" i="20"/>
  <c r="BG3" i="20"/>
  <c r="AW3" i="20"/>
  <c r="AM58" i="20"/>
  <c r="BH58" i="20"/>
  <c r="AD58" i="20"/>
  <c r="AX58" i="20"/>
  <c r="AN58" i="20"/>
  <c r="BH38" i="20"/>
  <c r="BG58" i="20"/>
  <c r="AX38" i="20"/>
  <c r="AW58" i="20"/>
  <c r="H61" i="33" a="1"/>
  <c r="I49" i="33"/>
  <c r="H61" i="37" a="1"/>
  <c r="I49" i="37"/>
  <c r="H61" i="40" a="1"/>
  <c r="I49" i="40"/>
  <c r="H61" i="35" a="1"/>
  <c r="I49" i="35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12" i="20" l="1"/>
  <c r="AC29" i="20"/>
  <c r="AC48" i="20"/>
  <c r="AC69" i="20"/>
  <c r="AM12" i="20"/>
  <c r="AM48" i="20"/>
  <c r="AM69" i="20"/>
  <c r="AM29" i="20"/>
  <c r="BG48" i="20"/>
  <c r="AW48" i="20"/>
  <c r="AW69" i="20"/>
  <c r="BG69" i="20"/>
  <c r="AW12" i="20"/>
  <c r="BG12" i="20"/>
  <c r="H61" i="40"/>
  <c r="I61" i="40" s="1"/>
  <c r="I68" i="40"/>
  <c r="I62" i="40"/>
  <c r="I63" i="40"/>
  <c r="I64" i="40"/>
  <c r="I67" i="40"/>
  <c r="I65" i="40"/>
  <c r="I66" i="40"/>
  <c r="H61" i="35"/>
  <c r="I61" i="35" s="1"/>
  <c r="I68" i="35"/>
  <c r="I64" i="35"/>
  <c r="I67" i="35"/>
  <c r="I66" i="35"/>
  <c r="I65" i="35"/>
  <c r="I62" i="35"/>
  <c r="I63" i="35"/>
  <c r="H61" i="37"/>
  <c r="I61" i="37" s="1"/>
  <c r="I67" i="37"/>
  <c r="I63" i="37"/>
  <c r="I64" i="37"/>
  <c r="I68" i="37"/>
  <c r="I62" i="37"/>
  <c r="I66" i="37"/>
  <c r="I65" i="37"/>
  <c r="H61" i="33"/>
  <c r="I61" i="33" s="1"/>
  <c r="I66" i="33"/>
  <c r="I64" i="33"/>
  <c r="I65" i="33"/>
  <c r="I63" i="33"/>
  <c r="I62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3" l="1"/>
  <c r="I2" i="33" s="1"/>
  <c r="I1" i="35"/>
  <c r="I2" i="35" s="1"/>
  <c r="I1" i="37"/>
  <c r="I1" i="40"/>
  <c r="I1" i="27"/>
  <c r="I1" i="26"/>
  <c r="I1" i="24"/>
  <c r="AD57" i="20"/>
  <c r="E16" i="20"/>
  <c r="BH47" i="20" s="1"/>
  <c r="AD83" i="20" l="1"/>
  <c r="M23" i="40"/>
  <c r="M21" i="40"/>
  <c r="M22" i="40"/>
  <c r="M25" i="40"/>
  <c r="M24" i="40"/>
  <c r="M23" i="37"/>
  <c r="M24" i="37"/>
  <c r="M22" i="37"/>
  <c r="M25" i="37"/>
  <c r="M21" i="37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O21" i="37" l="1" a="1"/>
  <c r="O21" i="37" s="1"/>
  <c r="I2" i="37" s="1"/>
  <c r="AD61" i="20"/>
  <c r="AN61" i="20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47" i="20"/>
  <c r="AX70" i="20"/>
  <c r="AD33" i="20"/>
  <c r="AN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X27" i="20" s="1"/>
  <c r="BH7" i="20" l="1"/>
  <c r="AN7" i="20"/>
  <c r="AD7" i="20"/>
  <c r="AX49" i="20"/>
  <c r="AX7" i="20"/>
  <c r="AX77" i="20"/>
  <c r="AX29" i="20"/>
  <c r="AX42" i="20"/>
  <c r="AD53" i="20"/>
  <c r="AN79" i="20"/>
  <c r="BH73" i="20"/>
  <c r="AN53" i="20"/>
  <c r="BH53" i="20"/>
  <c r="AD17" i="20"/>
  <c r="AN1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D73" i="20"/>
  <c r="AD97" i="20"/>
  <c r="AD9" i="20"/>
  <c r="AN9" i="20"/>
  <c r="AN73" i="20"/>
  <c r="AN97" i="20"/>
  <c r="AX9" i="20"/>
  <c r="AX73" i="20"/>
  <c r="AX89" i="20"/>
  <c r="AX97" i="20"/>
  <c r="E22" i="20"/>
  <c r="AX59" i="20" s="1"/>
  <c r="AX40" i="20" l="1"/>
  <c r="AD19" i="20"/>
  <c r="AN81" i="20"/>
  <c r="AN19" i="20"/>
  <c r="AD81" i="20"/>
  <c r="BH81" i="20"/>
  <c r="AX19" i="20"/>
  <c r="BH19" i="20"/>
  <c r="AX81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D5" i="20" l="1"/>
  <c r="AN5" i="20"/>
  <c r="BH5" i="20"/>
  <c r="AD37" i="20"/>
  <c r="AX37" i="20"/>
  <c r="BH37" i="20"/>
  <c r="AX5" i="20"/>
  <c r="BH69" i="20"/>
  <c r="BH13" i="20"/>
  <c r="BH46" i="20"/>
  <c r="BH43" i="20"/>
  <c r="AN43" i="20"/>
  <c r="AD46" i="20"/>
  <c r="AX43" i="20"/>
  <c r="AN46" i="20"/>
  <c r="AX13" i="20"/>
  <c r="AX69" i="20"/>
  <c r="AD43" i="20"/>
  <c r="AX46" i="20"/>
  <c r="E24" i="20"/>
  <c r="AD21" i="20" s="1"/>
  <c r="AN21" i="20" l="1"/>
  <c r="BH65" i="20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Q134" i="28" a="1"/>
  <c r="Q134" i="28" s="1"/>
  <c r="O64" i="28" l="1" a="1"/>
  <c r="O64" i="28" s="1"/>
  <c r="O62" i="28"/>
  <c r="O2" i="28" l="1"/>
  <c r="Q2" i="28" s="1"/>
  <c r="O21" i="27" l="1" a="1"/>
  <c r="O21" i="27" s="1"/>
  <c r="I2" i="27" s="1"/>
  <c r="D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<sst xmlns="http://schemas.openxmlformats.org/spreadsheetml/2006/main" count="12319" uniqueCount="296">
  <si>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</si>
  <si>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</si>
  <si>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</si>
  <si>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</si>
  <si>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</si>
  <si>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</si>
  <si>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</si>
  <si>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</si>
  <si>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</si>
  <si>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</si>
  <si>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</si>
  <si>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</si>
  <si>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</si>
  <si>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</si>
  <si>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</si>
  <si>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</si>
  <si>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</si>
  <si>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</si>
  <si>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</si>
  <si>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</si>
  <si>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</si>
  <si>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</si>
  <si>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</si>
  <si>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</si>
  <si>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</si>
  <si>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</si>
  <si>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</si>
  <si>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</si>
  <si>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</si>
  <si>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</si>
  <si>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</si>
  <si>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</si>
  <si>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</si>
  <si>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</si>
  <si>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</si>
  <si>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</si>
  <si>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</si>
  <si>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</si>
  <si>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</si>
  <si>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</si>
  <si>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</si>
  <si>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</si>
  <si>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</si>
  <si>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</si>
  <si>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</si>
  <si>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</si>
  <si>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</si>
  <si>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</si>
  <si>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</si>
  <si>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</si>
  <si>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</si>
  <si>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</si>
  <si>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</si>
  <si>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</si>
  <si>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</si>
  <si>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</si>
  <si>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</si>
  <si>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</si>
  <si>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</si>
  <si>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</si>
  <si>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</si>
  <si>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</si>
  <si>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</si>
  <si>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</si>
  <si>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</si>
  <si>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</si>
  <si>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</si>
  <si>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</si>
  <si>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</si>
  <si>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</si>
  <si>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</si>
  <si>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</si>
  <si>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</si>
  <si>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</si>
  <si>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</si>
  <si>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</si>
  <si>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</si>
  <si>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</si>
  <si>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</si>
  <si>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</si>
  <si>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</si>
  <si>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</si>
  <si>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</si>
  <si>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</si>
  <si>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</si>
  <si>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</si>
  <si>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</si>
  <si>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</si>
  <si>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</si>
  <si>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</si>
  <si>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</si>
  <si>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</si>
  <si>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</si>
  <si>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</si>
  <si>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</si>
  <si>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</si>
  <si>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</si>
  <si>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</si>
  <si>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</si>
  <si>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</si>
  <si>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</si>
  <si>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</si>
  <si>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</si>
  <si>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</si>
  <si>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</si>
  <si>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</si>
  <si>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</si>
  <si>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</si>
  <si>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</si>
  <si>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</si>
  <si>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</si>
  <si>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</si>
  <si>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</si>
  <si>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</si>
  <si>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</si>
  <si>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</si>
  <si>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</si>
  <si>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</si>
  <si>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</si>
  <si>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</si>
  <si>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</si>
  <si>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</si>
  <si>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</si>
  <si>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</si>
  <si>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</si>
  <si>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</si>
  <si>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</si>
  <si>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</si>
  <si>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</si>
  <si>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</si>
  <si>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</si>
  <si>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</si>
  <si>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</si>
  <si>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</si>
  <si>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</si>
  <si>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</si>
  <si>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</si>
  <si>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</si>
  <si>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</si>
  <si>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</si>
  <si>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</si>
  <si>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</si>
  <si>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</si>
  <si>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</si>
  <si>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</si>
  <si>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</si>
  <si>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</si>
  <si>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</si>
  <si>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</si>
  <si>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</si>
  <si>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</si>
  <si>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</si>
  <si>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</si>
  <si>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</si>
  <si>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</si>
  <si>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</si>
  <si>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</si>
  <si>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</si>
  <si>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</si>
  <si>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</si>
  <si>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</si>
  <si>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</si>
  <si>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</si>
  <si>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</si>
  <si>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</si>
  <si>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</si>
  <si>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</si>
  <si>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</si>
  <si>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</si>
  <si>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</si>
  <si>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</si>
  <si>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</si>
  <si>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</si>
  <si>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</si>
  <si>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</si>
  <si>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</si>
  <si>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</si>
  <si>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</si>
  <si>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</si>
  <si>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</si>
  <si>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</si>
  <si>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</si>
  <si>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</si>
  <si>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</si>
  <si>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</si>
  <si>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</si>
  <si>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</si>
  <si>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</si>
  <si>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</si>
  <si>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</si>
  <si>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</si>
  <si>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</si>
  <si>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</si>
  <si>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</si>
  <si>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</si>
  <si>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</si>
  <si>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</si>
  <si>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</si>
  <si>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</si>
  <si>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</si>
  <si>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</si>
  <si>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</si>
  <si>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</si>
  <si>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</si>
  <si>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</si>
  <si>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</si>
  <si>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</si>
  <si>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</si>
  <si>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</si>
  <si>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</si>
  <si>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</si>
  <si>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</si>
  <si>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</si>
  <si>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</si>
  <si>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</si>
  <si>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</si>
  <si>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</si>
  <si>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</si>
  <si>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</si>
  <si>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</si>
  <si>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</si>
  <si>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</si>
  <si>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</si>
  <si>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</si>
  <si>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</si>
  <si>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</si>
  <si>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</si>
  <si>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</si>
  <si>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</si>
  <si>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</si>
  <si>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</si>
  <si>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</si>
  <si>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</si>
  <si>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</si>
  <si>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</si>
  <si>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</si>
  <si>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</si>
  <si>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</si>
  <si>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</si>
  <si>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</si>
  <si>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</si>
  <si>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</si>
  <si>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</si>
  <si>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</si>
  <si>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</si>
  <si>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</si>
  <si>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</si>
  <si>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</si>
  <si>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</si>
  <si>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</si>
  <si>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</si>
  <si>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</si>
  <si>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</si>
  <si>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</si>
  <si>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</si>
  <si>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</si>
  <si>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</si>
  <si>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</si>
  <si>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</si>
  <si>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</si>
  <si>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</si>
  <si>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</si>
  <si>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</si>
  <si>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</si>
  <si>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</si>
  <si>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</si>
  <si>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</si>
  <si>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</si>
  <si>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</si>
  <si>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</si>
  <si>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H020192</t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</si>
  <si>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</si>
  <si>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</si>
  <si>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</si>
  <si>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</si>
  <si>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</si>
  <si>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</si>
  <si>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</si>
  <si>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</si>
  <si>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</si>
  <si>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</si>
  <si>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</si>
  <si>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</si>
  <si>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</si>
  <si>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</si>
  <si>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</si>
  <si>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</si>
  <si>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</si>
  <si>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</si>
  <si>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</si>
  <si>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</si>
  <si>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</si>
  <si>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</si>
  <si>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</si>
  <si>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</si>
  <si>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2.1.0.0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</si>
</sst>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1.1358010999999999E-2</c:v>
                </c:pt>
                <c:pt idx="1">
                  <c:v>1.5758784000000001E-2</c:v>
                </c:pt>
                <c:pt idx="2">
                  <c:v>1.1176152E-2</c:v>
                </c:pt>
                <c:pt idx="3">
                  <c:v>1.1879479E-2</c:v>
                </c:pt>
                <c:pt idx="4">
                  <c:v>9.6894760000000007E-3</c:v>
                </c:pt>
                <c:pt idx="5">
                  <c:v>7.734332E-3</c:v>
                </c:pt>
                <c:pt idx="6">
                  <c:v>1.879386E-3</c:v>
                </c:pt>
                <c:pt idx="7">
                  <c:v>8.0692980000000008E-3</c:v>
                </c:pt>
                <c:pt idx="8">
                  <c:v>2.9522860000000001E-3</c:v>
                </c:pt>
                <c:pt idx="9">
                  <c:v>5.9389999999999998E-3</c:v>
                </c:pt>
                <c:pt idx="10">
                  <c:v>9.4590530000000003E-3</c:v>
                </c:pt>
                <c:pt idx="11">
                  <c:v>5.6148279999999997E-3</c:v>
                </c:pt>
                <c:pt idx="12">
                  <c:v>2.3533299999999998E-3</c:v>
                </c:pt>
                <c:pt idx="13">
                  <c:v>2.039693E-3</c:v>
                </c:pt>
                <c:pt idx="14">
                  <c:v>3.8972900000000001E-4</c:v>
                </c:pt>
                <c:pt idx="15">
                  <c:v>9.09277E-4</c:v>
                </c:pt>
                <c:pt idx="16">
                  <c:v>2.1116900000000001E-4</c:v>
                </c:pt>
                <c:pt idx="17">
                  <c:v>1.0557159999999999E-3</c:v>
                </c:pt>
                <c:pt idx="18">
                  <c:v>4.11588E-4</c:v>
                </c:pt>
                <c:pt idx="19">
                  <c:v>4.2311999999999997E-5</c:v>
                </c:pt>
                <c:pt idx="20">
                  <c:v>1.81366E-4</c:v>
                </c:pt>
                <c:pt idx="21">
                  <c:v>6.9781000000000002E-5</c:v>
                </c:pt>
                <c:pt idx="22">
                  <c:v>1.3161600000000001E-4</c:v>
                </c:pt>
                <c:pt idx="23">
                  <c:v>8.2987999999999999E-5</c:v>
                </c:pt>
                <c:pt idx="24">
                  <c:v>2.0106999999999999E-5</c:v>
                </c:pt>
                <c:pt idx="25">
                  <c:v>1.3533000000000001E-5</c:v>
                </c:pt>
                <c:pt idx="26">
                  <c:v>1.2058999999999999E-5</c:v>
                </c:pt>
                <c:pt idx="27">
                  <c:v>5.3539999999999999E-6</c:v>
                </c:pt>
                <c:pt idx="28">
                  <c:v>5.694E-6</c:v>
                </c:pt>
                <c:pt idx="29">
                  <c:v>6.6899999999999997E-7</c:v>
                </c:pt>
                <c:pt idx="30">
                  <c:v>3.3500000000000002E-7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6.2999999999999995E-8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2.0800000000000001E-7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3.9027430000000002E-3</c:v>
                </c:pt>
                <c:pt idx="1">
                  <c:v>1.1300650000000001E-2</c:v>
                </c:pt>
                <c:pt idx="2">
                  <c:v>5.7834699999999998E-3</c:v>
                </c:pt>
                <c:pt idx="3">
                  <c:v>1.0662885E-2</c:v>
                </c:pt>
                <c:pt idx="4">
                  <c:v>9.9488730000000004E-3</c:v>
                </c:pt>
                <c:pt idx="5">
                  <c:v>8.7894219999999999E-3</c:v>
                </c:pt>
                <c:pt idx="6">
                  <c:v>2.0056230000000002E-3</c:v>
                </c:pt>
                <c:pt idx="7">
                  <c:v>9.1413180000000007E-3</c:v>
                </c:pt>
                <c:pt idx="8">
                  <c:v>3.4515140000000001E-3</c:v>
                </c:pt>
                <c:pt idx="9">
                  <c:v>8.0289449999999991E-3</c:v>
                </c:pt>
                <c:pt idx="10">
                  <c:v>1.4003487E-2</c:v>
                </c:pt>
                <c:pt idx="11">
                  <c:v>8.8142819999999997E-3</c:v>
                </c:pt>
                <c:pt idx="12">
                  <c:v>4.9201679999999999E-3</c:v>
                </c:pt>
                <c:pt idx="13">
                  <c:v>3.2788100000000001E-3</c:v>
                </c:pt>
                <c:pt idx="14">
                  <c:v>5.8870700000000005E-4</c:v>
                </c:pt>
                <c:pt idx="15">
                  <c:v>1.9760239999999998E-3</c:v>
                </c:pt>
                <c:pt idx="16">
                  <c:v>6.7487299999999999E-4</c:v>
                </c:pt>
                <c:pt idx="17">
                  <c:v>9.8511999999999992E-4</c:v>
                </c:pt>
                <c:pt idx="18">
                  <c:v>9.5062900000000004E-4</c:v>
                </c:pt>
                <c:pt idx="19">
                  <c:v>1.09596E-4</c:v>
                </c:pt>
                <c:pt idx="20">
                  <c:v>3.6267100000000001E-4</c:v>
                </c:pt>
                <c:pt idx="21">
                  <c:v>2.1134300000000001E-4</c:v>
                </c:pt>
                <c:pt idx="22">
                  <c:v>3.5467499999999999E-4</c:v>
                </c:pt>
                <c:pt idx="23">
                  <c:v>1.81631E-4</c:v>
                </c:pt>
                <c:pt idx="24">
                  <c:v>4.1556E-5</c:v>
                </c:pt>
                <c:pt idx="25">
                  <c:v>1.3445800000000001E-4</c:v>
                </c:pt>
                <c:pt idx="26">
                  <c:v>3.2780000000000001E-5</c:v>
                </c:pt>
                <c:pt idx="27">
                  <c:v>4.0414999999999998E-5</c:v>
                </c:pt>
                <c:pt idx="28">
                  <c:v>5.5682E-5</c:v>
                </c:pt>
                <c:pt idx="29">
                  <c:v>2.1821E-5</c:v>
                </c:pt>
                <c:pt idx="30">
                  <c:v>2.1780000000000002E-6</c:v>
                </c:pt>
                <c:pt idx="31">
                  <c:v>1.0869999999999999E-6</c:v>
                </c:pt>
                <c:pt idx="32">
                  <c:v>5.446E-6</c:v>
                </c:pt>
                <c:pt idx="33">
                  <c:v>1.5247E-5</c:v>
                </c:pt>
                <c:pt idx="34">
                  <c:v>4.3529999999999997E-6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9.3399999999999997E-7</c:v>
                </c:pt>
                <c:pt idx="45">
                  <c:v>4.1600000000000002E-7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3.2436720000000002E-2</c:v>
                      </c:pt>
                      <c:pt idx="8">
                        <c:v>0</c:v>
                      </c:pt>
                      <c:pt idx="9">
                        <c:v>2.4441494000000001E-2</c:v>
                      </c:pt>
                      <c:pt idx="10">
                        <c:v>3.9009639999999998E-3</c:v>
                      </c:pt>
                      <c:pt idx="11">
                        <c:v>1.3400396E-2</c:v>
                      </c:pt>
                      <c:pt idx="12">
                        <c:v>8.4404969999999999E-3</c:v>
                      </c:pt>
                      <c:pt idx="13">
                        <c:v>6.695098E-3</c:v>
                      </c:pt>
                      <c:pt idx="14">
                        <c:v>4.4810589999999999E-3</c:v>
                      </c:pt>
                      <c:pt idx="15">
                        <c:v>3.926166E-3</c:v>
                      </c:pt>
                      <c:pt idx="16">
                        <c:v>8.3401080000000006E-3</c:v>
                      </c:pt>
                      <c:pt idx="17">
                        <c:v>2.8434319999999999E-3</c:v>
                      </c:pt>
                      <c:pt idx="18">
                        <c:v>2.9521069999999998E-3</c:v>
                      </c:pt>
                      <c:pt idx="19">
                        <c:v>8.0808200000000001E-4</c:v>
                      </c:pt>
                      <c:pt idx="20">
                        <c:v>1.5095169999999999E-3</c:v>
                      </c:pt>
                      <c:pt idx="21">
                        <c:v>1.418297E-2</c:v>
                      </c:pt>
                      <c:pt idx="22">
                        <c:v>2.1359819999999998E-3</c:v>
                      </c:pt>
                      <c:pt idx="23">
                        <c:v>5.86376E-4</c:v>
                      </c:pt>
                      <c:pt idx="24">
                        <c:v>8.3212000000000002E-5</c:v>
                      </c:pt>
                      <c:pt idx="25">
                        <c:v>1.46284E-4</c:v>
                      </c:pt>
                      <c:pt idx="26">
                        <c:v>4.8672180000000004E-3</c:v>
                      </c:pt>
                      <c:pt idx="27">
                        <c:v>7.7570000000000004E-5</c:v>
                      </c:pt>
                      <c:pt idx="28">
                        <c:v>3.0003000000000001E-5</c:v>
                      </c:pt>
                      <c:pt idx="29">
                        <c:v>2.0815009999999999E-3</c:v>
                      </c:pt>
                      <c:pt idx="30">
                        <c:v>6.2393699999999997E-4</c:v>
                      </c:pt>
                      <c:pt idx="31">
                        <c:v>0</c:v>
                      </c:pt>
                      <c:pt idx="32">
                        <c:v>8.0972200000000002E-4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2.77502E-4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9.3333999999999998E-5</c:v>
                      </c:pt>
                      <c:pt idx="46">
                        <c:v>0</c:v>
                      </c:pt>
                      <c:pt idx="47">
                        <c:v>5.8517000000000002E-5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9.2582427999999994E-2</c:v>
                      </c:pt>
                      <c:pt idx="19">
                        <c:v>7.2278590000000004E-2</c:v>
                      </c:pt>
                      <c:pt idx="20">
                        <c:v>6.2011653E-2</c:v>
                      </c:pt>
                      <c:pt idx="21">
                        <c:v>7.4825468000000006E-2</c:v>
                      </c:pt>
                      <c:pt idx="22">
                        <c:v>0.13759199899999999</c:v>
                      </c:pt>
                      <c:pt idx="23">
                        <c:v>0.15113370800000001</c:v>
                      </c:pt>
                      <c:pt idx="24">
                        <c:v>7.9065117000000004E-2</c:v>
                      </c:pt>
                      <c:pt idx="25">
                        <c:v>3.5844607000000001E-2</c:v>
                      </c:pt>
                      <c:pt idx="26">
                        <c:v>2.0331472999999999E-2</c:v>
                      </c:pt>
                      <c:pt idx="27">
                        <c:v>2.9684537E-2</c:v>
                      </c:pt>
                      <c:pt idx="28">
                        <c:v>1.2491578E-2</c:v>
                      </c:pt>
                      <c:pt idx="29">
                        <c:v>7.1850743999999994E-2</c:v>
                      </c:pt>
                      <c:pt idx="30">
                        <c:v>1.0721110000000001E-2</c:v>
                      </c:pt>
                      <c:pt idx="31">
                        <c:v>1.2204847E-2</c:v>
                      </c:pt>
                      <c:pt idx="32">
                        <c:v>9.4560170000000006E-3</c:v>
                      </c:pt>
                      <c:pt idx="33">
                        <c:v>1.170771E-2</c:v>
                      </c:pt>
                      <c:pt idx="34">
                        <c:v>3.3606181999999998E-2</c:v>
                      </c:pt>
                      <c:pt idx="35">
                        <c:v>1.7630040999999999E-2</c:v>
                      </c:pt>
                      <c:pt idx="36">
                        <c:v>1.1605231000000001E-2</c:v>
                      </c:pt>
                      <c:pt idx="37">
                        <c:v>5.4467220000000002E-3</c:v>
                      </c:pt>
                      <c:pt idx="38">
                        <c:v>4.5929930000000001E-3</c:v>
                      </c:pt>
                      <c:pt idx="39">
                        <c:v>7.5329769999999997E-3</c:v>
                      </c:pt>
                      <c:pt idx="40">
                        <c:v>4.2150959999999998E-3</c:v>
                      </c:pt>
                      <c:pt idx="41">
                        <c:v>4.0867589999999997E-3</c:v>
                      </c:pt>
                      <c:pt idx="42">
                        <c:v>3.1331060000000001E-3</c:v>
                      </c:pt>
                      <c:pt idx="43">
                        <c:v>5.7069540000000002E-3</c:v>
                      </c:pt>
                      <c:pt idx="44">
                        <c:v>1.3973975E-2</c:v>
                      </c:pt>
                      <c:pt idx="45">
                        <c:v>1.4171819999999999E-3</c:v>
                      </c:pt>
                      <c:pt idx="46">
                        <c:v>1.129391E-3</c:v>
                      </c:pt>
                      <c:pt idx="47">
                        <c:v>8.8822300000000005E-4</c:v>
                      </c:pt>
                      <c:pt idx="48">
                        <c:v>2.9218700000000001E-4</c:v>
                      </c:pt>
                      <c:pt idx="49">
                        <c:v>2.7417700000000001E-4</c:v>
                      </c:pt>
                      <c:pt idx="50">
                        <c:v>2.5401800000000001E-4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8.2987999999999999E-5</c:v>
                </c:pt>
                <c:pt idx="1">
                  <c:v>2.0106999999999999E-5</c:v>
                </c:pt>
                <c:pt idx="2">
                  <c:v>1.3533000000000001E-5</c:v>
                </c:pt>
                <c:pt idx="3">
                  <c:v>1.2058999999999999E-5</c:v>
                </c:pt>
                <c:pt idx="4">
                  <c:v>5.3539999999999999E-6</c:v>
                </c:pt>
                <c:pt idx="5">
                  <c:v>5.694E-6</c:v>
                </c:pt>
                <c:pt idx="6">
                  <c:v>6.6899999999999997E-7</c:v>
                </c:pt>
                <c:pt idx="7">
                  <c:v>3.3500000000000002E-7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6.2999999999999995E-8</c:v>
                </c:pt>
                <c:pt idx="12">
                  <c:v>2.0800000000000001E-7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1.81631E-4</c:v>
                      </c:pt>
                      <c:pt idx="1">
                        <c:v>4.1556E-5</c:v>
                      </c:pt>
                      <c:pt idx="2">
                        <c:v>1.3445800000000001E-4</c:v>
                      </c:pt>
                      <c:pt idx="3">
                        <c:v>3.2780000000000001E-5</c:v>
                      </c:pt>
                      <c:pt idx="4">
                        <c:v>4.0414999999999998E-5</c:v>
                      </c:pt>
                      <c:pt idx="5">
                        <c:v>5.5682E-5</c:v>
                      </c:pt>
                      <c:pt idx="6">
                        <c:v>2.1821E-5</c:v>
                      </c:pt>
                      <c:pt idx="7">
                        <c:v>2.1780000000000002E-6</c:v>
                      </c:pt>
                      <c:pt idx="8">
                        <c:v>1.0869999999999999E-6</c:v>
                      </c:pt>
                      <c:pt idx="9">
                        <c:v>5.446E-6</c:v>
                      </c:pt>
                      <c:pt idx="10">
                        <c:v>1.5247E-5</c:v>
                      </c:pt>
                      <c:pt idx="11">
                        <c:v>4.3529999999999997E-6</c:v>
                      </c:pt>
                      <c:pt idx="12">
                        <c:v>9.3399999999999997E-7</c:v>
                      </c:pt>
                      <c:pt idx="13">
                        <c:v>4.1600000000000002E-7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5.86376E-4</c:v>
                      </c:pt>
                      <c:pt idx="1">
                        <c:v>8.3212000000000002E-5</c:v>
                      </c:pt>
                      <c:pt idx="2">
                        <c:v>1.46284E-4</c:v>
                      </c:pt>
                      <c:pt idx="3">
                        <c:v>4.8672180000000004E-3</c:v>
                      </c:pt>
                      <c:pt idx="4">
                        <c:v>7.7570000000000004E-5</c:v>
                      </c:pt>
                      <c:pt idx="5">
                        <c:v>3.0003000000000001E-5</c:v>
                      </c:pt>
                      <c:pt idx="6">
                        <c:v>2.0815009999999999E-3</c:v>
                      </c:pt>
                      <c:pt idx="7">
                        <c:v>6.2393699999999997E-4</c:v>
                      </c:pt>
                      <c:pt idx="8">
                        <c:v>0</c:v>
                      </c:pt>
                      <c:pt idx="9">
                        <c:v>8.0972200000000002E-4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9.3333999999999998E-5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0.15113370800000001</c:v>
                      </c:pt>
                      <c:pt idx="1">
                        <c:v>7.9065117000000004E-2</c:v>
                      </c:pt>
                      <c:pt idx="2">
                        <c:v>3.5844607000000001E-2</c:v>
                      </c:pt>
                      <c:pt idx="3">
                        <c:v>2.0331472999999999E-2</c:v>
                      </c:pt>
                      <c:pt idx="4">
                        <c:v>2.9684537E-2</c:v>
                      </c:pt>
                      <c:pt idx="5">
                        <c:v>1.2491578E-2</c:v>
                      </c:pt>
                      <c:pt idx="6">
                        <c:v>7.1850743999999994E-2</c:v>
                      </c:pt>
                      <c:pt idx="7">
                        <c:v>1.0721110000000001E-2</c:v>
                      </c:pt>
                      <c:pt idx="8">
                        <c:v>1.2204847E-2</c:v>
                      </c:pt>
                      <c:pt idx="9">
                        <c:v>9.4560170000000006E-3</c:v>
                      </c:pt>
                      <c:pt idx="10">
                        <c:v>1.170771E-2</c:v>
                      </c:pt>
                      <c:pt idx="11">
                        <c:v>3.3606181999999998E-2</c:v>
                      </c:pt>
                      <c:pt idx="12">
                        <c:v>1.3973975E-2</c:v>
                      </c:pt>
                      <c:pt idx="13">
                        <c:v>1.4171819999999999E-3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5.4206289999999997E-3</c:v>
                </c:pt>
                <c:pt idx="1">
                  <c:v>8.7865600000000006E-3</c:v>
                </c:pt>
                <c:pt idx="2">
                  <c:v>6.1955939999999996E-3</c:v>
                </c:pt>
                <c:pt idx="3">
                  <c:v>8.1490420000000004E-3</c:v>
                </c:pt>
                <c:pt idx="4">
                  <c:v>5.5708249999999997E-3</c:v>
                </c:pt>
                <c:pt idx="5">
                  <c:v>5.5387819999999999E-3</c:v>
                </c:pt>
                <c:pt idx="6">
                  <c:v>1.3950119999999999E-3</c:v>
                </c:pt>
                <c:pt idx="7">
                  <c:v>1.4520405E-2</c:v>
                </c:pt>
                <c:pt idx="8">
                  <c:v>3.1654270000000002E-3</c:v>
                </c:pt>
                <c:pt idx="9">
                  <c:v>3.9345209999999999E-3</c:v>
                </c:pt>
                <c:pt idx="10">
                  <c:v>1.9729627E-2</c:v>
                </c:pt>
                <c:pt idx="11">
                  <c:v>4.9515150000000001E-3</c:v>
                </c:pt>
                <c:pt idx="12">
                  <c:v>6.8408150000000001E-3</c:v>
                </c:pt>
                <c:pt idx="13">
                  <c:v>2.379899E-3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9.7495849999999998E-3</c:v>
                </c:pt>
                <c:pt idx="1">
                  <c:v>1.5807149999999999E-2</c:v>
                </c:pt>
                <c:pt idx="2">
                  <c:v>1.1144138E-2</c:v>
                </c:pt>
                <c:pt idx="3">
                  <c:v>1.2156995E-2</c:v>
                </c:pt>
                <c:pt idx="4">
                  <c:v>8.3102139999999998E-3</c:v>
                </c:pt>
                <c:pt idx="5">
                  <c:v>8.2622709999999999E-3</c:v>
                </c:pt>
                <c:pt idx="6">
                  <c:v>2.0810099999999999E-3</c:v>
                </c:pt>
                <c:pt idx="7">
                  <c:v>8.6641050000000001E-3</c:v>
                </c:pt>
                <c:pt idx="8">
                  <c:v>3.7774599999999998E-3</c:v>
                </c:pt>
                <c:pt idx="9">
                  <c:v>4.6952419999999996E-3</c:v>
                </c:pt>
                <c:pt idx="10">
                  <c:v>7.0971360000000004E-3</c:v>
                </c:pt>
                <c:pt idx="11">
                  <c:v>1.7811260999999998E-2</c:v>
                </c:pt>
                <c:pt idx="12">
                  <c:v>2.4606979999999999E-3</c:v>
                </c:pt>
                <c:pt idx="13">
                  <c:v>1.7121160000000001E-3</c:v>
                </c:pt>
                <c:pt idx="14">
                  <c:v>8.4667089999999993E-3</c:v>
                </c:pt>
                <c:pt idx="15">
                  <c:v>1.4871470000000001E-3</c:v>
                </c:pt>
                <c:pt idx="16">
                  <c:v>2.6098390000000001E-3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3.1496204999999999E-2</c:v>
                      </c:pt>
                      <c:pt idx="8">
                        <c:v>0</c:v>
                      </c:pt>
                      <c:pt idx="9">
                        <c:v>4.7470760000000002E-3</c:v>
                      </c:pt>
                      <c:pt idx="10">
                        <c:v>3.7888879999999998E-3</c:v>
                      </c:pt>
                      <c:pt idx="11">
                        <c:v>1.3016438E-2</c:v>
                      </c:pt>
                      <c:pt idx="12">
                        <c:v>8.2002269999999992E-3</c:v>
                      </c:pt>
                      <c:pt idx="13">
                        <c:v>6.5051429999999997E-3</c:v>
                      </c:pt>
                      <c:pt idx="14">
                        <c:v>4.3540760000000001E-3</c:v>
                      </c:pt>
                      <c:pt idx="15">
                        <c:v>3.0522240000000001E-3</c:v>
                      </c:pt>
                      <c:pt idx="16">
                        <c:v>3.2420209999999999E-3</c:v>
                      </c:pt>
                      <c:pt idx="17">
                        <c:v>2.2107400000000001E-3</c:v>
                      </c:pt>
                      <c:pt idx="18">
                        <c:v>2.295442E-3</c:v>
                      </c:pt>
                      <c:pt idx="19">
                        <c:v>6.2836499999999998E-4</c:v>
                      </c:pt>
                      <c:pt idx="20">
                        <c:v>2.934744E-3</c:v>
                      </c:pt>
                      <c:pt idx="21">
                        <c:v>1.3787786E-2</c:v>
                      </c:pt>
                      <c:pt idx="22">
                        <c:v>2.3810179999999999E-3</c:v>
                      </c:pt>
                      <c:pt idx="23">
                        <c:v>1.9083590000000001E-3</c:v>
                      </c:pt>
                      <c:pt idx="24">
                        <c:v>6.8991699999999996E-4</c:v>
                      </c:pt>
                      <c:pt idx="25">
                        <c:v>2.2489350000000001E-3</c:v>
                      </c:pt>
                      <c:pt idx="26">
                        <c:v>6.3109159999999997E-3</c:v>
                      </c:pt>
                      <c:pt idx="27">
                        <c:v>2.2616310000000001E-3</c:v>
                      </c:pt>
                      <c:pt idx="28">
                        <c:v>6.2862530000000003E-3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1.9083590000000001E-3</c:v>
                      </c:pt>
                      <c:pt idx="1">
                        <c:v>6.8991699999999996E-4</c:v>
                      </c:pt>
                      <c:pt idx="2">
                        <c:v>2.2489350000000001E-3</c:v>
                      </c:pt>
                      <c:pt idx="3">
                        <c:v>6.3109159999999997E-3</c:v>
                      </c:pt>
                      <c:pt idx="4">
                        <c:v>2.2616310000000001E-3</c:v>
                      </c:pt>
                      <c:pt idx="5">
                        <c:v>6.2862530000000003E-3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tabSelected="1" zoomScale="85" zoomScaleNormal="85" workbookViewId="0">
      <selection activeCell="D16" sqref="D16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H020192-2.1.0.0</v>
      </c>
      <c r="C1" s="11" t="s">
        <v>270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0.10944667200000002</v>
      </c>
      <c r="H5" s="188">
        <f>SUM('Multiplier Weight'!$N$12:$N$61)-I5-J5</f>
        <v>1.6960584000000008E-2</v>
      </c>
      <c r="I5" s="188">
        <f>SUM('Multiplier Weight'!$N$15:$N$61)-J5</f>
        <v>1.9466904E-2</v>
      </c>
      <c r="J5" s="189">
        <f>SUM('Multiplier Weight'!$N$19:$N$61)</f>
        <v>3.5435640000000003E-3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0.11078383199999997</v>
      </c>
      <c r="H6" s="188">
        <f>SUM('Multiplier Weight'!N79:N126)-I6-J6</f>
        <v>2.2032432000000012E-2</v>
      </c>
      <c r="I6" s="188">
        <f>SUM('Multiplier Weight'!N81:N126)-J6</f>
        <v>2.0252863999999999E-2</v>
      </c>
      <c r="J6" s="189">
        <f>SUM('Multiplier Weight'!N87:N126)</f>
        <v>3.5120379999999999E-3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0.14026865300000002</v>
      </c>
      <c r="H7" s="188">
        <f>SUM('Multiplier Weight'!N153:N191)-I7-J7</f>
        <v>5.2697060000000016E-3</v>
      </c>
      <c r="I7" s="188">
        <f>SUM('Multiplier Weight'!N156:N191)-J7</f>
        <v>2.2109614999999996E-2</v>
      </c>
      <c r="J7" s="189">
        <f>SUM('Multiplier Weight'!N164:N191)</f>
        <v>3.983398E-3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1" t="s">
        <v>293</v>
      </c>
      <c r="B18" s="312"/>
      <c r="C18" s="312"/>
      <c r="D18" s="312"/>
      <c r="E18" s="312"/>
      <c r="F18" s="313"/>
    </row>
    <row r="19" spans="1:6" ht="31.8" customHeight="1">
      <c r="A19" s="314"/>
      <c r="B19" s="315"/>
      <c r="C19" s="315"/>
      <c r="D19" s="315"/>
      <c r="E19" s="315"/>
      <c r="F19" s="316"/>
    </row>
    <row r="20" spans="1:6" ht="31.8" customHeight="1">
      <c r="A20" s="314"/>
      <c r="B20" s="315"/>
      <c r="C20" s="315"/>
      <c r="D20" s="315"/>
      <c r="E20" s="315"/>
      <c r="F20" s="316"/>
    </row>
    <row r="21" spans="1:6" ht="31.8" customHeight="1">
      <c r="A21" s="314"/>
      <c r="B21" s="315"/>
      <c r="C21" s="315"/>
      <c r="D21" s="315"/>
      <c r="E21" s="315"/>
      <c r="F21" s="316"/>
    </row>
    <row r="22" spans="1:6" ht="31.8" customHeight="1" thickBot="1">
      <c r="A22" s="317"/>
      <c r="B22" s="318"/>
      <c r="C22" s="318"/>
      <c r="D22" s="318"/>
      <c r="E22" s="318"/>
      <c r="F22" s="319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39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topLeftCell="D1" zoomScale="70" zoomScaleNormal="70" workbookViewId="0">
      <selection activeCell="I15" sqref="I15"/>
    </sheetView>
  </sheetViews>
  <sheetFormatPr defaultRowHeight="15.6"/>
  <cols>
    <col min="1" max="2" width="10.21875" style="1" bestFit="1" customWidth="1"/>
    <col min="3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135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99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890553328</v>
      </c>
      <c r="D3" s="100">
        <v>889216168</v>
      </c>
      <c r="E3" s="100">
        <v>859731347</v>
      </c>
      <c r="F3" s="100">
        <v>0</v>
      </c>
      <c r="G3" s="261">
        <v>903421347</v>
      </c>
      <c r="H3" s="261">
        <v>873706924</v>
      </c>
      <c r="I3" s="261">
        <v>877653596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285</v>
      </c>
    </row>
    <row r="4" spans="1:16" ht="16.2">
      <c r="A4" s="8">
        <v>0</v>
      </c>
      <c r="B4" s="8">
        <v>1</v>
      </c>
      <c r="C4" s="101">
        <v>11358011</v>
      </c>
      <c r="D4" s="101">
        <v>3902743</v>
      </c>
      <c r="E4" s="101">
        <v>0</v>
      </c>
      <c r="F4" s="101">
        <v>0</v>
      </c>
      <c r="G4" s="262">
        <v>5420629</v>
      </c>
      <c r="H4" s="262">
        <v>9749585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15758784</v>
      </c>
      <c r="D5" s="101">
        <v>11300650</v>
      </c>
      <c r="E5" s="101">
        <v>0</v>
      </c>
      <c r="F5" s="101">
        <v>0</v>
      </c>
      <c r="G5" s="262">
        <v>8786560</v>
      </c>
      <c r="H5" s="262">
        <v>15807150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294</v>
      </c>
    </row>
    <row r="6" spans="1:16">
      <c r="A6" s="8">
        <v>2</v>
      </c>
      <c r="B6" s="8">
        <v>3</v>
      </c>
      <c r="C6" s="101">
        <v>11176152</v>
      </c>
      <c r="D6" s="101">
        <v>5783470</v>
      </c>
      <c r="E6" s="101">
        <v>0</v>
      </c>
      <c r="F6" s="101">
        <v>0</v>
      </c>
      <c r="G6" s="262">
        <v>6195594</v>
      </c>
      <c r="H6" s="262">
        <v>11144138</v>
      </c>
      <c r="I6" s="262">
        <v>0</v>
      </c>
      <c r="J6" s="262"/>
    </row>
    <row r="7" spans="1:16">
      <c r="A7" s="8">
        <v>3</v>
      </c>
      <c r="B7" s="8">
        <v>4</v>
      </c>
      <c r="C7" s="101">
        <v>11879479</v>
      </c>
      <c r="D7" s="101">
        <v>10662885</v>
      </c>
      <c r="E7" s="101">
        <v>0</v>
      </c>
      <c r="F7" s="101">
        <v>0</v>
      </c>
      <c r="G7" s="262">
        <v>8149042</v>
      </c>
      <c r="H7" s="262">
        <v>12156995</v>
      </c>
      <c r="I7" s="262">
        <v>0</v>
      </c>
      <c r="J7" s="262"/>
    </row>
    <row r="8" spans="1:16">
      <c r="A8" s="8">
        <v>4</v>
      </c>
      <c r="B8" s="8">
        <v>5</v>
      </c>
      <c r="C8" s="101">
        <v>9689476</v>
      </c>
      <c r="D8" s="101">
        <v>9948873</v>
      </c>
      <c r="E8" s="101">
        <v>0</v>
      </c>
      <c r="F8" s="101">
        <v>0</v>
      </c>
      <c r="G8" s="262">
        <v>5570825</v>
      </c>
      <c r="H8" s="262">
        <v>8310214</v>
      </c>
      <c r="I8" s="262">
        <v>0</v>
      </c>
      <c r="J8" s="262"/>
    </row>
    <row r="9" spans="1:16">
      <c r="A9" s="8">
        <v>5</v>
      </c>
      <c r="B9" s="8">
        <v>6</v>
      </c>
      <c r="C9" s="101">
        <v>7734332</v>
      </c>
      <c r="D9" s="101">
        <v>8789422</v>
      </c>
      <c r="E9" s="101">
        <v>0</v>
      </c>
      <c r="F9" s="101">
        <v>0</v>
      </c>
      <c r="G9" s="262">
        <v>5538782</v>
      </c>
      <c r="H9" s="262">
        <v>8262271</v>
      </c>
      <c r="I9" s="262">
        <v>0</v>
      </c>
      <c r="J9" s="262"/>
    </row>
    <row r="10" spans="1:16">
      <c r="A10" s="8">
        <v>6</v>
      </c>
      <c r="B10" s="8">
        <v>7</v>
      </c>
      <c r="C10" s="101">
        <v>1879386</v>
      </c>
      <c r="D10" s="101">
        <v>2005623</v>
      </c>
      <c r="E10" s="101">
        <v>0</v>
      </c>
      <c r="F10" s="101">
        <v>0</v>
      </c>
      <c r="G10" s="262">
        <v>1395012</v>
      </c>
      <c r="H10" s="262">
        <v>2081010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8069298</v>
      </c>
      <c r="D11" s="101">
        <v>9141318</v>
      </c>
      <c r="E11" s="101">
        <v>32436720</v>
      </c>
      <c r="F11" s="101">
        <v>0</v>
      </c>
      <c r="G11" s="262">
        <v>14520405</v>
      </c>
      <c r="H11" s="262">
        <v>8664105</v>
      </c>
      <c r="I11" s="262">
        <v>31496205</v>
      </c>
      <c r="J11" s="262"/>
    </row>
    <row r="12" spans="1:16">
      <c r="A12" s="8">
        <v>8</v>
      </c>
      <c r="B12" s="8">
        <v>9</v>
      </c>
      <c r="C12" s="101">
        <v>2952286</v>
      </c>
      <c r="D12" s="101">
        <v>3451514</v>
      </c>
      <c r="E12" s="101">
        <v>0</v>
      </c>
      <c r="F12" s="101">
        <v>0</v>
      </c>
      <c r="G12" s="262">
        <v>3165427</v>
      </c>
      <c r="H12" s="262">
        <v>3777460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5939000</v>
      </c>
      <c r="D13" s="101">
        <v>8028945</v>
      </c>
      <c r="E13" s="101">
        <v>24441494</v>
      </c>
      <c r="F13" s="101">
        <v>0</v>
      </c>
      <c r="G13" s="262">
        <v>3934521</v>
      </c>
      <c r="H13" s="262">
        <v>4695242</v>
      </c>
      <c r="I13" s="262">
        <v>4747076</v>
      </c>
      <c r="J13" s="262"/>
    </row>
    <row r="14" spans="1:16">
      <c r="A14" s="8">
        <v>10</v>
      </c>
      <c r="B14" s="8">
        <v>15</v>
      </c>
      <c r="C14" s="101">
        <v>9459053</v>
      </c>
      <c r="D14" s="101">
        <v>14003487</v>
      </c>
      <c r="E14" s="101">
        <v>3900964</v>
      </c>
      <c r="F14" s="101">
        <v>0</v>
      </c>
      <c r="G14" s="262">
        <v>19729627</v>
      </c>
      <c r="H14" s="262">
        <v>7097136</v>
      </c>
      <c r="I14" s="262">
        <v>3788888</v>
      </c>
      <c r="J14" s="262"/>
    </row>
    <row r="15" spans="1:16">
      <c r="A15" s="8">
        <v>15</v>
      </c>
      <c r="B15" s="8">
        <v>20</v>
      </c>
      <c r="C15" s="101">
        <v>5614828</v>
      </c>
      <c r="D15" s="101">
        <v>8814282</v>
      </c>
      <c r="E15" s="101">
        <v>13400396</v>
      </c>
      <c r="F15" s="101">
        <v>0</v>
      </c>
      <c r="G15" s="262">
        <v>4951515</v>
      </c>
      <c r="H15" s="262">
        <v>17811261</v>
      </c>
      <c r="I15" s="262">
        <v>13016438</v>
      </c>
      <c r="J15" s="262"/>
    </row>
    <row r="16" spans="1:16">
      <c r="A16" s="8">
        <v>20</v>
      </c>
      <c r="B16" s="8">
        <v>25</v>
      </c>
      <c r="C16" s="101">
        <v>2353330</v>
      </c>
      <c r="D16" s="101">
        <v>4920168</v>
      </c>
      <c r="E16" s="101">
        <v>8440497</v>
      </c>
      <c r="F16" s="101">
        <v>0</v>
      </c>
      <c r="G16" s="262">
        <v>6840815</v>
      </c>
      <c r="H16" s="262">
        <v>2460698</v>
      </c>
      <c r="I16" s="262">
        <v>8200227</v>
      </c>
      <c r="J16" s="262"/>
    </row>
    <row r="17" spans="1:10">
      <c r="A17" s="8">
        <v>25</v>
      </c>
      <c r="B17" s="8">
        <v>30</v>
      </c>
      <c r="C17" s="101">
        <v>2039693</v>
      </c>
      <c r="D17" s="101">
        <v>3278810</v>
      </c>
      <c r="E17" s="101">
        <v>6695098</v>
      </c>
      <c r="F17" s="101">
        <v>0</v>
      </c>
      <c r="G17" s="262">
        <v>2379899</v>
      </c>
      <c r="H17" s="262">
        <v>1712116</v>
      </c>
      <c r="I17" s="262">
        <v>6505143</v>
      </c>
      <c r="J17" s="262"/>
    </row>
    <row r="18" spans="1:10">
      <c r="A18" s="8">
        <v>30</v>
      </c>
      <c r="B18" s="8">
        <v>35</v>
      </c>
      <c r="C18" s="101">
        <v>389729</v>
      </c>
      <c r="D18" s="101">
        <v>588707</v>
      </c>
      <c r="E18" s="101">
        <v>4481059</v>
      </c>
      <c r="F18" s="101">
        <v>0</v>
      </c>
      <c r="G18" s="262">
        <v>0</v>
      </c>
      <c r="H18" s="262">
        <v>8466709</v>
      </c>
      <c r="I18" s="262">
        <v>4354076</v>
      </c>
      <c r="J18" s="262"/>
    </row>
    <row r="19" spans="1:10">
      <c r="A19" s="8">
        <v>35</v>
      </c>
      <c r="B19" s="8">
        <v>40</v>
      </c>
      <c r="C19" s="101">
        <v>909277</v>
      </c>
      <c r="D19" s="101">
        <v>1976024</v>
      </c>
      <c r="E19" s="101">
        <v>3926166</v>
      </c>
      <c r="F19" s="101">
        <v>0</v>
      </c>
      <c r="G19" s="262">
        <v>0</v>
      </c>
      <c r="H19" s="262">
        <v>1487147</v>
      </c>
      <c r="I19" s="262">
        <v>3052224</v>
      </c>
      <c r="J19" s="262"/>
    </row>
    <row r="20" spans="1:10">
      <c r="A20" s="8">
        <v>40</v>
      </c>
      <c r="B20" s="8">
        <v>45</v>
      </c>
      <c r="C20" s="101">
        <v>211169</v>
      </c>
      <c r="D20" s="101">
        <v>674873</v>
      </c>
      <c r="E20" s="101">
        <v>8340108</v>
      </c>
      <c r="F20" s="101">
        <v>0</v>
      </c>
      <c r="G20" s="262">
        <v>0</v>
      </c>
      <c r="H20" s="262">
        <v>2609839</v>
      </c>
      <c r="I20" s="262">
        <v>3242021</v>
      </c>
      <c r="J20" s="262"/>
    </row>
    <row r="21" spans="1:10">
      <c r="A21" s="8">
        <v>45</v>
      </c>
      <c r="B21" s="8">
        <v>50</v>
      </c>
      <c r="C21" s="101">
        <v>1055716</v>
      </c>
      <c r="D21" s="101">
        <v>985120</v>
      </c>
      <c r="E21" s="101">
        <v>2843432</v>
      </c>
      <c r="F21" s="101">
        <v>0</v>
      </c>
      <c r="G21" s="262">
        <v>0</v>
      </c>
      <c r="H21" s="262">
        <v>0</v>
      </c>
      <c r="I21" s="262">
        <v>2210740</v>
      </c>
      <c r="J21" s="262"/>
    </row>
    <row r="22" spans="1:10">
      <c r="A22" s="8">
        <v>50</v>
      </c>
      <c r="B22" s="8">
        <v>60</v>
      </c>
      <c r="C22" s="101">
        <v>411588</v>
      </c>
      <c r="D22" s="101">
        <v>950629</v>
      </c>
      <c r="E22" s="101">
        <v>2952107</v>
      </c>
      <c r="F22" s="101">
        <v>92582428</v>
      </c>
      <c r="G22" s="262">
        <v>0</v>
      </c>
      <c r="H22" s="262">
        <v>0</v>
      </c>
      <c r="I22" s="262">
        <v>2295442</v>
      </c>
      <c r="J22" s="262"/>
    </row>
    <row r="23" spans="1:10">
      <c r="A23" s="8">
        <v>60</v>
      </c>
      <c r="B23" s="8">
        <v>70</v>
      </c>
      <c r="C23" s="101">
        <v>42312</v>
      </c>
      <c r="D23" s="101">
        <v>109596</v>
      </c>
      <c r="E23" s="101">
        <v>808082</v>
      </c>
      <c r="F23" s="101">
        <v>72278590</v>
      </c>
      <c r="G23" s="262">
        <v>0</v>
      </c>
      <c r="H23" s="262">
        <v>0</v>
      </c>
      <c r="I23" s="262">
        <v>628365</v>
      </c>
      <c r="J23" s="262"/>
    </row>
    <row r="24" spans="1:10">
      <c r="A24" s="8">
        <v>70</v>
      </c>
      <c r="B24" s="8">
        <v>80</v>
      </c>
      <c r="C24" s="101">
        <v>181366</v>
      </c>
      <c r="D24" s="101">
        <v>362671</v>
      </c>
      <c r="E24" s="101">
        <v>1509517</v>
      </c>
      <c r="F24" s="101">
        <v>62011653</v>
      </c>
      <c r="G24" s="262">
        <v>0</v>
      </c>
      <c r="H24" s="262">
        <v>0</v>
      </c>
      <c r="I24" s="262">
        <v>2934744</v>
      </c>
      <c r="J24" s="262"/>
    </row>
    <row r="25" spans="1:10">
      <c r="A25" s="8">
        <v>80</v>
      </c>
      <c r="B25" s="8">
        <v>90</v>
      </c>
      <c r="C25" s="101">
        <v>69781</v>
      </c>
      <c r="D25" s="101">
        <v>211343</v>
      </c>
      <c r="E25" s="101">
        <v>14182970</v>
      </c>
      <c r="F25" s="101">
        <v>74825468</v>
      </c>
      <c r="G25" s="262">
        <v>0</v>
      </c>
      <c r="H25" s="262">
        <v>0</v>
      </c>
      <c r="I25" s="262">
        <v>13787786</v>
      </c>
      <c r="J25" s="262"/>
    </row>
    <row r="26" spans="1:10">
      <c r="A26" s="8">
        <v>90</v>
      </c>
      <c r="B26" s="8">
        <v>100</v>
      </c>
      <c r="C26" s="101">
        <v>131616</v>
      </c>
      <c r="D26" s="101">
        <v>354675</v>
      </c>
      <c r="E26" s="101">
        <v>2135982</v>
      </c>
      <c r="F26" s="101">
        <v>137591999</v>
      </c>
      <c r="G26" s="262">
        <v>0</v>
      </c>
      <c r="H26" s="262">
        <v>0</v>
      </c>
      <c r="I26" s="262">
        <v>2381018</v>
      </c>
      <c r="J26" s="262"/>
    </row>
    <row r="27" spans="1:10">
      <c r="A27" s="8">
        <v>100</v>
      </c>
      <c r="B27" s="8">
        <v>120</v>
      </c>
      <c r="C27" s="101">
        <v>82988</v>
      </c>
      <c r="D27" s="101">
        <v>181631</v>
      </c>
      <c r="E27" s="101">
        <v>586376</v>
      </c>
      <c r="F27" s="101">
        <v>151133708</v>
      </c>
      <c r="G27" s="262">
        <v>0</v>
      </c>
      <c r="H27" s="262">
        <v>0</v>
      </c>
      <c r="I27" s="262">
        <v>1908359</v>
      </c>
      <c r="J27" s="262"/>
    </row>
    <row r="28" spans="1:10">
      <c r="A28" s="8">
        <v>120</v>
      </c>
      <c r="B28" s="8">
        <v>140</v>
      </c>
      <c r="C28" s="101">
        <v>20107</v>
      </c>
      <c r="D28" s="101">
        <v>41556</v>
      </c>
      <c r="E28" s="101">
        <v>83212</v>
      </c>
      <c r="F28" s="101">
        <v>79065117</v>
      </c>
      <c r="G28" s="262">
        <v>0</v>
      </c>
      <c r="H28" s="262">
        <v>0</v>
      </c>
      <c r="I28" s="262">
        <v>689917</v>
      </c>
      <c r="J28" s="262"/>
    </row>
    <row r="29" spans="1:10">
      <c r="A29" s="8">
        <v>140</v>
      </c>
      <c r="B29" s="8">
        <v>160</v>
      </c>
      <c r="C29" s="101">
        <v>13533</v>
      </c>
      <c r="D29" s="101">
        <v>134458</v>
      </c>
      <c r="E29" s="101">
        <v>146284</v>
      </c>
      <c r="F29" s="101">
        <v>35844607</v>
      </c>
      <c r="G29" s="262">
        <v>0</v>
      </c>
      <c r="H29" s="262">
        <v>0</v>
      </c>
      <c r="I29" s="262">
        <v>2248935</v>
      </c>
      <c r="J29" s="262"/>
    </row>
    <row r="30" spans="1:10">
      <c r="A30" s="8">
        <v>160</v>
      </c>
      <c r="B30" s="8">
        <v>180</v>
      </c>
      <c r="C30" s="101">
        <v>12059</v>
      </c>
      <c r="D30" s="101">
        <v>32780</v>
      </c>
      <c r="E30" s="101">
        <v>4867218</v>
      </c>
      <c r="F30" s="101">
        <v>20331473</v>
      </c>
      <c r="G30" s="262">
        <v>0</v>
      </c>
      <c r="H30" s="262">
        <v>0</v>
      </c>
      <c r="I30" s="262">
        <v>6310916</v>
      </c>
      <c r="J30" s="262"/>
    </row>
    <row r="31" spans="1:10">
      <c r="A31" s="8">
        <v>180</v>
      </c>
      <c r="B31" s="8">
        <v>200</v>
      </c>
      <c r="C31" s="101">
        <v>5354</v>
      </c>
      <c r="D31" s="101">
        <v>40415</v>
      </c>
      <c r="E31" s="101">
        <v>77570</v>
      </c>
      <c r="F31" s="101">
        <v>29684537</v>
      </c>
      <c r="G31" s="262">
        <v>0</v>
      </c>
      <c r="H31" s="262">
        <v>0</v>
      </c>
      <c r="I31" s="262">
        <v>2261631</v>
      </c>
      <c r="J31" s="262"/>
    </row>
    <row r="32" spans="1:10">
      <c r="A32" s="8">
        <v>200</v>
      </c>
      <c r="B32" s="8">
        <v>250</v>
      </c>
      <c r="C32" s="101">
        <v>5694</v>
      </c>
      <c r="D32" s="101">
        <v>55682</v>
      </c>
      <c r="E32" s="101">
        <v>30003</v>
      </c>
      <c r="F32" s="101">
        <v>12491578</v>
      </c>
      <c r="G32" s="262">
        <v>0</v>
      </c>
      <c r="H32" s="262">
        <v>0</v>
      </c>
      <c r="I32" s="262">
        <v>6286253</v>
      </c>
      <c r="J32" s="262"/>
    </row>
    <row r="33" spans="1:10">
      <c r="A33" s="8">
        <v>250</v>
      </c>
      <c r="B33" s="8">
        <v>300</v>
      </c>
      <c r="C33" s="101">
        <v>669</v>
      </c>
      <c r="D33" s="101">
        <v>21821</v>
      </c>
      <c r="E33" s="101">
        <v>2081501</v>
      </c>
      <c r="F33" s="101">
        <v>71850744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335</v>
      </c>
      <c r="D34" s="101">
        <v>2178</v>
      </c>
      <c r="E34" s="101">
        <v>623937</v>
      </c>
      <c r="F34" s="101">
        <v>10721110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1087</v>
      </c>
      <c r="E35" s="101">
        <v>0</v>
      </c>
      <c r="F35" s="101">
        <v>12204847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5446</v>
      </c>
      <c r="E36" s="101">
        <v>809722</v>
      </c>
      <c r="F36" s="101">
        <v>9456017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15247</v>
      </c>
      <c r="E37" s="101">
        <v>0</v>
      </c>
      <c r="F37" s="101">
        <v>11707710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63</v>
      </c>
      <c r="D38" s="101">
        <v>4353</v>
      </c>
      <c r="E38" s="101">
        <v>0</v>
      </c>
      <c r="F38" s="101">
        <v>33606182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101">
        <v>0</v>
      </c>
      <c r="F39" s="101">
        <v>17630041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101">
        <v>0</v>
      </c>
      <c r="F40" s="101">
        <v>11605231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101">
        <v>0</v>
      </c>
      <c r="F41" s="101">
        <v>5446722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101">
        <v>0</v>
      </c>
      <c r="F42" s="101">
        <v>4592993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101">
        <v>0</v>
      </c>
      <c r="F43" s="101">
        <v>7532977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101">
        <v>277502</v>
      </c>
      <c r="F44" s="101">
        <v>4215096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101">
        <v>0</v>
      </c>
      <c r="F45" s="101">
        <v>4086759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101">
        <v>0</v>
      </c>
      <c r="F46" s="101">
        <v>3133106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101">
        <v>0</v>
      </c>
      <c r="F47" s="101">
        <v>5706954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208</v>
      </c>
      <c r="D48" s="101">
        <v>934</v>
      </c>
      <c r="E48" s="101">
        <v>0</v>
      </c>
      <c r="F48" s="101">
        <v>13973975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416</v>
      </c>
      <c r="E49" s="101">
        <v>93334</v>
      </c>
      <c r="F49" s="101">
        <v>1417182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101">
        <v>0</v>
      </c>
      <c r="F50" s="101">
        <v>1129391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101">
        <v>58517</v>
      </c>
      <c r="F51" s="101">
        <v>888223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101">
        <v>0</v>
      </c>
      <c r="F52" s="101">
        <v>292187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101">
        <v>0</v>
      </c>
      <c r="F53" s="101">
        <v>274177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101">
        <v>0</v>
      </c>
      <c r="F54" s="101">
        <v>254018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101">
        <v>33234</v>
      </c>
      <c r="F55" s="101">
        <v>203534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101">
        <v>0</v>
      </c>
      <c r="F56" s="101">
        <v>64080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101">
        <v>5651</v>
      </c>
      <c r="F57" s="101">
        <v>165586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101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101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101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6" zoomScale="55" zoomScaleNormal="55" workbookViewId="0">
      <selection activeCell="V200" sqref="V200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0.88000000019847324</v>
      </c>
      <c r="P2" s="215">
        <v>0.92</v>
      </c>
      <c r="Q2" s="181">
        <f>P2-O2</f>
        <v>3.9999999801526798E-2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0.96564290919602347</v>
      </c>
      <c r="R3" s="216">
        <f>1-SUM(_xlfn.ANCHORARRAY(R4))</f>
        <v>4.7266861032537189E-2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1.11992673341063</v>
      </c>
      <c r="L4" s="185" cm="1">
        <f t="array" ref="L4:L61">K4:K61*_xlfn.ANCHORARRAY(J4)*_xlfn.ANCHORARRAY(F4)</f>
        <v>0.89055332850000002</v>
      </c>
      <c r="M4" s="240" cm="1">
        <f t="array" ref="M4:M61">INT(_xlfn.ANCHORARRAY(L4)*$M$2)</f>
        <v>890553328</v>
      </c>
      <c r="N4" s="194" cm="1">
        <f t="array" ref="N4:N61">_xlfn.ANCHORARRAY(M4)/SUM(_xlfn.ANCHORARRAY(M4))</f>
        <v>0.89055332799999998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0.83870461855686262</v>
      </c>
      <c r="S4" s="182">
        <f>R4+R3</f>
        <v>0.88597147958939981</v>
      </c>
      <c r="T4" s="213" cm="1">
        <f t="array" ref="T4:T61">S4:S55/_xlfn.ANCHORARRAY(F4)</f>
        <v>1.1141647706856437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0.92919219836032674</v>
      </c>
      <c r="L5" s="188">
        <v>1.1358011499999999E-2</v>
      </c>
      <c r="M5" s="233">
        <v>11358011</v>
      </c>
      <c r="N5" s="195">
        <v>1.1358010999999999E-2</v>
      </c>
      <c r="O5" s="211">
        <v>8.5274723990410133E-3</v>
      </c>
      <c r="P5" s="198">
        <v>1.23573389287732E-2</v>
      </c>
      <c r="Q5" s="198">
        <v>9.2777570510108234E-3</v>
      </c>
      <c r="R5" s="1">
        <v>1.1773246306894915E-2</v>
      </c>
      <c r="S5" s="182" cm="1">
        <f t="array" ref="S5:S55">R5:R55</f>
        <v>1.1773246306894915E-2</v>
      </c>
      <c r="T5" s="1">
        <v>0.96316231214779846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0.79372408455928922</v>
      </c>
      <c r="L6" s="188">
        <v>1.5758784500000001E-2</v>
      </c>
      <c r="M6" s="233">
        <v>15758784</v>
      </c>
      <c r="N6" s="195">
        <v>1.5758784000000001E-2</v>
      </c>
      <c r="O6" s="211">
        <v>2.7061390476299213E-2</v>
      </c>
      <c r="P6" s="198">
        <v>1.7178728121466199E-2</v>
      </c>
      <c r="Q6" s="198">
        <v>2.9499755157579341E-2</v>
      </c>
      <c r="R6" s="1">
        <v>1.6366743566633115E-2</v>
      </c>
      <c r="S6" s="182">
        <v>1.6366743566633115E-2</v>
      </c>
      <c r="T6" s="1">
        <v>0.82434521232538616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0.79710567432928958</v>
      </c>
      <c r="L7" s="188">
        <v>1.11761525E-2</v>
      </c>
      <c r="M7" s="233">
        <v>11176152</v>
      </c>
      <c r="N7" s="195">
        <v>1.1176152E-2</v>
      </c>
      <c r="O7" s="211">
        <v>3.0726129894845536E-2</v>
      </c>
      <c r="P7" s="198">
        <v>1.2210324982495699E-2</v>
      </c>
      <c r="Q7" s="198">
        <v>3.3569338665977382E-2</v>
      </c>
      <c r="R7" s="1">
        <v>1.1633181248385957E-2</v>
      </c>
      <c r="S7" s="182">
        <v>1.1633181248385957E-2</v>
      </c>
      <c r="T7" s="1">
        <v>0.82970188386294252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0.6434151186971464</v>
      </c>
      <c r="L8" s="188">
        <v>1.18794795E-2</v>
      </c>
      <c r="M8" s="233">
        <v>11879479</v>
      </c>
      <c r="N8" s="195">
        <v>1.1879479E-2</v>
      </c>
      <c r="O8" s="211">
        <v>4.3935298412749277E-2</v>
      </c>
      <c r="P8" s="198">
        <v>1.2996255599337999E-2</v>
      </c>
      <c r="Q8" s="198">
        <v>4.806560691805413E-2</v>
      </c>
      <c r="R8" s="1">
        <v>1.2381963391980756E-2</v>
      </c>
      <c r="S8" s="182">
        <v>1.2381963391980756E-2</v>
      </c>
      <c r="T8" s="1">
        <v>0.67063059838227934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0.76893912490317307</v>
      </c>
      <c r="L9" s="188">
        <v>9.6894765000000004E-3</v>
      </c>
      <c r="M9" s="233">
        <v>9689476</v>
      </c>
      <c r="N9" s="195">
        <v>9.6894760000000007E-3</v>
      </c>
      <c r="O9" s="211">
        <v>4.6562941598992595E-2</v>
      </c>
      <c r="P9" s="198">
        <v>1.05879741106956E-2</v>
      </c>
      <c r="Q9" s="198">
        <v>5.0880689540689791E-2</v>
      </c>
      <c r="R9" s="1">
        <v>1.0087513809789249E-2</v>
      </c>
      <c r="S9" s="182">
        <v>1.0087513809789249E-2</v>
      </c>
      <c r="T9" s="1">
        <v>0.80052663746571018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0.61658947405680176</v>
      </c>
      <c r="L10" s="188">
        <v>7.7343325000000006E-3</v>
      </c>
      <c r="M10" s="233">
        <v>7734332</v>
      </c>
      <c r="N10" s="195">
        <v>7.734332E-3</v>
      </c>
      <c r="O10" s="211">
        <v>4.6034822055164355E-2</v>
      </c>
      <c r="P10" s="198">
        <v>8.37719620644619E-3</v>
      </c>
      <c r="Q10" s="198">
        <v>4.9861156294421838E-2</v>
      </c>
      <c r="R10" s="1">
        <v>7.9812324375137991E-3</v>
      </c>
      <c r="S10" s="182">
        <v>7.9812324375137991E-3</v>
      </c>
      <c r="T10" s="1">
        <v>0.63627260800744201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0.59490729236734852</v>
      </c>
      <c r="L11" s="188">
        <v>1.8793865E-3</v>
      </c>
      <c r="M11" s="233">
        <v>1879386</v>
      </c>
      <c r="N11" s="195">
        <v>1.879386E-3</v>
      </c>
      <c r="O11" s="211">
        <v>1.2268278195199494E-2</v>
      </c>
      <c r="P11" s="198">
        <v>2.1346721997370101E-3</v>
      </c>
      <c r="Q11" s="198">
        <v>1.3934738474125113E-2</v>
      </c>
      <c r="R11" s="1">
        <v>2.0337729455220202E-3</v>
      </c>
      <c r="S11" s="182">
        <v>2.0337729455220202E-3</v>
      </c>
      <c r="T11" s="1">
        <v>0.64377729451098642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0.61374650811006837</v>
      </c>
      <c r="L12" s="188">
        <v>8.0692985000000005E-3</v>
      </c>
      <c r="M12" s="233">
        <v>8069298</v>
      </c>
      <c r="N12" s="195">
        <v>8.0692980000000008E-3</v>
      </c>
      <c r="O12" s="211">
        <v>6.2247196002879528E-2</v>
      </c>
      <c r="P12" s="198">
        <v>8.8375429069112096E-3</v>
      </c>
      <c r="Q12" s="198">
        <v>6.8173497311706632E-2</v>
      </c>
      <c r="R12" s="1">
        <v>8.4198199944611526E-3</v>
      </c>
      <c r="S12" s="182">
        <v>8.4198199944611526E-3</v>
      </c>
      <c r="T12" s="1">
        <v>0.64040698463638046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0.51252491415780377</v>
      </c>
      <c r="L13" s="188">
        <v>2.9522864999999999E-3</v>
      </c>
      <c r="M13" s="233">
        <v>2952286</v>
      </c>
      <c r="N13" s="195">
        <v>2.9522860000000001E-3</v>
      </c>
      <c r="O13" s="211">
        <v>2.6337969527342617E-2</v>
      </c>
      <c r="P13" s="198">
        <v>3.2443304962611699E-3</v>
      </c>
      <c r="Q13" s="198">
        <v>2.8943360415337484E-2</v>
      </c>
      <c r="R13" s="1">
        <v>3.0909811775507706E-3</v>
      </c>
      <c r="S13" s="182">
        <v>3.0909811775507706E-3</v>
      </c>
      <c r="T13" s="1">
        <v>0.53660268496556685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0.83221600508605986</v>
      </c>
      <c r="L14" s="188">
        <v>5.9390004999999996E-3</v>
      </c>
      <c r="M14" s="233">
        <v>5939000</v>
      </c>
      <c r="N14" s="195">
        <v>5.9389999999999998E-3</v>
      </c>
      <c r="O14" s="211">
        <v>5.7907402651348333E-2</v>
      </c>
      <c r="P14" s="198">
        <v>6.4938584552695199E-3</v>
      </c>
      <c r="Q14" s="198">
        <v>6.3317473704353422E-2</v>
      </c>
      <c r="R14" s="1">
        <v>6.1869141500993288E-3</v>
      </c>
      <c r="S14" s="182">
        <v>6.1869141500993288E-3</v>
      </c>
      <c r="T14" s="1">
        <v>0.86695547134674911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0.52815177071944042</v>
      </c>
      <c r="L15" s="188">
        <v>9.4590535000000017E-3</v>
      </c>
      <c r="M15" s="233">
        <v>9459053</v>
      </c>
      <c r="N15" s="195">
        <v>9.4590530000000003E-3</v>
      </c>
      <c r="O15" s="211">
        <v>0.12041736053302461</v>
      </c>
      <c r="P15" s="198">
        <v>1.0357800760463E-2</v>
      </c>
      <c r="Q15" s="198">
        <v>0.13185876308145325</v>
      </c>
      <c r="R15" s="1">
        <v>9.8682200313154854E-3</v>
      </c>
      <c r="S15" s="182">
        <v>9.8682200313154854E-3</v>
      </c>
      <c r="T15" s="1">
        <v>0.55099782270904007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0.49824367069231451</v>
      </c>
      <c r="L16" s="188">
        <v>5.6148285000000003E-3</v>
      </c>
      <c r="M16" s="233">
        <v>5614828</v>
      </c>
      <c r="N16" s="195">
        <v>5.6148279999999997E-3</v>
      </c>
      <c r="O16" s="211">
        <v>0.10021030213314826</v>
      </c>
      <c r="P16" s="198">
        <v>6.1690170335704101E-3</v>
      </c>
      <c r="Q16" s="198">
        <v>0.11010115729255265</v>
      </c>
      <c r="R16" s="1">
        <v>5.8774269627372821E-3</v>
      </c>
      <c r="S16" s="182">
        <v>5.8774269627372821E-3</v>
      </c>
      <c r="T16" s="1">
        <v>0.52154590013572177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0.37869757593566039</v>
      </c>
      <c r="L17" s="188">
        <v>2.3533305E-3</v>
      </c>
      <c r="M17" s="233">
        <v>2353330</v>
      </c>
      <c r="N17" s="195">
        <v>2.3533299999999998E-3</v>
      </c>
      <c r="O17" s="211">
        <v>5.469871875369383E-2</v>
      </c>
      <c r="P17" s="198">
        <v>2.5816539959949798E-3</v>
      </c>
      <c r="Q17" s="198">
        <v>6.0005679546123673E-2</v>
      </c>
      <c r="R17" s="1">
        <v>2.4596273153321903E-3</v>
      </c>
      <c r="S17" s="182">
        <v>2.4596273153321903E-3</v>
      </c>
      <c r="T17" s="1">
        <v>0.39580284283122863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0.47128811768816004</v>
      </c>
      <c r="L18" s="188">
        <v>2.0396935000000001E-3</v>
      </c>
      <c r="M18" s="233">
        <v>2039693</v>
      </c>
      <c r="N18" s="195">
        <v>2.039693E-3</v>
      </c>
      <c r="O18" s="211">
        <v>5.7998753439391419E-2</v>
      </c>
      <c r="P18" s="198">
        <v>2.25050136953143E-3</v>
      </c>
      <c r="Q18" s="198">
        <v>6.3993098003702578E-2</v>
      </c>
      <c r="R18" s="1">
        <v>2.1441272340442532E-3</v>
      </c>
      <c r="S18" s="182">
        <v>2.1441272340442532E-3</v>
      </c>
      <c r="T18" s="1">
        <v>0.49541839899800488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0.18166268673552577</v>
      </c>
      <c r="L19" s="188">
        <v>3.8972950000000002E-4</v>
      </c>
      <c r="M19" s="233">
        <v>389729</v>
      </c>
      <c r="N19" s="195">
        <v>3.8972900000000001E-4</v>
      </c>
      <c r="O19" s="211">
        <v>1.2698599210611991E-2</v>
      </c>
      <c r="P19" s="198">
        <v>4.2879067664282501E-4</v>
      </c>
      <c r="Q19" s="198">
        <v>1.397135175451239E-2</v>
      </c>
      <c r="R19" s="1">
        <v>4.08523087317901E-4</v>
      </c>
      <c r="S19" s="182">
        <v>4.08523087317901E-4</v>
      </c>
      <c r="T19" s="1">
        <v>0.19042284875961837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0.24066751752445908</v>
      </c>
      <c r="L20" s="188">
        <v>9.0927749999999996E-4</v>
      </c>
      <c r="M20" s="233">
        <v>909277</v>
      </c>
      <c r="N20" s="195">
        <v>9.09277E-4</v>
      </c>
      <c r="O20" s="211">
        <v>3.4797168440252109E-2</v>
      </c>
      <c r="P20" s="198">
        <v>1.0049665469022799E-3</v>
      </c>
      <c r="Q20" s="198">
        <v>3.8459116649136788E-2</v>
      </c>
      <c r="R20" s="1">
        <v>9.5746493278750099E-4</v>
      </c>
      <c r="S20" s="182">
        <v>9.5746493278750099E-4</v>
      </c>
      <c r="T20" s="1">
        <v>0.25342176452259174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0.12813776556625411</v>
      </c>
      <c r="L21" s="188">
        <v>2.1116949999999999E-4</v>
      </c>
      <c r="M21" s="233">
        <v>211169</v>
      </c>
      <c r="N21" s="195">
        <v>2.1116900000000001E-4</v>
      </c>
      <c r="O21" s="211">
        <v>9.191311078477999E-3</v>
      </c>
      <c r="P21" s="198">
        <v>2.3202958692793599E-4</v>
      </c>
      <c r="Q21" s="198">
        <v>1.0099285940954458E-2</v>
      </c>
      <c r="R21" s="1">
        <v>2.2106227668717621E-4</v>
      </c>
      <c r="S21" s="182">
        <v>2.2106227668717621E-4</v>
      </c>
      <c r="T21" s="1">
        <v>0.13414070775222647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0.51902445379638551</v>
      </c>
      <c r="L22" s="188">
        <v>1.0557164999999999E-3</v>
      </c>
      <c r="M22" s="233">
        <v>1055716</v>
      </c>
      <c r="N22" s="195">
        <v>1.0557159999999999E-3</v>
      </c>
      <c r="O22" s="211">
        <v>5.0805844824854181E-2</v>
      </c>
      <c r="P22" s="198">
        <v>1.16460290270869E-3</v>
      </c>
      <c r="Q22" s="198">
        <v>5.6045976718731606E-2</v>
      </c>
      <c r="R22" s="1">
        <v>1.1095557791482688E-3</v>
      </c>
      <c r="S22" s="182">
        <v>1.1095557791482688E-3</v>
      </c>
      <c r="T22" s="1">
        <v>0.54549358869455311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0.12710900766659203</v>
      </c>
      <c r="L23" s="188">
        <v>4.1158849999999996E-4</v>
      </c>
      <c r="M23" s="233">
        <v>411588</v>
      </c>
      <c r="N23" s="195">
        <v>4.11588E-4</v>
      </c>
      <c r="O23" s="211">
        <v>2.3366361667680208E-2</v>
      </c>
      <c r="P23" s="198">
        <v>4.5292175368333E-4</v>
      </c>
      <c r="Q23" s="198">
        <v>2.5712930172222367E-2</v>
      </c>
      <c r="R23" s="1">
        <v>4.3151356409336697E-4</v>
      </c>
      <c r="S23" s="182">
        <v>4.3151356409336697E-4</v>
      </c>
      <c r="T23" s="1">
        <v>0.13326237474220548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2.1422098239147824E-2</v>
      </c>
      <c r="L24" s="188">
        <v>4.2312499999999998E-5</v>
      </c>
      <c r="M24" s="233">
        <v>42312</v>
      </c>
      <c r="N24" s="195">
        <v>4.2311999999999997E-5</v>
      </c>
      <c r="O24" s="211">
        <v>2.7720047842622951E-3</v>
      </c>
      <c r="P24" s="198">
        <v>4.6777164724671799E-5</v>
      </c>
      <c r="Q24" s="198">
        <v>3.0645330972541049E-3</v>
      </c>
      <c r="R24" s="1">
        <v>4.4566154980134628E-5</v>
      </c>
      <c r="S24" s="182">
        <v>4.4566154980134628E-5</v>
      </c>
      <c r="T24" s="1">
        <v>2.2563085379628502E-2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7.0814367273502488E-2</v>
      </c>
      <c r="L25" s="188">
        <v>1.8136649999999998E-4</v>
      </c>
      <c r="M25" s="233">
        <v>181366</v>
      </c>
      <c r="N25" s="195">
        <v>1.81366E-4</v>
      </c>
      <c r="O25" s="211">
        <v>1.3811636551330378E-2</v>
      </c>
      <c r="P25" s="198">
        <v>2.0010231576665199E-4</v>
      </c>
      <c r="Q25" s="198">
        <v>1.5238470597843827E-2</v>
      </c>
      <c r="R25" s="1">
        <v>1.9064410741502077E-4</v>
      </c>
      <c r="S25" s="182">
        <v>1.9064410741502077E-4</v>
      </c>
      <c r="T25" s="1">
        <v>7.4436799745357274E-2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4.132031497032794E-2</v>
      </c>
      <c r="L26" s="188">
        <v>6.9781499999999996E-5</v>
      </c>
      <c r="M26" s="233">
        <v>69781</v>
      </c>
      <c r="N26" s="195">
        <v>6.9781000000000002E-5</v>
      </c>
      <c r="O26" s="211">
        <v>6.0212997742178148E-3</v>
      </c>
      <c r="P26" s="198">
        <v>7.7219446529617E-5</v>
      </c>
      <c r="Q26" s="198">
        <v>6.6631523760623586E-3</v>
      </c>
      <c r="R26" s="1">
        <v>7.3569525681492151E-5</v>
      </c>
      <c r="S26" s="182">
        <v>7.3569525681492151E-5</v>
      </c>
      <c r="T26" s="1">
        <v>4.3563350936521653E-2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7.8662392973388423E-2</v>
      </c>
      <c r="L27" s="188">
        <v>1.3161649999999999E-4</v>
      </c>
      <c r="M27" s="233">
        <v>131616</v>
      </c>
      <c r="N27" s="195">
        <v>1.3161600000000001E-4</v>
      </c>
      <c r="O27" s="211">
        <v>1.265727838835847E-2</v>
      </c>
      <c r="P27" s="198">
        <v>1.45157709582117E-4</v>
      </c>
      <c r="Q27" s="198">
        <v>1.3959560694728184E-2</v>
      </c>
      <c r="R27" s="1">
        <v>1.3829656029549768E-4</v>
      </c>
      <c r="S27" s="182">
        <v>1.3829656029549768E-4</v>
      </c>
      <c r="T27" s="1">
        <v>8.2654821947342055E-2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2.9054220587802819E-2</v>
      </c>
      <c r="L28" s="188">
        <v>8.2988500000000007E-5</v>
      </c>
      <c r="M28" s="233">
        <v>82988</v>
      </c>
      <c r="N28" s="195">
        <v>8.2987999999999999E-5</v>
      </c>
      <c r="O28" s="211">
        <v>9.2733087143651357E-3</v>
      </c>
      <c r="P28" s="198">
        <v>9.1698092753920201E-5</v>
      </c>
      <c r="Q28" s="198">
        <v>1.0246598576006058E-2</v>
      </c>
      <c r="R28" s="1">
        <v>8.7363811746771943E-5</v>
      </c>
      <c r="S28" s="182">
        <v>8.7363811746771943E-5</v>
      </c>
      <c r="T28" s="1">
        <v>3.0586014422263219E-2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1.0205324583374571E-2</v>
      </c>
      <c r="L29" s="188">
        <v>2.01075E-5</v>
      </c>
      <c r="M29" s="233">
        <v>20107</v>
      </c>
      <c r="N29" s="195">
        <v>2.0106999999999999E-5</v>
      </c>
      <c r="O29" s="211">
        <v>2.633806536742569E-3</v>
      </c>
      <c r="P29" s="198">
        <v>2.22748403450818E-5</v>
      </c>
      <c r="Q29" s="198">
        <v>2.9177709308088502E-3</v>
      </c>
      <c r="R29" s="1">
        <v>2.1221978561968865E-5</v>
      </c>
      <c r="S29" s="182">
        <v>2.1221978561968865E-5</v>
      </c>
      <c r="T29" s="1">
        <v>1.077096503922959E-2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7.3227439823477149E-3</v>
      </c>
      <c r="L30" s="188">
        <v>1.35335E-5</v>
      </c>
      <c r="M30" s="233">
        <v>13533</v>
      </c>
      <c r="N30" s="195">
        <v>1.3533000000000001E-5</v>
      </c>
      <c r="O30" s="211">
        <v>2.0453378162059712E-3</v>
      </c>
      <c r="P30" s="198">
        <v>1.4849893563387901E-5</v>
      </c>
      <c r="Q30" s="198">
        <v>2.2443692360770645E-3</v>
      </c>
      <c r="R30" s="1">
        <v>1.4147985707979275E-5</v>
      </c>
      <c r="S30" s="182">
        <v>1.4147985707979275E-5</v>
      </c>
      <c r="T30" s="1">
        <v>7.6552316256287521E-3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8.4683812923875505E-3</v>
      </c>
      <c r="L31" s="188">
        <v>1.20595E-5</v>
      </c>
      <c r="M31" s="233">
        <v>12059</v>
      </c>
      <c r="N31" s="195">
        <v>1.2058999999999999E-5</v>
      </c>
      <c r="O31" s="211">
        <v>2.0677157926629599E-3</v>
      </c>
      <c r="P31" s="198">
        <v>1.33649042070491E-5</v>
      </c>
      <c r="Q31" s="198">
        <v>2.2916347538222952E-3</v>
      </c>
      <c r="R31" s="1">
        <v>1.2733187137181338E-5</v>
      </c>
      <c r="S31" s="182">
        <v>1.2733187137181338E-5</v>
      </c>
      <c r="T31" s="1">
        <v>8.9414555947573467E-3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4.1385488297749828E-3</v>
      </c>
      <c r="L32" s="188">
        <v>5.3545000000000001E-6</v>
      </c>
      <c r="M32" s="233">
        <v>5354</v>
      </c>
      <c r="N32" s="195">
        <v>5.3539999999999999E-6</v>
      </c>
      <c r="O32" s="211">
        <v>1.0284609941810666E-3</v>
      </c>
      <c r="P32" s="198">
        <v>5.9399574253551498E-6</v>
      </c>
      <c r="Q32" s="198">
        <v>1.1410187745748909E-3</v>
      </c>
      <c r="R32" s="1">
        <v>5.6591942831917002E-6</v>
      </c>
      <c r="S32" s="182">
        <v>5.6591942831917002E-6</v>
      </c>
      <c r="T32" s="1">
        <v>4.374050215365073E-3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2.2745219589527573E-3</v>
      </c>
      <c r="L33" s="188">
        <v>5.6945000000000003E-6</v>
      </c>
      <c r="M33" s="233">
        <v>5694</v>
      </c>
      <c r="N33" s="195">
        <v>5.694E-6</v>
      </c>
      <c r="O33" s="211">
        <v>1.2769132938131166E-3</v>
      </c>
      <c r="P33" s="198">
        <v>6.3112047644398504E-6</v>
      </c>
      <c r="Q33" s="198">
        <v>1.4153251253406962E-3</v>
      </c>
      <c r="R33" s="1">
        <v>6.0128939258911849E-6</v>
      </c>
      <c r="S33" s="182">
        <v>6.0128939258911849E-6</v>
      </c>
      <c r="T33" s="1">
        <v>2.4016962457271318E-3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3.8472876765543014E-4</v>
      </c>
      <c r="L34" s="188">
        <v>6.6950000000000001E-7</v>
      </c>
      <c r="M34" s="233">
        <v>669</v>
      </c>
      <c r="N34" s="195">
        <v>6.6899999999999997E-7</v>
      </c>
      <c r="O34" s="211">
        <v>1.8414629495830045E-4</v>
      </c>
      <c r="P34" s="198">
        <v>7.4249467816939405E-7</v>
      </c>
      <c r="Q34" s="198">
        <v>2.0437614949349718E-4</v>
      </c>
      <c r="R34" s="1">
        <v>7.0739928539896273E-7</v>
      </c>
      <c r="S34" s="182">
        <v>7.0739928539896273E-7</v>
      </c>
      <c r="T34" s="1">
        <v>4.0650762555918574E-4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2.8032362129657405E-4</v>
      </c>
      <c r="L35" s="188">
        <v>3.3550000000000001E-7</v>
      </c>
      <c r="M35" s="233">
        <v>335</v>
      </c>
      <c r="N35" s="195">
        <v>3.3500000000000002E-7</v>
      </c>
      <c r="O35" s="211">
        <v>1.087490116332214E-4</v>
      </c>
      <c r="P35" s="198">
        <v>3.7124733908469702E-7</v>
      </c>
      <c r="Q35" s="198">
        <v>1.2051576476693792E-4</v>
      </c>
      <c r="R35" s="1">
        <v>3.5369964269948137E-7</v>
      </c>
      <c r="S35" s="182">
        <v>3.5369964269948137E-7</v>
      </c>
      <c r="T35" s="1">
        <v>2.9553014811571675E-4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9.9288096529920113E-5</v>
      </c>
      <c r="L39" s="188">
        <v>6.3499999999999993E-8</v>
      </c>
      <c r="M39" s="233">
        <v>63</v>
      </c>
      <c r="N39" s="195">
        <v>6.2999999999999995E-8</v>
      </c>
      <c r="O39" s="211">
        <v>3.3060525523607892E-5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3.648504265991822E-4</v>
      </c>
      <c r="R48" s="1">
        <v>3.5369964269948137E-7</v>
      </c>
      <c r="S48" s="182">
        <v>3.5369964269948137E-7</v>
      </c>
      <c r="T48" s="1">
        <v>1.5833634429325218E-3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8.4363054889395375E-5</v>
      </c>
      <c r="L49" s="188">
        <v>2.0849999999999997E-7</v>
      </c>
      <c r="M49" s="233">
        <v>208</v>
      </c>
      <c r="N49" s="195">
        <v>2.0800000000000001E-7</v>
      </c>
      <c r="O49" s="211">
        <v>2.9296042522151879E-4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1.8944459405307468E-2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1650165.0165016502</v>
      </c>
      <c r="O64" s="220" cm="1">
        <f t="array" ref="O64:O65">N66/N64:N65</f>
        <v>2.121</v>
      </c>
    </row>
    <row r="65" spans="1:47" ht="16.8" thickBot="1">
      <c r="L65" s="180"/>
      <c r="M65" s="124" t="s">
        <v>179</v>
      </c>
      <c r="N65" s="253">
        <f>1/N49</f>
        <v>4807692.307692307</v>
      </c>
      <c r="O65" s="220">
        <v>0.72800000000000009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0.88000000000702283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0.95615370270296507</v>
      </c>
      <c r="R68" s="216">
        <f>1-SUM(_xlfn.ANCHORARRAY(R69))</f>
        <v>3.7811601420108087E-2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1.118204446834375</v>
      </c>
      <c r="L69" s="185" cm="1">
        <f t="array" ref="L69:L126">K69:K126*_xlfn.ANCHORARRAY(J69)*_xlfn.ANCHORARRAY(F69)</f>
        <v>0.88921616849999996</v>
      </c>
      <c r="M69" s="240" cm="1">
        <f t="array" ref="M69:M126">INT(_xlfn.ANCHORARRAY(L69)*$M$2)</f>
        <v>889216168</v>
      </c>
      <c r="N69" s="194" cm="1">
        <f t="array" ref="N69:N126">_xlfn.ANCHORARRAY(M69)/SUM(_xlfn.ANCHORARRAY(M69))</f>
        <v>0.88921616800000003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0.84686224286319678</v>
      </c>
      <c r="S69" s="182">
        <f>R69+R68</f>
        <v>0.88467384428330487</v>
      </c>
      <c r="T69" s="213" cm="1">
        <f t="array" ref="T69:T120">S69:S120/F69:F120</f>
        <v>1.1124923969212026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0.87651105907147508</v>
      </c>
      <c r="L70" s="188">
        <v>3.9027434999999999E-3</v>
      </c>
      <c r="M70" s="233">
        <v>3902743</v>
      </c>
      <c r="N70" s="195">
        <v>3.9027430000000002E-3</v>
      </c>
      <c r="O70" s="211">
        <v>2.0814629333333334E-3</v>
      </c>
      <c r="P70" s="183">
        <v>4.1935503124571009E-3</v>
      </c>
      <c r="Q70" s="183">
        <v>2.2365601666437872E-3</v>
      </c>
      <c r="R70" s="1">
        <v>4.0349854595073033E-3</v>
      </c>
      <c r="S70" s="182" cm="1">
        <f t="array" ref="S70:S120">R70:R120</f>
        <v>4.0349854595073033E-3</v>
      </c>
      <c r="T70" s="1">
        <v>0.90621107394086975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0.89447188828768365</v>
      </c>
      <c r="L71" s="188">
        <v>1.13006505E-2</v>
      </c>
      <c r="M71" s="233">
        <v>11300650</v>
      </c>
      <c r="N71" s="195">
        <v>1.1300650000000001E-2</v>
      </c>
      <c r="O71" s="211">
        <v>1.250380336812444E-2</v>
      </c>
      <c r="P71" s="183">
        <v>1.217001008696275E-2</v>
      </c>
      <c r="Q71" s="183">
        <v>1.3465722158944241E-2</v>
      </c>
      <c r="R71" s="1">
        <v>1.1709842516275819E-2</v>
      </c>
      <c r="S71" s="1">
        <v>1.1709842516275819E-2</v>
      </c>
      <c r="T71" s="1">
        <v>0.92686035614362483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0.75692633335737114</v>
      </c>
      <c r="L72" s="188">
        <v>5.7834705000000004E-3</v>
      </c>
      <c r="M72" s="233">
        <v>5783470</v>
      </c>
      <c r="N72" s="195">
        <v>5.7834699999999998E-3</v>
      </c>
      <c r="O72" s="211">
        <v>1.0778157430399263E-2</v>
      </c>
      <c r="P72" s="183">
        <v>6.2383985006834062E-3</v>
      </c>
      <c r="Q72" s="183">
        <v>1.1625968692486083E-2</v>
      </c>
      <c r="R72" s="1">
        <v>6.0025146630757649E-3</v>
      </c>
      <c r="S72" s="1">
        <v>6.0025146630757649E-3</v>
      </c>
      <c r="T72" s="1">
        <v>0.78559429236230993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0.75135326779115552</v>
      </c>
      <c r="L73" s="188">
        <v>1.06628855E-2</v>
      </c>
      <c r="M73" s="233">
        <v>10662885</v>
      </c>
      <c r="N73" s="195">
        <v>1.0662885E-2</v>
      </c>
      <c r="O73" s="211">
        <v>2.5943894120508969E-2</v>
      </c>
      <c r="P73" s="183">
        <v>1.1511074768865306E-2</v>
      </c>
      <c r="Q73" s="183">
        <v>2.8007626924298982E-2</v>
      </c>
      <c r="R73" s="1">
        <v>1.1075822597787909E-2</v>
      </c>
      <c r="S73" s="1">
        <v>1.1075822597787909E-2</v>
      </c>
      <c r="T73" s="1">
        <v>0.78045061088980749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0.81744625360168988</v>
      </c>
      <c r="L74" s="188">
        <v>9.9488735000000002E-3</v>
      </c>
      <c r="M74" s="233">
        <v>9948873</v>
      </c>
      <c r="N74" s="195">
        <v>9.9488730000000004E-3</v>
      </c>
      <c r="O74" s="211">
        <v>3.1980741739977177E-2</v>
      </c>
      <c r="P74" s="183">
        <v>1.0749479238165724E-2</v>
      </c>
      <c r="Q74" s="183">
        <v>3.4554297693319094E-2</v>
      </c>
      <c r="R74" s="1">
        <v>1.0343024213738476E-2</v>
      </c>
      <c r="S74" s="1">
        <v>1.0343024213738476E-2</v>
      </c>
      <c r="T74" s="1">
        <v>0.84983153061822336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0.6947774518757931</v>
      </c>
      <c r="L75" s="188">
        <v>8.7894224999999996E-3</v>
      </c>
      <c r="M75" s="233">
        <v>8789422</v>
      </c>
      <c r="N75" s="195">
        <v>8.7894219999999999E-3</v>
      </c>
      <c r="O75" s="211">
        <v>3.5037891421541609E-2</v>
      </c>
      <c r="P75" s="183">
        <v>9.5020382827095129E-3</v>
      </c>
      <c r="Q75" s="183">
        <v>3.7878643855410239E-2</v>
      </c>
      <c r="R75" s="1">
        <v>9.1427509984850931E-3</v>
      </c>
      <c r="S75" s="1">
        <v>9.1427509984850931E-3</v>
      </c>
      <c r="T75" s="1">
        <v>0.72270700855060011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0.71003112545128722</v>
      </c>
      <c r="L76" s="188">
        <v>2.0056235E-3</v>
      </c>
      <c r="M76" s="233">
        <v>2005623</v>
      </c>
      <c r="N76" s="195">
        <v>2.0056230000000002E-3</v>
      </c>
      <c r="O76" s="211">
        <v>8.666922147736008E-3</v>
      </c>
      <c r="P76" s="183">
        <v>2.168995422070752E-3</v>
      </c>
      <c r="Q76" s="183">
        <v>9.3729053076689918E-3</v>
      </c>
      <c r="R76" s="1">
        <v>2.0869822316893737E-3</v>
      </c>
      <c r="S76" s="1">
        <v>2.0869822316893737E-3</v>
      </c>
      <c r="T76" s="1">
        <v>0.73883375556940023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0.64638232256500683</v>
      </c>
      <c r="L77" s="188">
        <v>9.1413184999999987E-3</v>
      </c>
      <c r="M77" s="233">
        <v>9141318</v>
      </c>
      <c r="N77" s="195">
        <v>9.1413180000000007E-3</v>
      </c>
      <c r="O77" s="211">
        <v>4.6939196809161067E-2</v>
      </c>
      <c r="P77" s="183">
        <v>9.891192111875757E-3</v>
      </c>
      <c r="Q77" s="183">
        <v>5.0789679695702264E-2</v>
      </c>
      <c r="R77" s="1">
        <v>9.5171902981717928E-3</v>
      </c>
      <c r="S77" s="1">
        <v>9.5171902981717928E-3</v>
      </c>
      <c r="T77" s="1">
        <v>0.67296020472598495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0.54032482911702229</v>
      </c>
      <c r="L78" s="188">
        <v>3.4515144999999999E-3</v>
      </c>
      <c r="M78" s="233">
        <v>3451514</v>
      </c>
      <c r="N78" s="195">
        <v>3.4515140000000001E-3</v>
      </c>
      <c r="O78" s="211">
        <v>2.0557883844321979E-2</v>
      </c>
      <c r="P78" s="183">
        <v>3.7363542493568814E-3</v>
      </c>
      <c r="Q78" s="183">
        <v>2.2254447369912916E-2</v>
      </c>
      <c r="R78" s="1">
        <v>3.595076711715872E-3</v>
      </c>
      <c r="S78" s="1">
        <v>3.595076711715872E-3</v>
      </c>
      <c r="T78" s="1">
        <v>0.56279908716027849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0.94080554077175871</v>
      </c>
      <c r="L79" s="188">
        <v>8.0289455000000006E-3</v>
      </c>
      <c r="M79" s="233">
        <v>8028945</v>
      </c>
      <c r="N79" s="195">
        <v>8.0289449999999991E-3</v>
      </c>
      <c r="O79" s="211">
        <v>5.2206462805154549E-2</v>
      </c>
      <c r="P79" s="183">
        <v>8.6938875393182645E-3</v>
      </c>
      <c r="Q79" s="183">
        <v>5.6530106564886877E-2</v>
      </c>
      <c r="R79" s="1">
        <v>8.3651577288903177E-3</v>
      </c>
      <c r="S79" s="1">
        <v>8.3651577288903177E-3</v>
      </c>
      <c r="T79" s="1">
        <v>0.98020178873672914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0.64380443591238001</v>
      </c>
      <c r="L80" s="188">
        <v>1.40034875E-2</v>
      </c>
      <c r="M80" s="233">
        <v>14003487</v>
      </c>
      <c r="N80" s="195">
        <v>1.4003487E-2</v>
      </c>
      <c r="O80" s="211">
        <v>0.11919792600341142</v>
      </c>
      <c r="P80" s="183">
        <v>1.5175805614081161E-2</v>
      </c>
      <c r="Q80" s="183">
        <v>0.12917672252842466</v>
      </c>
      <c r="R80" s="1">
        <v>1.4601984100972486E-2</v>
      </c>
      <c r="S80" s="1">
        <v>1.4601984100972486E-2</v>
      </c>
      <c r="T80" s="1">
        <v>0.67132006490012808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0.62116243292802387</v>
      </c>
      <c r="L81" s="188">
        <v>8.8142824999999994E-3</v>
      </c>
      <c r="M81" s="233">
        <v>8814282</v>
      </c>
      <c r="N81" s="195">
        <v>8.8142819999999997E-3</v>
      </c>
      <c r="O81" s="211">
        <v>0.10501081868058504</v>
      </c>
      <c r="P81" s="183">
        <v>9.5617244528270352E-3</v>
      </c>
      <c r="Q81" s="183">
        <v>0.11391563292274244</v>
      </c>
      <c r="R81" s="1">
        <v>9.2001803389278377E-3</v>
      </c>
      <c r="S81" s="1">
        <v>9.2001803389278377E-3</v>
      </c>
      <c r="T81" s="1">
        <v>0.64835752685541759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0.61835577791582785</v>
      </c>
      <c r="L82" s="188">
        <v>4.9201684999999997E-3</v>
      </c>
      <c r="M82" s="233">
        <v>4920168</v>
      </c>
      <c r="N82" s="195">
        <v>4.9201679999999999E-3</v>
      </c>
      <c r="O82" s="211">
        <v>7.6249801872452908E-2</v>
      </c>
      <c r="P82" s="183">
        <v>5.3419122255182255E-3</v>
      </c>
      <c r="Q82" s="183">
        <v>8.2785740002332978E-2</v>
      </c>
      <c r="R82" s="1">
        <v>5.1399259696257278E-3</v>
      </c>
      <c r="S82" s="1">
        <v>5.1399259696257278E-3</v>
      </c>
      <c r="T82" s="1">
        <v>0.64597440542487172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0.59164942952784583</v>
      </c>
      <c r="L83" s="188">
        <v>3.2788104999999998E-3</v>
      </c>
      <c r="M83" s="233">
        <v>3278810</v>
      </c>
      <c r="N83" s="195">
        <v>3.2788100000000001E-3</v>
      </c>
      <c r="O83" s="211">
        <v>6.2160985678699494E-2</v>
      </c>
      <c r="P83" s="183">
        <v>3.5620706326137171E-3</v>
      </c>
      <c r="Q83" s="183">
        <v>6.7531153552788159E-2</v>
      </c>
      <c r="R83" s="1">
        <v>3.4273830376230548E-3</v>
      </c>
      <c r="S83" s="1">
        <v>3.4273830376230548E-3</v>
      </c>
      <c r="T83" s="1">
        <v>0.6184588035762042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0.21659743633139317</v>
      </c>
      <c r="L84" s="188">
        <v>5.8870750000000001E-4</v>
      </c>
      <c r="M84" s="233">
        <v>588707</v>
      </c>
      <c r="N84" s="195">
        <v>5.8870700000000005E-4</v>
      </c>
      <c r="O84" s="211">
        <v>1.2787628954099295E-2</v>
      </c>
      <c r="P84" s="183">
        <v>6.3983574365983657E-4</v>
      </c>
      <c r="Q84" s="183">
        <v>1.3898224552268241E-2</v>
      </c>
      <c r="R84" s="1">
        <v>6.156425295462324E-4</v>
      </c>
      <c r="S84" s="1">
        <v>6.156425295462324E-4</v>
      </c>
      <c r="T84" s="1">
        <v>0.22650738031414228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0.40956303316631826</v>
      </c>
      <c r="L85" s="188">
        <v>1.9760245E-3</v>
      </c>
      <c r="M85" s="233">
        <v>1976024</v>
      </c>
      <c r="N85" s="195">
        <v>1.9760239999999998E-3</v>
      </c>
      <c r="O85" s="211">
        <v>5.0422583142581731E-2</v>
      </c>
      <c r="P85" s="183">
        <v>2.1487021242307947E-3</v>
      </c>
      <c r="Q85" s="183">
        <v>5.482884393492652E-2</v>
      </c>
      <c r="R85" s="1">
        <v>2.0674562559388405E-3</v>
      </c>
      <c r="S85" s="1">
        <v>2.0674562559388405E-3</v>
      </c>
      <c r="T85" s="1">
        <v>0.42851374318536611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0.32251479664617316</v>
      </c>
      <c r="L86" s="188">
        <v>6.7487349999999994E-4</v>
      </c>
      <c r="M86" s="233">
        <v>674873</v>
      </c>
      <c r="N86" s="195">
        <v>6.7487299999999999E-4</v>
      </c>
      <c r="O86" s="211">
        <v>1.9585922931784332E-2</v>
      </c>
      <c r="P86" s="183">
        <v>7.3413989244552143E-4</v>
      </c>
      <c r="Q86" s="183">
        <v>2.1305945495799096E-2</v>
      </c>
      <c r="R86" s="1">
        <v>7.0638088744577035E-4</v>
      </c>
      <c r="S86" s="1">
        <v>7.0638088744577035E-4</v>
      </c>
      <c r="T86" s="1">
        <v>0.33757183867690166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0.38036054541277586</v>
      </c>
      <c r="L87" s="188">
        <v>9.8512050000000009E-4</v>
      </c>
      <c r="M87" s="233">
        <v>985120</v>
      </c>
      <c r="N87" s="195">
        <v>9.8511999999999992E-4</v>
      </c>
      <c r="O87" s="211">
        <v>3.1607408516584584E-2</v>
      </c>
      <c r="P87" s="183">
        <v>1.0719636153106963E-3</v>
      </c>
      <c r="Q87" s="183">
        <v>3.4393771219790592E-2</v>
      </c>
      <c r="R87" s="1">
        <v>1.0314309543517101E-3</v>
      </c>
      <c r="S87" s="1">
        <v>1.0314309543517101E-3</v>
      </c>
      <c r="T87" s="1">
        <v>0.39824127134988702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0.23106857025350636</v>
      </c>
      <c r="L88" s="188">
        <v>9.5062949999999988E-4</v>
      </c>
      <c r="M88" s="233">
        <v>950629</v>
      </c>
      <c r="N88" s="195">
        <v>9.5062900000000004E-4</v>
      </c>
      <c r="O88" s="211">
        <v>3.5988486985213106E-2</v>
      </c>
      <c r="P88" s="183">
        <v>1.0349581898378326E-3</v>
      </c>
      <c r="Q88" s="183">
        <v>3.9180983691028314E-2</v>
      </c>
      <c r="R88" s="1">
        <v>9.958247632772079E-4</v>
      </c>
      <c r="S88" s="1">
        <v>9.958247632772079E-4</v>
      </c>
      <c r="T88" s="1">
        <v>0.24205413809849249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4.4310703964317424E-2</v>
      </c>
      <c r="L89" s="188">
        <v>1.0959650000000001E-4</v>
      </c>
      <c r="M89" s="233">
        <v>109596</v>
      </c>
      <c r="N89" s="195">
        <v>1.09596E-4</v>
      </c>
      <c r="O89" s="211">
        <v>4.7857144152058497E-3</v>
      </c>
      <c r="P89" s="183">
        <v>1.1937234023504414E-4</v>
      </c>
      <c r="Q89" s="183">
        <v>5.2126166049829186E-3</v>
      </c>
      <c r="R89" s="1">
        <v>1.1485868088549111E-4</v>
      </c>
      <c r="S89" s="1">
        <v>1.1485868088549111E-4</v>
      </c>
      <c r="T89" s="1">
        <v>4.6438243980866184E-2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0.11276772779891626</v>
      </c>
      <c r="L90" s="188">
        <v>3.6267150000000002E-4</v>
      </c>
      <c r="M90" s="233">
        <v>362671</v>
      </c>
      <c r="N90" s="195">
        <v>3.6267100000000001E-4</v>
      </c>
      <c r="O90" s="211">
        <v>1.8416574985247715E-2</v>
      </c>
      <c r="P90" s="183">
        <v>4.0586595679915005E-4</v>
      </c>
      <c r="Q90" s="183">
        <v>2.0610031757021807E-2</v>
      </c>
      <c r="R90" s="1">
        <v>3.9051951501066978E-4</v>
      </c>
      <c r="S90" s="1">
        <v>3.9051951501066978E-4</v>
      </c>
      <c r="T90" s="1">
        <v>0.12142668604753337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0.10028208912023308</v>
      </c>
      <c r="L91" s="188">
        <v>2.1134350000000002E-4</v>
      </c>
      <c r="M91" s="233">
        <v>211343</v>
      </c>
      <c r="N91" s="195">
        <v>2.1134300000000001E-4</v>
      </c>
      <c r="O91" s="211">
        <v>1.2161613073116551E-2</v>
      </c>
      <c r="P91" s="183">
        <v>2.3038861665363518E-4</v>
      </c>
      <c r="Q91" s="183">
        <v>1.3257582281845563E-2</v>
      </c>
      <c r="R91" s="1">
        <v>2.2167725410899785E-4</v>
      </c>
      <c r="S91" s="1">
        <v>2.2167725410899785E-4</v>
      </c>
      <c r="T91" s="1">
        <v>0.10518543580704907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0.1692883432127486</v>
      </c>
      <c r="L92" s="188">
        <v>3.546755E-4</v>
      </c>
      <c r="M92" s="233">
        <v>354675</v>
      </c>
      <c r="N92" s="195">
        <v>3.5467499999999999E-4</v>
      </c>
      <c r="O92" s="211">
        <v>2.2743156536647227E-2</v>
      </c>
      <c r="P92" s="183">
        <v>3.8676638236154301E-4</v>
      </c>
      <c r="Q92" s="183">
        <v>2.4800982243353292E-2</v>
      </c>
      <c r="R92" s="1">
        <v>3.7214212606899124E-4</v>
      </c>
      <c r="S92" s="1">
        <v>3.7214212606899124E-4</v>
      </c>
      <c r="T92" s="1">
        <v>0.17762524888775613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5.0780247449266305E-2</v>
      </c>
      <c r="L93" s="188">
        <v>1.8163150000000003E-4</v>
      </c>
      <c r="M93" s="233">
        <v>181631</v>
      </c>
      <c r="N93" s="195">
        <v>1.81631E-4</v>
      </c>
      <c r="O93" s="211">
        <v>1.3534611633079568E-2</v>
      </c>
      <c r="P93" s="183">
        <v>1.9815808479017326E-4</v>
      </c>
      <c r="Q93" s="183">
        <v>1.476616172123617E-2</v>
      </c>
      <c r="R93" s="1">
        <v>1.9066541026991525E-4</v>
      </c>
      <c r="S93" s="1">
        <v>1.9066541026991525E-4</v>
      </c>
      <c r="T93" s="1">
        <v>5.3305933791892794E-2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1.6861780991001152E-2</v>
      </c>
      <c r="L94" s="188">
        <v>4.1556500000000001E-5</v>
      </c>
      <c r="M94" s="233">
        <v>41556</v>
      </c>
      <c r="N94" s="195">
        <v>4.1556E-5</v>
      </c>
      <c r="O94" s="211">
        <v>3.6290761779169973E-3</v>
      </c>
      <c r="P94" s="183">
        <v>4.5361489289316774E-5</v>
      </c>
      <c r="Q94" s="183">
        <v>3.9614087057150962E-3</v>
      </c>
      <c r="R94" s="1">
        <v>4.3646298736486627E-5</v>
      </c>
      <c r="S94" s="1">
        <v>4.3646298736486627E-5</v>
      </c>
      <c r="T94" s="1">
        <v>1.7709728450722457E-2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5.7630439292345514E-2</v>
      </c>
      <c r="L95" s="188">
        <v>1.3445850000000001E-4</v>
      </c>
      <c r="M95" s="233">
        <v>134458</v>
      </c>
      <c r="N95" s="195">
        <v>1.3445800000000001E-4</v>
      </c>
      <c r="O95" s="211">
        <v>1.3549105974199427E-2</v>
      </c>
      <c r="P95" s="183">
        <v>1.4682797848910429E-4</v>
      </c>
      <c r="Q95" s="183">
        <v>1.4795607851718363E-2</v>
      </c>
      <c r="R95" s="1">
        <v>1.4127617748915406E-4</v>
      </c>
      <c r="S95" s="1">
        <v>1.4127617748915406E-4</v>
      </c>
      <c r="T95" s="1">
        <v>6.0552573249317246E-2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1.8296569585068263E-2</v>
      </c>
      <c r="L96" s="188">
        <v>3.2780500000000002E-5</v>
      </c>
      <c r="M96" s="233">
        <v>32780</v>
      </c>
      <c r="N96" s="195">
        <v>3.2780000000000001E-5</v>
      </c>
      <c r="O96" s="211">
        <v>3.7473689432029863E-3</v>
      </c>
      <c r="P96" s="183">
        <v>3.5811702070513243E-5</v>
      </c>
      <c r="Q96" s="183">
        <v>4.0939493637059E-3</v>
      </c>
      <c r="R96" s="1">
        <v>3.4457604265647338E-5</v>
      </c>
      <c r="S96" s="1">
        <v>3.4457604265647338E-5</v>
      </c>
      <c r="T96" s="1">
        <v>1.9232652161533883E-2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2.4731121603528586E-2</v>
      </c>
      <c r="L97" s="188">
        <v>4.0415500000000006E-5</v>
      </c>
      <c r="M97" s="233">
        <v>40415</v>
      </c>
      <c r="N97" s="195">
        <v>4.0414999999999998E-5</v>
      </c>
      <c r="O97" s="211">
        <v>5.1765323612398186E-3</v>
      </c>
      <c r="P97" s="183">
        <v>4.4167765886966334E-5</v>
      </c>
      <c r="Q97" s="183">
        <v>5.6572032521970891E-3</v>
      </c>
      <c r="R97" s="1">
        <v>4.2497711927631718E-5</v>
      </c>
      <c r="S97" s="1">
        <v>4.2497711927631718E-5</v>
      </c>
      <c r="T97" s="1">
        <v>2.6005272273112719E-2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1.7594318756319515E-2</v>
      </c>
      <c r="L98" s="188">
        <v>5.5682500000000008E-5</v>
      </c>
      <c r="M98" s="233">
        <v>55682</v>
      </c>
      <c r="N98" s="195">
        <v>5.5682E-5</v>
      </c>
      <c r="O98" s="211">
        <v>8.3275440539846649E-3</v>
      </c>
      <c r="P98" s="183">
        <v>6.087989351987251E-5</v>
      </c>
      <c r="Q98" s="183">
        <v>9.1049171238215907E-3</v>
      </c>
      <c r="R98" s="1">
        <v>5.8577927251600465E-5</v>
      </c>
      <c r="S98" s="1">
        <v>5.8577927251600465E-5</v>
      </c>
      <c r="T98" s="1">
        <v>1.8509203504676587E-2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9.979438830062113E-3</v>
      </c>
      <c r="L99" s="188">
        <v>2.1821499999999998E-5</v>
      </c>
      <c r="M99" s="233">
        <v>21821</v>
      </c>
      <c r="N99" s="195">
        <v>2.1821E-5</v>
      </c>
      <c r="O99" s="211">
        <v>4.0032085240152577E-3</v>
      </c>
      <c r="P99" s="183">
        <v>2.3874468047008827E-5</v>
      </c>
      <c r="Q99" s="183">
        <v>4.3799309835532577E-3</v>
      </c>
      <c r="R99" s="1">
        <v>2.2971736177098222E-5</v>
      </c>
      <c r="S99" s="1">
        <v>2.2971736177098222E-5</v>
      </c>
      <c r="T99" s="1">
        <v>1.0505466443630209E-2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1.4212682005185328E-3</v>
      </c>
      <c r="L100" s="188">
        <v>2.1785E-6</v>
      </c>
      <c r="M100" s="233">
        <v>2178</v>
      </c>
      <c r="N100" s="195">
        <v>2.1780000000000002E-6</v>
      </c>
      <c r="O100" s="211">
        <v>4.7155612010078385E-4</v>
      </c>
      <c r="P100" s="183">
        <v>2.3874468047008827E-6</v>
      </c>
      <c r="Q100" s="183">
        <v>5.1690319199805415E-4</v>
      </c>
      <c r="R100" s="1">
        <v>2.2971736177098222E-6</v>
      </c>
      <c r="S100" s="1">
        <v>2.2971736177098222E-6</v>
      </c>
      <c r="T100" s="1">
        <v>1.4986916749695144E-3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8.2262844728596906E-4</v>
      </c>
      <c r="L101" s="188">
        <v>1.0875E-6</v>
      </c>
      <c r="M101" s="233">
        <v>1087</v>
      </c>
      <c r="N101" s="195">
        <v>1.0869999999999999E-6</v>
      </c>
      <c r="O101" s="211">
        <v>2.7259688901018822E-4</v>
      </c>
      <c r="P101" s="183">
        <v>1.1937234023504413E-6</v>
      </c>
      <c r="Q101" s="183">
        <v>2.9936088851829581E-4</v>
      </c>
      <c r="R101" s="1">
        <v>1.1485868088549111E-6</v>
      </c>
      <c r="S101" s="1">
        <v>1.1485868088549111E-6</v>
      </c>
      <c r="T101" s="1">
        <v>8.688369500151372E-4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5.4105361661039072E-3</v>
      </c>
      <c r="L102" s="188">
        <v>5.4465000000000003E-6</v>
      </c>
      <c r="M102" s="233">
        <v>5446</v>
      </c>
      <c r="N102" s="195">
        <v>5.446E-6</v>
      </c>
      <c r="O102" s="211">
        <v>1.5443494927843955E-3</v>
      </c>
      <c r="P102" s="183">
        <v>5.9686170117522067E-6</v>
      </c>
      <c r="Q102" s="183">
        <v>1.6925506159977662E-3</v>
      </c>
      <c r="R102" s="1">
        <v>5.7429340442745555E-6</v>
      </c>
      <c r="S102" s="1">
        <v>5.7429340442745555E-6</v>
      </c>
      <c r="T102" s="1">
        <v>5.7050128240332069E-3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1.7604149949603465E-2</v>
      </c>
      <c r="L103" s="188">
        <v>1.5247499999999999E-5</v>
      </c>
      <c r="M103" s="233">
        <v>15247</v>
      </c>
      <c r="N103" s="195">
        <v>1.5247E-5</v>
      </c>
      <c r="O103" s="211">
        <v>4.8520586333205169E-3</v>
      </c>
      <c r="P103" s="183">
        <v>1.6712127632906179E-5</v>
      </c>
      <c r="Q103" s="183">
        <v>5.3183067595196963E-3</v>
      </c>
      <c r="R103" s="1">
        <v>1.6080215323968754E-5</v>
      </c>
      <c r="S103" s="1">
        <v>1.6080215323968754E-5</v>
      </c>
      <c r="T103" s="1">
        <v>1.8565569554684861E-2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5.2817648992843202E-3</v>
      </c>
      <c r="L104" s="188">
        <v>4.3534999999999999E-6</v>
      </c>
      <c r="M104" s="233">
        <v>4353</v>
      </c>
      <c r="N104" s="195">
        <v>4.3529999999999997E-6</v>
      </c>
      <c r="O104" s="211">
        <v>1.5230075842028699E-3</v>
      </c>
      <c r="P104" s="183">
        <v>4.7748936094017653E-6</v>
      </c>
      <c r="Q104" s="183">
        <v>1.6706177764485885E-3</v>
      </c>
      <c r="R104" s="1">
        <v>4.5943472354196444E-6</v>
      </c>
      <c r="S104" s="1">
        <v>4.5943472354196444E-6</v>
      </c>
      <c r="T104" s="1">
        <v>5.5739662256031773E-3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1.1539397658337322E-3</v>
      </c>
      <c r="R108" s="1">
        <v>2.2971736177098222E-6</v>
      </c>
      <c r="S108" s="1">
        <v>2.2971736177098222E-6</v>
      </c>
      <c r="T108" s="1">
        <v>6.6715272423141575E-3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2.6919493861664046E-4</v>
      </c>
      <c r="L114" s="188">
        <v>9.344999999999999E-7</v>
      </c>
      <c r="M114" s="233">
        <v>934</v>
      </c>
      <c r="N114" s="195">
        <v>9.3399999999999997E-7</v>
      </c>
      <c r="O114" s="211">
        <v>8.8308918294113543E-4</v>
      </c>
      <c r="P114" s="183">
        <v>1.1937234023504413E-6</v>
      </c>
      <c r="Q114" s="183">
        <v>1.1286554861235157E-3</v>
      </c>
      <c r="R114" s="1">
        <v>1.1485868088549111E-6</v>
      </c>
      <c r="S114" s="1">
        <v>1.1485868088549111E-6</v>
      </c>
      <c r="T114" s="1">
        <v>3.3086544195353747E-4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2.561582535234829E-4</v>
      </c>
      <c r="L115" s="188">
        <v>4.165E-7</v>
      </c>
      <c r="M115" s="233">
        <v>416</v>
      </c>
      <c r="N115" s="195">
        <v>4.1600000000000002E-7</v>
      </c>
      <c r="O115" s="211">
        <v>6.7085604113686307E-4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3.1472167825939486E-2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47732.696897374699</v>
      </c>
      <c r="O129" s="220" cm="1">
        <f t="array" ref="O129:O130">N131/N129:N130</f>
        <v>73.325000000000003</v>
      </c>
    </row>
    <row r="130" spans="1:55" ht="16.8" thickBot="1">
      <c r="M130" s="124" t="s">
        <v>179</v>
      </c>
      <c r="N130" s="218">
        <f>1/SUM(N115:N120)</f>
        <v>2403846.1538461535</v>
      </c>
      <c r="O130" s="220">
        <v>1.4560000000000002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0.88000000005662582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1.0811534443870878</v>
      </c>
      <c r="L134" s="185" cm="1">
        <f t="array" ref="L134:L191">K134:K191*_xlfn.ANCHORARRAY(J134)*_xlfn.ANCHORARRAY(F134)</f>
        <v>0.85973134750000002</v>
      </c>
      <c r="M134" s="240" cm="1">
        <f t="array" ref="M134:M191">INT(_xlfn.ANCHORARRAY(L134)*$M$2)</f>
        <v>859731347</v>
      </c>
      <c r="N134" s="194" cm="1">
        <f t="array" ref="N134:N191">_xlfn.ANCHORARRAY(M134)/SUM(_xlfn.ANCHORARRAY(M134))</f>
        <v>0.85973134699999998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1.1182320217047657</v>
      </c>
      <c r="Q134" s="1" cm="1">
        <f t="array" ref="Q134:Q191">IFERROR(_xlfn.ANCHORARRAY(N4)/(_xlfn.ANCHORARRAY(J69)*_xlfn.ANCHORARRAY(F69)),0)</f>
        <v>1.1198859476347363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2.5508779274260434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1.2473431756515023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1.4627071676780663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6.9374207064365239</v>
      </c>
      <c r="Q138" s="1">
        <v>0.83707973477783371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0.79613293460445422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5.7242476580491211</v>
      </c>
      <c r="Q140" s="1">
        <v>0.61137571654126388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0.66534050719758364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14.921145686322495</v>
      </c>
      <c r="L142" s="188">
        <v>3.2436720500000002E-2</v>
      </c>
      <c r="M142" s="233">
        <v>32436720</v>
      </c>
      <c r="N142" s="195">
        <v>3.2436720000000002E-2</v>
      </c>
      <c r="O142" s="211">
        <v>3.2436720000000002E-2</v>
      </c>
      <c r="P142" s="1">
        <v>4.2050779345280045</v>
      </c>
      <c r="Q142" s="1">
        <v>0.57057978919662034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0.46217201997980228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>
        <v>1.125</v>
      </c>
      <c r="I144" s="124" t="str">
        <f t="shared" si="5"/>
        <v>(9, 10]</v>
      </c>
      <c r="J144" s="160">
        <v>1</v>
      </c>
      <c r="K144" s="234">
        <v>7.478334960577449</v>
      </c>
      <c r="L144" s="188">
        <v>2.4441494499999997E-2</v>
      </c>
      <c r="M144" s="233">
        <v>24441494</v>
      </c>
      <c r="N144" s="195">
        <v>2.4441494000000001E-2</v>
      </c>
      <c r="O144" s="211">
        <v>3.0551867500000003E-2</v>
      </c>
      <c r="P144" s="1">
        <v>2.4566067385958541</v>
      </c>
      <c r="Q144" s="1">
        <v>0.69591257116435457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>
        <v>1.25</v>
      </c>
      <c r="I145" s="214" t="str">
        <f t="shared" si="5"/>
        <v>(10, 15]</v>
      </c>
      <c r="J145" s="160">
        <v>1</v>
      </c>
      <c r="K145" s="234">
        <v>1.4805756648987651</v>
      </c>
      <c r="L145" s="188">
        <v>3.9009645000000004E-3</v>
      </c>
      <c r="M145" s="233">
        <v>3900964</v>
      </c>
      <c r="N145" s="195">
        <v>3.9009639999999998E-3</v>
      </c>
      <c r="O145" s="211">
        <v>6.8157631290725685E-3</v>
      </c>
      <c r="P145" s="1">
        <v>5.3148963739419344</v>
      </c>
      <c r="Q145" s="1">
        <v>0.43487597506908948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>
        <v>1.875</v>
      </c>
      <c r="I146" s="124" t="str">
        <f t="shared" si="5"/>
        <v>(15, 20]</v>
      </c>
      <c r="J146" s="160">
        <v>1</v>
      </c>
      <c r="K146" s="234">
        <v>1.4862504275616322</v>
      </c>
      <c r="L146" s="188">
        <v>1.34003965E-2</v>
      </c>
      <c r="M146" s="233">
        <v>13400396</v>
      </c>
      <c r="N146" s="195">
        <v>1.3400396E-2</v>
      </c>
      <c r="O146" s="211">
        <v>3.1437141118282962E-2</v>
      </c>
      <c r="P146" s="1">
        <v>0.97760020691542948</v>
      </c>
      <c r="Q146" s="1">
        <v>0.39568963451675054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>
        <v>2.5</v>
      </c>
      <c r="I147" s="124" t="str">
        <f t="shared" si="5"/>
        <v>(20, 25]</v>
      </c>
      <c r="J147" s="160">
        <v>1</v>
      </c>
      <c r="K147" s="234">
        <v>1.4869384385635542</v>
      </c>
      <c r="L147" s="188">
        <v>8.4404975000000014E-3</v>
      </c>
      <c r="M147" s="233">
        <v>8440497</v>
      </c>
      <c r="N147" s="195">
        <v>8.4404969999999999E-3</v>
      </c>
      <c r="O147" s="211">
        <v>2.5637627475757197E-2</v>
      </c>
      <c r="P147" s="1">
        <v>0.86677200288138989</v>
      </c>
      <c r="Q147" s="1">
        <v>0.29576125346980597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>
        <v>3.125</v>
      </c>
      <c r="I148" s="124" t="str">
        <f t="shared" si="5"/>
        <v>(25, 30]</v>
      </c>
      <c r="J148" s="160">
        <v>1</v>
      </c>
      <c r="K148" s="234">
        <v>1.4888564238706317</v>
      </c>
      <c r="L148" s="188">
        <v>6.6950984999999998E-3</v>
      </c>
      <c r="M148" s="233">
        <v>6695098</v>
      </c>
      <c r="N148" s="195">
        <v>6.695098E-3</v>
      </c>
      <c r="O148" s="211">
        <v>2.5010981373076079E-2</v>
      </c>
      <c r="P148" s="1">
        <v>0.72914197321387675</v>
      </c>
      <c r="Q148" s="1">
        <v>0.36805518338493198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>
        <v>3.75</v>
      </c>
      <c r="I149" s="124" t="str">
        <f t="shared" si="5"/>
        <v>(30, 35]</v>
      </c>
      <c r="J149" s="160">
        <v>1</v>
      </c>
      <c r="K149" s="234">
        <v>1.4870902632888052</v>
      </c>
      <c r="L149" s="188">
        <v>4.4810594999999996E-3</v>
      </c>
      <c r="M149" s="233">
        <v>4481059</v>
      </c>
      <c r="N149" s="195">
        <v>4.4810589999999999E-3</v>
      </c>
      <c r="O149" s="211">
        <v>1.8008713127160625E-2</v>
      </c>
      <c r="P149" s="1">
        <v>0.1953690745748774</v>
      </c>
      <c r="Q149" s="1">
        <v>0.14338920816194381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>
        <v>4.375</v>
      </c>
      <c r="I150" s="214" t="str">
        <f t="shared" si="5"/>
        <v>(35, 40]</v>
      </c>
      <c r="J150" s="160">
        <v>1</v>
      </c>
      <c r="K150" s="234">
        <v>0.3715607131051174</v>
      </c>
      <c r="L150" s="188">
        <v>3.9261664999999998E-3</v>
      </c>
      <c r="M150" s="233">
        <v>3926166</v>
      </c>
      <c r="N150" s="195">
        <v>3.926166E-3</v>
      </c>
      <c r="O150" s="211">
        <v>1.9289735079443902E-2</v>
      </c>
      <c r="P150" s="1">
        <v>0.18700503062028226</v>
      </c>
      <c r="Q150" s="1">
        <v>0.1884623627431595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>
        <v>5</v>
      </c>
      <c r="I151" s="124" t="str">
        <f t="shared" si="5"/>
        <v>(40, 45]</v>
      </c>
      <c r="J151" s="160">
        <v>1</v>
      </c>
      <c r="K151" s="234">
        <v>3.6999448120927174</v>
      </c>
      <c r="L151" s="188">
        <v>8.3401085000000003E-3</v>
      </c>
      <c r="M151" s="233">
        <v>8340108</v>
      </c>
      <c r="N151" s="195">
        <v>8.3401080000000006E-3</v>
      </c>
      <c r="O151" s="211">
        <v>4.653217322980506E-2</v>
      </c>
      <c r="P151" s="1">
        <v>0.29939572790587177</v>
      </c>
      <c r="Q151" s="1">
        <v>0.10091539687508215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>
        <v>5.625</v>
      </c>
      <c r="I152" s="124" t="str">
        <f t="shared" si="5"/>
        <v>(45, 50]</v>
      </c>
      <c r="J152" s="160">
        <v>1</v>
      </c>
      <c r="K152" s="234">
        <v>0.3715950253830192</v>
      </c>
      <c r="L152" s="188">
        <v>2.8434324999999996E-3</v>
      </c>
      <c r="M152" s="233">
        <v>2843432</v>
      </c>
      <c r="N152" s="195">
        <v>2.8434319999999999E-3</v>
      </c>
      <c r="O152" s="211">
        <v>1.7444234718936021E-2</v>
      </c>
      <c r="P152" s="1">
        <v>0.12874077067253042</v>
      </c>
      <c r="Q152" s="1">
        <v>0.40761786356186275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>
        <v>6.25</v>
      </c>
      <c r="I153" s="214" t="str">
        <f t="shared" si="5"/>
        <v>(50, 60]</v>
      </c>
      <c r="J153" s="160">
        <v>1</v>
      </c>
      <c r="K153" s="234">
        <v>0.37118696919650124</v>
      </c>
      <c r="L153" s="188">
        <v>2.9521075E-3</v>
      </c>
      <c r="M153" s="233">
        <v>2952107</v>
      </c>
      <c r="N153" s="195">
        <v>2.9521069999999998E-3</v>
      </c>
      <c r="O153" s="211">
        <v>2.186055313783665E-2</v>
      </c>
      <c r="P153" s="1">
        <v>0.11952853930295587</v>
      </c>
      <c r="Q153" s="1">
        <v>0.10004428717339424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>
        <v>7.5</v>
      </c>
      <c r="I154" s="124" t="str">
        <f t="shared" si="5"/>
        <v>(60, 70]</v>
      </c>
      <c r="J154" s="160">
        <v>1</v>
      </c>
      <c r="K154" s="234">
        <v>0.37042601518683288</v>
      </c>
      <c r="L154" s="188">
        <v>8.0808249999999996E-4</v>
      </c>
      <c r="M154" s="233">
        <v>808082</v>
      </c>
      <c r="N154" s="195">
        <v>8.0808200000000001E-4</v>
      </c>
      <c r="O154" s="211">
        <v>6.6465798361361132E-3</v>
      </c>
      <c r="P154" s="1">
        <v>5.0238941643230908E-2</v>
      </c>
      <c r="Q154" s="1">
        <v>1.7107065518864185E-2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>
        <v>8.75</v>
      </c>
      <c r="I155" s="214" t="str">
        <f t="shared" si="5"/>
        <v>(70, 80]</v>
      </c>
      <c r="J155" s="160">
        <v>1</v>
      </c>
      <c r="K155" s="234">
        <v>0.14810149234929021</v>
      </c>
      <c r="L155" s="188">
        <v>1.5095175000000001E-3</v>
      </c>
      <c r="M155" s="233">
        <v>1509517</v>
      </c>
      <c r="N155" s="195">
        <v>1.5095169999999999E-3</v>
      </c>
      <c r="O155" s="211">
        <v>1.4685011050276905E-2</v>
      </c>
      <c r="P155" s="1">
        <v>3.5582307811475804E-2</v>
      </c>
      <c r="Q155" s="1">
        <v>5.6393269721988756E-2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>
        <v>10</v>
      </c>
      <c r="I156" s="124" t="str">
        <f t="shared" si="5"/>
        <v>(80, 90]</v>
      </c>
      <c r="J156" s="160">
        <v>1</v>
      </c>
      <c r="K156" s="234">
        <v>5.9311431033956419</v>
      </c>
      <c r="L156" s="188">
        <v>1.4182970499999999E-2</v>
      </c>
      <c r="M156" s="233">
        <v>14182970</v>
      </c>
      <c r="N156" s="195">
        <v>1.418297E-2</v>
      </c>
      <c r="O156" s="211">
        <v>0.15575340788180428</v>
      </c>
      <c r="P156" s="1">
        <v>8.8381032513671604E-2</v>
      </c>
      <c r="Q156" s="1">
        <v>3.3110951890637681E-2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>
        <v>11.25</v>
      </c>
      <c r="I157" s="124" t="str">
        <f t="shared" si="5"/>
        <v>(90, 100]</v>
      </c>
      <c r="J157" s="160">
        <v>1</v>
      </c>
      <c r="K157" s="234">
        <v>0.25806564441549101</v>
      </c>
      <c r="L157" s="188">
        <v>2.1359825E-3</v>
      </c>
      <c r="M157" s="233">
        <v>2135982</v>
      </c>
      <c r="N157" s="195">
        <v>2.1359819999999998E-3</v>
      </c>
      <c r="O157" s="211">
        <v>2.6462513082724518E-2</v>
      </c>
      <c r="P157" s="1">
        <v>4.2851208955627808E-2</v>
      </c>
      <c r="Q157" s="1">
        <v>6.2820957693128288E-2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>
        <v>12.5</v>
      </c>
      <c r="I158" s="124" t="str">
        <f t="shared" si="5"/>
        <v>(100, 120]</v>
      </c>
      <c r="J158" s="160">
        <v>1</v>
      </c>
      <c r="K158" s="234">
        <v>8.843202706876499E-2</v>
      </c>
      <c r="L158" s="188">
        <v>5.8637650000000006E-4</v>
      </c>
      <c r="M158" s="233">
        <v>586376</v>
      </c>
      <c r="N158" s="195">
        <v>5.86376E-4</v>
      </c>
      <c r="O158" s="211">
        <v>8.5612592699640579E-3</v>
      </c>
      <c r="P158" s="1">
        <v>2.7391952966271418E-2</v>
      </c>
      <c r="Q158" s="1">
        <v>2.3201653762258814E-2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>
        <v>15</v>
      </c>
      <c r="I159" s="124" t="str">
        <f t="shared" si="5"/>
        <v>(120, 140]</v>
      </c>
      <c r="J159" s="160">
        <v>1</v>
      </c>
      <c r="K159" s="234">
        <v>3.4737905969597208E-2</v>
      </c>
      <c r="L159" s="188">
        <v>8.3212499999999997E-5</v>
      </c>
      <c r="M159" s="233">
        <v>83212</v>
      </c>
      <c r="N159" s="195">
        <v>8.3212000000000002E-5</v>
      </c>
      <c r="O159" s="211">
        <v>1.377479193339381E-3</v>
      </c>
      <c r="P159" s="1">
        <v>1.7347975610305922E-2</v>
      </c>
      <c r="Q159" s="1">
        <v>8.1585270748513513E-3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>
        <v>17.5</v>
      </c>
      <c r="I160" s="124" t="str">
        <f t="shared" si="5"/>
        <v>(140, 160]</v>
      </c>
      <c r="J160" s="160">
        <v>1</v>
      </c>
      <c r="K160" s="234">
        <v>1.8740041296512702E-2</v>
      </c>
      <c r="L160" s="188">
        <v>1.4628450000000001E-4</v>
      </c>
      <c r="M160" s="233">
        <v>146284</v>
      </c>
      <c r="N160" s="195">
        <v>1.46284E-4</v>
      </c>
      <c r="O160" s="211">
        <v>2.8289354765317284E-3</v>
      </c>
      <c r="P160" s="1">
        <v>1.7224986055573249E-2</v>
      </c>
      <c r="Q160" s="1">
        <v>5.8003974084443292E-3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>
        <v>20</v>
      </c>
      <c r="I161" s="124" t="str">
        <f t="shared" si="5"/>
        <v>(160, 180]</v>
      </c>
      <c r="J161" s="160">
        <v>1</v>
      </c>
      <c r="K161" s="234">
        <v>2.2188692981904286</v>
      </c>
      <c r="L161" s="188">
        <v>4.8672185000000001E-3</v>
      </c>
      <c r="M161" s="233">
        <v>4867218</v>
      </c>
      <c r="N161" s="195">
        <v>4.8672180000000004E-3</v>
      </c>
      <c r="O161" s="211">
        <v>0.10627590432881991</v>
      </c>
      <c r="P161" s="1">
        <v>1.4943758040589764E-2</v>
      </c>
      <c r="Q161" s="1">
        <v>6.7307799645014007E-3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>
        <v>22.5</v>
      </c>
      <c r="I162" s="124" t="str">
        <f t="shared" si="5"/>
        <v>(180, 200]</v>
      </c>
      <c r="J162" s="160">
        <v>1</v>
      </c>
      <c r="K162" s="234">
        <v>9.8537733344410336E-3</v>
      </c>
      <c r="L162" s="188">
        <v>7.7570499999999999E-5</v>
      </c>
      <c r="M162" s="233">
        <v>77570</v>
      </c>
      <c r="N162" s="195">
        <v>7.7570000000000004E-5</v>
      </c>
      <c r="O162" s="211">
        <v>1.9279455962280439E-3</v>
      </c>
      <c r="P162" s="1">
        <v>5.1339136567565549E-3</v>
      </c>
      <c r="Q162" s="1">
        <v>3.2762287999725855E-3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>
        <v>25</v>
      </c>
      <c r="I163" s="124" t="str">
        <f t="shared" si="5"/>
        <v>(200, 250]</v>
      </c>
      <c r="J163" s="160">
        <v>1</v>
      </c>
      <c r="K163" s="234">
        <v>4.7045849613218463E-3</v>
      </c>
      <c r="L163" s="188">
        <v>3.0003499999999998E-5</v>
      </c>
      <c r="M163" s="233">
        <v>30003</v>
      </c>
      <c r="N163" s="195">
        <v>3.0003000000000001E-5</v>
      </c>
      <c r="O163" s="211">
        <v>8.7650426685526711E-4</v>
      </c>
      <c r="P163" s="1">
        <v>8.7310047099946018E-3</v>
      </c>
      <c r="Q163" s="1">
        <v>1.7991658240647118E-3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>
        <v>31.25</v>
      </c>
      <c r="I164" s="124" t="str">
        <f t="shared" si="5"/>
        <v>(250, 300]</v>
      </c>
      <c r="J164" s="160">
        <v>1</v>
      </c>
      <c r="K164" s="234">
        <v>0.33180158486749944</v>
      </c>
      <c r="L164" s="188">
        <v>2.0815015000000001E-3</v>
      </c>
      <c r="M164" s="233">
        <v>2081501</v>
      </c>
      <c r="N164" s="195">
        <v>2.0815009999999999E-3</v>
      </c>
      <c r="O164" s="211">
        <v>7.4719085818937506E-2</v>
      </c>
      <c r="P164" s="1">
        <v>3.4783748094314153E-3</v>
      </c>
      <c r="Q164" s="1">
        <v>3.0594801353305473E-4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>
        <v>37.5</v>
      </c>
      <c r="I165" s="124" t="str">
        <f t="shared" si="5"/>
        <v>(300, 350]</v>
      </c>
      <c r="J165" s="160">
        <v>1</v>
      </c>
      <c r="K165" s="234">
        <v>0.17143235917577837</v>
      </c>
      <c r="L165" s="188">
        <v>6.2393750000000003E-4</v>
      </c>
      <c r="M165" s="233">
        <v>623937</v>
      </c>
      <c r="N165" s="195">
        <v>6.2393699999999997E-4</v>
      </c>
      <c r="O165" s="211">
        <v>2.5441400011425194E-2</v>
      </c>
      <c r="P165" s="1">
        <v>5.9842480742838074E-4</v>
      </c>
      <c r="Q165" s="1">
        <v>2.1855627595763534E-4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1.7936444264108283E-4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>
        <v>50</v>
      </c>
      <c r="I167" s="124" t="str">
        <f t="shared" si="5"/>
        <v>(400, 450]</v>
      </c>
      <c r="J167" s="160">
        <v>1</v>
      </c>
      <c r="K167" s="234">
        <v>0.33203378884025136</v>
      </c>
      <c r="L167" s="188">
        <v>8.0972249999999998E-4</v>
      </c>
      <c r="M167" s="233">
        <v>809722</v>
      </c>
      <c r="N167" s="195">
        <v>8.0972200000000002E-4</v>
      </c>
      <c r="O167" s="211">
        <v>4.3652805060997057E-2</v>
      </c>
      <c r="P167" s="1">
        <v>2.233179903021108E-3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3.0840892187142545E-3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2.4111387631683455E-3</v>
      </c>
      <c r="Q169" s="1">
        <v>7.6433028288713011E-5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>
        <v>100</v>
      </c>
      <c r="I175" s="124" t="str">
        <f t="shared" si="5"/>
        <v>(800, 850]</v>
      </c>
      <c r="J175" s="160">
        <v>1</v>
      </c>
      <c r="K175" s="234">
        <v>0.2584808912154547</v>
      </c>
      <c r="L175" s="188">
        <v>2.7750250000000001E-4</v>
      </c>
      <c r="M175" s="233">
        <v>277502</v>
      </c>
      <c r="N175" s="195">
        <v>2.77502E-4</v>
      </c>
      <c r="O175" s="211">
        <v>2.8718132877108112E-2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4.738288209677878E-5</v>
      </c>
      <c r="Q179" s="1">
        <v>5.9917118493591467E-5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>
        <v>250</v>
      </c>
      <c r="I180" s="124" t="str">
        <f t="shared" si="5"/>
        <v>(2000, 3000]</v>
      </c>
      <c r="J180" s="160">
        <v>1</v>
      </c>
      <c r="K180" s="234">
        <v>1.100000200354675E-2</v>
      </c>
      <c r="L180" s="188">
        <v>9.3334500000000006E-5</v>
      </c>
      <c r="M180" s="233">
        <v>93334</v>
      </c>
      <c r="N180" s="195">
        <v>9.3333999999999998E-5</v>
      </c>
      <c r="O180" s="211">
        <v>2.9291840998680579E-2</v>
      </c>
      <c r="P180" s="1">
        <v>4.9027967509071648E-5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>
        <v>500</v>
      </c>
      <c r="I182" s="124" t="str">
        <f t="shared" si="5"/>
        <v>(4000, 5000]</v>
      </c>
      <c r="J182" s="160">
        <v>1</v>
      </c>
      <c r="K182" s="234">
        <v>2.1985125217625221E-2</v>
      </c>
      <c r="L182" s="188">
        <v>5.8517500000000003E-5</v>
      </c>
      <c r="M182" s="233">
        <v>58517</v>
      </c>
      <c r="N182" s="195">
        <v>5.8517000000000002E-5</v>
      </c>
      <c r="O182" s="211">
        <v>3.2983156622736029E-2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>
        <v>1000</v>
      </c>
      <c r="I186" s="124" t="str">
        <f t="shared" si="5"/>
        <v>(8000, 9000]</v>
      </c>
      <c r="J186" s="160">
        <v>1</v>
      </c>
      <c r="K186" s="234">
        <v>5.7662745506280796E-2</v>
      </c>
      <c r="L186" s="188">
        <v>3.3234500000000002E-5</v>
      </c>
      <c r="M186" s="233">
        <v>33234</v>
      </c>
      <c r="N186" s="195">
        <v>3.3234000000000001E-5</v>
      </c>
      <c r="O186" s="211">
        <v>3.5272665565292523E-2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>
        <v>1250</v>
      </c>
      <c r="I188" s="124" t="str">
        <f t="shared" si="5"/>
        <v>(10000, 20000]</v>
      </c>
      <c r="J188" s="160">
        <v>1</v>
      </c>
      <c r="K188" s="234">
        <v>3.6564922389714849E-3</v>
      </c>
      <c r="L188" s="188">
        <v>5.6515E-6</v>
      </c>
      <c r="M188" s="233">
        <v>5651</v>
      </c>
      <c r="N188" s="195">
        <v>5.6509999999999998E-6</v>
      </c>
      <c r="O188" s="211">
        <v>9.4998632293977377E-3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>
        <v>2500</v>
      </c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30089.667208280676</v>
      </c>
      <c r="O192" s="10">
        <f>SUM(O175:O185)</f>
        <v>9.0993130498524727E-2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17089.051044995471</v>
      </c>
      <c r="O194" s="220" cm="1">
        <f t="array" ref="O194:O195">N196/N194:N195</f>
        <v>204.80950000000001</v>
      </c>
    </row>
    <row r="195" spans="1:20" ht="16.8" thickBot="1">
      <c r="M195" s="124" t="s">
        <v>179</v>
      </c>
      <c r="N195" s="218">
        <f>1/SUM(N192)</f>
        <v>3.3234000000000001E-5</v>
      </c>
      <c r="O195" s="220">
        <v>105313835228.98236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0.88000000001022793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str">
        <f t="shared" si="7"/>
        <v>(50, 60]</v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str">
        <f t="shared" si="7"/>
        <v>(60, 70]</v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>
        <v>0.32</v>
      </c>
      <c r="I221" s="274" t="str">
        <f t="shared" si="7"/>
        <v>(80, 90]</v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str">
        <f t="shared" si="7"/>
        <v>(90, 100]</v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  <c r="Q222" s="1">
        <v>8.1534868779438843E-2</v>
      </c>
      <c r="R222" s="1">
        <v>7.2544017192642869</v>
      </c>
      <c r="U222" s="301" t="s">
        <v>290</v>
      </c>
      <c r="V222" s="184" t="s">
        <v>291</v>
      </c>
      <c r="W222" s="299" t="s">
        <v>256</v>
      </c>
      <c r="X222" s="300" t="s">
        <v>292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str">
        <f t="shared" si="7"/>
        <v>(100, 120]</v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  <c r="Q223" s="1">
        <v>9.0112979805137619E-2</v>
      </c>
      <c r="R223" s="1">
        <v>4.1937401925006723</v>
      </c>
      <c r="U223" s="128" t="s">
        <v>271</v>
      </c>
      <c r="V223" s="185">
        <f>SUM(N199:N228)</f>
        <v>0.76784115799999997</v>
      </c>
      <c r="W223" s="296" cm="1">
        <f t="array" ref="W223:W228">1/V223:V228</f>
        <v>1.3023526931073941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>
        <v>0.48</v>
      </c>
      <c r="I224" s="274" t="str">
        <f t="shared" si="7"/>
        <v>(120, 140]</v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  <c r="Q224" s="1">
        <v>4.747126106777233E-2</v>
      </c>
      <c r="R224" s="272">
        <v>2.3362329708063445</v>
      </c>
      <c r="U224" s="124" t="s">
        <v>275</v>
      </c>
      <c r="V224" s="188">
        <f>SUM(N229:N256)</f>
        <v>0.23215884199999992</v>
      </c>
      <c r="W224" s="297">
        <v>4.3073957097012068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  <c r="Q225" s="1">
        <v>2.1651011757170088E-2</v>
      </c>
      <c r="R225" s="272">
        <v>1.0780776973958937</v>
      </c>
      <c r="U225" s="124" t="s">
        <v>272</v>
      </c>
      <c r="V225" s="188">
        <f>SUM(N234:N256)</f>
        <v>0.11621841399999996</v>
      </c>
      <c r="W225" s="297">
        <v>8.6044884419090444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str">
        <f t="shared" si="7"/>
        <v>(160, 180]</v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  <c r="Q226" s="1">
        <v>1.2345605360363113E-2</v>
      </c>
      <c r="R226" s="272">
        <v>0.64060754328147018</v>
      </c>
      <c r="U226" s="124" t="s">
        <v>287</v>
      </c>
      <c r="V226" s="188">
        <f>SUM(N245:N256)</f>
        <v>4.688378E-3</v>
      </c>
      <c r="W226" s="297">
        <v>213.29338206091745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str">
        <f t="shared" si="7"/>
        <v>(180, 200]</v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  <c r="Q227" s="1">
        <v>1.8109825476012021E-2</v>
      </c>
      <c r="R227" s="272">
        <v>0.96376949987714722</v>
      </c>
      <c r="U227" s="124" t="s">
        <v>288</v>
      </c>
      <c r="V227" s="188">
        <f>SUM(N246:N256)</f>
        <v>3.2711960000000001E-3</v>
      </c>
      <c r="W227" s="297">
        <v>305.69858852847705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>
        <v>0.8</v>
      </c>
      <c r="I228" s="124" t="str">
        <f t="shared" si="7"/>
        <v>(200, 250]</v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  <c r="Q228" s="1">
        <v>7.674595432961279E-3</v>
      </c>
      <c r="R228" s="272">
        <v>0.17324484204206636</v>
      </c>
      <c r="U228" s="125" t="s">
        <v>273</v>
      </c>
      <c r="V228" s="191">
        <f>SUM(N253)</f>
        <v>1.6558600000000001E-4</v>
      </c>
      <c r="W228" s="298">
        <v>6039.1578998224486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str">
        <f t="shared" si="7"/>
        <v>(250, 300]</v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  <c r="P229" s="1" cm="1">
        <f t="array" ref="P229:P256">2*K229:K256</f>
        <v>3.4666684727572981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>
        <v>1.2</v>
      </c>
      <c r="I230" s="124" t="str">
        <f t="shared" si="7"/>
        <v>(300, 350]</v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  <c r="P230" s="1">
        <v>0.55814028490995238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>
        <v>1.4</v>
      </c>
      <c r="I231" s="124" t="str">
        <f t="shared" si="7"/>
        <v>(350, 400]</v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  <c r="P231" s="1">
        <v>0.6762237212050729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>
        <v>1.6</v>
      </c>
      <c r="I232" s="124" t="str">
        <f t="shared" si="7"/>
        <v>(400, 450]</v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  <c r="P232" s="1">
        <v>0.56327838013684917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>
        <v>1.8</v>
      </c>
      <c r="I233" s="124" t="str">
        <f t="shared" si="7"/>
        <v>(450, 500]</v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  <c r="P233" s="1">
        <v>0.74332173224150122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str">
        <f t="shared" si="7"/>
        <v>(500, 550]</v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  <c r="P234" s="1">
        <v>2.2851008169636433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  <c r="P235" s="1">
        <v>1.2731293221212523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str">
        <f t="shared" si="7"/>
        <v>(600, 650]</v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  <c r="P236" s="1">
        <v>0.89768123236604991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str">
        <f t="shared" si="7"/>
        <v>(650, 700]</v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  <c r="P237" s="1">
        <v>0.44845676945072444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>
        <v>2.8</v>
      </c>
      <c r="I238" s="124" t="str">
        <f t="shared" si="7"/>
        <v>(700, 750]</v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  <c r="P238" s="1">
        <v>0.40337797254549251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str">
        <f t="shared" si="7"/>
        <v>(750, 800]</v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  <c r="P239" s="1">
        <v>0.70145689391110222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str">
        <f t="shared" si="7"/>
        <v>(800, 850]</v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  <c r="P240" s="1">
        <v>0.41937907846766076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str">
        <f t="shared" si="7"/>
        <v>(850, 900]</v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  <c r="P241" s="1">
        <v>0.43148267894189407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str">
        <f t="shared" si="7"/>
        <v>(900, 950]</v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  <c r="P242" s="1">
        <v>0.35307284925456889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str">
        <f t="shared" si="7"/>
        <v>(950, 1000]</v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  <c r="P243" s="1">
        <v>0.68063676718930133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>
        <v>4</v>
      </c>
      <c r="I244" s="275" t="str">
        <f t="shared" si="7"/>
        <v>(1000, 2000]</v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  <c r="P244" s="1">
        <v>0.1465678690792748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>
        <v>8</v>
      </c>
      <c r="I245" s="124" t="str">
        <f t="shared" si="7"/>
        <v>(2000, 3000]</v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  <c r="P245" s="1">
        <v>4.4750477875609346E-2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>
        <v>12</v>
      </c>
      <c r="I246" s="124" t="str">
        <f t="shared" si="7"/>
        <v>(3000, 4000]</v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  <c r="P246" s="1">
        <v>9.4193915572709203E-2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>
        <v>16</v>
      </c>
      <c r="I247" s="124" t="str">
        <f t="shared" si="7"/>
        <v>(4000, 5000]</v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  <c r="P247" s="1">
        <v>0.16944778215185169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>
        <v>20</v>
      </c>
      <c r="I248" s="124" t="str">
        <f t="shared" si="7"/>
        <v>(5000, 6000]</v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  <c r="P248" s="1">
        <v>0.11010329502539418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str">
        <f t="shared" si="7"/>
        <v>(6000, 7000]</v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  <c r="P249" s="1">
        <v>0.17627221183203776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str">
        <f t="shared" si="7"/>
        <v>(7000, 8000]</v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  <c r="P250" s="1">
        <v>0.25054197949256124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>
        <v>32</v>
      </c>
      <c r="I251" s="124" t="str">
        <f t="shared" si="7"/>
        <v>(8000, 9000]</v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  <c r="P251" s="198">
        <v>0.2846879244243215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str">
        <f t="shared" si="7"/>
        <v>(9000, 10000]</v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  <c r="P252" s="198">
        <v>0.12293632895571124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str">
        <f t="shared" si="7"/>
        <v>(10000, 20000]</v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  <c r="P253" s="198">
        <v>0.11602806902971675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4913.184038047697</v>
      </c>
      <c r="O257" s="10">
        <f>SUM(O240:O250)</f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53.583811216088336</v>
      </c>
      <c r="O259" s="220" cm="1">
        <f t="array" ref="O259:O260">N261/N259:N260</f>
        <v>261.27294200000006</v>
      </c>
    </row>
    <row r="260" spans="13:15" ht="16.8" thickBot="1">
      <c r="M260" s="124" t="s">
        <v>179</v>
      </c>
      <c r="N260" s="218">
        <f>1/SUM(N257)</f>
        <v>2.0353400000000001E-4</v>
      </c>
      <c r="O260" s="220">
        <v>68784576.532667756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1" zoomScale="70" zoomScaleNormal="70" workbookViewId="0">
      <selection activeCell="L27" sqref="L27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0.87999999993722955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 cm="1">
        <f t="array" ref="H4:H18">18*(K4:K18/SUM(K4:K18))</f>
        <v>2.1240993008091831</v>
      </c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1.1361090753579779</v>
      </c>
      <c r="L4" s="185" cm="1">
        <f t="array" ref="L4:L61">K4:K61*_xlfn.ANCHORARRAY(J4)*_xlfn.ANCHORARRAY(F4)</f>
        <v>0.90342134750000003</v>
      </c>
      <c r="M4" s="240" cm="1">
        <f t="array" ref="M4:M61">INT(_xlfn.ANCHORARRAY(L4)*$M$2)</f>
        <v>903421347</v>
      </c>
      <c r="N4" s="194" cm="1">
        <f t="array" ref="N4:N61">_xlfn.ANCHORARRAY(M4)/SUM(_xlfn.ANCHORARRAY(M4))</f>
        <v>0.90342134699999999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>
        <v>0.8291016164718007</v>
      </c>
      <c r="I5" s="124" t="str">
        <f t="shared" ref="I5:I61" si="1">"("&amp;$A5&amp;", "&amp;$B5&amp;"]"</f>
        <v>(0, 1]</v>
      </c>
      <c r="J5" s="160">
        <v>1</v>
      </c>
      <c r="K5" s="234">
        <v>0.44345849109255076</v>
      </c>
      <c r="L5" s="188">
        <v>5.4206295000000003E-3</v>
      </c>
      <c r="M5" s="233">
        <v>5420629</v>
      </c>
      <c r="N5" s="195">
        <v>5.4206289999999997E-3</v>
      </c>
      <c r="O5" s="211">
        <v>4.069749904533574E-3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>
        <v>0.8274095565201347</v>
      </c>
      <c r="I6" s="214" t="str">
        <f t="shared" si="1"/>
        <v>(1, 2]</v>
      </c>
      <c r="J6" s="160">
        <v>1</v>
      </c>
      <c r="K6" s="234">
        <v>0.44255346529342482</v>
      </c>
      <c r="L6" s="188">
        <v>8.7865605000000003E-3</v>
      </c>
      <c r="M6" s="233">
        <v>8786560</v>
      </c>
      <c r="N6" s="195">
        <v>8.7865600000000006E-3</v>
      </c>
      <c r="O6" s="211">
        <v>1.5088507533540126E-2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>
        <v>0.82615465468267768</v>
      </c>
      <c r="I7" s="124" t="str">
        <f t="shared" si="1"/>
        <v>(2, 3]</v>
      </c>
      <c r="J7" s="160">
        <v>1</v>
      </c>
      <c r="K7" s="234">
        <v>0.44188226062532143</v>
      </c>
      <c r="L7" s="188">
        <v>6.1955945000000002E-3</v>
      </c>
      <c r="M7" s="233">
        <v>6195594</v>
      </c>
      <c r="N7" s="195">
        <v>6.1955939999999996E-3</v>
      </c>
      <c r="O7" s="211">
        <v>1.7033288919095377E-2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>
        <v>0.82519239883506557</v>
      </c>
      <c r="I8" s="124" t="str">
        <f t="shared" si="1"/>
        <v>(3, 4]</v>
      </c>
      <c r="J8" s="160">
        <v>1</v>
      </c>
      <c r="K8" s="234">
        <v>0.44136758242695662</v>
      </c>
      <c r="L8" s="188">
        <v>8.1490425000000002E-3</v>
      </c>
      <c r="M8" s="233">
        <v>8149042</v>
      </c>
      <c r="N8" s="195">
        <v>8.1490420000000004E-3</v>
      </c>
      <c r="O8" s="211">
        <v>3.0138576956786341E-2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>
        <v>0.82654401811351108</v>
      </c>
      <c r="I9" s="124" t="str">
        <f t="shared" si="1"/>
        <v>(4, 5]</v>
      </c>
      <c r="J9" s="160">
        <v>1</v>
      </c>
      <c r="K9" s="234">
        <v>0.44209051799220339</v>
      </c>
      <c r="L9" s="188">
        <v>5.5708255000000003E-3</v>
      </c>
      <c r="M9" s="233">
        <v>5570825</v>
      </c>
      <c r="N9" s="195">
        <v>5.5708249999999997E-3</v>
      </c>
      <c r="O9" s="211">
        <v>2.677069421847042E-2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>
        <v>0.82554806974743367</v>
      </c>
      <c r="I10" s="124" t="str">
        <f t="shared" si="1"/>
        <v>(5, 6]</v>
      </c>
      <c r="J10" s="160">
        <v>1</v>
      </c>
      <c r="K10" s="234">
        <v>0.44155781880207728</v>
      </c>
      <c r="L10" s="188">
        <v>5.5387824999999996E-3</v>
      </c>
      <c r="M10" s="233">
        <v>5538782</v>
      </c>
      <c r="N10" s="195">
        <v>5.5387819999999999E-3</v>
      </c>
      <c r="O10" s="211">
        <v>3.2966886315760342E-2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>
        <v>0.82559314002774487</v>
      </c>
      <c r="I11" s="124" t="str">
        <f t="shared" si="1"/>
        <v>(6, 7]</v>
      </c>
      <c r="J11" s="160">
        <v>1</v>
      </c>
      <c r="K11" s="234">
        <v>0.44158192537490604</v>
      </c>
      <c r="L11" s="188">
        <v>1.3950125000000001E-3</v>
      </c>
      <c r="M11" s="233">
        <v>1395012</v>
      </c>
      <c r="N11" s="195">
        <v>1.3950119999999999E-3</v>
      </c>
      <c r="O11" s="211">
        <v>9.106375859797634E-3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>
        <v>2.0648418064180403</v>
      </c>
      <c r="I12" s="214" t="str">
        <f t="shared" si="1"/>
        <v>(7, 8]</v>
      </c>
      <c r="J12" s="160">
        <v>1</v>
      </c>
      <c r="K12" s="234">
        <v>1.1044142402176882</v>
      </c>
      <c r="L12" s="188">
        <v>1.4520405499999998E-2</v>
      </c>
      <c r="M12" s="233">
        <v>14520405</v>
      </c>
      <c r="N12" s="195">
        <v>1.4520405E-2</v>
      </c>
      <c r="O12" s="211">
        <v>0.11201154004675398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>
        <v>1.0274096461285118</v>
      </c>
      <c r="I13" s="124" t="str">
        <f t="shared" si="1"/>
        <v>(8, 9]</v>
      </c>
      <c r="J13" s="160">
        <v>1</v>
      </c>
      <c r="K13" s="234">
        <v>0.54952676771385556</v>
      </c>
      <c r="L13" s="188">
        <v>3.1654275000000003E-3</v>
      </c>
      <c r="M13" s="233">
        <v>3165427</v>
      </c>
      <c r="N13" s="195">
        <v>3.1654270000000002E-3</v>
      </c>
      <c r="O13" s="211">
        <v>2.8239445591323999E-2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>
        <v>1.0307881370352097</v>
      </c>
      <c r="I14" s="124" t="str">
        <f t="shared" si="1"/>
        <v>(9, 10]</v>
      </c>
      <c r="J14" s="160">
        <v>1</v>
      </c>
      <c r="K14" s="234">
        <v>0.55133380855165981</v>
      </c>
      <c r="L14" s="188">
        <v>3.9345214999999996E-3</v>
      </c>
      <c r="M14" s="233">
        <v>3934521</v>
      </c>
      <c r="N14" s="195">
        <v>3.9345209999999999E-3</v>
      </c>
      <c r="O14" s="211">
        <v>3.8363005857414666E-2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>
        <v>2.0596087634075264</v>
      </c>
      <c r="I15" s="214" t="str">
        <f t="shared" si="1"/>
        <v>(10, 15]</v>
      </c>
      <c r="J15" s="160">
        <v>1</v>
      </c>
      <c r="K15" s="234">
        <v>1.1016152620090336</v>
      </c>
      <c r="L15" s="188">
        <v>1.9729627500000003E-2</v>
      </c>
      <c r="M15" s="233">
        <v>19729627</v>
      </c>
      <c r="N15" s="195">
        <v>1.9729627E-2</v>
      </c>
      <c r="O15" s="211">
        <v>0.25116569361024793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>
        <v>0.82148232694163359</v>
      </c>
      <c r="I16" s="124" t="str">
        <f t="shared" si="1"/>
        <v>(15, 20]</v>
      </c>
      <c r="J16" s="160">
        <v>1</v>
      </c>
      <c r="K16" s="234">
        <v>0.43938319010275934</v>
      </c>
      <c r="L16" s="188">
        <v>4.9515154999999998E-3</v>
      </c>
      <c r="M16" s="233">
        <v>4951515</v>
      </c>
      <c r="N16" s="195">
        <v>4.9515150000000001E-3</v>
      </c>
      <c r="O16" s="211">
        <v>8.8371863602378489E-2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>
        <v>2.0581274551295281</v>
      </c>
      <c r="I17" s="124" t="str">
        <f t="shared" si="1"/>
        <v>(20, 25]</v>
      </c>
      <c r="J17" s="160">
        <v>1</v>
      </c>
      <c r="K17" s="234">
        <v>1.100822960172017</v>
      </c>
      <c r="L17" s="188">
        <v>6.8408154999999998E-3</v>
      </c>
      <c r="M17" s="233">
        <v>6840815</v>
      </c>
      <c r="N17" s="195">
        <v>6.8408150000000001E-3</v>
      </c>
      <c r="O17" s="211">
        <v>0.15900184663054059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>
        <v>1.0280991097319987</v>
      </c>
      <c r="I18" s="124" t="str">
        <f t="shared" si="1"/>
        <v>(25, 30]</v>
      </c>
      <c r="J18" s="160">
        <v>1</v>
      </c>
      <c r="K18" s="234">
        <v>0.54989553854144912</v>
      </c>
      <c r="L18" s="188">
        <v>2.3798995000000002E-3</v>
      </c>
      <c r="M18" s="233">
        <v>2379899</v>
      </c>
      <c r="N18" s="195">
        <v>2.379899E-3</v>
      </c>
      <c r="O18" s="211">
        <v>6.7672524890586089E-2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0.87999999998288503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 cm="1">
        <f t="array" ref="H69:H126">A69:A126/1.5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1.0987013088773876</v>
      </c>
      <c r="L69" s="185" cm="1">
        <f t="array" ref="L69:L126">K69:K126*_xlfn.ANCHORARRAY(J69)*_xlfn.ANCHORARRAY(F69)</f>
        <v>0.87370692449999998</v>
      </c>
      <c r="M69" s="207" cm="1">
        <f t="array" ref="M69:M126">INT(_xlfn.ANCHORARRAY(L69)*$M$2)</f>
        <v>873706924</v>
      </c>
      <c r="N69" s="194" cm="1">
        <f t="array" ref="N69:N126">_xlfn.ANCHORARRAY(M69)/SUM(_xlfn.ANCHORARRAY(M69))</f>
        <v>0.87370692400000005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>
        <v>0</v>
      </c>
      <c r="I70" s="124" t="str">
        <f t="shared" ref="I70:I126" si="3">"("&amp;$A70&amp;", "&amp;$B70&amp;"]"</f>
        <v>(0, 1]</v>
      </c>
      <c r="J70" s="160">
        <v>1</v>
      </c>
      <c r="K70" s="205">
        <v>2.1896441598359964</v>
      </c>
      <c r="L70" s="188">
        <v>9.7495854999999996E-3</v>
      </c>
      <c r="M70" s="208">
        <v>9749585</v>
      </c>
      <c r="N70" s="195">
        <v>9.7495849999999998E-3</v>
      </c>
      <c r="O70" s="211">
        <v>5.1997786666666667E-3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>
        <v>0.66666666666666663</v>
      </c>
      <c r="I71" s="214" t="str">
        <f t="shared" si="3"/>
        <v>(1, 2]</v>
      </c>
      <c r="J71" s="160">
        <v>1</v>
      </c>
      <c r="K71" s="205">
        <v>1.2511714928430537</v>
      </c>
      <c r="L71" s="188">
        <v>1.5807150499999999E-2</v>
      </c>
      <c r="M71" s="208">
        <v>15807150</v>
      </c>
      <c r="N71" s="195">
        <v>1.5807149999999999E-2</v>
      </c>
      <c r="O71" s="211">
        <v>1.7490099720852182E-2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>
        <v>1.3333333333333333</v>
      </c>
      <c r="I72" s="124" t="str">
        <f t="shared" si="3"/>
        <v>(2, 3]</v>
      </c>
      <c r="J72" s="160">
        <v>1</v>
      </c>
      <c r="K72" s="205">
        <v>1.4585173198742372</v>
      </c>
      <c r="L72" s="188">
        <v>1.1144138500000001E-2</v>
      </c>
      <c r="M72" s="208">
        <v>11144138</v>
      </c>
      <c r="N72" s="195">
        <v>1.1144138E-2</v>
      </c>
      <c r="O72" s="211">
        <v>2.0768375004987454E-2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>
        <v>2</v>
      </c>
      <c r="I73" s="124" t="str">
        <f t="shared" si="3"/>
        <v>(3, 4]</v>
      </c>
      <c r="J73" s="160">
        <v>1</v>
      </c>
      <c r="K73" s="205">
        <v>0.85663475383350707</v>
      </c>
      <c r="L73" s="188">
        <v>1.21569955E-2</v>
      </c>
      <c r="M73" s="208">
        <v>12156995</v>
      </c>
      <c r="N73" s="195">
        <v>1.2156995E-2</v>
      </c>
      <c r="O73" s="211">
        <v>2.9579217172796757E-2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>
        <v>2.6666666666666665</v>
      </c>
      <c r="I74" s="124" t="str">
        <f t="shared" si="3"/>
        <v>(4, 5]</v>
      </c>
      <c r="J74" s="160">
        <v>1</v>
      </c>
      <c r="K74" s="205">
        <v>0.68280632070067426</v>
      </c>
      <c r="L74" s="188">
        <v>8.3102144999999995E-3</v>
      </c>
      <c r="M74" s="208">
        <v>8310214</v>
      </c>
      <c r="N74" s="195">
        <v>8.3102139999999998E-3</v>
      </c>
      <c r="O74" s="211">
        <v>2.6713257646161798E-2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>
        <v>3.3333333333333335</v>
      </c>
      <c r="I75" s="124" t="str">
        <f t="shared" si="3"/>
        <v>(5, 6]</v>
      </c>
      <c r="J75" s="160">
        <v>1</v>
      </c>
      <c r="K75" s="205">
        <v>0.65310774848700093</v>
      </c>
      <c r="L75" s="188">
        <v>8.2622714999999996E-3</v>
      </c>
      <c r="M75" s="208">
        <v>8262271</v>
      </c>
      <c r="N75" s="195">
        <v>8.2622709999999999E-3</v>
      </c>
      <c r="O75" s="211">
        <v>3.2936472295146596E-2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>
        <v>4</v>
      </c>
      <c r="I76" s="124" t="str">
        <f t="shared" si="3"/>
        <v>(6, 7]</v>
      </c>
      <c r="J76" s="160">
        <v>1</v>
      </c>
      <c r="K76" s="205">
        <v>0.73671964224140063</v>
      </c>
      <c r="L76" s="188">
        <v>2.0810105000000001E-3</v>
      </c>
      <c r="M76" s="208">
        <v>2081010</v>
      </c>
      <c r="N76" s="195">
        <v>2.0810099999999999E-3</v>
      </c>
      <c r="O76" s="211">
        <v>8.9926928733167228E-3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>
        <v>4.666666666666667</v>
      </c>
      <c r="I77" s="214" t="str">
        <f t="shared" si="3"/>
        <v>(7, 8]</v>
      </c>
      <c r="J77" s="160">
        <v>1</v>
      </c>
      <c r="K77" s="205">
        <v>0.61263860744358156</v>
      </c>
      <c r="L77" s="188">
        <v>8.6641054999999998E-3</v>
      </c>
      <c r="M77" s="208">
        <v>8664105</v>
      </c>
      <c r="N77" s="195">
        <v>8.6641050000000001E-3</v>
      </c>
      <c r="O77" s="211">
        <v>4.448878485249462E-2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>
        <v>5.333333333333333</v>
      </c>
      <c r="I78" s="124" t="str">
        <f t="shared" si="3"/>
        <v>(8, 9]</v>
      </c>
      <c r="J78" s="160">
        <v>1</v>
      </c>
      <c r="K78" s="205">
        <v>0.59135075317191965</v>
      </c>
      <c r="L78" s="188">
        <v>3.7774605E-3</v>
      </c>
      <c r="M78" s="208">
        <v>3777460</v>
      </c>
      <c r="N78" s="195">
        <v>3.7774599999999998E-3</v>
      </c>
      <c r="O78" s="211">
        <v>2.249928115794185E-2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>
        <v>6</v>
      </c>
      <c r="I79" s="124" t="str">
        <f t="shared" si="3"/>
        <v>(9, 10]</v>
      </c>
      <c r="J79" s="160">
        <v>1</v>
      </c>
      <c r="K79" s="205">
        <v>0.55017314032920561</v>
      </c>
      <c r="L79" s="188">
        <v>4.6952424999999994E-3</v>
      </c>
      <c r="M79" s="208">
        <v>4695242</v>
      </c>
      <c r="N79" s="195">
        <v>4.6952419999999996E-3</v>
      </c>
      <c r="O79" s="211">
        <v>3.0529786520420737E-2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>
        <v>6.666666666666667</v>
      </c>
      <c r="I80" s="214" t="str">
        <f t="shared" si="3"/>
        <v>(10, 15]</v>
      </c>
      <c r="J80" s="160">
        <v>1</v>
      </c>
      <c r="K80" s="205">
        <v>0.32628785943327782</v>
      </c>
      <c r="L80" s="188">
        <v>7.0971365000000002E-3</v>
      </c>
      <c r="M80" s="208">
        <v>7097136</v>
      </c>
      <c r="N80" s="195">
        <v>7.0971360000000004E-3</v>
      </c>
      <c r="O80" s="211">
        <v>6.0410945628338666E-2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>
        <v>10</v>
      </c>
      <c r="I81" s="124" t="str">
        <f t="shared" si="3"/>
        <v>(15, 20]</v>
      </c>
      <c r="J81" s="160">
        <v>1</v>
      </c>
      <c r="K81" s="205">
        <v>1.2551999016207211</v>
      </c>
      <c r="L81" s="188">
        <v>1.7811261500000002E-2</v>
      </c>
      <c r="M81" s="208">
        <v>17811261</v>
      </c>
      <c r="N81" s="195">
        <v>1.7811260999999998E-2</v>
      </c>
      <c r="O81" s="211">
        <v>0.21219823683240174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>
        <v>13.333333333333334</v>
      </c>
      <c r="I82" s="124" t="str">
        <f t="shared" si="3"/>
        <v>(20, 25]</v>
      </c>
      <c r="J82" s="160">
        <v>1</v>
      </c>
      <c r="K82" s="205">
        <v>0.30925508652474215</v>
      </c>
      <c r="L82" s="188">
        <v>2.4606985E-3</v>
      </c>
      <c r="M82" s="208">
        <v>2460698</v>
      </c>
      <c r="N82" s="195">
        <v>2.4606979999999999E-3</v>
      </c>
      <c r="O82" s="211">
        <v>3.8134416338617118E-2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>
        <v>16.666666666666668</v>
      </c>
      <c r="I83" s="124" t="str">
        <f t="shared" si="3"/>
        <v>(25, 30]</v>
      </c>
      <c r="J83" s="160">
        <v>1</v>
      </c>
      <c r="K83" s="205">
        <v>0.30894519537198384</v>
      </c>
      <c r="L83" s="188">
        <v>1.7121164999999998E-3</v>
      </c>
      <c r="M83" s="208">
        <v>1712116</v>
      </c>
      <c r="N83" s="195">
        <v>1.7121160000000001E-3</v>
      </c>
      <c r="O83" s="211">
        <v>3.245897693256769E-2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>
        <v>20</v>
      </c>
      <c r="I84" s="124" t="str">
        <f t="shared" si="3"/>
        <v>(30, 35]</v>
      </c>
      <c r="J84" s="160">
        <v>1</v>
      </c>
      <c r="K84" s="205">
        <v>3.1150742463152783</v>
      </c>
      <c r="L84" s="188">
        <v>8.4667095000000008E-3</v>
      </c>
      <c r="M84" s="208">
        <v>8466709</v>
      </c>
      <c r="N84" s="195">
        <v>8.4667089999999993E-3</v>
      </c>
      <c r="O84" s="211">
        <v>0.18391004889415799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>
        <v>23.333333333333332</v>
      </c>
      <c r="I85" s="214" t="str">
        <f t="shared" si="3"/>
        <v>(35, 40]</v>
      </c>
      <c r="J85" s="160">
        <v>1</v>
      </c>
      <c r="K85" s="205">
        <v>0.30823536897731141</v>
      </c>
      <c r="L85" s="188">
        <v>1.4871475E-3</v>
      </c>
      <c r="M85" s="208">
        <v>1487147</v>
      </c>
      <c r="N85" s="195">
        <v>1.4871470000000001E-3</v>
      </c>
      <c r="O85" s="211">
        <v>3.7947815032985936E-2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>
        <v>26.666666666666668</v>
      </c>
      <c r="I86" s="124" t="str">
        <f t="shared" si="3"/>
        <v>(40, 45]</v>
      </c>
      <c r="J86" s="160">
        <v>1</v>
      </c>
      <c r="K86" s="205">
        <v>1.2472142640385944</v>
      </c>
      <c r="L86" s="188">
        <v>2.6098394999999998E-3</v>
      </c>
      <c r="M86" s="208">
        <v>2609839</v>
      </c>
      <c r="N86" s="195">
        <v>2.6098390000000001E-3</v>
      </c>
      <c r="O86" s="211">
        <v>7.5741814413030448E-2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>
        <v>30</v>
      </c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>
        <v>33.333333333333336</v>
      </c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>
        <v>40</v>
      </c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>
        <v>46.666666666666664</v>
      </c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>
        <v>53.333333333333336</v>
      </c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>
        <v>60</v>
      </c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>
        <v>66.666666666666671</v>
      </c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>
        <v>80</v>
      </c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>
        <v>93.333333333333329</v>
      </c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>
        <v>106.66666666666667</v>
      </c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>
        <v>120</v>
      </c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>
        <v>133.33333333333334</v>
      </c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>
        <v>166.66666666666666</v>
      </c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>
        <v>200</v>
      </c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>
        <v>233.33333333333334</v>
      </c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>
        <v>266.66666666666669</v>
      </c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>
        <v>300</v>
      </c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>
        <v>333.33333333333331</v>
      </c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>
        <v>366.66666666666669</v>
      </c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>
        <v>400</v>
      </c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>
        <v>433.33333333333331</v>
      </c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>
        <v>466.66666666666669</v>
      </c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>
        <v>500</v>
      </c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>
        <v>533.33333333333337</v>
      </c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>
        <v>566.66666666666663</v>
      </c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>
        <v>600</v>
      </c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>
        <v>633.33333333333337</v>
      </c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>
        <v>666.66666666666663</v>
      </c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>
        <v>1333.3333333333333</v>
      </c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>
        <v>2000</v>
      </c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>
        <v>2666.6666666666665</v>
      </c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>
        <v>3333.3333333333335</v>
      </c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>
        <v>4000</v>
      </c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>
        <v>4666.666666666667</v>
      </c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>
        <v>5333.333333333333</v>
      </c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>
        <v>6000</v>
      </c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>
        <v>6666.666666666667</v>
      </c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>
        <v>13333.333333333334</v>
      </c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>
        <v>20000</v>
      </c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>
        <v>66666.666666666672</v>
      </c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0.87999999996614198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 cm="1">
        <f t="array" ref="H134:H168">A134:A168/8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1.1036915329351653</v>
      </c>
      <c r="L134" s="185" cm="1">
        <f t="array" ref="L134:L191">K134:K191*_xlfn.ANCHORARRAY(J134)*_xlfn.ANCHORARRAY(F134)</f>
        <v>0.87765359649999997</v>
      </c>
      <c r="M134" s="207" cm="1">
        <f t="array" ref="M134:M191">INT(_xlfn.ANCHORARRAY(L134)*$M$2)</f>
        <v>877653596</v>
      </c>
      <c r="N134" s="194" cm="1">
        <f t="array" ref="N134:N191">_xlfn.ANCHORARRAY(M134)/SUM(_xlfn.ANCHORARRAY(M134))</f>
        <v>0.87765359600000004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>
        <v>0</v>
      </c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>
        <v>0.125</v>
      </c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>
        <v>0.25</v>
      </c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>
        <v>0.375</v>
      </c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>
        <v>0.5</v>
      </c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>
        <v>0.625</v>
      </c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>
        <v>0.75</v>
      </c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>
        <v>0.875</v>
      </c>
      <c r="I142" s="214" t="str">
        <f t="shared" si="5"/>
        <v>(7, 8]</v>
      </c>
      <c r="J142" s="160">
        <v>1</v>
      </c>
      <c r="K142" s="205">
        <v>14.488501414064096</v>
      </c>
      <c r="L142" s="188">
        <v>3.1496205499999999E-2</v>
      </c>
      <c r="M142" s="208">
        <v>31496205</v>
      </c>
      <c r="N142" s="195">
        <v>3.1496204999999999E-2</v>
      </c>
      <c r="O142" s="211">
        <v>3.1496204999999999E-2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>
        <v>1</v>
      </c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>
        <v>1.125</v>
      </c>
      <c r="I144" s="124" t="str">
        <f t="shared" si="5"/>
        <v>(9, 10]</v>
      </c>
      <c r="J144" s="160">
        <v>1</v>
      </c>
      <c r="K144" s="205">
        <v>1.4524573425935814</v>
      </c>
      <c r="L144" s="188">
        <v>4.7470765E-3</v>
      </c>
      <c r="M144" s="208">
        <v>4747076</v>
      </c>
      <c r="N144" s="195">
        <v>4.7470760000000002E-3</v>
      </c>
      <c r="O144" s="211">
        <v>5.9338450000000001E-3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>
        <v>1.25</v>
      </c>
      <c r="I145" s="214" t="str">
        <f t="shared" si="5"/>
        <v>(10, 15]</v>
      </c>
      <c r="J145" s="160">
        <v>1</v>
      </c>
      <c r="K145" s="205">
        <v>1.4380382364706945</v>
      </c>
      <c r="L145" s="188">
        <v>3.7888885E-3</v>
      </c>
      <c r="M145" s="208">
        <v>3788888</v>
      </c>
      <c r="N145" s="195">
        <v>3.7888879999999998E-3</v>
      </c>
      <c r="O145" s="211">
        <v>6.6199439755366893E-3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>
        <v>1.875</v>
      </c>
      <c r="I146" s="124" t="str">
        <f t="shared" si="5"/>
        <v>(15, 20]</v>
      </c>
      <c r="J146" s="160">
        <v>1</v>
      </c>
      <c r="K146" s="205">
        <v>1.4436652890050448</v>
      </c>
      <c r="L146" s="188">
        <v>1.30164385E-2</v>
      </c>
      <c r="M146" s="208">
        <v>13016438</v>
      </c>
      <c r="N146" s="195">
        <v>1.3016438E-2</v>
      </c>
      <c r="O146" s="211">
        <v>3.0536381034066515E-2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>
        <v>2.5</v>
      </c>
      <c r="I147" s="124" t="str">
        <f t="shared" si="5"/>
        <v>(20, 25]</v>
      </c>
      <c r="J147" s="160">
        <v>1</v>
      </c>
      <c r="K147" s="205">
        <v>1.4446107560266344</v>
      </c>
      <c r="L147" s="188">
        <v>8.2002275000000006E-3</v>
      </c>
      <c r="M147" s="208">
        <v>8200227</v>
      </c>
      <c r="N147" s="195">
        <v>8.2002269999999992E-3</v>
      </c>
      <c r="O147" s="211">
        <v>2.4907818229500701E-2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>
        <v>3.125</v>
      </c>
      <c r="I148" s="124" t="str">
        <f t="shared" si="5"/>
        <v>(25, 30]</v>
      </c>
      <c r="J148" s="160">
        <v>1</v>
      </c>
      <c r="K148" s="205">
        <v>1.4466142190701579</v>
      </c>
      <c r="L148" s="188">
        <v>6.5051435000000003E-3</v>
      </c>
      <c r="M148" s="208">
        <v>6505143</v>
      </c>
      <c r="N148" s="195">
        <v>6.5051429999999997E-3</v>
      </c>
      <c r="O148" s="211">
        <v>2.430136353526061E-2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>
        <v>3.75</v>
      </c>
      <c r="I149" s="124" t="str">
        <f t="shared" si="5"/>
        <v>(30, 35]</v>
      </c>
      <c r="J149" s="160">
        <v>1</v>
      </c>
      <c r="K149" s="205">
        <v>1.4449495189172561</v>
      </c>
      <c r="L149" s="188">
        <v>4.3540764999999999E-3</v>
      </c>
      <c r="M149" s="208">
        <v>4354076</v>
      </c>
      <c r="N149" s="195">
        <v>4.3540760000000001E-3</v>
      </c>
      <c r="O149" s="211">
        <v>1.7498387237895111E-2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>
        <v>4.375</v>
      </c>
      <c r="I150" s="214" t="str">
        <f t="shared" si="5"/>
        <v>(35, 40]</v>
      </c>
      <c r="J150" s="160">
        <v>1</v>
      </c>
      <c r="K150" s="205">
        <v>0.28885344311732841</v>
      </c>
      <c r="L150" s="188">
        <v>3.0522244999999998E-3</v>
      </c>
      <c r="M150" s="208">
        <v>3052224</v>
      </c>
      <c r="N150" s="195">
        <v>3.0522240000000001E-3</v>
      </c>
      <c r="O150" s="211">
        <v>1.4995950849536312E-2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>
        <v>5</v>
      </c>
      <c r="I151" s="124" t="str">
        <f t="shared" si="5"/>
        <v>(40, 45]</v>
      </c>
      <c r="J151" s="160">
        <v>1</v>
      </c>
      <c r="K151" s="205">
        <v>1.4382667359325181</v>
      </c>
      <c r="L151" s="188">
        <v>3.2420214999999996E-3</v>
      </c>
      <c r="M151" s="208">
        <v>3242021</v>
      </c>
      <c r="N151" s="195">
        <v>3.2420209999999999E-3</v>
      </c>
      <c r="O151" s="211">
        <v>1.8088288879072767E-2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>
        <v>5.625</v>
      </c>
      <c r="I152" s="124" t="str">
        <f t="shared" si="5"/>
        <v>(45, 50]</v>
      </c>
      <c r="J152" s="160">
        <v>1</v>
      </c>
      <c r="K152" s="205">
        <v>0.28891143792327356</v>
      </c>
      <c r="L152" s="188">
        <v>2.2107404999999998E-3</v>
      </c>
      <c r="M152" s="208">
        <v>2210740</v>
      </c>
      <c r="N152" s="195">
        <v>2.2107400000000001E-3</v>
      </c>
      <c r="O152" s="211">
        <v>1.3562718384874554E-2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>
        <v>6.25</v>
      </c>
      <c r="I153" s="214" t="str">
        <f t="shared" si="5"/>
        <v>(50, 60]</v>
      </c>
      <c r="J153" s="160">
        <v>1</v>
      </c>
      <c r="K153" s="205">
        <v>0.28862036512553824</v>
      </c>
      <c r="L153" s="188">
        <v>2.2954425000000001E-3</v>
      </c>
      <c r="M153" s="208">
        <v>2295442</v>
      </c>
      <c r="N153" s="195">
        <v>2.295442E-3</v>
      </c>
      <c r="O153" s="211">
        <v>1.6997904146368013E-2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>
        <v>7.5</v>
      </c>
      <c r="I154" s="124" t="str">
        <f t="shared" si="5"/>
        <v>(60, 70]</v>
      </c>
      <c r="J154" s="160">
        <v>1</v>
      </c>
      <c r="K154" s="205">
        <v>0.28804352061315747</v>
      </c>
      <c r="L154" s="188">
        <v>6.2836549999999993E-4</v>
      </c>
      <c r="M154" s="208">
        <v>628365</v>
      </c>
      <c r="N154" s="195">
        <v>6.2836499999999998E-4</v>
      </c>
      <c r="O154" s="211">
        <v>5.1683840733164066E-3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>
        <v>8.75</v>
      </c>
      <c r="I155" s="214" t="str">
        <f t="shared" si="5"/>
        <v>(70, 80]</v>
      </c>
      <c r="J155" s="160">
        <v>1</v>
      </c>
      <c r="K155" s="205">
        <v>0.28793309127841943</v>
      </c>
      <c r="L155" s="188">
        <v>2.9347445000000002E-3</v>
      </c>
      <c r="M155" s="208">
        <v>2934744</v>
      </c>
      <c r="N155" s="195">
        <v>2.934744E-3</v>
      </c>
      <c r="O155" s="211">
        <v>2.8550024987949025E-2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>
        <v>10</v>
      </c>
      <c r="I156" s="124" t="str">
        <f t="shared" si="5"/>
        <v>(80, 90]</v>
      </c>
      <c r="J156" s="160">
        <v>1</v>
      </c>
      <c r="K156" s="205">
        <v>5.7658820351185627</v>
      </c>
      <c r="L156" s="188">
        <v>1.37877865E-2</v>
      </c>
      <c r="M156" s="208">
        <v>13787786</v>
      </c>
      <c r="N156" s="195">
        <v>1.3787786E-2</v>
      </c>
      <c r="O156" s="211">
        <v>0.15141360777362081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>
        <v>11.25</v>
      </c>
      <c r="I157" s="124" t="str">
        <f t="shared" si="5"/>
        <v>(90, 100]</v>
      </c>
      <c r="J157" s="160">
        <v>1</v>
      </c>
      <c r="K157" s="205">
        <v>0.28767046245355743</v>
      </c>
      <c r="L157" s="188">
        <v>2.3810184999999997E-3</v>
      </c>
      <c r="M157" s="208">
        <v>2381018</v>
      </c>
      <c r="N157" s="195">
        <v>2.3810179999999999E-3</v>
      </c>
      <c r="O157" s="211">
        <v>2.949824482378717E-2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>
        <v>12.5</v>
      </c>
      <c r="I158" s="124" t="str">
        <f t="shared" si="5"/>
        <v>(100, 120]</v>
      </c>
      <c r="J158" s="160">
        <v>1</v>
      </c>
      <c r="K158" s="205">
        <v>0.2878016069213804</v>
      </c>
      <c r="L158" s="188">
        <v>1.9083595000000001E-3</v>
      </c>
      <c r="M158" s="208">
        <v>1908359</v>
      </c>
      <c r="N158" s="195">
        <v>1.9083590000000001E-3</v>
      </c>
      <c r="O158" s="211">
        <v>2.7862593590408442E-2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>
        <v>15</v>
      </c>
      <c r="I159" s="124" t="str">
        <f t="shared" si="5"/>
        <v>(120, 140]</v>
      </c>
      <c r="J159" s="160">
        <v>1</v>
      </c>
      <c r="K159" s="205">
        <v>0.28801308988168345</v>
      </c>
      <c r="L159" s="188">
        <v>6.8991750000000013E-4</v>
      </c>
      <c r="M159" s="208">
        <v>689917</v>
      </c>
      <c r="N159" s="195">
        <v>6.8991699999999996E-4</v>
      </c>
      <c r="O159" s="211">
        <v>1.1420784413679826E-2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>
        <v>17.5</v>
      </c>
      <c r="I160" s="124" t="str">
        <f t="shared" si="5"/>
        <v>(140, 160]</v>
      </c>
      <c r="J160" s="160">
        <v>1</v>
      </c>
      <c r="K160" s="205">
        <v>0.2881039627793337</v>
      </c>
      <c r="L160" s="188">
        <v>2.2489354999999998E-3</v>
      </c>
      <c r="M160" s="208">
        <v>2248935</v>
      </c>
      <c r="N160" s="195">
        <v>2.2489350000000001E-3</v>
      </c>
      <c r="O160" s="211">
        <v>4.3491372986204119E-2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>
        <v>20</v>
      </c>
      <c r="I161" s="124" t="str">
        <f t="shared" si="5"/>
        <v>(160, 180]</v>
      </c>
      <c r="J161" s="160">
        <v>1</v>
      </c>
      <c r="K161" s="205">
        <v>2.8770228551057233</v>
      </c>
      <c r="L161" s="188">
        <v>6.3109165000000004E-3</v>
      </c>
      <c r="M161" s="208">
        <v>6310916</v>
      </c>
      <c r="N161" s="195">
        <v>6.3109159999999997E-3</v>
      </c>
      <c r="O161" s="211">
        <v>0.13779910927417235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>
        <v>22.5</v>
      </c>
      <c r="I162" s="124" t="str">
        <f t="shared" si="5"/>
        <v>(180, 200]</v>
      </c>
      <c r="J162" s="160">
        <v>1</v>
      </c>
      <c r="K162" s="205">
        <v>0.28729483717433663</v>
      </c>
      <c r="L162" s="188">
        <v>2.2616315000000002E-3</v>
      </c>
      <c r="M162" s="208">
        <v>2261631</v>
      </c>
      <c r="N162" s="195">
        <v>2.2616310000000001E-3</v>
      </c>
      <c r="O162" s="211">
        <v>5.6211183791966317E-2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>
        <v>25</v>
      </c>
      <c r="I163" s="124" t="str">
        <f t="shared" si="5"/>
        <v>(200, 250]</v>
      </c>
      <c r="J163" s="160">
        <v>1</v>
      </c>
      <c r="K163" s="205">
        <v>0.98569212522395133</v>
      </c>
      <c r="L163" s="188">
        <v>6.2862535000000001E-3</v>
      </c>
      <c r="M163" s="208">
        <v>6286253</v>
      </c>
      <c r="N163" s="195">
        <v>6.2862530000000003E-3</v>
      </c>
      <c r="O163" s="211">
        <v>0.18364588797892623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>
        <v>31.25</v>
      </c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>
        <v>37.5</v>
      </c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>
        <v>43.75</v>
      </c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>
        <v>50</v>
      </c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>
        <v>56.25</v>
      </c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25"/>
      <c r="C197" s="325"/>
      <c r="D197" s="325"/>
      <c r="E197" s="325"/>
      <c r="F197" s="326"/>
      <c r="G197" s="325"/>
      <c r="H197" s="325"/>
      <c r="I197" s="325"/>
      <c r="J197" s="229">
        <v>3000</v>
      </c>
      <c r="K197" s="325"/>
      <c r="L197" s="325"/>
      <c r="M197" s="325"/>
      <c r="N197" s="325"/>
      <c r="O197" s="231">
        <f>SUM(_xlfn.ANCHORARRAY(O199))</f>
        <v>0.88000000001022793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08" t="str">
        <v>Count</v>
      </c>
      <c r="D198" s="309" t="str">
        <v>Pay</v>
      </c>
      <c r="E198" s="309" t="str">
        <v>Multi.</v>
      </c>
      <c r="F198" s="309" t="str">
        <v>Prob.</v>
      </c>
      <c r="G198" s="310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str">
        <f t="shared" si="7"/>
        <v>(50, 60]</v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str">
        <f t="shared" si="7"/>
        <v>(60, 70]</v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>
        <v>0.32</v>
      </c>
      <c r="I221" s="274" t="str">
        <f t="shared" si="7"/>
        <v>(80, 90]</v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str">
        <f t="shared" si="7"/>
        <v>(90, 100]</v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str">
        <f t="shared" si="7"/>
        <v>(100, 120]</v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>
        <v>0.48</v>
      </c>
      <c r="I224" s="274" t="str">
        <f t="shared" si="7"/>
        <v>(120, 140]</v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str">
        <f t="shared" si="7"/>
        <v>(160, 180]</v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str">
        <f t="shared" si="7"/>
        <v>(180, 200]</v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>
        <v>0.8</v>
      </c>
      <c r="I228" s="124" t="str">
        <f t="shared" si="7"/>
        <v>(200, 250]</v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str">
        <f t="shared" si="7"/>
        <v>(250, 300]</v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>
        <v>1.2</v>
      </c>
      <c r="I230" s="124" t="str">
        <f t="shared" si="7"/>
        <v>(300, 350]</v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>
        <v>1.4</v>
      </c>
      <c r="I231" s="124" t="str">
        <f t="shared" si="7"/>
        <v>(350, 400]</v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>
        <v>1.6</v>
      </c>
      <c r="I232" s="124" t="str">
        <f t="shared" si="7"/>
        <v>(400, 450]</v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>
        <v>1.8</v>
      </c>
      <c r="I233" s="124" t="str">
        <f t="shared" si="7"/>
        <v>(450, 500]</v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str">
        <f t="shared" si="7"/>
        <v>(500, 550]</v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str">
        <f t="shared" si="7"/>
        <v>(600, 650]</v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str">
        <f t="shared" si="7"/>
        <v>(650, 700]</v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>
        <v>2.8</v>
      </c>
      <c r="I238" s="124" t="str">
        <f t="shared" si="7"/>
        <v>(700, 750]</v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str">
        <f t="shared" si="7"/>
        <v>(750, 800]</v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str">
        <f t="shared" si="7"/>
        <v>(800, 850]</v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str">
        <f t="shared" si="7"/>
        <v>(850, 900]</v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str">
        <f t="shared" si="7"/>
        <v>(900, 950]</v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str">
        <f t="shared" si="7"/>
        <v>(950, 1000]</v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>
        <v>4</v>
      </c>
      <c r="I244" s="275" t="str">
        <f t="shared" si="7"/>
        <v>(1000, 2000]</v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>
        <v>8</v>
      </c>
      <c r="I245" s="124" t="str">
        <f t="shared" si="7"/>
        <v>(2000, 3000]</v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>
        <v>12</v>
      </c>
      <c r="I246" s="124" t="str">
        <f t="shared" si="7"/>
        <v>(3000, 4000]</v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>
        <v>16</v>
      </c>
      <c r="I247" s="124" t="str">
        <f t="shared" si="7"/>
        <v>(4000, 5000]</v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>
        <v>20</v>
      </c>
      <c r="I248" s="124" t="str">
        <f t="shared" si="7"/>
        <v>(5000, 6000]</v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str">
        <f t="shared" si="7"/>
        <v>(6000, 7000]</v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str">
        <f t="shared" si="7"/>
        <v>(7000, 8000]</v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>
        <v>32</v>
      </c>
      <c r="I251" s="124" t="str">
        <f t="shared" si="7"/>
        <v>(8000, 9000]</v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str">
        <f t="shared" si="7"/>
        <v>(9000, 10000]</v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str">
        <f t="shared" si="7"/>
        <v>(10000, 20000]</v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4913.184038047697</v>
      </c>
      <c r="O257" s="10">
        <f>SUM(O240:O250)</f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{B396E34E-E9D7-4DF4-9399-42E80BA074CF}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{84A94C93-E2C2-4C92-AC0A-8DB7804BF13B}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{ACFAB8C5-8725-4C41-8225-718CFE264C1A}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B396E34E-E9D7-4DF4-9399-42E80BA07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84A94C93-E2C2-4C92-AC0A-8DB7804BF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CFAB8C5-8725-4C41-8225-718CFE264C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271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275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272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287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288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289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271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275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272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274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273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271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275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272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287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288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289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271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275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272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274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273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2" t="s">
        <v>138</v>
      </c>
      <c r="B1" s="322"/>
      <c r="C1" s="322"/>
      <c r="D1" s="322"/>
      <c r="E1" s="322"/>
      <c r="F1" s="322"/>
      <c r="G1" s="1"/>
      <c r="H1" s="322" t="s">
        <v>139</v>
      </c>
      <c r="I1" s="322"/>
      <c r="J1" s="322"/>
      <c r="K1" s="322"/>
      <c r="L1" s="322"/>
      <c r="M1" s="322"/>
      <c r="N1" s="1"/>
      <c r="O1" s="322" t="s">
        <v>140</v>
      </c>
      <c r="P1" s="322"/>
      <c r="Q1" s="322"/>
      <c r="R1" s="322"/>
      <c r="S1" s="322"/>
      <c r="T1" s="322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3" t="s">
        <v>145</v>
      </c>
      <c r="B27" s="323"/>
      <c r="C27" s="323"/>
      <c r="D27" s="323"/>
      <c r="E27" s="323"/>
      <c r="F27" s="323"/>
      <c r="H27" s="323" t="s">
        <v>146</v>
      </c>
      <c r="I27" s="323"/>
      <c r="J27" s="323"/>
      <c r="K27" s="323"/>
      <c r="L27" s="323"/>
      <c r="M27" s="323"/>
      <c r="O27" s="323" t="s">
        <v>147</v>
      </c>
      <c r="P27" s="323"/>
      <c r="Q27" s="323"/>
      <c r="R27" s="323"/>
      <c r="S27" s="323"/>
      <c r="T27" s="323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0" t="s">
        <v>148</v>
      </c>
      <c r="B53" s="320"/>
      <c r="C53" s="320"/>
      <c r="D53" s="320"/>
      <c r="E53" s="320"/>
      <c r="F53" s="320"/>
      <c r="H53" s="320" t="s">
        <v>149</v>
      </c>
      <c r="I53" s="320"/>
      <c r="J53" s="320"/>
      <c r="K53" s="320"/>
      <c r="L53" s="320"/>
      <c r="M53" s="320"/>
      <c r="O53" s="320" t="s">
        <v>150</v>
      </c>
      <c r="P53" s="320"/>
      <c r="Q53" s="320"/>
      <c r="R53" s="320"/>
      <c r="S53" s="320"/>
      <c r="T53" s="320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1" t="s">
        <v>151</v>
      </c>
      <c r="B79" s="321"/>
      <c r="C79" s="321"/>
      <c r="D79" s="321"/>
      <c r="E79" s="321"/>
      <c r="F79" s="321"/>
      <c r="H79" s="321" t="s">
        <v>152</v>
      </c>
      <c r="I79" s="321"/>
      <c r="J79" s="321"/>
      <c r="K79" s="321"/>
      <c r="L79" s="321"/>
      <c r="M79" s="321"/>
      <c r="O79" s="321" t="s">
        <v>153</v>
      </c>
      <c r="P79" s="321"/>
      <c r="Q79" s="321"/>
      <c r="R79" s="321"/>
      <c r="S79" s="321"/>
      <c r="T79" s="321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2" t="s">
        <v>113</v>
      </c>
      <c r="B1" s="322"/>
      <c r="C1" s="322"/>
      <c r="D1" s="322"/>
      <c r="E1" s="322"/>
      <c r="F1" s="1"/>
      <c r="G1" s="323" t="s">
        <v>114</v>
      </c>
      <c r="H1" s="323"/>
      <c r="I1" s="323"/>
      <c r="J1" s="323"/>
      <c r="K1" s="323"/>
      <c r="L1" s="1"/>
      <c r="M1" s="320" t="s">
        <v>115</v>
      </c>
      <c r="N1" s="320"/>
      <c r="O1" s="320"/>
      <c r="P1" s="320"/>
      <c r="Q1" s="320"/>
      <c r="R1" s="60"/>
      <c r="S1" s="321" t="s">
        <v>129</v>
      </c>
      <c r="T1" s="321"/>
      <c r="U1" s="321"/>
      <c r="V1" s="321"/>
      <c r="W1" s="321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topLeftCell="A5" zoomScale="70" zoomScaleNormal="70" workbookViewId="0">
      <selection activeCell="O31" sqref="O31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24">
        <f>PRODUCT('Regular Symbol'!C18:E18)</f>
        <v>5218521</v>
      </c>
      <c r="D11" s="324"/>
      <c r="E11" s="324"/>
      <c r="F11" s="324"/>
      <c r="G11" s="324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24">
        <f>PRODUCT('Regular Symbol'!C18:E18)</f>
        <v>5218521</v>
      </c>
      <c r="D23" s="324"/>
      <c r="E23" s="324"/>
      <c r="F23" s="324"/>
      <c r="G23" s="324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24">
        <f>PRODUCT('Regular Symbol'!C18:E18)</f>
        <v>5218521</v>
      </c>
      <c r="D35" s="324"/>
      <c r="E35" s="324"/>
      <c r="F35" s="324"/>
      <c r="G35" s="324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24">
        <f>PRODUCT('Regular Symbol'!C18:E18)</f>
        <v>5218521</v>
      </c>
      <c r="D47" s="324"/>
      <c r="E47" s="324"/>
      <c r="F47" s="324"/>
      <c r="G47" s="324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24">
        <f>PRODUCT('Regular Symbol'!C18:E18)</f>
        <v>5218521</v>
      </c>
      <c r="D59" s="324"/>
      <c r="E59" s="324"/>
      <c r="F59" s="324"/>
      <c r="G59" s="324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V26" sqref="V26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4">
        <f>PRODUCT('Regular Symbol'!C44:E44)</f>
        <v>5218521</v>
      </c>
      <c r="D11" s="324"/>
      <c r="E11" s="324"/>
      <c r="F11" s="324"/>
      <c r="G11" s="324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>
        <v>2</v>
      </c>
      <c r="R20" s="180" cm="1">
        <f t="array" ref="R20:R30">S20:S30/SUM(S20:S30)</f>
        <v>0.20836289114841963</v>
      </c>
      <c r="S20" s="1">
        <v>5287</v>
      </c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>
        <v>3</v>
      </c>
      <c r="R21" s="180">
        <v>0.18507133286040831</v>
      </c>
      <c r="S21" s="1">
        <v>4696</v>
      </c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>
        <v>4</v>
      </c>
      <c r="R22" s="180">
        <v>0.1340742492314968</v>
      </c>
      <c r="S22" s="1">
        <v>3402</v>
      </c>
    </row>
    <row r="23" spans="1:19" ht="16.8" thickBot="1">
      <c r="A23" s="1"/>
      <c r="B23" s="61" t="s">
        <v>53</v>
      </c>
      <c r="C23" s="324">
        <f>PRODUCT('Regular Symbol'!C44:E44)</f>
        <v>5218521</v>
      </c>
      <c r="D23" s="324"/>
      <c r="E23" s="324"/>
      <c r="F23" s="324"/>
      <c r="G23" s="324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>
        <v>5</v>
      </c>
      <c r="R23" s="180">
        <v>0.14408449594072673</v>
      </c>
      <c r="S23" s="1">
        <v>3656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>
        <v>6</v>
      </c>
      <c r="R24" s="180">
        <v>0.11842831244581067</v>
      </c>
      <c r="S24" s="1">
        <v>3005</v>
      </c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>
        <v>7</v>
      </c>
      <c r="R25" s="180">
        <v>6.5381886970915112E-2</v>
      </c>
      <c r="S25" s="1">
        <v>1659</v>
      </c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>
        <v>8</v>
      </c>
      <c r="R26" s="180">
        <v>4.9696539765113894E-2</v>
      </c>
      <c r="S26" s="1">
        <v>1261</v>
      </c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>
        <v>9</v>
      </c>
      <c r="R27" s="180">
        <v>4.40214392685426E-2</v>
      </c>
      <c r="S27" s="1">
        <v>1117</v>
      </c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>
        <v>10</v>
      </c>
      <c r="R28" s="180">
        <v>3.9016315913927645E-2</v>
      </c>
      <c r="S28" s="1">
        <v>990</v>
      </c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>
        <v>20</v>
      </c>
      <c r="R29" s="180">
        <v>1.1074328052337037E-2</v>
      </c>
      <c r="S29" s="1">
        <v>281</v>
      </c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>
        <v>50</v>
      </c>
      <c r="R30" s="180">
        <v>7.8820840230156856E-4</v>
      </c>
      <c r="S30" s="1">
        <v>20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93">
        <f>SUMPRODUCT(_xlfn.ANCHORARRAY(R20),Q20:Q30)</f>
        <v>4.8417277528178451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4">
        <f>PRODUCT('Regular Symbol'!C44:E44)</f>
        <v>5218521</v>
      </c>
      <c r="D35" s="324"/>
      <c r="E35" s="324"/>
      <c r="F35" s="324"/>
      <c r="G35" s="32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4">
        <f>PRODUCT('Regular Symbol'!C44:E44)</f>
        <v>5218521</v>
      </c>
      <c r="D47" s="324"/>
      <c r="E47" s="324"/>
      <c r="F47" s="324"/>
      <c r="G47" s="32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4">
        <f>PRODUCT('Regular Symbol'!C44:E44)</f>
        <v>5218521</v>
      </c>
      <c r="D59" s="324"/>
      <c r="E59" s="324"/>
      <c r="F59" s="324"/>
      <c r="G59" s="32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4">
        <f>PRODUCT('Regular Symbol'!C70:E70)</f>
        <v>5218521</v>
      </c>
      <c r="D11" s="324"/>
      <c r="E11" s="324"/>
      <c r="F11" s="324"/>
      <c r="G11" s="324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4">
        <f>PRODUCT('Regular Symbol'!C70:E70)</f>
        <v>5218521</v>
      </c>
      <c r="D23" s="324"/>
      <c r="E23" s="324"/>
      <c r="F23" s="324"/>
      <c r="G23" s="324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4">
        <f>PRODUCT('Regular Symbol'!C70:E70)</f>
        <v>5218521</v>
      </c>
      <c r="D35" s="324"/>
      <c r="E35" s="324"/>
      <c r="F35" s="324"/>
      <c r="G35" s="32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4">
        <f>PRODUCT('Regular Symbol'!C70:E70)</f>
        <v>5218521</v>
      </c>
      <c r="D47" s="324"/>
      <c r="E47" s="324"/>
      <c r="F47" s="324"/>
      <c r="G47" s="32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4">
        <f>PRODUCT('Regular Symbol'!C70:E70)</f>
        <v>5218521</v>
      </c>
      <c r="D59" s="324"/>
      <c r="E59" s="324"/>
      <c r="F59" s="324"/>
      <c r="G59" s="32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24">
        <f>PRODUCT('Regular Symbol'!C96:E96)</f>
        <v>23976978049206</v>
      </c>
      <c r="D11" s="324"/>
      <c r="E11" s="324"/>
      <c r="F11" s="324"/>
      <c r="G11" s="324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4">
        <f>PRODUCT('Regular Symbol'!C96:E96)</f>
        <v>23976978049206</v>
      </c>
      <c r="D23" s="324"/>
      <c r="E23" s="324"/>
      <c r="F23" s="324"/>
      <c r="G23" s="324"/>
      <c r="H23" s="1"/>
      <c r="I23" s="33"/>
      <c r="J23" s="285"/>
      <c r="K23" s="34"/>
      <c r="L23" s="51" t="s">
        <v>279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4">
        <f>PRODUCT('Regular Symbol'!C96:E96)</f>
        <v>23976978049206</v>
      </c>
      <c r="D35" s="324"/>
      <c r="E35" s="324"/>
      <c r="F35" s="324"/>
      <c r="G35" s="32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4">
        <f>PRODUCT('Regular Symbol'!C96:E96)</f>
        <v>23976978049206</v>
      </c>
      <c r="D47" s="324"/>
      <c r="E47" s="324"/>
      <c r="F47" s="324"/>
      <c r="G47" s="32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4">
        <f>PRODUCT('Regular Symbol'!C96:E96)</f>
        <v>23976978049206</v>
      </c>
      <c r="D59" s="324"/>
      <c r="E59" s="324"/>
      <c r="F59" s="324"/>
      <c r="G59" s="32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4">
        <f>PRODUCT('Regular Symbol'!C96:E96)</f>
        <v>23976978049206</v>
      </c>
      <c r="D11" s="324"/>
      <c r="E11" s="324"/>
      <c r="F11" s="324"/>
      <c r="G11" s="324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4">
        <f>PRODUCT('Regular Symbol'!C96:E96)</f>
        <v>23976978049206</v>
      </c>
      <c r="D23" s="324"/>
      <c r="E23" s="324"/>
      <c r="F23" s="324"/>
      <c r="G23" s="324"/>
      <c r="H23" s="1"/>
      <c r="I23" s="33"/>
      <c r="J23" s="285"/>
      <c r="K23" s="34"/>
      <c r="L23" s="51" t="s">
        <v>279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4">
        <f>PRODUCT('Regular Symbol'!C96:E96)</f>
        <v>23976978049206</v>
      </c>
      <c r="D35" s="324"/>
      <c r="E35" s="324"/>
      <c r="F35" s="324"/>
      <c r="G35" s="32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4">
        <f>PRODUCT('Regular Symbol'!C96:E96)</f>
        <v>23976978049206</v>
      </c>
      <c r="D47" s="324"/>
      <c r="E47" s="324"/>
      <c r="F47" s="324"/>
      <c r="G47" s="32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4">
        <f>PRODUCT('Regular Symbol'!C96:E96)</f>
        <v>23976978049206</v>
      </c>
      <c r="D59" s="324"/>
      <c r="E59" s="324"/>
      <c r="F59" s="324"/>
      <c r="G59" s="32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4">
        <f>PRODUCT('Regular Symbol'!C96:E96)</f>
        <v>23976978049206</v>
      </c>
      <c r="D11" s="324"/>
      <c r="E11" s="324"/>
      <c r="F11" s="324"/>
      <c r="G11" s="324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4">
        <f>PRODUCT('Regular Symbol'!C96:E96)</f>
        <v>23976978049206</v>
      </c>
      <c r="D23" s="324"/>
      <c r="E23" s="324"/>
      <c r="F23" s="324"/>
      <c r="G23" s="324"/>
      <c r="H23" s="1"/>
      <c r="I23" s="33"/>
      <c r="J23" s="285"/>
      <c r="K23" s="34"/>
      <c r="L23" s="51" t="s">
        <v>279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4">
        <f>PRODUCT('Regular Symbol'!C96:E96)</f>
        <v>23976978049206</v>
      </c>
      <c r="D35" s="324"/>
      <c r="E35" s="324"/>
      <c r="F35" s="324"/>
      <c r="G35" s="32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4">
        <f>PRODUCT('Regular Symbol'!C96:E96)</f>
        <v>23976978049206</v>
      </c>
      <c r="D47" s="324"/>
      <c r="E47" s="324"/>
      <c r="F47" s="324"/>
      <c r="G47" s="32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4">
        <f>PRODUCT('Regular Symbol'!C96:E96)</f>
        <v>23976978049206</v>
      </c>
      <c r="D59" s="324"/>
      <c r="E59" s="324"/>
      <c r="F59" s="324"/>
      <c r="G59" s="32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4">
        <f>PRODUCT('Regular Symbol'!C96:E96)</f>
        <v>23976978049206</v>
      </c>
      <c r="D11" s="324"/>
      <c r="E11" s="324"/>
      <c r="F11" s="324"/>
      <c r="G11" s="324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4">
        <f>PRODUCT('Regular Symbol'!C96:E96)</f>
        <v>23976978049206</v>
      </c>
      <c r="D23" s="324"/>
      <c r="E23" s="324"/>
      <c r="F23" s="324"/>
      <c r="G23" s="324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4">
        <f>PRODUCT('Regular Symbol'!C96:E96)</f>
        <v>23976978049206</v>
      </c>
      <c r="D35" s="324"/>
      <c r="E35" s="324"/>
      <c r="F35" s="324"/>
      <c r="G35" s="32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4">
        <f>PRODUCT('Regular Symbol'!C96:E96)</f>
        <v>23976978049206</v>
      </c>
      <c r="D47" s="324"/>
      <c r="E47" s="324"/>
      <c r="F47" s="324"/>
      <c r="G47" s="32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4">
        <f>PRODUCT('Regular Symbol'!C96:E96)</f>
        <v>23976978049206</v>
      </c>
      <c r="D59" s="324"/>
      <c r="E59" s="324"/>
      <c r="F59" s="324"/>
      <c r="G59" s="32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4">
        <f>PRODUCT('Regular Symbol'!C96:E96)</f>
        <v>23976978049206</v>
      </c>
      <c r="D11" s="324"/>
      <c r="E11" s="324"/>
      <c r="F11" s="324"/>
      <c r="G11" s="324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4">
        <f>PRODUCT('Regular Symbol'!C96:E96)</f>
        <v>23976978049206</v>
      </c>
      <c r="D23" s="324"/>
      <c r="E23" s="324"/>
      <c r="F23" s="324"/>
      <c r="G23" s="324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4">
        <f>PRODUCT('Regular Symbol'!C96:E96)</f>
        <v>23976978049206</v>
      </c>
      <c r="D35" s="324"/>
      <c r="E35" s="324"/>
      <c r="F35" s="324"/>
      <c r="G35" s="32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4">
        <f>PRODUCT('Regular Symbol'!C96:E96)</f>
        <v>23976978049206</v>
      </c>
      <c r="D47" s="324"/>
      <c r="E47" s="324"/>
      <c r="F47" s="324"/>
      <c r="G47" s="32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4">
        <f>PRODUCT('Regular Symbol'!C96:E96)</f>
        <v>23976978049206</v>
      </c>
      <c r="D59" s="324"/>
      <c r="E59" s="324"/>
      <c r="F59" s="324"/>
      <c r="G59" s="32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2026-10-20T08:57:10Z</dcterms:modified>
</cp:coreProperties>
</file>