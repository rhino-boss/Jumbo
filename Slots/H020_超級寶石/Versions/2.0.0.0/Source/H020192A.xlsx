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0804B062-DF0E-4287-9BD1-41E539FAC561}" xr6:coauthVersionLast="47" xr6:coauthVersionMax="47" xr10:uidLastSave="{00000000-0000-0000-0000-000000000000}"/>
  <bookViews>
    <workbookView xWindow="-27075" yWindow="1575" windowWidth="23235" windowHeight="1110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0" i="24" l="1" a="1"/>
  <c r="R20" i="24" s="1"/>
  <c r="S31" i="24" s="1"/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/>
  <c r="M3" i="40" a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E93" i="39"/>
  <c r="E92" i="39"/>
  <c r="E91" i="39"/>
  <c r="E90" i="39"/>
  <c r="E89" i="39"/>
  <c r="E88" i="39"/>
  <c r="E87" i="39"/>
  <c r="E86" i="39"/>
  <c r="E85" i="39"/>
  <c r="E84" i="39"/>
  <c r="E83" i="39"/>
  <c r="E82" i="39"/>
  <c r="E81" i="39"/>
  <c r="E80" i="39"/>
  <c r="E79" i="39"/>
  <c r="E78" i="39"/>
  <c r="E77" i="39"/>
  <c r="E76" i="39"/>
  <c r="E75" i="39"/>
  <c r="E74" i="39"/>
  <c r="E73" i="39"/>
  <c r="E72" i="39"/>
  <c r="E71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 a="1"/>
  <c r="F4" i="39" s="1"/>
  <c r="J4" i="39" s="1" a="1"/>
  <c r="J4" i="39" s="1"/>
  <c r="L4" i="39" s="1" a="1"/>
  <c r="L4" i="39" s="1"/>
  <c r="M4" i="39" s="1" a="1"/>
  <c r="M4" i="39" s="1"/>
  <c r="N4" i="39" s="1" a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I93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Q69" i="39" l="1" a="1"/>
  <c r="Q69" i="39" s="1"/>
  <c r="P68" i="39" s="1"/>
  <c r="R69" i="39" s="1" a="1"/>
  <c r="I101" i="39"/>
  <c r="I125" i="39"/>
  <c r="I109" i="39"/>
  <c r="I93" i="39"/>
  <c r="I77" i="39"/>
  <c r="Q4" i="39" a="1"/>
  <c r="Q4" i="39" s="1"/>
  <c r="P3" i="39" s="1"/>
  <c r="R4" i="39" s="1" a="1"/>
  <c r="I85" i="39"/>
  <c r="I70" i="39"/>
  <c r="E220" i="38"/>
  <c r="E231" i="39"/>
  <c r="E211" i="38"/>
  <c r="E221" i="38"/>
  <c r="E205" i="38"/>
  <c r="E230" i="39"/>
  <c r="E238" i="39"/>
  <c r="E213" i="38"/>
  <c r="E219" i="38"/>
  <c r="E239" i="39"/>
  <c r="E253" i="39"/>
  <c r="E254" i="39"/>
  <c r="E225" i="38"/>
  <c r="E246" i="39"/>
  <c r="E224" i="38"/>
  <c r="E238" i="38"/>
  <c r="E239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E203" i="38"/>
  <c r="E225" i="39"/>
  <c r="T3" i="40" a="1"/>
  <c r="T3" i="40" s="1"/>
  <c r="T16" i="40" s="1" a="1"/>
  <c r="T16" i="40" s="1"/>
  <c r="O14" i="40" s="1"/>
  <c r="O15" i="40" s="1"/>
  <c r="S5" i="39" a="1"/>
  <c r="S5" i="39" s="1"/>
  <c r="R4" i="39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R69" i="39"/>
  <c r="S70" i="39" a="1"/>
  <c r="S70" i="39" s="1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O64" i="39" s="1" a="1"/>
  <c r="O64" i="39" s="1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 a="1"/>
  <c r="AI15" i="37" s="1"/>
  <c r="AH15" i="37" a="1"/>
  <c r="AH15" i="37" s="1"/>
  <c r="T15" i="37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O3" i="37" a="1"/>
  <c r="O3" i="37" s="1"/>
  <c r="M3" i="37" a="1"/>
  <c r="M3" i="37" s="1"/>
  <c r="E199" i="38" l="1"/>
  <c r="L199" i="38" a="1"/>
  <c r="L199" i="38" s="1"/>
  <c r="M199" i="38" s="1" a="1"/>
  <c r="M199" i="38" s="1"/>
  <c r="N199" i="38" s="1" a="1"/>
  <c r="N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G199" i="38" a="1"/>
  <c r="G199" i="38" s="1"/>
  <c r="N65" i="38"/>
  <c r="N4" i="38"/>
  <c r="N64" i="38"/>
  <c r="T3" i="37" a="1"/>
  <c r="T3" i="37" s="1"/>
  <c r="T16" i="37" s="1" a="1"/>
  <c r="T16" i="37" s="1"/>
  <c r="O14" i="37" s="1"/>
  <c r="O15" i="37" s="1"/>
  <c r="AG206" i="1"/>
  <c r="AK206" i="1"/>
  <c r="AK207" i="1"/>
  <c r="O64" i="38" l="1" a="1"/>
  <c r="O64" i="38" s="1"/>
  <c r="U225" i="38"/>
  <c r="U227" i="38"/>
  <c r="U228" i="38"/>
  <c r="U224" i="38"/>
  <c r="U226" i="38"/>
  <c r="N257" i="38"/>
  <c r="N260" i="38" s="1"/>
  <c r="N259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U223" i="38"/>
  <c r="O199" i="38" a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O259" i="38" l="1" a="1"/>
  <c r="O259" i="38" s="1"/>
  <c r="V223" i="38" a="1"/>
  <c r="V223" i="38" s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M69" i="36" s="1" a="1"/>
  <c r="M69" i="36" s="1"/>
  <c r="N69" i="36" s="1" a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Q4" i="36" s="1" a="1"/>
  <c r="Q4" i="36" s="1"/>
  <c r="P3" i="36" s="1"/>
  <c r="R4" i="36" s="1" a="1"/>
  <c r="AB3" i="36" a="1"/>
  <c r="AB3" i="36" s="1"/>
  <c r="AC3" i="36" s="1" a="1"/>
  <c r="AC3" i="36" s="1"/>
  <c r="AD3" i="36" s="1" a="1"/>
  <c r="AD3" i="36" s="1"/>
  <c r="M2" i="36"/>
  <c r="I108" i="36" l="1"/>
  <c r="Q69" i="36" a="1"/>
  <c r="Q69" i="36" s="1"/>
  <c r="P68" i="36" s="1"/>
  <c r="R69" i="36" s="1" a="1"/>
  <c r="I92" i="36"/>
  <c r="I84" i="36"/>
  <c r="I12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E123" i="34"/>
  <c r="E122" i="34"/>
  <c r="I121" i="34"/>
  <c r="E121" i="34"/>
  <c r="E120" i="34"/>
  <c r="E119" i="34"/>
  <c r="E118" i="34"/>
  <c r="E117" i="34"/>
  <c r="E116" i="34"/>
  <c r="I115" i="34"/>
  <c r="E115" i="34"/>
  <c r="I114" i="34"/>
  <c r="E114" i="34"/>
  <c r="E113" i="34"/>
  <c r="E112" i="34"/>
  <c r="E111" i="34"/>
  <c r="E110" i="34"/>
  <c r="E109" i="34"/>
  <c r="E108" i="34"/>
  <c r="E107" i="34"/>
  <c r="I106" i="34"/>
  <c r="E106" i="34"/>
  <c r="I105" i="34"/>
  <c r="E105" i="34"/>
  <c r="E104" i="34"/>
  <c r="E103" i="34"/>
  <c r="E102" i="34"/>
  <c r="E101" i="34"/>
  <c r="E100" i="34"/>
  <c r="I99" i="34"/>
  <c r="E99" i="34"/>
  <c r="E98" i="34"/>
  <c r="E97" i="34"/>
  <c r="E96" i="34"/>
  <c r="E95" i="34"/>
  <c r="E94" i="34"/>
  <c r="E93" i="34"/>
  <c r="E92" i="34"/>
  <c r="I91" i="34"/>
  <c r="E91" i="34"/>
  <c r="I90" i="34"/>
  <c r="E90" i="34"/>
  <c r="I89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I76" i="34"/>
  <c r="E76" i="34"/>
  <c r="I75" i="34"/>
  <c r="E75" i="34"/>
  <c r="I74" i="34"/>
  <c r="E74" i="34"/>
  <c r="I73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J69" i="34" l="1" a="1"/>
  <c r="J69" i="34" s="1"/>
  <c r="L69" i="34" s="1" a="1"/>
  <c r="L69" i="34" s="1"/>
  <c r="M69" i="34" s="1" a="1"/>
  <c r="M69" i="34" s="1"/>
  <c r="N69" i="34" s="1" a="1"/>
  <c r="G69" i="34" a="1"/>
  <c r="G69" i="34" s="1"/>
  <c r="I107" i="34"/>
  <c r="I122" i="34"/>
  <c r="I123" i="34"/>
  <c r="O129" i="36" a="1"/>
  <c r="O129" i="36" s="1"/>
  <c r="I81" i="34"/>
  <c r="I82" i="34"/>
  <c r="I97" i="34"/>
  <c r="Q69" i="34" a="1"/>
  <c r="Q69" i="34" s="1"/>
  <c r="P68" i="34" s="1"/>
  <c r="R69" i="34" s="1" a="1"/>
  <c r="I83" i="34"/>
  <c r="Q4" i="34" a="1"/>
  <c r="Q4" i="34" s="1"/>
  <c r="P3" i="34" s="1"/>
  <c r="R4" i="34" s="1" a="1"/>
  <c r="S5" i="34" s="1" a="1"/>
  <c r="S5" i="34" s="1"/>
  <c r="I98" i="34"/>
  <c r="I113" i="34"/>
  <c r="I84" i="34"/>
  <c r="E243" i="34"/>
  <c r="E252" i="34"/>
  <c r="E210" i="34"/>
  <c r="E244" i="34"/>
  <c r="E218" i="34"/>
  <c r="E250" i="34"/>
  <c r="E251" i="34"/>
  <c r="E209" i="34"/>
  <c r="E225" i="34"/>
  <c r="E217" i="34"/>
  <c r="E227" i="34"/>
  <c r="E216" i="34"/>
  <c r="E223" i="34"/>
  <c r="E228" i="34"/>
  <c r="E229" i="34"/>
  <c r="E200" i="34"/>
  <c r="E234" i="34"/>
  <c r="E201" i="34"/>
  <c r="E235" i="34"/>
  <c r="E202" i="34"/>
  <c r="E236" i="34"/>
  <c r="E208" i="34"/>
  <c r="E242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O64" i="36" s="1" a="1"/>
  <c r="O64" i="36" s="1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N69" i="34"/>
  <c r="N130" i="34"/>
  <c r="O129" i="34" a="1"/>
  <c r="O129" i="34" s="1"/>
  <c r="R69" i="34"/>
  <c r="S70" i="34" a="1"/>
  <c r="S70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R4" i="34" l="1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T69" i="34" s="1" a="1"/>
  <c r="T69" i="34" s="1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O194" i="34" s="1" a="1"/>
  <c r="O194" i="34" s="1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64" i="34" l="1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H4" i="32" a="1"/>
  <c r="H4" i="32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G4" i="28" s="1" a="1"/>
  <c r="G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I121" i="28" l="1"/>
  <c r="I122" i="28"/>
  <c r="A134" i="28" a="1"/>
  <c r="A134" i="28" s="1"/>
  <c r="I123" i="28"/>
  <c r="I124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E116" i="32"/>
  <c r="E71" i="32"/>
  <c r="E90" i="32"/>
  <c r="E110" i="32"/>
  <c r="E120" i="32"/>
  <c r="E81" i="32"/>
  <c r="E111" i="32"/>
  <c r="E122" i="32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L4" i="32" s="1" a="1"/>
  <c r="L4" i="32" s="1"/>
  <c r="M4" i="32" s="1" a="1"/>
  <c r="M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A199" i="28" l="1" a="1"/>
  <c r="H134" i="28" a="1"/>
  <c r="H134" i="28" s="1"/>
  <c r="I187" i="28"/>
  <c r="I186" i="28"/>
  <c r="I191" i="28"/>
  <c r="A134" i="32" a="1"/>
  <c r="H69" i="32" a="1"/>
  <c r="H69" i="32" s="1"/>
  <c r="L199" i="28" a="1"/>
  <c r="L199" i="28" s="1"/>
  <c r="N69" i="32" a="1"/>
  <c r="N69" i="32" s="1"/>
  <c r="H2" i="31" a="1"/>
  <c r="H2" i="31" s="1"/>
  <c r="J2" i="31" a="1"/>
  <c r="J2" i="31" s="1"/>
  <c r="N4" i="32" a="1"/>
  <c r="N4" i="32" s="1"/>
  <c r="G2" i="31" a="1"/>
  <c r="G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252" i="28" l="1"/>
  <c r="I255" i="28"/>
  <c r="I253" i="28"/>
  <c r="A199" i="28"/>
  <c r="H199" i="28" s="1" a="1"/>
  <c r="H199" i="28" s="1"/>
  <c r="I256" i="28"/>
  <c r="I254" i="28"/>
  <c r="I251" i="28"/>
  <c r="N65" i="32"/>
  <c r="I158" i="32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O129" i="32" s="1" a="1"/>
  <c r="O129" i="32" s="1"/>
  <c r="N194" i="32"/>
  <c r="O194" i="32" s="1" a="1"/>
  <c r="O194" i="32" s="1"/>
  <c r="O134" i="32"/>
  <c r="O132" i="32" s="1"/>
  <c r="N64" i="32"/>
  <c r="O64" i="32" s="1" a="1"/>
  <c r="O64" i="32" s="1"/>
  <c r="O69" i="32" a="1"/>
  <c r="O4" i="32" a="1"/>
  <c r="H134" i="32" l="1" a="1"/>
  <c r="H134" i="32" s="1"/>
  <c r="I134" i="32"/>
  <c r="O4" i="32"/>
  <c r="O2" i="32" s="1"/>
  <c r="O62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6" i="28"/>
  <c r="V224" i="28"/>
  <c r="V227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O194" i="28" s="1" a="1"/>
  <c r="O194" i="28" s="1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56" i="24" l="1"/>
  <c r="C20" i="24"/>
  <c r="C72" i="1"/>
  <c r="C47" i="1"/>
  <c r="C73" i="1"/>
  <c r="C49" i="1"/>
  <c r="C77" i="1"/>
  <c r="C46" i="1"/>
  <c r="C75" i="1"/>
  <c r="C45" i="1"/>
  <c r="C71" i="1"/>
  <c r="C48" i="1"/>
  <c r="C74" i="1"/>
  <c r="C50" i="1"/>
  <c r="C76" i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64" i="24"/>
  <c r="E16" i="24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C55" i="26" l="1"/>
  <c r="C19" i="26"/>
  <c r="C55" i="24"/>
  <c r="C19" i="24"/>
  <c r="C14" i="26"/>
  <c r="C50" i="26"/>
  <c r="C52" i="24"/>
  <c r="C16" i="24"/>
  <c r="C52" i="26"/>
  <c r="C16" i="26"/>
  <c r="C51" i="26"/>
  <c r="C15" i="26"/>
  <c r="C53" i="26"/>
  <c r="C17" i="26"/>
  <c r="J59" i="1"/>
  <c r="C14" i="24"/>
  <c r="C50" i="24"/>
  <c r="C54" i="26"/>
  <c r="C18" i="26"/>
  <c r="C51" i="24"/>
  <c r="C15" i="24"/>
  <c r="C56" i="26"/>
  <c r="C20" i="26"/>
  <c r="E102" i="1"/>
  <c r="E99" i="1"/>
  <c r="E101" i="1"/>
  <c r="C17" i="24"/>
  <c r="C53" i="24"/>
  <c r="R34" i="1"/>
  <c r="C18" i="24"/>
  <c r="C54" i="24"/>
  <c r="E13" i="40"/>
  <c r="E61" i="40"/>
  <c r="E13" i="37"/>
  <c r="E61" i="37"/>
  <c r="E13" i="27"/>
  <c r="E61" i="27"/>
  <c r="E13" i="35"/>
  <c r="E61" i="35"/>
  <c r="E61" i="33"/>
  <c r="E13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C37" i="26" s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K34" i="1"/>
  <c r="Q29" i="1"/>
  <c r="R30" i="1"/>
  <c r="E85" i="1"/>
  <c r="E100" i="1" s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S3" i="1"/>
  <c r="S45" i="1" s="1"/>
  <c r="Q3" i="1"/>
  <c r="Q75" i="1" s="1"/>
  <c r="E62" i="40" l="1"/>
  <c r="E14" i="40"/>
  <c r="E62" i="37"/>
  <c r="E14" i="37"/>
  <c r="E62" i="27"/>
  <c r="E14" i="27"/>
  <c r="E14" i="35"/>
  <c r="E62" i="35"/>
  <c r="E14" i="33"/>
  <c r="E62" i="33"/>
  <c r="E17" i="40"/>
  <c r="E65" i="40"/>
  <c r="E65" i="37"/>
  <c r="E17" i="37"/>
  <c r="E65" i="27"/>
  <c r="E17" i="27"/>
  <c r="E65" i="35"/>
  <c r="E17" i="35"/>
  <c r="E17" i="33"/>
  <c r="E65" i="33"/>
  <c r="E68" i="40"/>
  <c r="E20" i="40"/>
  <c r="E68" i="37"/>
  <c r="E20" i="37"/>
  <c r="E20" i="27"/>
  <c r="E68" i="27"/>
  <c r="E68" i="35"/>
  <c r="E20" i="35"/>
  <c r="E68" i="33"/>
  <c r="E20" i="33"/>
  <c r="E63" i="40"/>
  <c r="E15" i="40"/>
  <c r="E15" i="37"/>
  <c r="E63" i="37"/>
  <c r="E63" i="27"/>
  <c r="E15" i="27"/>
  <c r="E63" i="35"/>
  <c r="E15" i="35"/>
  <c r="E15" i="33"/>
  <c r="E63" i="33"/>
  <c r="Q51" i="1"/>
  <c r="J24" i="1"/>
  <c r="C31" i="2" s="1"/>
  <c r="J50" i="1"/>
  <c r="C31" i="24" s="1"/>
  <c r="J75" i="1"/>
  <c r="C30" i="26" s="1"/>
  <c r="J48" i="1"/>
  <c r="C29" i="24" s="1"/>
  <c r="J73" i="1"/>
  <c r="C28" i="26" s="1"/>
  <c r="J45" i="1"/>
  <c r="C26" i="24" s="1"/>
  <c r="J49" i="1"/>
  <c r="C30" i="24" s="1"/>
  <c r="J47" i="1"/>
  <c r="C28" i="24" s="1"/>
  <c r="J74" i="1"/>
  <c r="C29" i="26" s="1"/>
  <c r="J72" i="1"/>
  <c r="C27" i="26" s="1"/>
  <c r="J46" i="1"/>
  <c r="C27" i="24" s="1"/>
  <c r="J71" i="1"/>
  <c r="C26" i="26" s="1"/>
  <c r="J76" i="1"/>
  <c r="C31" i="26" s="1"/>
  <c r="J51" i="1"/>
  <c r="C32" i="24" s="1"/>
  <c r="C97" i="1"/>
  <c r="C103" i="1"/>
  <c r="C100" i="1"/>
  <c r="C98" i="1"/>
  <c r="C102" i="1"/>
  <c r="C99" i="1"/>
  <c r="C101" i="1"/>
  <c r="E16" i="40"/>
  <c r="E64" i="40"/>
  <c r="E16" i="37"/>
  <c r="E64" i="37"/>
  <c r="E16" i="27"/>
  <c r="E64" i="27"/>
  <c r="E64" i="35"/>
  <c r="E16" i="35"/>
  <c r="E64" i="33"/>
  <c r="E16" i="33"/>
  <c r="D97" i="1"/>
  <c r="D103" i="1"/>
  <c r="D100" i="1"/>
  <c r="D102" i="1"/>
  <c r="D99" i="1"/>
  <c r="D101" i="1"/>
  <c r="D98" i="1"/>
  <c r="C64" i="26"/>
  <c r="C67" i="26"/>
  <c r="C43" i="26"/>
  <c r="C38" i="26"/>
  <c r="C63" i="26"/>
  <c r="C63" i="24"/>
  <c r="C62" i="24"/>
  <c r="C39" i="24"/>
  <c r="C38" i="24"/>
  <c r="Q21" i="1"/>
  <c r="C64" i="2" s="1"/>
  <c r="Q73" i="1"/>
  <c r="C40" i="26" s="1"/>
  <c r="Q47" i="1"/>
  <c r="C64" i="24" s="1"/>
  <c r="Q71" i="1"/>
  <c r="C62" i="26" s="1"/>
  <c r="Q50" i="1"/>
  <c r="C67" i="24" s="1"/>
  <c r="Q74" i="1"/>
  <c r="C41" i="26" s="1"/>
  <c r="Q48" i="1"/>
  <c r="C41" i="24" s="1"/>
  <c r="Q72" i="1"/>
  <c r="C39" i="26" s="1"/>
  <c r="Q46" i="1"/>
  <c r="Q45" i="1"/>
  <c r="Q76" i="1"/>
  <c r="Q49" i="1"/>
  <c r="E18" i="40"/>
  <c r="E66" i="40"/>
  <c r="E18" i="37"/>
  <c r="E66" i="37"/>
  <c r="E66" i="27"/>
  <c r="E18" i="27"/>
  <c r="E66" i="35"/>
  <c r="E18" i="35"/>
  <c r="E18" i="33"/>
  <c r="E66" i="33"/>
  <c r="E19" i="40"/>
  <c r="E67" i="40"/>
  <c r="E67" i="37"/>
  <c r="E19" i="37"/>
  <c r="E67" i="27"/>
  <c r="E19" i="27"/>
  <c r="E19" i="35"/>
  <c r="E67" i="35"/>
  <c r="E19" i="33"/>
  <c r="E67" i="33"/>
  <c r="Q77" i="1"/>
  <c r="E37" i="24"/>
  <c r="S81" i="1"/>
  <c r="D13" i="40"/>
  <c r="D13" i="37"/>
  <c r="D13" i="27"/>
  <c r="D13" i="35"/>
  <c r="D13" i="33"/>
  <c r="C49" i="40"/>
  <c r="C13" i="40"/>
  <c r="F13" i="40" s="1"/>
  <c r="C49" i="37"/>
  <c r="C13" i="37"/>
  <c r="F13" i="37" s="1"/>
  <c r="C13" i="27"/>
  <c r="F13" i="27" s="1"/>
  <c r="C49" i="27"/>
  <c r="C13" i="35"/>
  <c r="F13" i="35" s="1"/>
  <c r="C49" i="35"/>
  <c r="C13" i="33"/>
  <c r="C49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Q103" i="1" s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66" i="26"/>
  <c r="C42" i="26"/>
  <c r="C68" i="26"/>
  <c r="C44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47" i="24"/>
  <c r="C11" i="24"/>
  <c r="G13" i="24" s="1"/>
  <c r="C23" i="24"/>
  <c r="C35" i="24"/>
  <c r="C68" i="24"/>
  <c r="C44" i="24"/>
  <c r="E50" i="24"/>
  <c r="E38" i="24"/>
  <c r="C66" i="24"/>
  <c r="C42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S97" i="1" s="1"/>
  <c r="Q86" i="1"/>
  <c r="S87" i="1"/>
  <c r="L82" i="1"/>
  <c r="L97" i="1" s="1"/>
  <c r="J86" i="1"/>
  <c r="C96" i="1"/>
  <c r="R81" i="1"/>
  <c r="R103" i="1" s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C40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C65" i="26" l="1"/>
  <c r="C53" i="40"/>
  <c r="C17" i="40"/>
  <c r="C17" i="37"/>
  <c r="C53" i="37"/>
  <c r="C17" i="27"/>
  <c r="F17" i="27" s="1"/>
  <c r="C53" i="27"/>
  <c r="C53" i="35"/>
  <c r="C17" i="35"/>
  <c r="C17" i="33"/>
  <c r="C53" i="33"/>
  <c r="C14" i="40"/>
  <c r="F14" i="40" s="1"/>
  <c r="C50" i="40"/>
  <c r="C14" i="37"/>
  <c r="F14" i="37" s="1"/>
  <c r="J14" i="37" s="1"/>
  <c r="C50" i="37"/>
  <c r="C14" i="27"/>
  <c r="F14" i="27" s="1"/>
  <c r="C50" i="27"/>
  <c r="C14" i="35"/>
  <c r="F14" i="35" s="1"/>
  <c r="C50" i="35"/>
  <c r="C14" i="33"/>
  <c r="F14" i="33" s="1"/>
  <c r="C50" i="33"/>
  <c r="Q101" i="1"/>
  <c r="D19" i="40"/>
  <c r="D19" i="37"/>
  <c r="D19" i="27"/>
  <c r="D19" i="35"/>
  <c r="D19" i="33"/>
  <c r="D17" i="40"/>
  <c r="F17" i="40" s="1"/>
  <c r="D17" i="37"/>
  <c r="F17" i="37" s="1"/>
  <c r="J17" i="37" s="1"/>
  <c r="D17" i="27"/>
  <c r="D17" i="35"/>
  <c r="D17" i="33"/>
  <c r="L100" i="1"/>
  <c r="L102" i="1"/>
  <c r="L99" i="1"/>
  <c r="L101" i="1"/>
  <c r="L98" i="1"/>
  <c r="L103" i="1"/>
  <c r="C65" i="24"/>
  <c r="D20" i="40"/>
  <c r="D20" i="37"/>
  <c r="D20" i="27"/>
  <c r="D20" i="35"/>
  <c r="D20" i="33"/>
  <c r="J100" i="1"/>
  <c r="J102" i="1"/>
  <c r="J99" i="1"/>
  <c r="J101" i="1"/>
  <c r="J98" i="1"/>
  <c r="J97" i="1"/>
  <c r="C55" i="40"/>
  <c r="C19" i="40"/>
  <c r="F19" i="40" s="1"/>
  <c r="C19" i="37"/>
  <c r="C55" i="37"/>
  <c r="C19" i="27"/>
  <c r="F19" i="27" s="1"/>
  <c r="C55" i="27"/>
  <c r="C55" i="35"/>
  <c r="C19" i="35"/>
  <c r="F19" i="35" s="1"/>
  <c r="C19" i="33"/>
  <c r="F19" i="33" s="1"/>
  <c r="C55" i="33"/>
  <c r="J103" i="1"/>
  <c r="S102" i="1"/>
  <c r="S99" i="1"/>
  <c r="S101" i="1"/>
  <c r="S98" i="1"/>
  <c r="S100" i="1"/>
  <c r="S103" i="1"/>
  <c r="E44" i="35" s="1"/>
  <c r="C40" i="24"/>
  <c r="Q97" i="1"/>
  <c r="Q102" i="1"/>
  <c r="Q99" i="1"/>
  <c r="Q98" i="1"/>
  <c r="Q100" i="1"/>
  <c r="D15" i="40"/>
  <c r="D15" i="37"/>
  <c r="D15" i="27"/>
  <c r="F15" i="27" s="1"/>
  <c r="D15" i="35"/>
  <c r="F15" i="35" s="1"/>
  <c r="D15" i="33"/>
  <c r="F15" i="33" s="1"/>
  <c r="D16" i="40"/>
  <c r="F16" i="40" s="1"/>
  <c r="D16" i="37"/>
  <c r="D16" i="27"/>
  <c r="D16" i="35"/>
  <c r="D16" i="33"/>
  <c r="C43" i="24"/>
  <c r="C65" i="2"/>
  <c r="F13" i="33"/>
  <c r="C18" i="40"/>
  <c r="C54" i="40"/>
  <c r="C18" i="37"/>
  <c r="C54" i="37"/>
  <c r="C54" i="27"/>
  <c r="C18" i="27"/>
  <c r="F18" i="27" s="1"/>
  <c r="C18" i="35"/>
  <c r="C54" i="35"/>
  <c r="C18" i="33"/>
  <c r="F18" i="33" s="1"/>
  <c r="J18" i="33" s="1"/>
  <c r="C54" i="33"/>
  <c r="C15" i="40"/>
  <c r="F15" i="40" s="1"/>
  <c r="C51" i="40"/>
  <c r="C15" i="37"/>
  <c r="F15" i="37" s="1"/>
  <c r="C51" i="37"/>
  <c r="C15" i="27"/>
  <c r="C51" i="27"/>
  <c r="C51" i="35"/>
  <c r="C15" i="35"/>
  <c r="C51" i="33"/>
  <c r="C15" i="33"/>
  <c r="C56" i="40"/>
  <c r="C20" i="40"/>
  <c r="F20" i="40" s="1"/>
  <c r="C20" i="37"/>
  <c r="C56" i="37"/>
  <c r="C56" i="27"/>
  <c r="C20" i="27"/>
  <c r="F20" i="27" s="1"/>
  <c r="C20" i="35"/>
  <c r="F20" i="35" s="1"/>
  <c r="C56" i="35"/>
  <c r="C20" i="33"/>
  <c r="C56" i="33"/>
  <c r="D18" i="40"/>
  <c r="F18" i="40" s="1"/>
  <c r="D18" i="37"/>
  <c r="D18" i="27"/>
  <c r="D18" i="35"/>
  <c r="F18" i="35" s="1"/>
  <c r="D18" i="33"/>
  <c r="D14" i="40"/>
  <c r="D14" i="37"/>
  <c r="D14" i="27"/>
  <c r="D14" i="35"/>
  <c r="D14" i="33"/>
  <c r="C52" i="40"/>
  <c r="C16" i="40"/>
  <c r="C52" i="37"/>
  <c r="C16" i="37"/>
  <c r="F16" i="37" s="1"/>
  <c r="J16" i="37" s="1"/>
  <c r="C52" i="27"/>
  <c r="C16" i="27"/>
  <c r="F16" i="27" s="1"/>
  <c r="C16" i="35"/>
  <c r="F16" i="35" s="1"/>
  <c r="C52" i="35"/>
  <c r="C16" i="33"/>
  <c r="F16" i="33" s="1"/>
  <c r="J16" i="33" s="1"/>
  <c r="C52" i="33"/>
  <c r="C44" i="33"/>
  <c r="C44" i="40"/>
  <c r="C68" i="35"/>
  <c r="C68" i="33"/>
  <c r="C68" i="37"/>
  <c r="C68" i="40"/>
  <c r="C44" i="37"/>
  <c r="C44" i="27"/>
  <c r="C68" i="27"/>
  <c r="C44" i="35"/>
  <c r="C32" i="35"/>
  <c r="C32" i="40"/>
  <c r="C32" i="33"/>
  <c r="C32" i="37"/>
  <c r="C32" i="27"/>
  <c r="R101" i="1"/>
  <c r="D42" i="33" s="1"/>
  <c r="R102" i="1"/>
  <c r="D43" i="37" s="1"/>
  <c r="K101" i="1"/>
  <c r="D30" i="27" s="1"/>
  <c r="K102" i="1"/>
  <c r="D67" i="37" s="1"/>
  <c r="C66" i="33"/>
  <c r="C66" i="40"/>
  <c r="C42" i="27"/>
  <c r="C42" i="37"/>
  <c r="C66" i="27"/>
  <c r="C42" i="33"/>
  <c r="C66" i="35"/>
  <c r="C42" i="35"/>
  <c r="C42" i="40"/>
  <c r="C66" i="37"/>
  <c r="R99" i="1"/>
  <c r="D40" i="33" s="1"/>
  <c r="R100" i="1"/>
  <c r="D41" i="37" s="1"/>
  <c r="K99" i="1"/>
  <c r="D64" i="40" s="1"/>
  <c r="K100" i="1"/>
  <c r="D29" i="27" s="1"/>
  <c r="R97" i="1"/>
  <c r="D38" i="27" s="1"/>
  <c r="R98" i="1"/>
  <c r="D39" i="33" s="1"/>
  <c r="K97" i="1"/>
  <c r="D62" i="27" s="1"/>
  <c r="K98" i="1"/>
  <c r="D27" i="27" s="1"/>
  <c r="E25" i="40"/>
  <c r="E25" i="37"/>
  <c r="E25" i="27"/>
  <c r="E49" i="40"/>
  <c r="E37" i="40"/>
  <c r="E49" i="37"/>
  <c r="E37" i="37"/>
  <c r="E49" i="27"/>
  <c r="E37" i="27"/>
  <c r="E37" i="35"/>
  <c r="E49" i="35"/>
  <c r="E37" i="33"/>
  <c r="E49" i="33"/>
  <c r="C25" i="40"/>
  <c r="C25" i="37"/>
  <c r="C25" i="27"/>
  <c r="C25" i="35"/>
  <c r="C25" i="33"/>
  <c r="C35" i="40"/>
  <c r="C11" i="40"/>
  <c r="C47" i="40"/>
  <c r="C59" i="40"/>
  <c r="C23" i="40"/>
  <c r="C47" i="37"/>
  <c r="C11" i="37"/>
  <c r="G13" i="37" s="1"/>
  <c r="C35" i="37"/>
  <c r="C59" i="37"/>
  <c r="C23" i="37"/>
  <c r="C47" i="35"/>
  <c r="C35" i="35"/>
  <c r="C59" i="35"/>
  <c r="C11" i="35"/>
  <c r="C23" i="35"/>
  <c r="C35" i="33"/>
  <c r="C59" i="33"/>
  <c r="C11" i="33"/>
  <c r="J13" i="33" s="1"/>
  <c r="C23" i="33"/>
  <c r="C47" i="33"/>
  <c r="F17" i="33"/>
  <c r="F20" i="33"/>
  <c r="C37" i="40"/>
  <c r="C61" i="40"/>
  <c r="C61" i="37"/>
  <c r="C37" i="37"/>
  <c r="C61" i="27"/>
  <c r="C37" i="27"/>
  <c r="C37" i="35"/>
  <c r="C61" i="35"/>
  <c r="C61" i="33"/>
  <c r="C37" i="33"/>
  <c r="F17" i="35"/>
  <c r="F19" i="37"/>
  <c r="F20" i="37"/>
  <c r="J20" i="37" s="1"/>
  <c r="F18" i="37"/>
  <c r="J18" i="37" s="1"/>
  <c r="J13" i="37"/>
  <c r="E26" i="40"/>
  <c r="E38" i="40"/>
  <c r="E50" i="40"/>
  <c r="D37" i="37"/>
  <c r="D37" i="40"/>
  <c r="D42" i="37"/>
  <c r="D49" i="40"/>
  <c r="D25" i="40"/>
  <c r="D61" i="40"/>
  <c r="D44" i="37"/>
  <c r="D44" i="40"/>
  <c r="D56" i="40"/>
  <c r="D68" i="40"/>
  <c r="D32" i="40"/>
  <c r="E26" i="27"/>
  <c r="E26" i="37"/>
  <c r="E50" i="37"/>
  <c r="E38" i="37"/>
  <c r="D61" i="27"/>
  <c r="D49" i="37"/>
  <c r="D61" i="37"/>
  <c r="D25" i="37"/>
  <c r="D68" i="27"/>
  <c r="D56" i="37"/>
  <c r="D68" i="37"/>
  <c r="D32" i="37"/>
  <c r="E55" i="27"/>
  <c r="E43" i="27"/>
  <c r="E43" i="35"/>
  <c r="E55" i="35"/>
  <c r="E43" i="33"/>
  <c r="E55" i="33"/>
  <c r="E56" i="33"/>
  <c r="E44" i="33"/>
  <c r="E42" i="27"/>
  <c r="E54" i="27"/>
  <c r="E42" i="35"/>
  <c r="E54" i="35"/>
  <c r="E54" i="33"/>
  <c r="E42" i="33"/>
  <c r="E52" i="27"/>
  <c r="E40" i="27"/>
  <c r="E40" i="35"/>
  <c r="E52" i="35"/>
  <c r="E40" i="33"/>
  <c r="E52" i="33"/>
  <c r="E39" i="33"/>
  <c r="E51" i="33"/>
  <c r="E41" i="27"/>
  <c r="E53" i="27"/>
  <c r="E53" i="35"/>
  <c r="E41" i="35"/>
  <c r="E41" i="33"/>
  <c r="E53" i="33"/>
  <c r="E38" i="27"/>
  <c r="E50" i="27"/>
  <c r="D32" i="27"/>
  <c r="D56" i="27"/>
  <c r="D25" i="27"/>
  <c r="D49" i="27"/>
  <c r="D37" i="35"/>
  <c r="D37" i="27"/>
  <c r="D44" i="35"/>
  <c r="D44" i="27"/>
  <c r="E50" i="26"/>
  <c r="E38" i="35"/>
  <c r="E50" i="35"/>
  <c r="E38" i="33"/>
  <c r="E50" i="33"/>
  <c r="D37" i="33"/>
  <c r="D44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J92" i="1"/>
  <c r="L96" i="1"/>
  <c r="K92" i="1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E28" i="40" l="1"/>
  <c r="E28" i="37"/>
  <c r="E28" i="27"/>
  <c r="C65" i="35"/>
  <c r="C41" i="37"/>
  <c r="C65" i="33"/>
  <c r="C65" i="40"/>
  <c r="C41" i="40"/>
  <c r="C41" i="27"/>
  <c r="C41" i="33"/>
  <c r="C65" i="37"/>
  <c r="C41" i="35"/>
  <c r="C65" i="27"/>
  <c r="E29" i="37"/>
  <c r="E29" i="40"/>
  <c r="E29" i="27"/>
  <c r="C26" i="27"/>
  <c r="C26" i="35"/>
  <c r="C26" i="33"/>
  <c r="C26" i="37"/>
  <c r="C26" i="40"/>
  <c r="E39" i="37"/>
  <c r="E39" i="40"/>
  <c r="E51" i="37"/>
  <c r="E51" i="40"/>
  <c r="E39" i="35"/>
  <c r="E56" i="27"/>
  <c r="E54" i="37"/>
  <c r="E42" i="37"/>
  <c r="E54" i="40"/>
  <c r="E42" i="40"/>
  <c r="E32" i="40"/>
  <c r="E32" i="37"/>
  <c r="E32" i="27"/>
  <c r="C30" i="37"/>
  <c r="C30" i="27"/>
  <c r="C30" i="40"/>
  <c r="C30" i="35"/>
  <c r="C30" i="33"/>
  <c r="C28" i="33"/>
  <c r="C28" i="40"/>
  <c r="C28" i="27"/>
  <c r="C28" i="37"/>
  <c r="C28" i="35"/>
  <c r="C29" i="40"/>
  <c r="C29" i="35"/>
  <c r="C29" i="37"/>
  <c r="C29" i="27"/>
  <c r="C29" i="33"/>
  <c r="E51" i="35"/>
  <c r="E44" i="27"/>
  <c r="E40" i="40"/>
  <c r="E52" i="40"/>
  <c r="E40" i="37"/>
  <c r="E52" i="37"/>
  <c r="E30" i="37"/>
  <c r="E30" i="40"/>
  <c r="E30" i="27"/>
  <c r="C63" i="40"/>
  <c r="C39" i="37"/>
  <c r="C63" i="33"/>
  <c r="C39" i="27"/>
  <c r="C63" i="35"/>
  <c r="C63" i="37"/>
  <c r="C39" i="35"/>
  <c r="C39" i="33"/>
  <c r="C39" i="40"/>
  <c r="C63" i="27"/>
  <c r="C62" i="35"/>
  <c r="C62" i="37"/>
  <c r="C38" i="33"/>
  <c r="C38" i="37"/>
  <c r="C38" i="35"/>
  <c r="C62" i="33"/>
  <c r="C38" i="40"/>
  <c r="C62" i="40"/>
  <c r="C38" i="27"/>
  <c r="C62" i="27"/>
  <c r="C27" i="33"/>
  <c r="C27" i="40"/>
  <c r="C27" i="27"/>
  <c r="C27" i="35"/>
  <c r="C27" i="37"/>
  <c r="E53" i="40"/>
  <c r="E53" i="37"/>
  <c r="E41" i="40"/>
  <c r="E41" i="37"/>
  <c r="E51" i="27"/>
  <c r="E43" i="40"/>
  <c r="E43" i="37"/>
  <c r="E55" i="40"/>
  <c r="E55" i="37"/>
  <c r="E27" i="37"/>
  <c r="E27" i="40"/>
  <c r="E27" i="27"/>
  <c r="E31" i="40"/>
  <c r="E31" i="37"/>
  <c r="E31" i="27"/>
  <c r="C40" i="33"/>
  <c r="C40" i="37"/>
  <c r="C40" i="40"/>
  <c r="C64" i="37"/>
  <c r="C40" i="27"/>
  <c r="C64" i="33"/>
  <c r="C64" i="40"/>
  <c r="C64" i="27"/>
  <c r="C40" i="35"/>
  <c r="C64" i="35"/>
  <c r="C67" i="37"/>
  <c r="C43" i="27"/>
  <c r="C67" i="40"/>
  <c r="C43" i="37"/>
  <c r="C43" i="35"/>
  <c r="C67" i="33"/>
  <c r="C43" i="40"/>
  <c r="C43" i="33"/>
  <c r="C67" i="27"/>
  <c r="C67" i="35"/>
  <c r="E56" i="37"/>
  <c r="E44" i="40"/>
  <c r="E56" i="40"/>
  <c r="E44" i="37"/>
  <c r="E56" i="35"/>
  <c r="C31" i="35"/>
  <c r="C31" i="33"/>
  <c r="C31" i="37"/>
  <c r="C31" i="40"/>
  <c r="C31" i="27"/>
  <c r="E39" i="27"/>
  <c r="D54" i="37"/>
  <c r="D42" i="27"/>
  <c r="D42" i="35"/>
  <c r="D66" i="37"/>
  <c r="D66" i="27"/>
  <c r="D66" i="40"/>
  <c r="D31" i="40"/>
  <c r="D54" i="40"/>
  <c r="D67" i="40"/>
  <c r="D55" i="40"/>
  <c r="D30" i="40"/>
  <c r="D30" i="37"/>
  <c r="D42" i="40"/>
  <c r="D43" i="27"/>
  <c r="D43" i="35"/>
  <c r="D43" i="33"/>
  <c r="D55" i="27"/>
  <c r="D55" i="37"/>
  <c r="D31" i="27"/>
  <c r="D43" i="40"/>
  <c r="D67" i="27"/>
  <c r="D54" i="27"/>
  <c r="D31" i="37"/>
  <c r="D50" i="27"/>
  <c r="D40" i="40"/>
  <c r="D40" i="37"/>
  <c r="D41" i="27"/>
  <c r="D41" i="35"/>
  <c r="D40" i="27"/>
  <c r="D65" i="27"/>
  <c r="D41" i="33"/>
  <c r="D65" i="40"/>
  <c r="D29" i="40"/>
  <c r="D39" i="35"/>
  <c r="D41" i="40"/>
  <c r="D52" i="37"/>
  <c r="D27" i="40"/>
  <c r="D26" i="40"/>
  <c r="D64" i="37"/>
  <c r="D63" i="40"/>
  <c r="D40" i="35"/>
  <c r="D62" i="40"/>
  <c r="D50" i="40"/>
  <c r="D65" i="37"/>
  <c r="D51" i="40"/>
  <c r="D26" i="27"/>
  <c r="D52" i="40"/>
  <c r="D29" i="37"/>
  <c r="D39" i="40"/>
  <c r="D39" i="27"/>
  <c r="D53" i="37"/>
  <c r="D39" i="37"/>
  <c r="D63" i="37"/>
  <c r="D27" i="37"/>
  <c r="D62" i="37"/>
  <c r="D52" i="27"/>
  <c r="D51" i="37"/>
  <c r="D63" i="27"/>
  <c r="D50" i="37"/>
  <c r="D28" i="27"/>
  <c r="D26" i="37"/>
  <c r="D53" i="40"/>
  <c r="D53" i="27"/>
  <c r="D28" i="37"/>
  <c r="D28" i="40"/>
  <c r="D64" i="27"/>
  <c r="D38" i="35"/>
  <c r="F49" i="40"/>
  <c r="F61" i="40"/>
  <c r="D38" i="33"/>
  <c r="D38" i="40"/>
  <c r="D38" i="37"/>
  <c r="D51" i="27"/>
  <c r="F37" i="40"/>
  <c r="J37" i="40" s="1"/>
  <c r="J19" i="33"/>
  <c r="F25" i="37"/>
  <c r="F25" i="40"/>
  <c r="J15" i="33"/>
  <c r="F49" i="37"/>
  <c r="G49" i="37" s="1"/>
  <c r="J14" i="33"/>
  <c r="J20" i="33"/>
  <c r="J17" i="33"/>
  <c r="J18" i="40"/>
  <c r="J15" i="40"/>
  <c r="F37" i="33"/>
  <c r="J15" i="37"/>
  <c r="G13" i="35"/>
  <c r="G18" i="35"/>
  <c r="G19" i="35"/>
  <c r="G16" i="35"/>
  <c r="G20" i="35"/>
  <c r="G14" i="35"/>
  <c r="G17" i="35"/>
  <c r="G15" i="35"/>
  <c r="F37" i="37"/>
  <c r="G37" i="37" s="1"/>
  <c r="F61" i="37"/>
  <c r="G19" i="37"/>
  <c r="J19" i="37"/>
  <c r="G20" i="37"/>
  <c r="G16" i="37"/>
  <c r="G15" i="37"/>
  <c r="G17" i="37"/>
  <c r="G14" i="37"/>
  <c r="G18" i="37"/>
  <c r="J15" i="35"/>
  <c r="J19" i="35"/>
  <c r="J18" i="35"/>
  <c r="J17" i="35"/>
  <c r="J16" i="35"/>
  <c r="G15" i="40"/>
  <c r="G13" i="40"/>
  <c r="G19" i="40"/>
  <c r="G17" i="40"/>
  <c r="G14" i="40"/>
  <c r="G20" i="40"/>
  <c r="G16" i="40"/>
  <c r="G18" i="40"/>
  <c r="J16" i="40"/>
  <c r="J14" i="35"/>
  <c r="J19" i="40"/>
  <c r="J20" i="35"/>
  <c r="J17" i="40"/>
  <c r="J13" i="35"/>
  <c r="F37" i="27"/>
  <c r="J14" i="40"/>
  <c r="G14" i="33"/>
  <c r="G16" i="33"/>
  <c r="G15" i="33"/>
  <c r="G13" i="33"/>
  <c r="G18" i="33"/>
  <c r="G20" i="33"/>
  <c r="G17" i="33"/>
  <c r="G19" i="33"/>
  <c r="F37" i="35"/>
  <c r="J37" i="35" s="1"/>
  <c r="J20" i="40"/>
  <c r="J13" i="40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J15" i="27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4" i="27"/>
  <c r="J19" i="27"/>
  <c r="J18" i="27"/>
  <c r="G17" i="27"/>
  <c r="J17" i="27"/>
  <c r="J20" i="27"/>
  <c r="G19" i="27"/>
  <c r="J13" i="27"/>
  <c r="G20" i="27"/>
  <c r="G13" i="27"/>
  <c r="G18" i="27"/>
  <c r="G16" i="27"/>
  <c r="J16" i="27"/>
  <c r="G14" i="27"/>
  <c r="G15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F40" i="33" l="1"/>
  <c r="F67" i="37"/>
  <c r="J67" i="37" s="1"/>
  <c r="F30" i="40"/>
  <c r="F67" i="40"/>
  <c r="F43" i="27"/>
  <c r="J43" i="27" s="1"/>
  <c r="F50" i="40"/>
  <c r="J50" i="40" s="1"/>
  <c r="F26" i="37"/>
  <c r="J26" i="37" s="1"/>
  <c r="F63" i="40"/>
  <c r="J63" i="40" s="1"/>
  <c r="F62" i="40"/>
  <c r="J62" i="40" s="1"/>
  <c r="F64" i="40"/>
  <c r="G64" i="40" s="1"/>
  <c r="F68" i="40"/>
  <c r="J68" i="40" s="1"/>
  <c r="F27" i="40"/>
  <c r="J27" i="40" s="1"/>
  <c r="F66" i="40"/>
  <c r="G66" i="40" s="1"/>
  <c r="F54" i="40"/>
  <c r="J54" i="40" s="1"/>
  <c r="F32" i="40"/>
  <c r="J32" i="40" s="1"/>
  <c r="G61" i="40"/>
  <c r="J61" i="40"/>
  <c r="F65" i="40"/>
  <c r="J65" i="40" s="1"/>
  <c r="F27" i="37"/>
  <c r="G27" i="37" s="1"/>
  <c r="F30" i="37"/>
  <c r="G30" i="37" s="1"/>
  <c r="F32" i="37"/>
  <c r="J32" i="37" s="1"/>
  <c r="G49" i="40"/>
  <c r="F55" i="40"/>
  <c r="J55" i="40" s="1"/>
  <c r="F53" i="40"/>
  <c r="J53" i="40" s="1"/>
  <c r="F56" i="40"/>
  <c r="J56" i="40" s="1"/>
  <c r="J49" i="40"/>
  <c r="F51" i="40"/>
  <c r="J51" i="40" s="1"/>
  <c r="F52" i="40"/>
  <c r="J52" i="40" s="1"/>
  <c r="F31" i="40"/>
  <c r="J31" i="40" s="1"/>
  <c r="G37" i="40"/>
  <c r="F29" i="40"/>
  <c r="J29" i="40" s="1"/>
  <c r="G25" i="40"/>
  <c r="J25" i="40"/>
  <c r="F42" i="40"/>
  <c r="G42" i="40" s="1"/>
  <c r="F43" i="40"/>
  <c r="J43" i="40" s="1"/>
  <c r="F40" i="40"/>
  <c r="J40" i="40" s="1"/>
  <c r="F44" i="40"/>
  <c r="J44" i="40" s="1"/>
  <c r="F39" i="40"/>
  <c r="G39" i="40" s="1"/>
  <c r="F41" i="40"/>
  <c r="G41" i="40" s="1"/>
  <c r="F38" i="40"/>
  <c r="G38" i="40" s="1"/>
  <c r="F28" i="40"/>
  <c r="J28" i="40" s="1"/>
  <c r="F28" i="37"/>
  <c r="J28" i="37" s="1"/>
  <c r="J61" i="37"/>
  <c r="F31" i="37"/>
  <c r="G31" i="37" s="1"/>
  <c r="F50" i="37"/>
  <c r="J50" i="37" s="1"/>
  <c r="G61" i="37"/>
  <c r="G25" i="37"/>
  <c r="J25" i="37"/>
  <c r="F29" i="37"/>
  <c r="G29" i="37" s="1"/>
  <c r="J37" i="33"/>
  <c r="F39" i="33"/>
  <c r="G39" i="33" s="1"/>
  <c r="F51" i="37"/>
  <c r="G51" i="37" s="1"/>
  <c r="F44" i="33"/>
  <c r="G44" i="33" s="1"/>
  <c r="F38" i="33"/>
  <c r="J38" i="33" s="1"/>
  <c r="F42" i="33"/>
  <c r="G42" i="33" s="1"/>
  <c r="F44" i="37"/>
  <c r="J44" i="37" s="1"/>
  <c r="F43" i="37"/>
  <c r="J43" i="37" s="1"/>
  <c r="F41" i="37"/>
  <c r="J41" i="37" s="1"/>
  <c r="F40" i="37"/>
  <c r="G40" i="37" s="1"/>
  <c r="F54" i="37"/>
  <c r="J54" i="37" s="1"/>
  <c r="F52" i="37"/>
  <c r="G52" i="37" s="1"/>
  <c r="F55" i="37"/>
  <c r="J55" i="37" s="1"/>
  <c r="F53" i="37"/>
  <c r="G53" i="37" s="1"/>
  <c r="F68" i="37"/>
  <c r="G68" i="37" s="1"/>
  <c r="F26" i="40"/>
  <c r="G26" i="40" s="1"/>
  <c r="F41" i="33"/>
  <c r="J41" i="33" s="1"/>
  <c r="F40" i="27"/>
  <c r="J40" i="27" s="1"/>
  <c r="F43" i="33"/>
  <c r="J43" i="33" s="1"/>
  <c r="F42" i="27"/>
  <c r="G42" i="27" s="1"/>
  <c r="F56" i="37"/>
  <c r="J56" i="37" s="1"/>
  <c r="J49" i="37"/>
  <c r="G37" i="33"/>
  <c r="F62" i="37"/>
  <c r="G62" i="37" s="1"/>
  <c r="F63" i="37"/>
  <c r="J63" i="37" s="1"/>
  <c r="J37" i="37"/>
  <c r="F38" i="35"/>
  <c r="G38" i="35" s="1"/>
  <c r="F42" i="37"/>
  <c r="J42" i="37" s="1"/>
  <c r="F44" i="35"/>
  <c r="J44" i="35" s="1"/>
  <c r="F65" i="37"/>
  <c r="G65" i="37" s="1"/>
  <c r="F44" i="27"/>
  <c r="G44" i="27" s="1"/>
  <c r="J37" i="27"/>
  <c r="F38" i="27"/>
  <c r="J38" i="27" s="1"/>
  <c r="F41" i="27"/>
  <c r="G41" i="27" s="1"/>
  <c r="F39" i="27"/>
  <c r="J39" i="27" s="1"/>
  <c r="F66" i="37"/>
  <c r="G66" i="37" s="1"/>
  <c r="F40" i="35"/>
  <c r="J40" i="35" s="1"/>
  <c r="G37" i="27"/>
  <c r="F41" i="35"/>
  <c r="J41" i="35" s="1"/>
  <c r="F64" i="37"/>
  <c r="J64" i="37" s="1"/>
  <c r="G37" i="35"/>
  <c r="F39" i="35"/>
  <c r="J39" i="35" s="1"/>
  <c r="F38" i="37"/>
  <c r="J38" i="37" s="1"/>
  <c r="F43" i="35"/>
  <c r="G43" i="35" s="1"/>
  <c r="F39" i="37"/>
  <c r="J39" i="37" s="1"/>
  <c r="F42" i="35"/>
  <c r="J42" i="35" s="1"/>
  <c r="J67" i="40"/>
  <c r="G67" i="40"/>
  <c r="J30" i="40"/>
  <c r="G30" i="40"/>
  <c r="G26" i="37"/>
  <c r="G67" i="37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G43" i="27"/>
  <c r="F65" i="33"/>
  <c r="J65" i="33" s="1"/>
  <c r="F66" i="33"/>
  <c r="J66" i="33" s="1"/>
  <c r="F51" i="33"/>
  <c r="G51" i="33" s="1"/>
  <c r="F53" i="33"/>
  <c r="J53" i="33" s="1"/>
  <c r="F25" i="33"/>
  <c r="F29" i="33" s="1"/>
  <c r="J40" i="33"/>
  <c r="G40" i="33"/>
  <c r="F63" i="33"/>
  <c r="J61" i="33"/>
  <c r="G61" i="33"/>
  <c r="F68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32" i="24"/>
  <c r="J50" i="24"/>
  <c r="G50" i="24"/>
  <c r="G26" i="24"/>
  <c r="J26" i="24"/>
  <c r="J38" i="24"/>
  <c r="G38" i="24"/>
  <c r="J66" i="24"/>
  <c r="G66" i="24"/>
  <c r="J42" i="24"/>
  <c r="G42" i="24"/>
  <c r="G32" i="40" l="1"/>
  <c r="G54" i="40"/>
  <c r="G62" i="40"/>
  <c r="J64" i="40"/>
  <c r="G68" i="40"/>
  <c r="G63" i="40"/>
  <c r="J66" i="40"/>
  <c r="G50" i="40"/>
  <c r="G27" i="40"/>
  <c r="G55" i="40"/>
  <c r="J27" i="37"/>
  <c r="J30" i="37"/>
  <c r="G53" i="40"/>
  <c r="J41" i="40"/>
  <c r="G32" i="37"/>
  <c r="G42" i="37"/>
  <c r="G43" i="40"/>
  <c r="G52" i="40"/>
  <c r="G65" i="40"/>
  <c r="G29" i="40"/>
  <c r="G51" i="40"/>
  <c r="G44" i="37"/>
  <c r="J42" i="40"/>
  <c r="G40" i="40"/>
  <c r="G56" i="40"/>
  <c r="J29" i="37"/>
  <c r="G50" i="37"/>
  <c r="J31" i="37"/>
  <c r="G31" i="40"/>
  <c r="J39" i="40"/>
  <c r="J39" i="33"/>
  <c r="G44" i="40"/>
  <c r="J38" i="40"/>
  <c r="G28" i="40"/>
  <c r="J51" i="37"/>
  <c r="J62" i="37"/>
  <c r="G28" i="37"/>
  <c r="G41" i="37"/>
  <c r="G43" i="37"/>
  <c r="G56" i="37"/>
  <c r="G38" i="33"/>
  <c r="J43" i="35"/>
  <c r="J40" i="37"/>
  <c r="J44" i="33"/>
  <c r="J66" i="37"/>
  <c r="G40" i="27"/>
  <c r="J52" i="37"/>
  <c r="G43" i="33"/>
  <c r="G55" i="37"/>
  <c r="J53" i="37"/>
  <c r="G41" i="33"/>
  <c r="G54" i="37"/>
  <c r="J68" i="37"/>
  <c r="J26" i="40"/>
  <c r="J42" i="33"/>
  <c r="G63" i="37"/>
  <c r="G38" i="27"/>
  <c r="J41" i="27"/>
  <c r="G44" i="35"/>
  <c r="J38" i="35"/>
  <c r="G42" i="35"/>
  <c r="J42" i="27"/>
  <c r="J44" i="27"/>
  <c r="G39" i="27"/>
  <c r="G41" i="35"/>
  <c r="J65" i="37"/>
  <c r="G38" i="37"/>
  <c r="G39" i="37"/>
  <c r="G64" i="37"/>
  <c r="G39" i="35"/>
  <c r="G40" i="35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E5" i="20"/>
  <c r="AC60" i="20"/>
  <c r="AC68" i="20"/>
  <c r="AC49" i="20"/>
  <c r="AC40" i="20"/>
  <c r="AC43" i="20"/>
  <c r="AC28" i="20"/>
  <c r="AC13" i="20"/>
  <c r="AC63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M15" i="20"/>
  <c r="AC89" i="20"/>
  <c r="AM101" i="20"/>
  <c r="AM93" i="20"/>
  <c r="AM61" i="20"/>
  <c r="AN28" i="20"/>
  <c r="AN12" i="20"/>
  <c r="AC79" i="20"/>
  <c r="P26" i="20"/>
  <c r="O26" i="20"/>
  <c r="C26" i="20"/>
  <c r="D26" i="20"/>
  <c r="E6" i="20"/>
  <c r="AM28" i="20" l="1"/>
  <c r="AC67" i="20"/>
  <c r="AC50" i="20"/>
  <c r="AC11" i="20"/>
  <c r="AC59" i="20"/>
  <c r="AC31" i="20"/>
  <c r="AC61" i="20"/>
  <c r="AC42" i="20"/>
  <c r="AC10" i="20"/>
  <c r="AC51" i="20"/>
  <c r="AC27" i="20"/>
  <c r="AC32" i="20"/>
  <c r="AC46" i="20"/>
  <c r="AC71" i="20"/>
  <c r="AC15" i="20"/>
  <c r="AD32" i="20"/>
  <c r="H13" i="33"/>
  <c r="I17" i="33"/>
  <c r="I16" i="33"/>
  <c r="I14" i="33"/>
  <c r="I15" i="33"/>
  <c r="I20" i="33"/>
  <c r="I18" i="33"/>
  <c r="I19" i="33"/>
  <c r="H13" i="35"/>
  <c r="I16" i="35"/>
  <c r="I20" i="35"/>
  <c r="I17" i="35"/>
  <c r="I18" i="35"/>
  <c r="I19" i="35"/>
  <c r="I14" i="35"/>
  <c r="I15" i="35"/>
  <c r="H13" i="37"/>
  <c r="I16" i="37"/>
  <c r="I15" i="37"/>
  <c r="I20" i="37"/>
  <c r="I19" i="37"/>
  <c r="I18" i="37"/>
  <c r="I14" i="37"/>
  <c r="I17" i="37"/>
  <c r="H13" i="40"/>
  <c r="I15" i="40"/>
  <c r="I16" i="40"/>
  <c r="I20" i="40"/>
  <c r="I17" i="40"/>
  <c r="I14" i="40"/>
  <c r="I18" i="40"/>
  <c r="I19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6" i="20"/>
  <c r="AN6" i="20"/>
  <c r="AM31" i="20"/>
  <c r="AD42" i="20"/>
  <c r="AN42" i="20"/>
  <c r="AM42" i="20"/>
  <c r="AC85" i="20"/>
  <c r="AM51" i="20"/>
  <c r="J26" i="20"/>
  <c r="E7" i="20"/>
  <c r="AC16" i="20" l="1"/>
  <c r="AC66" i="20"/>
  <c r="AC23" i="20"/>
  <c r="AC52" i="20"/>
  <c r="AC33" i="20"/>
  <c r="AC6" i="20"/>
  <c r="AC72" i="20"/>
  <c r="AM33" i="20"/>
  <c r="AM16" i="20"/>
  <c r="AD16" i="20"/>
  <c r="AD48" i="20"/>
  <c r="AN16" i="20"/>
  <c r="AN48" i="20"/>
  <c r="AD6" i="20"/>
  <c r="H25" i="35" a="1"/>
  <c r="I13" i="35"/>
  <c r="H25" i="40" a="1"/>
  <c r="I13" i="40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W77" i="20"/>
  <c r="AM7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C65" i="20" l="1"/>
  <c r="AC17" i="20"/>
  <c r="AC22" i="20"/>
  <c r="AC7" i="20"/>
  <c r="AC73" i="20"/>
  <c r="AC45" i="20"/>
  <c r="AC53" i="20"/>
  <c r="AC34" i="20"/>
  <c r="AC82" i="20"/>
  <c r="AM79" i="20"/>
  <c r="AM82" i="20"/>
  <c r="AN82" i="20"/>
  <c r="AD82" i="20"/>
  <c r="AM17" i="20"/>
  <c r="AD22" i="20"/>
  <c r="BG53" i="20"/>
  <c r="AM53" i="20"/>
  <c r="AM22" i="20"/>
  <c r="BG73" i="20"/>
  <c r="AN22" i="20"/>
  <c r="H25" i="37"/>
  <c r="I32" i="37"/>
  <c r="I26" i="37"/>
  <c r="I28" i="37"/>
  <c r="I27" i="37"/>
  <c r="I29" i="37"/>
  <c r="I31" i="37"/>
  <c r="I30" i="37"/>
  <c r="H25" i="33"/>
  <c r="I31" i="33"/>
  <c r="I32" i="33"/>
  <c r="I26" i="33"/>
  <c r="I29" i="33"/>
  <c r="I27" i="33"/>
  <c r="I28" i="33"/>
  <c r="I30" i="33"/>
  <c r="H25" i="40"/>
  <c r="I27" i="40"/>
  <c r="I26" i="40"/>
  <c r="I28" i="40"/>
  <c r="I32" i="40"/>
  <c r="I30" i="40"/>
  <c r="I29" i="40"/>
  <c r="I31" i="40"/>
  <c r="H25" i="35"/>
  <c r="I30" i="35"/>
  <c r="I27" i="35"/>
  <c r="I26" i="35"/>
  <c r="I29" i="35"/>
  <c r="I28" i="35"/>
  <c r="I32" i="35"/>
  <c r="I31" i="35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35" i="20" l="1"/>
  <c r="AC44" i="20"/>
  <c r="AC26" i="20"/>
  <c r="AC54" i="20"/>
  <c r="AC18" i="20"/>
  <c r="AC74" i="20"/>
  <c r="AC64" i="20"/>
  <c r="AC9" i="20"/>
  <c r="AD44" i="20"/>
  <c r="AM64" i="20"/>
  <c r="AN44" i="20"/>
  <c r="AD64" i="20"/>
  <c r="AN64" i="20"/>
  <c r="AM44" i="20"/>
  <c r="AN74" i="20"/>
  <c r="AM85" i="20"/>
  <c r="AM35" i="20"/>
  <c r="AD74" i="20"/>
  <c r="AX18" i="20"/>
  <c r="BH44" i="20"/>
  <c r="AN18" i="20"/>
  <c r="AD18" i="20"/>
  <c r="AW44" i="20"/>
  <c r="AW15" i="20"/>
  <c r="BH18" i="20"/>
  <c r="AX44" i="20"/>
  <c r="BG44" i="20"/>
  <c r="H37" i="33" a="1"/>
  <c r="I25" i="33"/>
  <c r="H37" i="35" a="1"/>
  <c r="I25" i="35"/>
  <c r="H37" i="40" a="1"/>
  <c r="I25" i="40"/>
  <c r="H37" i="37" a="1"/>
  <c r="I25" i="37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25" i="20"/>
  <c r="AC75" i="20"/>
  <c r="AC55" i="20"/>
  <c r="AC19" i="20"/>
  <c r="AC8" i="20"/>
  <c r="AM8" i="20"/>
  <c r="AN8" i="20"/>
  <c r="AM19" i="20"/>
  <c r="AD8" i="20"/>
  <c r="AM75" i="20"/>
  <c r="BG81" i="20"/>
  <c r="AX36" i="20"/>
  <c r="AM36" i="20"/>
  <c r="AN36" i="20"/>
  <c r="AD36" i="20"/>
  <c r="BH36" i="20"/>
  <c r="AW36" i="20"/>
  <c r="BG36" i="20"/>
  <c r="AW19" i="20"/>
  <c r="AW75" i="20"/>
  <c r="AW25" i="20"/>
  <c r="BG75" i="20"/>
  <c r="AM25" i="20"/>
  <c r="AX8" i="20"/>
  <c r="BG8" i="20"/>
  <c r="BG19" i="20"/>
  <c r="AW8" i="20"/>
  <c r="BG25" i="20"/>
  <c r="BH8" i="20"/>
  <c r="AW59" i="20"/>
  <c r="AW40" i="20"/>
  <c r="H37" i="37"/>
  <c r="I38" i="37"/>
  <c r="I44" i="37"/>
  <c r="I39" i="37"/>
  <c r="I43" i="37"/>
  <c r="I41" i="37"/>
  <c r="I42" i="37"/>
  <c r="I40" i="37"/>
  <c r="H37" i="40"/>
  <c r="I43" i="40"/>
  <c r="I44" i="40"/>
  <c r="I38" i="40"/>
  <c r="I41" i="40"/>
  <c r="I42" i="40"/>
  <c r="I39" i="40"/>
  <c r="I40" i="40"/>
  <c r="H37" i="35"/>
  <c r="I40" i="35"/>
  <c r="I44" i="35"/>
  <c r="I42" i="35"/>
  <c r="I39" i="35"/>
  <c r="I41" i="35"/>
  <c r="I38" i="35"/>
  <c r="I43" i="35"/>
  <c r="H37" i="33"/>
  <c r="I38" i="33"/>
  <c r="I44" i="33"/>
  <c r="I39" i="33"/>
  <c r="I42" i="33"/>
  <c r="I40" i="33"/>
  <c r="I41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37" i="20"/>
  <c r="BG17" i="20"/>
  <c r="BH64" i="20"/>
  <c r="BH52" i="20"/>
  <c r="BH48" i="20"/>
  <c r="BH20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20" i="20"/>
  <c r="AM52" i="20"/>
  <c r="AW64" i="20"/>
  <c r="AN20" i="20"/>
  <c r="AN52" i="20"/>
  <c r="AM37" i="20"/>
  <c r="AM45" i="20"/>
  <c r="AW20" i="20"/>
  <c r="AW52" i="20"/>
  <c r="AX20" i="20"/>
  <c r="AX52" i="20"/>
  <c r="AM14" i="20"/>
  <c r="AW37" i="20"/>
  <c r="AW45" i="20"/>
  <c r="AN14" i="20"/>
  <c r="AW14" i="20"/>
  <c r="AD26" i="20"/>
  <c r="AX14" i="20"/>
  <c r="AD34" i="20"/>
  <c r="AW31" i="20"/>
  <c r="AX48" i="20"/>
  <c r="AX64" i="20"/>
  <c r="AD20" i="20"/>
  <c r="AD52" i="20"/>
  <c r="AN26" i="20"/>
  <c r="AM26" i="20"/>
  <c r="AM34" i="20"/>
  <c r="AW17" i="20"/>
  <c r="AN34" i="20"/>
  <c r="AM67" i="20"/>
  <c r="AW26" i="20"/>
  <c r="AW34" i="20"/>
  <c r="E11" i="20"/>
  <c r="AW5" i="20" s="1"/>
  <c r="AC56" i="20" l="1"/>
  <c r="AC20" i="20"/>
  <c r="AC5" i="20"/>
  <c r="AC37" i="20"/>
  <c r="AC24" i="20"/>
  <c r="AX24" i="20"/>
  <c r="AN24" i="20"/>
  <c r="AM5" i="20"/>
  <c r="AD24" i="20"/>
  <c r="AM24" i="20"/>
  <c r="BG5" i="20"/>
  <c r="AM80" i="20"/>
  <c r="AD80" i="20"/>
  <c r="AN80" i="20"/>
  <c r="BH80" i="20"/>
  <c r="AC80" i="20"/>
  <c r="AW80" i="20"/>
  <c r="AX80" i="20"/>
  <c r="BG80" i="20"/>
  <c r="BG20" i="20"/>
  <c r="H49" i="33" a="1"/>
  <c r="I37" i="33"/>
  <c r="H49" i="40" a="1"/>
  <c r="I37" i="40"/>
  <c r="H49" i="37" a="1"/>
  <c r="I37" i="37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21" i="20" l="1"/>
  <c r="AC57" i="20"/>
  <c r="AC39" i="20"/>
  <c r="AC4" i="20"/>
  <c r="AW57" i="20"/>
  <c r="AM57" i="20"/>
  <c r="BG57" i="20"/>
  <c r="BH4" i="20"/>
  <c r="H49" i="35"/>
  <c r="I53" i="35"/>
  <c r="I54" i="35"/>
  <c r="I55" i="35"/>
  <c r="I52" i="35"/>
  <c r="I51" i="35"/>
  <c r="I56" i="35"/>
  <c r="I50" i="35"/>
  <c r="H49" i="37"/>
  <c r="I56" i="37"/>
  <c r="I55" i="37"/>
  <c r="I54" i="37"/>
  <c r="I51" i="37"/>
  <c r="I50" i="37"/>
  <c r="I52" i="37"/>
  <c r="I53" i="37"/>
  <c r="H49" i="40"/>
  <c r="I50" i="40"/>
  <c r="I56" i="40"/>
  <c r="I54" i="40"/>
  <c r="I55" i="40"/>
  <c r="I52" i="40"/>
  <c r="I51" i="40"/>
  <c r="I53" i="40"/>
  <c r="H49" i="33"/>
  <c r="I54" i="33"/>
  <c r="I56" i="33"/>
  <c r="I52" i="33"/>
  <c r="I53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38" i="20" l="1"/>
  <c r="AC58" i="20"/>
  <c r="AC3" i="20"/>
  <c r="AM3" i="20"/>
  <c r="AD38" i="20"/>
  <c r="AM38" i="20"/>
  <c r="AN38" i="20"/>
  <c r="BG3" i="20"/>
  <c r="AW3" i="20"/>
  <c r="AM58" i="20"/>
  <c r="BH58" i="20"/>
  <c r="AD58" i="20"/>
  <c r="AX58" i="20"/>
  <c r="AN58" i="20"/>
  <c r="BH38" i="20"/>
  <c r="BG58" i="20"/>
  <c r="AX38" i="20"/>
  <c r="AW58" i="20"/>
  <c r="H61" i="33" a="1"/>
  <c r="I49" i="33"/>
  <c r="H61" i="37" a="1"/>
  <c r="I49" i="37"/>
  <c r="H61" i="40" a="1"/>
  <c r="I49" i="40"/>
  <c r="H61" i="35" a="1"/>
  <c r="I49" i="35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12" i="20" l="1"/>
  <c r="AC29" i="20"/>
  <c r="AC48" i="20"/>
  <c r="AC69" i="20"/>
  <c r="AM12" i="20"/>
  <c r="AM48" i="20"/>
  <c r="AM69" i="20"/>
  <c r="AM29" i="20"/>
  <c r="BG48" i="20"/>
  <c r="AW48" i="20"/>
  <c r="AW69" i="20"/>
  <c r="BG69" i="20"/>
  <c r="AW12" i="20"/>
  <c r="BG12" i="20"/>
  <c r="H61" i="40"/>
  <c r="I61" i="40" s="1"/>
  <c r="I68" i="40"/>
  <c r="I62" i="40"/>
  <c r="I63" i="40"/>
  <c r="I64" i="40"/>
  <c r="I67" i="40"/>
  <c r="I65" i="40"/>
  <c r="I66" i="40"/>
  <c r="H61" i="35"/>
  <c r="I61" i="35" s="1"/>
  <c r="I68" i="35"/>
  <c r="I64" i="35"/>
  <c r="I67" i="35"/>
  <c r="I66" i="35"/>
  <c r="I65" i="35"/>
  <c r="I62" i="35"/>
  <c r="I63" i="35"/>
  <c r="H61" i="37"/>
  <c r="I61" i="37" s="1"/>
  <c r="I67" i="37"/>
  <c r="I63" i="37"/>
  <c r="I64" i="37"/>
  <c r="I68" i="37"/>
  <c r="I62" i="37"/>
  <c r="I66" i="37"/>
  <c r="I65" i="37"/>
  <c r="H61" i="33"/>
  <c r="I61" i="33" s="1"/>
  <c r="I66" i="33"/>
  <c r="I64" i="33"/>
  <c r="I65" i="33"/>
  <c r="I63" i="33"/>
  <c r="I62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3" l="1"/>
  <c r="I2" i="33" s="1"/>
  <c r="I1" i="35"/>
  <c r="I2" i="35" s="1"/>
  <c r="I1" i="37"/>
  <c r="I1" i="40"/>
  <c r="I1" i="27"/>
  <c r="I1" i="26"/>
  <c r="I1" i="24"/>
  <c r="AD57" i="20"/>
  <c r="E16" i="20"/>
  <c r="BH47" i="20" s="1"/>
  <c r="AD83" i="20" l="1"/>
  <c r="M23" i="40"/>
  <c r="M21" i="40"/>
  <c r="M22" i="40"/>
  <c r="M25" i="40"/>
  <c r="M24" i="40"/>
  <c r="M23" i="37"/>
  <c r="M24" i="37"/>
  <c r="M22" i="37"/>
  <c r="M25" i="37"/>
  <c r="M21" i="37"/>
  <c r="O21" i="37" s="1" a="1"/>
  <c r="O21" i="37" s="1"/>
  <c r="I2" i="37" s="1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AD61" i="20" l="1"/>
  <c r="AN61" i="20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BH33" i="20"/>
  <c r="AN51" i="20"/>
  <c r="AD31" i="20"/>
  <c r="AN13" i="20"/>
  <c r="AN29" i="20"/>
  <c r="AN31" i="20"/>
  <c r="AD13" i="20"/>
  <c r="AD29" i="20"/>
  <c r="AD85" i="20"/>
  <c r="AD51" i="20"/>
  <c r="E19" i="20"/>
  <c r="AX62" i="20" l="1"/>
  <c r="AX47" i="20"/>
  <c r="AX70" i="20"/>
  <c r="AD33" i="20"/>
  <c r="AN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2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AX49" i="20"/>
  <c r="E20" i="20"/>
  <c r="AX42" i="20" l="1"/>
  <c r="AD53" i="20"/>
  <c r="AN79" i="20"/>
  <c r="BH73" i="20"/>
  <c r="AN53" i="20"/>
  <c r="BH53" i="20"/>
  <c r="AD17" i="20"/>
  <c r="AN17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D35" i="20"/>
  <c r="AN8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N81" i="20"/>
  <c r="AN19" i="20"/>
  <c r="AD81" i="20"/>
  <c r="BH81" i="20"/>
  <c r="AX19" i="20"/>
  <c r="BH19" i="20"/>
  <c r="AX81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E23" i="20"/>
  <c r="AD5" i="20" l="1"/>
  <c r="AN5" i="20"/>
  <c r="BH5" i="20"/>
  <c r="AD37" i="20"/>
  <c r="AX37" i="20"/>
  <c r="BH37" i="20"/>
  <c r="AX5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E24" i="20"/>
  <c r="AD21" i="20" s="1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O64" i="28" s="1" a="1"/>
  <c r="O64" i="28" s="1"/>
  <c r="Q134" i="28" a="1"/>
  <c r="Q134" i="28" s="1"/>
  <c r="O62" i="28" l="1"/>
  <c r="O2" i="28" l="1"/>
  <c r="Q2" i="28" s="1"/>
  <c r="O21" i="27" l="1" a="1"/>
  <c r="O21" i="27" s="1"/>
  <c r="I2" i="27" s="1"/>
  <c r="D8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<sst xmlns="http://schemas.openxmlformats.org/spreadsheetml/2006/main" count="12308" uniqueCount="296">
  <si>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</si>
  <si>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</si>
  <si>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</si>
  <si>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</si>
  <si>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</si>
  <si>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</si>
  <si>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</si>
  <si>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</si>
  <si>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</si>
  <si>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</si>
  <si>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</si>
  <si>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</si>
  <si>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</si>
  <si>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</si>
  <si>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</si>
  <si>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</si>
  <si>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</si>
  <si>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</si>
  <si>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</si>
  <si>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</si>
  <si>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</si>
  <si>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</si>
  <si>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</si>
  <si>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</si>
  <si>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</si>
  <si>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</si>
  <si>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</si>
  <si>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</si>
  <si>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</si>
  <si>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</si>
  <si>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</si>
  <si>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</si>
  <si>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</si>
  <si>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</si>
  <si>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</si>
  <si>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</si>
  <si>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</si>
  <si>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</si>
  <si>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</si>
  <si>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</si>
  <si>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</si>
  <si>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</si>
  <si>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</si>
  <si>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</si>
  <si>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</si>
  <si>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</si>
  <si>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</si>
  <si>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</si>
  <si>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</si>
  <si>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</si>
  <si>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</si>
  <si>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</si>
  <si>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</si>
  <si>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</si>
  <si>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</si>
  <si>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</si>
  <si>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</si>
  <si>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</si>
  <si>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</si>
  <si>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</si>
  <si>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</si>
  <si>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</si>
  <si>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</si>
  <si>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</si>
  <si>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</si>
  <si>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</si>
  <si>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</si>
  <si>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</si>
  <si>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</si>
  <si>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</si>
  <si>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</si>
  <si>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</si>
  <si>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</si>
  <si>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</si>
  <si>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</si>
  <si>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</si>
  <si>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</si>
  <si>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</si>
  <si>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</si>
  <si>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</si>
  <si>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</si>
  <si>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</si>
  <si>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</si>
  <si>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</si>
  <si>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</si>
  <si>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</si>
  <si>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</si>
  <si>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</si>
  <si>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</si>
  <si>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</si>
  <si>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</si>
  <si>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</si>
  <si>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</si>
  <si>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</si>
  <si>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</si>
  <si>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</si>
  <si>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</si>
  <si>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</si>
  <si>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</si>
  <si>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</si>
  <si>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</si>
  <si>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</si>
  <si>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</si>
  <si>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</si>
  <si>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</si>
  <si>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</si>
  <si>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</si>
  <si>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</si>
  <si>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</si>
  <si>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</si>
  <si>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</si>
  <si>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</si>
  <si>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</si>
  <si>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</si>
  <si>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</si>
  <si>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</si>
  <si>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</si>
  <si>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</si>
  <si>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</si>
  <si>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</si>
  <si>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</si>
  <si>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</si>
  <si>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</si>
  <si>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</si>
  <si>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</si>
  <si>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</si>
  <si>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</si>
  <si>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</si>
  <si>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</si>
  <si>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</si>
  <si>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</si>
  <si>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</si>
  <si>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</si>
  <si>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</si>
  <si>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</si>
  <si>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</si>
  <si>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</si>
  <si>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</si>
  <si>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</si>
  <si>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</si>
  <si>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</si>
  <si>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</si>
  <si>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</si>
  <si>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</si>
  <si>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</si>
  <si>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</si>
  <si>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</si>
  <si>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</si>
  <si>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</si>
  <si>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</si>
  <si>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</si>
  <si>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</si>
  <si>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</si>
  <si>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</si>
  <si>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</si>
  <si>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</si>
  <si>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</si>
  <si>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</si>
  <si>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</si>
  <si>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</si>
  <si>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</si>
  <si>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</si>
  <si>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</si>
  <si>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</si>
  <si>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</si>
  <si>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</si>
  <si>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</si>
  <si>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</si>
  <si>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</si>
  <si>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</si>
  <si>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</si>
  <si>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</si>
  <si>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</si>
  <si>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</si>
  <si>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</si>
  <si>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</si>
  <si>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</si>
  <si>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</si>
  <si>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</si>
  <si>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</si>
  <si>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</si>
  <si>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</si>
  <si>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</si>
  <si>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</si>
  <si>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</si>
  <si>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</si>
  <si>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</si>
  <si>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</si>
  <si>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</si>
  <si>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</si>
  <si>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</si>
  <si>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</si>
  <si>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</si>
  <si>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</si>
  <si>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</si>
  <si>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</si>
  <si>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</si>
  <si>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</si>
  <si>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</si>
  <si>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</si>
  <si>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</si>
  <si>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</si>
  <si>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</si>
  <si>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</si>
  <si>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</si>
  <si>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</si>
  <si>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</si>
  <si>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</si>
  <si>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</si>
  <si>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</si>
  <si>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</si>
  <si>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</si>
  <si>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</si>
  <si>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</si>
  <si>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</si>
  <si>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</si>
  <si>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</si>
  <si>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</si>
  <si>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</si>
  <si>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</si>
  <si>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</si>
  <si>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</si>
  <si>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</si>
  <si>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</si>
  <si>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</si>
  <si>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</si>
  <si>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</si>
  <si>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</si>
  <si>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</si>
  <si>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</si>
  <si>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</si>
  <si>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</si>
  <si>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</si>
  <si>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</si>
  <si>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</si>
  <si>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</si>
  <si>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</si>
  <si>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</si>
  <si>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</si>
  <si>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</si>
  <si>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</si>
  <si>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</si>
  <si>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</si>
  <si>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</si>
  <si>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</si>
  <si>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</si>
  <si>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</si>
  <si>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</si>
  <si>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</si>
  <si>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</si>
  <si>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</si>
  <si>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</si>
  <si>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</si>
  <si>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</si>
  <si>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</si>
  <si>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</si>
  <si>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</si>
  <si>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</si>
  <si>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</si>
  <si>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</si>
  <si>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</si>
  <si>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</si>
  <si>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</si>
  <si>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</si>
  <si>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</si>
  <si>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</si>
  <si>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</si>
  <si>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</si>
  <si>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</si>
  <si>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</si>
  <si>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H020192</t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</si>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</sst>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2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8.9094438089094438E-2</c:v>
                      </c:pt>
                      <c:pt idx="19">
                        <c:v>7.0007584070007581E-2</c:v>
                      </c:pt>
                      <c:pt idx="20">
                        <c:v>6.0422733060422736E-2</c:v>
                      </c:pt>
                      <c:pt idx="21">
                        <c:v>7.3278778073278775E-2</c:v>
                      </c:pt>
                      <c:pt idx="22">
                        <c:v>0.13536273513536273</c:v>
                      </c:pt>
                      <c:pt idx="23">
                        <c:v>0.14957970814957972</c:v>
                      </c:pt>
                      <c:pt idx="24">
                        <c:v>7.8784065078784063E-2</c:v>
                      </c:pt>
                      <c:pt idx="25">
                        <c:v>3.5926680035926681E-2</c:v>
                      </c:pt>
                      <c:pt idx="26">
                        <c:v>2.0482918020482917E-2</c:v>
                      </c:pt>
                      <c:pt idx="27">
                        <c:v>3.0042753030042751E-2</c:v>
                      </c:pt>
                      <c:pt idx="28">
                        <c:v>1.2729219012729219E-2</c:v>
                      </c:pt>
                      <c:pt idx="29">
                        <c:v>7.3823111073823111E-2</c:v>
                      </c:pt>
                      <c:pt idx="30">
                        <c:v>1.1091170011091171E-2</c:v>
                      </c:pt>
                      <c:pt idx="31">
                        <c:v>1.2700664012700664E-2</c:v>
                      </c:pt>
                      <c:pt idx="32">
                        <c:v>9.8908610098908615E-3</c:v>
                      </c:pt>
                      <c:pt idx="33">
                        <c:v>1.2302227012302228E-2</c:v>
                      </c:pt>
                      <c:pt idx="34">
                        <c:v>3.5457982035457983E-2</c:v>
                      </c:pt>
                      <c:pt idx="35">
                        <c:v>1.8671273018671272E-2</c:v>
                      </c:pt>
                      <c:pt idx="36">
                        <c:v>1.2332824012332823E-2</c:v>
                      </c:pt>
                      <c:pt idx="37">
                        <c:v>5.806536005806536E-3</c:v>
                      </c:pt>
                      <c:pt idx="38">
                        <c:v>4.9108030049108027E-3</c:v>
                      </c:pt>
                      <c:pt idx="39">
                        <c:v>8.0763630080763638E-3</c:v>
                      </c:pt>
                      <c:pt idx="40">
                        <c:v>4.5307590045307591E-3</c:v>
                      </c:pt>
                      <c:pt idx="41">
                        <c:v>4.4034550044034547E-3</c:v>
                      </c:pt>
                      <c:pt idx="42">
                        <c:v>3.3836140033836142E-3</c:v>
                      </c:pt>
                      <c:pt idx="43">
                        <c:v>6.1766270061766274E-3</c:v>
                      </c:pt>
                      <c:pt idx="44">
                        <c:v>1.5352646015352646E-2</c:v>
                      </c:pt>
                      <c:pt idx="45">
                        <c:v>1.592062001592062E-3</c:v>
                      </c:pt>
                      <c:pt idx="46">
                        <c:v>1.287128001287128E-3</c:v>
                      </c:pt>
                      <c:pt idx="47">
                        <c:v>1.023107001023107E-3</c:v>
                      </c:pt>
                      <c:pt idx="48">
                        <c:v>3.3941300033941301E-4</c:v>
                      </c:pt>
                      <c:pt idx="49">
                        <c:v>3.2072800032072798E-4</c:v>
                      </c:pt>
                      <c:pt idx="50">
                        <c:v>2.9892300029892298E-4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0.14957970814957972</c:v>
                      </c:pt>
                      <c:pt idx="1">
                        <c:v>7.8784065078784063E-2</c:v>
                      </c:pt>
                      <c:pt idx="2">
                        <c:v>3.5926680035926681E-2</c:v>
                      </c:pt>
                      <c:pt idx="3">
                        <c:v>2.0482918020482917E-2</c:v>
                      </c:pt>
                      <c:pt idx="4">
                        <c:v>3.0042753030042751E-2</c:v>
                      </c:pt>
                      <c:pt idx="5">
                        <c:v>1.2729219012729219E-2</c:v>
                      </c:pt>
                      <c:pt idx="6">
                        <c:v>7.3823111073823111E-2</c:v>
                      </c:pt>
                      <c:pt idx="7">
                        <c:v>1.1091170011091171E-2</c:v>
                      </c:pt>
                      <c:pt idx="8">
                        <c:v>1.2700664012700664E-2</c:v>
                      </c:pt>
                      <c:pt idx="9">
                        <c:v>9.8908610098908615E-3</c:v>
                      </c:pt>
                      <c:pt idx="10">
                        <c:v>1.2302227012302228E-2</c:v>
                      </c:pt>
                      <c:pt idx="11">
                        <c:v>3.5457982035457983E-2</c:v>
                      </c:pt>
                      <c:pt idx="12">
                        <c:v>1.5352646015352646E-2</c:v>
                      </c:pt>
                      <c:pt idx="13">
                        <c:v>1.592062001592062E-3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D16" sqref="D16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H020192-2.0.0.0</v>
      </c>
      <c r="C1" s="11" t="s">
        <v>270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0.11403223896527781</v>
      </c>
      <c r="H5" s="188">
        <f>SUM('Multiplier Weight'!$N$12:$N$61)-I5-J5</f>
        <v>1.770460505420822E-2</v>
      </c>
      <c r="I5" s="188">
        <f>SUM('Multiplier Weight'!$N$15:$N$61)-J5</f>
        <v>2.036284941927391E-2</v>
      </c>
      <c r="J5" s="189">
        <f>SUM('Multiplier Weight'!$N$19:$N$61)</f>
        <v>3.7195305874717834E-3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0.11535026581859442</v>
      </c>
      <c r="H6" s="188">
        <f>SUM('Multiplier Weight'!N79:N126)-I6-J6</f>
        <v>2.297388522511979E-2</v>
      </c>
      <c r="I6" s="188">
        <f>SUM('Multiplier Weight'!N81:N126)-J6</f>
        <v>2.11631805526422E-2</v>
      </c>
      <c r="J6" s="189">
        <f>SUM('Multiplier Weight'!N87:N126)</f>
        <v>3.6851889674443233E-3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0.1458620989462498</v>
      </c>
      <c r="H7" s="188">
        <f>SUM('Multiplier Weight'!N153:N191)-I7-J7</f>
        <v>5.4962515913748559E-3</v>
      </c>
      <c r="I7" s="188">
        <f>SUM('Multiplier Weight'!N156:N191)-J7</f>
        <v>2.3092958057299023E-2</v>
      </c>
      <c r="J7" s="189">
        <f>SUM('Multiplier Weight'!N164:N191)</f>
        <v>4.1767056991204414E-3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1.1245138811381032E-2</v>
      </c>
      <c r="D8" s="141">
        <f ca="1">'Pay Combo Super Feature Buy'!$I$2</f>
        <v>9.4492678040371896</v>
      </c>
      <c r="E8" s="142">
        <f ca="1">SUM('Pay Combo Super Feature Buy'!$J$23:$J$32)</f>
        <v>0.26809247953826787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08" t="s">
        <v>293</v>
      </c>
      <c r="B18" s="309"/>
      <c r="C18" s="309"/>
      <c r="D18" s="309"/>
      <c r="E18" s="309"/>
      <c r="F18" s="310"/>
    </row>
    <row r="19" spans="1:6" ht="31.8" customHeight="1">
      <c r="A19" s="311"/>
      <c r="B19" s="312"/>
      <c r="C19" s="312"/>
      <c r="D19" s="312"/>
      <c r="E19" s="312"/>
      <c r="F19" s="313"/>
    </row>
    <row r="20" spans="1:6" ht="31.8" customHeight="1">
      <c r="A20" s="311"/>
      <c r="B20" s="312"/>
      <c r="C20" s="312"/>
      <c r="D20" s="312"/>
      <c r="E20" s="312"/>
      <c r="F20" s="313"/>
    </row>
    <row r="21" spans="1:6" ht="31.8" customHeight="1">
      <c r="A21" s="311"/>
      <c r="B21" s="312"/>
      <c r="C21" s="312"/>
      <c r="D21" s="312"/>
      <c r="E21" s="312"/>
      <c r="F21" s="313"/>
    </row>
    <row r="22" spans="1:6" ht="31.8" customHeight="1" thickBot="1">
      <c r="A22" s="314"/>
      <c r="B22" s="315"/>
      <c r="C22" s="315"/>
      <c r="D22" s="315"/>
      <c r="E22" s="315"/>
      <c r="F22" s="316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39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</v>
      </c>
      <c r="S3" s="100">
        <v>5</v>
      </c>
      <c r="T3" s="100">
        <v>1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5</v>
      </c>
      <c r="S4" s="101">
        <v>5</v>
      </c>
      <c r="T4" s="101">
        <v>5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5</v>
      </c>
      <c r="S5" s="101">
        <v>5</v>
      </c>
      <c r="T5" s="101">
        <v>5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5</v>
      </c>
      <c r="S6" s="101">
        <v>1</v>
      </c>
      <c r="T6" s="101">
        <v>5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5</v>
      </c>
      <c r="S7" s="101">
        <v>1</v>
      </c>
      <c r="T7" s="101">
        <v>5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5</v>
      </c>
      <c r="S8" s="101">
        <v>1</v>
      </c>
      <c r="T8" s="101">
        <v>5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</v>
      </c>
      <c r="S9" s="101">
        <v>1</v>
      </c>
      <c r="T9" s="101">
        <v>1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</v>
      </c>
      <c r="S10" s="101">
        <v>1</v>
      </c>
      <c r="T10" s="101">
        <v>1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</v>
      </c>
      <c r="S11" s="101">
        <v>1</v>
      </c>
      <c r="T11" s="101">
        <v>1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</v>
      </c>
      <c r="S12" s="101">
        <v>1</v>
      </c>
      <c r="T12" s="101">
        <v>1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</v>
      </c>
      <c r="S13" s="101">
        <v>1</v>
      </c>
      <c r="T13" s="101">
        <v>1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</v>
      </c>
      <c r="S14" s="101">
        <v>1</v>
      </c>
      <c r="T14" s="101">
        <v>1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</v>
      </c>
      <c r="S15" s="101">
        <v>1</v>
      </c>
      <c r="T15" s="101">
        <v>1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</v>
      </c>
      <c r="S16" s="101">
        <v>1</v>
      </c>
      <c r="T16" s="101">
        <v>1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</v>
      </c>
      <c r="S17" s="101">
        <v>1</v>
      </c>
      <c r="T17" s="101">
        <v>1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</v>
      </c>
      <c r="S18" s="101">
        <v>1</v>
      </c>
      <c r="T18" s="101">
        <v>1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</v>
      </c>
      <c r="S19" s="101">
        <v>1</v>
      </c>
      <c r="T19" s="101">
        <v>1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</v>
      </c>
      <c r="S20" s="101">
        <v>1</v>
      </c>
      <c r="T20" s="101">
        <v>1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</v>
      </c>
      <c r="S21" s="101">
        <v>1</v>
      </c>
      <c r="T21" s="101">
        <v>1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</v>
      </c>
      <c r="S22" s="101">
        <v>1</v>
      </c>
      <c r="T22" s="101">
        <v>1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</v>
      </c>
      <c r="S23" s="101">
        <v>5</v>
      </c>
      <c r="T23" s="101">
        <v>1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</v>
      </c>
      <c r="S24" s="101">
        <v>5</v>
      </c>
      <c r="T24" s="101">
        <v>1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</v>
      </c>
      <c r="S25" s="101">
        <v>5</v>
      </c>
      <c r="T25" s="101">
        <v>1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</v>
      </c>
      <c r="S26" s="101">
        <v>5</v>
      </c>
      <c r="T26" s="101">
        <v>1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</v>
      </c>
      <c r="S27" s="101">
        <v>5</v>
      </c>
      <c r="T27" s="101">
        <v>1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</v>
      </c>
      <c r="S28" s="101">
        <v>1</v>
      </c>
      <c r="T28" s="101">
        <v>1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</v>
      </c>
      <c r="S29" s="101">
        <v>1</v>
      </c>
      <c r="T29" s="101">
        <v>1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</v>
      </c>
      <c r="S30" s="101">
        <v>1</v>
      </c>
      <c r="T30" s="101">
        <v>1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</v>
      </c>
      <c r="S31" s="101">
        <v>1</v>
      </c>
      <c r="T31" s="101">
        <v>1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</v>
      </c>
      <c r="S32" s="101">
        <v>1</v>
      </c>
      <c r="T32" s="101">
        <v>5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</v>
      </c>
      <c r="S33" s="101">
        <v>1</v>
      </c>
      <c r="T33" s="101">
        <v>5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</v>
      </c>
      <c r="S34" s="101">
        <v>1</v>
      </c>
      <c r="T34" s="101">
        <v>5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</v>
      </c>
      <c r="S35" s="101">
        <v>1</v>
      </c>
      <c r="T35" s="101">
        <v>5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</v>
      </c>
      <c r="S36" s="101">
        <v>1</v>
      </c>
      <c r="T36" s="101">
        <v>5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</v>
      </c>
      <c r="S37" s="101">
        <v>1</v>
      </c>
      <c r="T37" s="101">
        <v>1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</v>
      </c>
      <c r="S38" s="101">
        <v>1</v>
      </c>
      <c r="T38" s="101">
        <v>1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</v>
      </c>
      <c r="S39" s="101">
        <v>1</v>
      </c>
      <c r="T39" s="101">
        <v>1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</v>
      </c>
      <c r="S40" s="101">
        <v>1</v>
      </c>
      <c r="T40" s="101">
        <v>1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</v>
      </c>
      <c r="S41" s="101">
        <v>1</v>
      </c>
      <c r="T41" s="101">
        <v>1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</v>
      </c>
      <c r="S42" s="101">
        <v>1</v>
      </c>
      <c r="T42" s="101">
        <v>1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</v>
      </c>
      <c r="S43" s="101">
        <v>1</v>
      </c>
      <c r="T43" s="101">
        <v>1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</v>
      </c>
      <c r="S44" s="101">
        <v>1</v>
      </c>
      <c r="T44" s="101">
        <v>1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</v>
      </c>
      <c r="S45" s="101">
        <v>1</v>
      </c>
      <c r="T45" s="101">
        <v>1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</v>
      </c>
      <c r="S46" s="101">
        <v>1</v>
      </c>
      <c r="T46" s="101">
        <v>1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</v>
      </c>
      <c r="S47" s="101">
        <v>1</v>
      </c>
      <c r="T47" s="101">
        <v>1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</v>
      </c>
      <c r="S48" s="101">
        <v>1</v>
      </c>
      <c r="T48" s="101">
        <v>1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</v>
      </c>
      <c r="S49" s="101">
        <v>1</v>
      </c>
      <c r="T49" s="101">
        <v>1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</v>
      </c>
      <c r="S50" s="101">
        <v>1</v>
      </c>
      <c r="T50" s="101">
        <v>1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5</v>
      </c>
      <c r="S51" s="101">
        <v>5</v>
      </c>
      <c r="T51" s="101">
        <v>1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5</v>
      </c>
      <c r="S52" s="101">
        <v>5</v>
      </c>
      <c r="T52" s="101">
        <v>1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5</v>
      </c>
      <c r="S53" s="101">
        <v>5</v>
      </c>
      <c r="T53" s="101">
        <v>1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5</v>
      </c>
      <c r="S54" s="101">
        <v>5</v>
      </c>
      <c r="T54" s="101">
        <v>1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5</v>
      </c>
      <c r="S55" s="101">
        <v>5</v>
      </c>
      <c r="T55" s="101">
        <v>1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</v>
      </c>
      <c r="S56" s="101">
        <v>1</v>
      </c>
      <c r="T56" s="101">
        <v>1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</v>
      </c>
      <c r="S57" s="101">
        <v>1</v>
      </c>
      <c r="T57" s="101">
        <v>1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</v>
      </c>
      <c r="S58" s="101">
        <v>1</v>
      </c>
      <c r="T58" s="101">
        <v>1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</v>
      </c>
      <c r="S59" s="101">
        <v>1</v>
      </c>
      <c r="T59" s="101">
        <v>1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</v>
      </c>
      <c r="S60" s="101">
        <v>1</v>
      </c>
      <c r="T60" s="101">
        <v>1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</v>
      </c>
      <c r="S61" s="101">
        <v>1</v>
      </c>
      <c r="T61" s="101">
        <v>1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</v>
      </c>
      <c r="S62" s="101">
        <v>1</v>
      </c>
      <c r="T62" s="101">
        <v>1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</v>
      </c>
      <c r="S63" s="101">
        <v>1</v>
      </c>
      <c r="T63" s="101">
        <v>1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</v>
      </c>
      <c r="S64" s="101">
        <v>1</v>
      </c>
      <c r="T64" s="101">
        <v>1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</v>
      </c>
      <c r="S65" s="101">
        <v>1</v>
      </c>
      <c r="T65" s="101">
        <v>1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</v>
      </c>
      <c r="S66" s="101">
        <v>1</v>
      </c>
      <c r="T66" s="101">
        <v>1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</v>
      </c>
      <c r="S67" s="101">
        <v>1</v>
      </c>
      <c r="T67" s="101">
        <v>1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</v>
      </c>
      <c r="S68" s="101">
        <v>1</v>
      </c>
      <c r="T68" s="101">
        <v>1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</v>
      </c>
      <c r="S69" s="101">
        <v>1</v>
      </c>
      <c r="T69" s="101">
        <v>1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</v>
      </c>
      <c r="S70" s="101">
        <v>1</v>
      </c>
      <c r="T70" s="101">
        <v>1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</v>
      </c>
      <c r="S71" s="101">
        <v>5</v>
      </c>
      <c r="T71" s="101">
        <v>1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</v>
      </c>
      <c r="S72" s="101">
        <v>5</v>
      </c>
      <c r="T72" s="101">
        <v>1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</v>
      </c>
      <c r="S73" s="101">
        <v>5</v>
      </c>
      <c r="T73" s="101">
        <v>1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</v>
      </c>
      <c r="S74" s="101">
        <v>5</v>
      </c>
      <c r="T74" s="101">
        <v>1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</v>
      </c>
      <c r="S75" s="101">
        <v>5</v>
      </c>
      <c r="T75" s="101">
        <v>1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</v>
      </c>
      <c r="S76" s="101">
        <v>1</v>
      </c>
      <c r="T76" s="101">
        <v>1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</v>
      </c>
      <c r="S77" s="101">
        <v>1</v>
      </c>
      <c r="T77" s="101">
        <v>1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</v>
      </c>
      <c r="S78" s="101">
        <v>1</v>
      </c>
      <c r="T78" s="101">
        <v>1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</v>
      </c>
      <c r="S79" s="101">
        <v>1</v>
      </c>
      <c r="T79" s="101">
        <v>1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</v>
      </c>
      <c r="S80" s="101">
        <v>1</v>
      </c>
      <c r="T80" s="101">
        <v>1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</v>
      </c>
      <c r="S81" s="101">
        <v>1</v>
      </c>
      <c r="T81" s="101">
        <v>1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</v>
      </c>
      <c r="S82" s="101">
        <v>1</v>
      </c>
      <c r="T82" s="101">
        <v>1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</v>
      </c>
      <c r="S83" s="101">
        <v>1</v>
      </c>
      <c r="T83" s="101">
        <v>1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</v>
      </c>
      <c r="S84" s="101">
        <v>1</v>
      </c>
      <c r="T84" s="101">
        <v>1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</v>
      </c>
      <c r="S85" s="101">
        <v>1</v>
      </c>
      <c r="T85" s="101">
        <v>1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</v>
      </c>
      <c r="S86" s="101">
        <v>1</v>
      </c>
      <c r="T86" s="101">
        <v>1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</v>
      </c>
      <c r="S87" s="101">
        <v>1</v>
      </c>
      <c r="T87" s="101">
        <v>1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</v>
      </c>
      <c r="S88" s="101">
        <v>1</v>
      </c>
      <c r="T88" s="101">
        <v>1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</v>
      </c>
      <c r="S89" s="101">
        <v>1</v>
      </c>
      <c r="T89" s="101">
        <v>1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</v>
      </c>
      <c r="S90" s="101">
        <v>1</v>
      </c>
      <c r="T90" s="101">
        <v>1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</v>
      </c>
      <c r="S91" s="101">
        <v>1</v>
      </c>
      <c r="T91" s="101">
        <v>1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</v>
      </c>
      <c r="S92" s="101">
        <v>1</v>
      </c>
      <c r="T92" s="101">
        <v>1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</v>
      </c>
      <c r="S93" s="101">
        <v>1</v>
      </c>
      <c r="T93" s="101">
        <v>1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</v>
      </c>
      <c r="S94" s="101">
        <v>1</v>
      </c>
      <c r="T94" s="101">
        <v>1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</v>
      </c>
      <c r="S95" s="101">
        <v>1</v>
      </c>
      <c r="T95" s="101">
        <v>1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</v>
      </c>
      <c r="S96" s="101">
        <v>1</v>
      </c>
      <c r="T96" s="101">
        <v>1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</v>
      </c>
      <c r="S97" s="101">
        <v>1</v>
      </c>
      <c r="T97" s="101">
        <v>1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</v>
      </c>
      <c r="S98" s="101">
        <v>1</v>
      </c>
      <c r="T98" s="101">
        <v>1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</v>
      </c>
      <c r="S99" s="101">
        <v>1</v>
      </c>
      <c r="T99" s="101">
        <v>1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</v>
      </c>
      <c r="S100" s="101">
        <v>1</v>
      </c>
      <c r="T100" s="101">
        <v>1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</v>
      </c>
      <c r="S101" s="101">
        <v>1</v>
      </c>
      <c r="T101" s="101">
        <v>1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</v>
      </c>
      <c r="S102" s="101">
        <v>1</v>
      </c>
      <c r="T102" s="101">
        <v>1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</v>
      </c>
      <c r="S103" s="101">
        <v>1</v>
      </c>
      <c r="T103" s="101">
        <v>1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</v>
      </c>
      <c r="S104" s="101">
        <v>1</v>
      </c>
      <c r="T104" s="101">
        <v>1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</v>
      </c>
      <c r="S105" s="101">
        <v>1</v>
      </c>
      <c r="T105" s="101">
        <v>1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</v>
      </c>
      <c r="S106" s="101">
        <v>1</v>
      </c>
      <c r="T106" s="101">
        <v>1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</v>
      </c>
      <c r="S107" s="101">
        <v>1</v>
      </c>
      <c r="T107" s="101">
        <v>1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</v>
      </c>
      <c r="S108" s="101">
        <v>1</v>
      </c>
      <c r="T108" s="101">
        <v>1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</v>
      </c>
      <c r="S109" s="101">
        <v>1</v>
      </c>
      <c r="T109" s="101">
        <v>1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</v>
      </c>
      <c r="S110" s="101">
        <v>1</v>
      </c>
      <c r="T110" s="101">
        <v>1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</v>
      </c>
      <c r="S111" s="101">
        <v>1</v>
      </c>
      <c r="T111" s="101">
        <v>1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</v>
      </c>
      <c r="S112" s="101">
        <v>1</v>
      </c>
      <c r="T112" s="101">
        <v>1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</v>
      </c>
      <c r="S113" s="101">
        <v>1</v>
      </c>
      <c r="T113" s="101">
        <v>1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</v>
      </c>
      <c r="S114" s="101">
        <v>1</v>
      </c>
      <c r="T114" s="101">
        <v>1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</v>
      </c>
      <c r="S115" s="101">
        <v>1</v>
      </c>
      <c r="T115" s="101">
        <v>1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</v>
      </c>
      <c r="S116" s="101">
        <v>1</v>
      </c>
      <c r="T116" s="101">
        <v>1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</v>
      </c>
      <c r="S117" s="101">
        <v>1</v>
      </c>
      <c r="T117" s="101">
        <v>1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</v>
      </c>
      <c r="S118" s="101">
        <v>1</v>
      </c>
      <c r="T118" s="101">
        <v>1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</v>
      </c>
      <c r="S119" s="101">
        <v>1</v>
      </c>
      <c r="T119" s="101">
        <v>1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5</v>
      </c>
      <c r="S120" s="101">
        <v>1</v>
      </c>
      <c r="T120" s="101">
        <v>1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5</v>
      </c>
      <c r="S121" s="101">
        <v>1</v>
      </c>
      <c r="T121" s="101">
        <v>1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5</v>
      </c>
      <c r="S122" s="101">
        <v>1</v>
      </c>
      <c r="T122" s="101">
        <v>1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5</v>
      </c>
      <c r="S123" s="101">
        <v>1</v>
      </c>
      <c r="T123" s="101">
        <v>1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5</v>
      </c>
      <c r="S124" s="101">
        <v>1</v>
      </c>
      <c r="T124" s="101">
        <v>1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</v>
      </c>
      <c r="S125" s="101">
        <v>1</v>
      </c>
      <c r="T125" s="101">
        <v>1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</v>
      </c>
      <c r="T126" s="101">
        <v>1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</v>
      </c>
      <c r="T127" s="101">
        <v>1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</v>
      </c>
      <c r="T128" s="101">
        <v>1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</v>
      </c>
      <c r="T129" s="101">
        <v>1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</v>
      </c>
      <c r="T130" s="101">
        <v>1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</v>
      </c>
      <c r="T131" s="101">
        <v>5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</v>
      </c>
      <c r="T132" s="101">
        <v>5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</v>
      </c>
      <c r="T133" s="101">
        <v>5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</v>
      </c>
      <c r="T134" s="101">
        <v>5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</v>
      </c>
      <c r="T135" s="101">
        <v>5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</v>
      </c>
      <c r="T136" s="101">
        <v>1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</v>
      </c>
      <c r="T137" s="101">
        <v>1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</v>
      </c>
      <c r="T138" s="101">
        <v>1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</v>
      </c>
      <c r="T139" s="101">
        <v>1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</v>
      </c>
      <c r="T140" s="101">
        <v>1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</v>
      </c>
      <c r="T141" s="101">
        <v>1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5</v>
      </c>
      <c r="T142" s="101">
        <v>5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5</v>
      </c>
      <c r="T143" s="101">
        <v>5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5</v>
      </c>
      <c r="T144" s="101">
        <v>5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5</v>
      </c>
      <c r="T145" s="101">
        <v>5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4.1176470588235294E-2</v>
      </c>
      <c r="AJ145" s="103">
        <v>7000000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5</v>
      </c>
      <c r="T146" s="101">
        <v>5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5.8823529411764705E-2</v>
      </c>
      <c r="AJ146" s="103">
        <v>10000000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</v>
      </c>
      <c r="T147" s="101">
        <v>1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8.8235294117647065E-2</v>
      </c>
      <c r="AJ147" s="103">
        <v>15000000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</v>
      </c>
      <c r="T148" s="101">
        <v>1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8.8235294117647065E-2</v>
      </c>
      <c r="AJ148" s="103">
        <v>15000000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</v>
      </c>
      <c r="T149" s="101">
        <v>1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8.8235294117647065E-2</v>
      </c>
      <c r="AJ149" s="103">
        <v>15000000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</v>
      </c>
      <c r="T150" s="101">
        <v>1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8.8235294117647065E-2</v>
      </c>
      <c r="AJ150" s="103">
        <v>15000000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</v>
      </c>
      <c r="T151" s="101">
        <v>1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2.9411764705882353E-2</v>
      </c>
      <c r="AJ151" s="103">
        <v>5000000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</v>
      </c>
      <c r="T152" s="101">
        <v>1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2.9411764705882353E-2</v>
      </c>
      <c r="AJ152" s="103">
        <v>5000000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</v>
      </c>
      <c r="T153" s="101">
        <v>1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2.9411764705882353E-2</v>
      </c>
      <c r="AJ153" s="103">
        <v>5000000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</v>
      </c>
      <c r="T154" s="101">
        <v>1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2.9411764705882353E-2</v>
      </c>
      <c r="AJ154" s="103">
        <v>5000000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</v>
      </c>
      <c r="T155" s="101">
        <v>1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</v>
      </c>
      <c r="T156" s="101">
        <v>1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</v>
      </c>
      <c r="T157" s="101">
        <v>5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</v>
      </c>
      <c r="T158" s="101">
        <v>5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</v>
      </c>
      <c r="T159" s="101">
        <v>5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</v>
      </c>
      <c r="T160" s="101">
        <v>5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</v>
      </c>
      <c r="T161" s="101">
        <v>5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</v>
      </c>
      <c r="T162" s="101">
        <v>1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</v>
      </c>
      <c r="T163" s="101">
        <v>1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</v>
      </c>
      <c r="T164" s="101">
        <v>1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</v>
      </c>
      <c r="T165" s="101">
        <v>1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</v>
      </c>
      <c r="T166" s="101">
        <v>1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</v>
      </c>
      <c r="T167" s="101">
        <v>1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</v>
      </c>
      <c r="T168" s="101">
        <v>1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</v>
      </c>
      <c r="T169" s="101">
        <v>1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</v>
      </c>
      <c r="T170" s="101">
        <v>1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</v>
      </c>
      <c r="T171" s="101">
        <v>1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</v>
      </c>
      <c r="T172" s="101">
        <v>1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</v>
      </c>
      <c r="T173" s="101">
        <v>1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</v>
      </c>
      <c r="T174" s="101">
        <v>1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</v>
      </c>
      <c r="T175" s="101">
        <v>1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</v>
      </c>
      <c r="T176" s="101">
        <v>1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</v>
      </c>
      <c r="T177" s="101">
        <v>1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50000000</v>
      </c>
      <c r="AK177" s="103">
        <v>50000000</v>
      </c>
      <c r="AL177" s="103">
        <v>50000000</v>
      </c>
      <c r="AM177" s="103">
        <v>50000000</v>
      </c>
      <c r="AN177" s="103">
        <v>50000000</v>
      </c>
      <c r="AO177" s="103">
        <v>50000000</v>
      </c>
      <c r="AP177" s="103">
        <v>50000000</v>
      </c>
      <c r="AQ177" s="103">
        <v>50000000</v>
      </c>
      <c r="AR177" s="103">
        <v>50000000</v>
      </c>
      <c r="AS177" s="103">
        <v>50000000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</v>
      </c>
      <c r="T178" s="101">
        <v>1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120000000</v>
      </c>
      <c r="AK178" s="103">
        <v>120000000</v>
      </c>
      <c r="AL178" s="103">
        <v>120000000</v>
      </c>
      <c r="AM178" s="103">
        <v>120000000</v>
      </c>
      <c r="AN178" s="103">
        <v>120000000</v>
      </c>
      <c r="AO178" s="103">
        <v>120000000</v>
      </c>
      <c r="AP178" s="103">
        <v>120000000</v>
      </c>
      <c r="AQ178" s="103">
        <v>120000000</v>
      </c>
      <c r="AR178" s="103">
        <v>120000000</v>
      </c>
      <c r="AS178" s="103">
        <v>120000000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</v>
      </c>
      <c r="T179" s="101">
        <v>1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120000000</v>
      </c>
      <c r="AJ179" s="103">
        <v>120000000</v>
      </c>
      <c r="AK179" s="103">
        <v>120000000</v>
      </c>
      <c r="AL179" s="103">
        <v>90000000</v>
      </c>
      <c r="AM179" s="103">
        <v>90000000</v>
      </c>
      <c r="AN179" s="103">
        <v>90000000</v>
      </c>
      <c r="AO179" s="103">
        <v>90000000</v>
      </c>
      <c r="AP179" s="103">
        <v>90000000</v>
      </c>
      <c r="AQ179" s="103">
        <v>90000000</v>
      </c>
      <c r="AR179" s="103">
        <v>90000000</v>
      </c>
      <c r="AS179" s="103">
        <v>90000000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</v>
      </c>
      <c r="T180" s="101">
        <v>1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90000000</v>
      </c>
      <c r="AJ180" s="103">
        <v>90000000</v>
      </c>
      <c r="AK180" s="103">
        <v>90000000</v>
      </c>
      <c r="AL180" s="103">
        <v>50000000</v>
      </c>
      <c r="AM180" s="103">
        <v>50000000</v>
      </c>
      <c r="AN180" s="103">
        <v>50000000</v>
      </c>
      <c r="AO180" s="103">
        <v>50000000</v>
      </c>
      <c r="AP180" s="103">
        <v>50000000</v>
      </c>
      <c r="AQ180" s="103">
        <v>50000000</v>
      </c>
      <c r="AR180" s="103">
        <v>50000000</v>
      </c>
      <c r="AS180" s="103">
        <v>50000000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5</v>
      </c>
      <c r="T181" s="101">
        <v>1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21000000</v>
      </c>
      <c r="AJ181" s="103">
        <v>21000000</v>
      </c>
      <c r="AK181" s="103">
        <v>21000000</v>
      </c>
      <c r="AL181" s="103">
        <v>30000000</v>
      </c>
      <c r="AM181" s="103">
        <v>30000000</v>
      </c>
      <c r="AN181" s="103">
        <v>30000000</v>
      </c>
      <c r="AO181" s="103">
        <v>30000000</v>
      </c>
      <c r="AP181" s="103">
        <v>30000000</v>
      </c>
      <c r="AQ181" s="103">
        <v>30000000</v>
      </c>
      <c r="AR181" s="103">
        <v>30000000</v>
      </c>
      <c r="AS181" s="103">
        <v>30000000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5</v>
      </c>
      <c r="T182" s="101">
        <v>1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13500000</v>
      </c>
      <c r="AJ182" s="103">
        <v>13500000</v>
      </c>
      <c r="AK182" s="103">
        <v>13500000</v>
      </c>
      <c r="AL182" s="103">
        <v>13500000</v>
      </c>
      <c r="AM182" s="103">
        <v>13500000</v>
      </c>
      <c r="AN182" s="103">
        <v>13500000</v>
      </c>
      <c r="AO182" s="103">
        <v>13500000</v>
      </c>
      <c r="AP182" s="103">
        <v>13500000</v>
      </c>
      <c r="AQ182" s="103">
        <v>13500000</v>
      </c>
      <c r="AR182" s="103">
        <v>13500000</v>
      </c>
      <c r="AS182" s="103">
        <v>13500000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5</v>
      </c>
      <c r="T183" s="101">
        <v>1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13500000</v>
      </c>
      <c r="AJ183" s="103">
        <v>13500000</v>
      </c>
      <c r="AK183" s="103">
        <v>13500000</v>
      </c>
      <c r="AL183" s="103">
        <v>13500000</v>
      </c>
      <c r="AM183" s="103">
        <v>13500000</v>
      </c>
      <c r="AN183" s="103">
        <v>13500000</v>
      </c>
      <c r="AO183" s="103">
        <v>13500000</v>
      </c>
      <c r="AP183" s="103">
        <v>13500000</v>
      </c>
      <c r="AQ183" s="103">
        <v>13500000</v>
      </c>
      <c r="AR183" s="103">
        <v>13500000</v>
      </c>
      <c r="AS183" s="103">
        <v>13500000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5</v>
      </c>
      <c r="T184" s="101">
        <v>1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8500000</v>
      </c>
      <c r="AJ184" s="103">
        <v>8500000</v>
      </c>
      <c r="AK184" s="103">
        <v>8500000</v>
      </c>
      <c r="AL184" s="103">
        <v>8500000</v>
      </c>
      <c r="AM184" s="103">
        <v>8500000</v>
      </c>
      <c r="AN184" s="103">
        <v>8500000</v>
      </c>
      <c r="AO184" s="103">
        <v>8500000</v>
      </c>
      <c r="AP184" s="103">
        <v>8500000</v>
      </c>
      <c r="AQ184" s="103">
        <v>8500000</v>
      </c>
      <c r="AR184" s="103">
        <v>8500000</v>
      </c>
      <c r="AS184" s="103">
        <v>8500000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5</v>
      </c>
      <c r="T185" s="101">
        <v>1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3500000</v>
      </c>
      <c r="AJ185" s="103">
        <v>3500000</v>
      </c>
      <c r="AK185" s="103">
        <v>3500000</v>
      </c>
      <c r="AL185" s="103">
        <v>3500000</v>
      </c>
      <c r="AM185" s="103">
        <v>3500000</v>
      </c>
      <c r="AN185" s="103">
        <v>3500000</v>
      </c>
      <c r="AO185" s="103">
        <v>3500000</v>
      </c>
      <c r="AP185" s="103">
        <v>3500000</v>
      </c>
      <c r="AQ185" s="103">
        <v>3500000</v>
      </c>
      <c r="AR185" s="103">
        <v>3500000</v>
      </c>
      <c r="AS185" s="103">
        <v>3500000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</v>
      </c>
      <c r="T186" s="101">
        <v>1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</v>
      </c>
      <c r="T187" s="101">
        <v>1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</v>
      </c>
      <c r="T188" s="101">
        <v>1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</v>
      </c>
      <c r="T189" s="101">
        <v>1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</v>
      </c>
      <c r="T190" s="101">
        <v>1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</v>
      </c>
      <c r="T191" s="101">
        <v>1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</v>
      </c>
      <c r="T192" s="101">
        <v>5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</v>
      </c>
      <c r="T193" s="101">
        <v>5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</v>
      </c>
      <c r="T194" s="101">
        <v>5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</v>
      </c>
      <c r="T195" s="101">
        <v>5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</v>
      </c>
      <c r="T196" s="101">
        <v>5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</v>
      </c>
      <c r="T197" s="101">
        <v>1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</v>
      </c>
      <c r="T198" s="101">
        <v>5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</v>
      </c>
      <c r="T199" s="101">
        <v>5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</v>
      </c>
      <c r="T200" s="101">
        <v>5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5</v>
      </c>
      <c r="T201" s="101">
        <v>5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5</v>
      </c>
      <c r="T202" s="101">
        <v>5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5</v>
      </c>
      <c r="T203" s="101">
        <v>1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5</v>
      </c>
      <c r="T204" s="101">
        <v>1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5</v>
      </c>
      <c r="T205" s="101">
        <v>1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5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5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topLeftCell="D1" zoomScale="70" zoomScaleNormal="70" workbookViewId="0">
      <selection activeCell="I15" sqref="I15"/>
    </sheetView>
  </sheetViews>
  <sheetFormatPr defaultRowHeight="15.6"/>
  <cols>
    <col min="1" max="2" width="10.21875" style="1" bestFit="1" customWidth="1"/>
    <col min="3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135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99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885913313</v>
      </c>
      <c r="D3" s="100">
        <v>884641100</v>
      </c>
      <c r="E3" s="100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285</v>
      </c>
    </row>
    <row r="4" spans="1:16" ht="16.2">
      <c r="A4" s="8">
        <v>0</v>
      </c>
      <c r="B4" s="8">
        <v>1</v>
      </c>
      <c r="C4" s="101">
        <v>11764624</v>
      </c>
      <c r="D4" s="101">
        <v>4036131</v>
      </c>
      <c r="E4" s="101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16365756</v>
      </c>
      <c r="D5" s="101">
        <v>11713167</v>
      </c>
      <c r="E5" s="101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294</v>
      </c>
    </row>
    <row r="6" spans="1:16">
      <c r="A6" s="8">
        <v>2</v>
      </c>
      <c r="B6" s="8">
        <v>3</v>
      </c>
      <c r="C6" s="101">
        <v>11623926</v>
      </c>
      <c r="D6" s="101">
        <v>6004218</v>
      </c>
      <c r="E6" s="101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12367038</v>
      </c>
      <c r="D7" s="101">
        <v>11078967</v>
      </c>
      <c r="E7" s="101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10095520</v>
      </c>
      <c r="D8" s="101">
        <v>10345960</v>
      </c>
      <c r="E8" s="101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8063906</v>
      </c>
      <c r="D9" s="101">
        <v>9145346</v>
      </c>
      <c r="E9" s="101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1960044</v>
      </c>
      <c r="D10" s="101">
        <v>2087574</v>
      </c>
      <c r="E10" s="101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8419726</v>
      </c>
      <c r="D11" s="101">
        <v>9519892</v>
      </c>
      <c r="E11" s="101">
        <v>4346920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3082035</v>
      </c>
      <c r="D12" s="101">
        <v>3596097</v>
      </c>
      <c r="E12" s="101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6201756</v>
      </c>
      <c r="D13" s="101">
        <v>8367532</v>
      </c>
      <c r="E13" s="101">
        <v>3277630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9885740</v>
      </c>
      <c r="D14" s="101">
        <v>14606129</v>
      </c>
      <c r="E14" s="101">
        <v>523644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5874476</v>
      </c>
      <c r="D15" s="101">
        <v>9202792</v>
      </c>
      <c r="E15" s="101">
        <v>1800254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2464217</v>
      </c>
      <c r="D16" s="101">
        <v>5141385</v>
      </c>
      <c r="E16" s="101">
        <v>1134864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2137165</v>
      </c>
      <c r="D17" s="101">
        <v>3428356</v>
      </c>
      <c r="E17" s="101">
        <v>900740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408530</v>
      </c>
      <c r="D18" s="101">
        <v>615817</v>
      </c>
      <c r="E18" s="101">
        <v>603000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953627</v>
      </c>
      <c r="D19" s="101">
        <v>2068043</v>
      </c>
      <c r="E19" s="101">
        <v>528645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221560</v>
      </c>
      <c r="D20" s="101">
        <v>706581</v>
      </c>
      <c r="E20" s="101">
        <v>1123390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1108012</v>
      </c>
      <c r="D21" s="101">
        <v>1031723</v>
      </c>
      <c r="E21" s="101">
        <v>383111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432204</v>
      </c>
      <c r="D22" s="101">
        <v>996107</v>
      </c>
      <c r="E22" s="101">
        <v>397975</v>
      </c>
      <c r="F22" s="101">
        <v>89094438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44452</v>
      </c>
      <c r="D23" s="101">
        <v>114891</v>
      </c>
      <c r="E23" s="101">
        <v>108972</v>
      </c>
      <c r="F23" s="101">
        <v>70007584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190628</v>
      </c>
      <c r="D24" s="101">
        <v>380366</v>
      </c>
      <c r="E24" s="101">
        <v>203663</v>
      </c>
      <c r="F24" s="101">
        <v>60422733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73375</v>
      </c>
      <c r="D25" s="101">
        <v>221740</v>
      </c>
      <c r="E25" s="101">
        <v>1914248</v>
      </c>
      <c r="F25" s="101">
        <v>73278778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138440</v>
      </c>
      <c r="D26" s="101">
        <v>372247</v>
      </c>
      <c r="E26" s="101">
        <v>288392</v>
      </c>
      <c r="F26" s="101">
        <v>135362735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87332</v>
      </c>
      <c r="D27" s="101">
        <v>190719</v>
      </c>
      <c r="E27" s="101">
        <v>79209</v>
      </c>
      <c r="F27" s="101">
        <v>149579708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21172</v>
      </c>
      <c r="D28" s="101">
        <v>43658</v>
      </c>
      <c r="E28" s="101">
        <v>11245</v>
      </c>
      <c r="F28" s="101">
        <v>78784065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14257</v>
      </c>
      <c r="D29" s="101">
        <v>141316</v>
      </c>
      <c r="E29" s="101">
        <v>19777</v>
      </c>
      <c r="F29" s="101">
        <v>35926680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12709</v>
      </c>
      <c r="D30" s="101">
        <v>34467</v>
      </c>
      <c r="E30" s="101">
        <v>658260</v>
      </c>
      <c r="F30" s="101">
        <v>20482918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5645</v>
      </c>
      <c r="D31" s="101">
        <v>42509</v>
      </c>
      <c r="E31" s="101">
        <v>10495</v>
      </c>
      <c r="F31" s="101">
        <v>30042753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6007</v>
      </c>
      <c r="D32" s="101">
        <v>58594</v>
      </c>
      <c r="E32" s="101">
        <v>4061</v>
      </c>
      <c r="F32" s="101">
        <v>12729219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707</v>
      </c>
      <c r="D33" s="101">
        <v>22978</v>
      </c>
      <c r="E33" s="101">
        <v>281925</v>
      </c>
      <c r="F33" s="101">
        <v>73823111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355</v>
      </c>
      <c r="D34" s="101">
        <v>2297</v>
      </c>
      <c r="E34" s="101">
        <v>84539</v>
      </c>
      <c r="F34" s="101">
        <v>11091170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1148</v>
      </c>
      <c r="E35" s="101">
        <v>0</v>
      </c>
      <c r="F35" s="101">
        <v>12700664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5744</v>
      </c>
      <c r="E36" s="101">
        <v>109804</v>
      </c>
      <c r="F36" s="101">
        <v>9890861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16084</v>
      </c>
      <c r="E37" s="101">
        <v>0</v>
      </c>
      <c r="F37" s="101">
        <v>12302227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68</v>
      </c>
      <c r="D38" s="101">
        <v>4595</v>
      </c>
      <c r="E38" s="101">
        <v>0</v>
      </c>
      <c r="F38" s="101">
        <v>35457982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101">
        <v>0</v>
      </c>
      <c r="F39" s="101">
        <v>18671273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2537</v>
      </c>
      <c r="E40" s="101">
        <v>0</v>
      </c>
      <c r="F40" s="101">
        <v>12332824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101">
        <v>0</v>
      </c>
      <c r="F41" s="101">
        <v>5806536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101">
        <v>0</v>
      </c>
      <c r="F42" s="101">
        <v>4910803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101">
        <v>0</v>
      </c>
      <c r="F43" s="101">
        <v>8076363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101">
        <v>37704</v>
      </c>
      <c r="F44" s="101">
        <v>4530759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101">
        <v>0</v>
      </c>
      <c r="F45" s="101">
        <v>4403455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101">
        <v>0</v>
      </c>
      <c r="F46" s="101">
        <v>3383614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101">
        <v>0</v>
      </c>
      <c r="F47" s="101">
        <v>6176627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222</v>
      </c>
      <c r="D48" s="101">
        <v>990</v>
      </c>
      <c r="E48" s="101">
        <v>0</v>
      </c>
      <c r="F48" s="101">
        <v>15352646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443</v>
      </c>
      <c r="E49" s="101">
        <v>12723</v>
      </c>
      <c r="F49" s="101">
        <v>1592062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101">
        <v>0</v>
      </c>
      <c r="F50" s="101">
        <v>1287128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101">
        <v>7990</v>
      </c>
      <c r="F51" s="101">
        <v>1023107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101">
        <v>0</v>
      </c>
      <c r="F52" s="101">
        <v>339413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101">
        <v>0</v>
      </c>
      <c r="F53" s="101">
        <v>320728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101">
        <v>0</v>
      </c>
      <c r="F54" s="101">
        <v>298923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101">
        <v>4547</v>
      </c>
      <c r="F55" s="101">
        <v>240760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101">
        <v>0</v>
      </c>
      <c r="F56" s="101">
        <v>76150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101">
        <v>774</v>
      </c>
      <c r="F57" s="101">
        <v>199202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101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101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101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6" zoomScale="55" zoomScaleNormal="55" workbookViewId="0">
      <selection activeCell="V200" sqref="V200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20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0.92499999417155121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154470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1.5447000000000001E-2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1893</v>
      </c>
      <c r="D200" s="30">
        <v>1514.3999999999976</v>
      </c>
      <c r="E200" s="187">
        <f t="shared" ref="E200:E256" si="6">IFERROR((D200/$E$196)/(C200),0)</f>
        <v>3.1999999999999949E-3</v>
      </c>
      <c r="F200" s="188">
        <v>1.8929999999999999E-4</v>
      </c>
      <c r="G200" s="189">
        <v>6.0575999999999899E-7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9794</v>
      </c>
      <c r="D201" s="30">
        <v>17090.800000000032</v>
      </c>
      <c r="E201" s="187">
        <f t="shared" si="6"/>
        <v>6.9801102715948676E-3</v>
      </c>
      <c r="F201" s="188">
        <v>9.7940000000000006E-4</v>
      </c>
      <c r="G201" s="189">
        <v>6.8363200000000133E-6</v>
      </c>
      <c r="H201" s="232">
        <v>4.0000000000000001E-3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4716</v>
      </c>
      <c r="D202" s="30">
        <v>13151.199999999983</v>
      </c>
      <c r="E202" s="187">
        <f t="shared" si="6"/>
        <v>1.1154537743850708E-2</v>
      </c>
      <c r="F202" s="188">
        <v>4.7160000000000002E-4</v>
      </c>
      <c r="G202" s="189">
        <v>5.2604799999999942E-6</v>
      </c>
      <c r="H202" s="232">
        <v>8.0000000000000002E-3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12233</v>
      </c>
      <c r="D203" s="30">
        <v>46595.600000000057</v>
      </c>
      <c r="E203" s="187">
        <f t="shared" si="6"/>
        <v>1.5236033679391827E-2</v>
      </c>
      <c r="F203" s="188">
        <v>1.2233000000000001E-3</v>
      </c>
      <c r="G203" s="189">
        <v>1.8638240000000024E-5</v>
      </c>
      <c r="H203" s="232">
        <v>1.2E-2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10845</v>
      </c>
      <c r="D204" s="30">
        <v>52897.199999999903</v>
      </c>
      <c r="E204" s="187">
        <f t="shared" si="6"/>
        <v>1.9510262793914213E-2</v>
      </c>
      <c r="F204" s="188">
        <v>1.0845E-3</v>
      </c>
      <c r="G204" s="189">
        <v>2.1158879999999963E-5</v>
      </c>
      <c r="H204" s="232">
        <v>1.6E-2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13145</v>
      </c>
      <c r="D205" s="30">
        <v>78365.799999999959</v>
      </c>
      <c r="E205" s="187">
        <f t="shared" si="6"/>
        <v>2.3846572841384545E-2</v>
      </c>
      <c r="F205" s="188">
        <v>1.3144999999999999E-3</v>
      </c>
      <c r="G205" s="189">
        <v>3.1346319999999983E-5</v>
      </c>
      <c r="H205" s="232">
        <v>0.02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2300</v>
      </c>
      <c r="D206" s="30">
        <v>15147.999999999984</v>
      </c>
      <c r="E206" s="187">
        <f t="shared" si="6"/>
        <v>2.6344347826086929E-2</v>
      </c>
      <c r="F206" s="188">
        <v>2.3000000000000001E-4</v>
      </c>
      <c r="G206" s="189">
        <v>6.0591999999999936E-6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19902</v>
      </c>
      <c r="D207" s="30">
        <v>155837.39999999959</v>
      </c>
      <c r="E207" s="187">
        <f t="shared" si="6"/>
        <v>3.1320952668073478E-2</v>
      </c>
      <c r="F207" s="188">
        <v>1.9902000000000001E-3</v>
      </c>
      <c r="G207" s="189">
        <v>6.233495999999984E-5</v>
      </c>
      <c r="H207" s="232">
        <v>2.8000000000000001E-2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5935</v>
      </c>
      <c r="D208" s="30">
        <v>52546.000000000022</v>
      </c>
      <c r="E208" s="187">
        <f t="shared" si="6"/>
        <v>3.541432181971358E-2</v>
      </c>
      <c r="F208" s="188">
        <v>5.9349999999999995E-4</v>
      </c>
      <c r="G208" s="189">
        <v>2.1018400000000009E-5</v>
      </c>
      <c r="H208" s="232">
        <v>3.2000000000000001E-2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18216</v>
      </c>
      <c r="D209" s="30">
        <v>180320.40000000029</v>
      </c>
      <c r="E209" s="187">
        <f t="shared" si="6"/>
        <v>3.9596047430830103E-2</v>
      </c>
      <c r="F209" s="188">
        <v>1.8216E-3</v>
      </c>
      <c r="G209" s="189">
        <v>7.2128160000000118E-5</v>
      </c>
      <c r="H209" s="232">
        <v>3.5999999999999997E-2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45516</v>
      </c>
      <c r="D210" s="30">
        <v>597549.40000000154</v>
      </c>
      <c r="E210" s="187">
        <f t="shared" si="6"/>
        <v>5.2513349151946706E-2</v>
      </c>
      <c r="F210" s="188">
        <v>4.5516000000000003E-3</v>
      </c>
      <c r="G210" s="189">
        <v>2.3901976000000063E-4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57888</v>
      </c>
      <c r="D211" s="30">
        <v>1057715.399999999</v>
      </c>
      <c r="E211" s="187">
        <f t="shared" si="6"/>
        <v>7.3087023217247027E-2</v>
      </c>
      <c r="F211" s="188">
        <v>5.7888000000000002E-3</v>
      </c>
      <c r="G211" s="189">
        <v>4.2308615999999961E-4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42696</v>
      </c>
      <c r="D212" s="30">
        <v>996374.60000000033</v>
      </c>
      <c r="E212" s="187">
        <f t="shared" si="6"/>
        <v>9.3345943413902968E-2</v>
      </c>
      <c r="F212" s="188">
        <v>4.2696000000000001E-3</v>
      </c>
      <c r="G212" s="189">
        <v>3.9854984000000011E-4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14.012715771250866</v>
      </c>
      <c r="S212" s="182"/>
    </row>
    <row r="213" spans="1:24" ht="15.6">
      <c r="A213" s="257">
        <v>25</v>
      </c>
      <c r="B213" s="258">
        <v>30</v>
      </c>
      <c r="C213" s="160">
        <v>43835</v>
      </c>
      <c r="D213" s="30">
        <v>1252245.7999999991</v>
      </c>
      <c r="E213" s="187">
        <f t="shared" si="6"/>
        <v>0.11426903615832089</v>
      </c>
      <c r="F213" s="188">
        <v>4.3835000000000002E-3</v>
      </c>
      <c r="G213" s="189">
        <v>5.0089831999999964E-4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13.171556968971011</v>
      </c>
      <c r="S213" s="182"/>
    </row>
    <row r="214" spans="1:24" ht="15.6">
      <c r="A214" s="257">
        <v>30</v>
      </c>
      <c r="B214" s="258">
        <v>35</v>
      </c>
      <c r="C214" s="160">
        <v>35287</v>
      </c>
      <c r="D214" s="30">
        <v>1155453.3999999999</v>
      </c>
      <c r="E214" s="187">
        <f t="shared" si="6"/>
        <v>0.1309777991895032</v>
      </c>
      <c r="F214" s="188">
        <v>3.5287000000000001E-3</v>
      </c>
      <c r="G214" s="189">
        <v>4.6218135999999996E-4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11.248007383745467</v>
      </c>
    </row>
    <row r="215" spans="1:24" ht="15.6">
      <c r="A215" s="257">
        <v>35</v>
      </c>
      <c r="B215" s="258">
        <v>40</v>
      </c>
      <c r="C215" s="160">
        <v>55045</v>
      </c>
      <c r="D215" s="30">
        <v>2115938.3999999971</v>
      </c>
      <c r="E215" s="187">
        <f t="shared" si="6"/>
        <v>0.15376062494322806</v>
      </c>
      <c r="F215" s="188">
        <v>5.5044999999999998E-3</v>
      </c>
      <c r="G215" s="189">
        <v>8.463753599999989E-4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26.484824722713284</v>
      </c>
    </row>
    <row r="216" spans="1:24" ht="15.6">
      <c r="A216" s="257">
        <v>40</v>
      </c>
      <c r="B216" s="258">
        <v>45</v>
      </c>
      <c r="C216" s="160">
        <v>33906</v>
      </c>
      <c r="D216" s="30">
        <v>1470990.6000000008</v>
      </c>
      <c r="E216" s="187">
        <f t="shared" si="6"/>
        <v>0.1735374977880022</v>
      </c>
      <c r="F216" s="188">
        <v>3.3906000000000001E-3</v>
      </c>
      <c r="G216" s="189">
        <v>5.8839624000000027E-4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14.46720919173746</v>
      </c>
    </row>
    <row r="217" spans="1:24" ht="15.6">
      <c r="A217" s="257">
        <v>45</v>
      </c>
      <c r="B217" s="258">
        <v>50</v>
      </c>
      <c r="C217" s="160">
        <v>44508</v>
      </c>
      <c r="D217" s="30">
        <v>2146477.3999999985</v>
      </c>
      <c r="E217" s="187">
        <f t="shared" si="6"/>
        <v>0.19290710883436671</v>
      </c>
      <c r="F217" s="188">
        <v>4.4508000000000004E-3</v>
      </c>
      <c r="G217" s="189">
        <v>8.5859095999999942E-4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21.912169323059778</v>
      </c>
    </row>
    <row r="218" spans="1:24" ht="15.6">
      <c r="A218" s="257">
        <v>50</v>
      </c>
      <c r="B218" s="258">
        <v>60</v>
      </c>
      <c r="C218" s="160">
        <v>80980</v>
      </c>
      <c r="D218" s="30">
        <v>4580187.2</v>
      </c>
      <c r="E218" s="187">
        <f t="shared" si="6"/>
        <v>0.22623794517164733</v>
      </c>
      <c r="F218" s="188">
        <v>8.0979999999999993E-3</v>
      </c>
      <c r="G218" s="189">
        <v>1.8320748799999999E-3</v>
      </c>
      <c r="H218" s="232">
        <v>0.2</v>
      </c>
      <c r="I218" s="274" t="str">
        <f t="shared" si="7"/>
        <v>(50, 60]</v>
      </c>
      <c r="J218" s="160">
        <v>1</v>
      </c>
      <c r="K218" s="234">
        <v>11.002029945665598</v>
      </c>
      <c r="L218" s="188">
        <v>8.9094438499999998E-2</v>
      </c>
      <c r="M218" s="233">
        <v>89094438</v>
      </c>
      <c r="N218" s="195">
        <v>8.9094438089094438E-2</v>
      </c>
      <c r="O218" s="211">
        <v>2.0156542599499276E-2</v>
      </c>
      <c r="Q218" s="1">
        <v>0.11195442178961326</v>
      </c>
      <c r="R218" s="1">
        <v>13.824947121463728</v>
      </c>
    </row>
    <row r="219" spans="1:24" ht="15.6">
      <c r="A219" s="257">
        <v>60</v>
      </c>
      <c r="B219" s="258">
        <v>70</v>
      </c>
      <c r="C219" s="160">
        <v>65182</v>
      </c>
      <c r="D219" s="30">
        <v>4285642.2</v>
      </c>
      <c r="E219" s="187">
        <f t="shared" si="6"/>
        <v>0.26299544045902246</v>
      </c>
      <c r="F219" s="188">
        <v>6.5182E-3</v>
      </c>
      <c r="G219" s="189">
        <v>1.7142568800000001E-3</v>
      </c>
      <c r="H219" s="232">
        <v>0.24</v>
      </c>
      <c r="I219" s="274" t="str">
        <f t="shared" si="7"/>
        <v>(60, 70]</v>
      </c>
      <c r="J219" s="160">
        <v>1</v>
      </c>
      <c r="K219" s="234">
        <v>10.740324706207236</v>
      </c>
      <c r="L219" s="188">
        <v>7.0007584500000011E-2</v>
      </c>
      <c r="M219" s="233">
        <v>70007584</v>
      </c>
      <c r="N219" s="195">
        <v>7.0007584070007581E-2</v>
      </c>
      <c r="O219" s="211">
        <v>1.8411675407963686E-2</v>
      </c>
      <c r="Q219" s="1">
        <v>4.2150854631160924E-2</v>
      </c>
      <c r="R219" s="1">
        <v>6.4666402735664636</v>
      </c>
    </row>
    <row r="220" spans="1:24" ht="15.6">
      <c r="A220" s="257">
        <v>70</v>
      </c>
      <c r="B220" s="258">
        <v>80</v>
      </c>
      <c r="C220" s="160">
        <v>81938</v>
      </c>
      <c r="D220" s="30">
        <v>6242416.2000000002</v>
      </c>
      <c r="E220" s="187">
        <f t="shared" si="6"/>
        <v>0.30473851936830287</v>
      </c>
      <c r="F220" s="188">
        <v>8.1937999999999993E-3</v>
      </c>
      <c r="G220" s="189">
        <v>2.49696648E-3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7.3742016524689404</v>
      </c>
      <c r="L220" s="188">
        <v>6.0422733499999999E-2</v>
      </c>
      <c r="M220" s="233">
        <v>60422733</v>
      </c>
      <c r="N220" s="195">
        <v>6.0422733060422736E-2</v>
      </c>
      <c r="O220" s="211">
        <v>1.8413134209019428E-2</v>
      </c>
      <c r="Q220" s="1">
        <v>3.6385840192037056E-2</v>
      </c>
      <c r="R220" s="1">
        <v>4.4406551529250233</v>
      </c>
    </row>
    <row r="221" spans="1:24" thickBot="1">
      <c r="A221" s="257">
        <v>80</v>
      </c>
      <c r="B221" s="258">
        <v>90</v>
      </c>
      <c r="C221" s="160">
        <v>66094</v>
      </c>
      <c r="D221" s="30">
        <v>5690539.3999999994</v>
      </c>
      <c r="E221" s="187">
        <f t="shared" si="6"/>
        <v>0.3443906799406905</v>
      </c>
      <c r="F221" s="188">
        <v>6.6093999999999997E-3</v>
      </c>
      <c r="G221" s="189">
        <v>2.2762157599999998E-3</v>
      </c>
      <c r="H221" s="232">
        <v>0.32</v>
      </c>
      <c r="I221" s="274" t="str">
        <f t="shared" si="7"/>
        <v>(80, 90]</v>
      </c>
      <c r="J221" s="160">
        <v>1</v>
      </c>
      <c r="K221" s="276">
        <v>11.087054573788846</v>
      </c>
      <c r="L221" s="188">
        <v>7.3278778499999989E-2</v>
      </c>
      <c r="M221" s="233">
        <v>73278778</v>
      </c>
      <c r="N221" s="195">
        <v>7.3278778073278775E-2</v>
      </c>
      <c r="O221" s="211">
        <v>2.523652820587944E-2</v>
      </c>
      <c r="Q221" s="1">
        <v>4.4133565457011449E-2</v>
      </c>
      <c r="R221" s="1">
        <v>6.6773936298319745</v>
      </c>
    </row>
    <row r="222" spans="1:24" ht="16.8" thickBot="1">
      <c r="A222" s="257">
        <v>90</v>
      </c>
      <c r="B222" s="258">
        <v>100</v>
      </c>
      <c r="C222" s="160">
        <v>72843</v>
      </c>
      <c r="D222" s="30">
        <v>7010085.4000000041</v>
      </c>
      <c r="E222" s="187">
        <f t="shared" si="6"/>
        <v>0.38494215779141466</v>
      </c>
      <c r="F222" s="188">
        <v>7.2842999999999996E-3</v>
      </c>
      <c r="G222" s="189">
        <v>2.8040341600000015E-3</v>
      </c>
      <c r="H222" s="232">
        <v>0.36</v>
      </c>
      <c r="I222" s="274" t="str">
        <f t="shared" si="7"/>
        <v>(90, 100]</v>
      </c>
      <c r="J222" s="160">
        <v>1</v>
      </c>
      <c r="K222" s="276">
        <v>18.582806240819295</v>
      </c>
      <c r="L222" s="188">
        <v>0.13536273549999997</v>
      </c>
      <c r="M222" s="233">
        <v>135362735</v>
      </c>
      <c r="N222" s="195">
        <v>0.13536273513536273</v>
      </c>
      <c r="O222" s="211">
        <v>5.2106823347554274E-2</v>
      </c>
      <c r="Q222" s="1">
        <v>8.1534868779438843E-2</v>
      </c>
      <c r="R222" s="1">
        <v>11.193233224803873</v>
      </c>
      <c r="U222" s="301" t="s">
        <v>290</v>
      </c>
      <c r="V222" s="184" t="s">
        <v>291</v>
      </c>
      <c r="W222" s="299" t="s">
        <v>256</v>
      </c>
      <c r="X222" s="300" t="s">
        <v>292</v>
      </c>
    </row>
    <row r="223" spans="1:24" ht="15.6">
      <c r="A223" s="257">
        <v>100</v>
      </c>
      <c r="B223" s="258">
        <v>120</v>
      </c>
      <c r="C223" s="160">
        <v>134597</v>
      </c>
      <c r="D223" s="30">
        <v>14998327.800000006</v>
      </c>
      <c r="E223" s="187">
        <f t="shared" si="6"/>
        <v>0.44572547085001912</v>
      </c>
      <c r="F223" s="188">
        <v>1.34597E-2</v>
      </c>
      <c r="G223" s="189">
        <v>5.9993311200000022E-3</v>
      </c>
      <c r="H223" s="232">
        <v>0.4</v>
      </c>
      <c r="I223" s="274" t="str">
        <f t="shared" si="7"/>
        <v>(100, 120]</v>
      </c>
      <c r="J223" s="160">
        <v>1</v>
      </c>
      <c r="K223" s="276">
        <v>11.11315322778368</v>
      </c>
      <c r="L223" s="188">
        <v>0.14957970849999999</v>
      </c>
      <c r="M223" s="233">
        <v>149579708</v>
      </c>
      <c r="N223" s="195">
        <v>0.14957970814957972</v>
      </c>
      <c r="O223" s="211">
        <v>6.6671485844579867E-2</v>
      </c>
      <c r="Q223" s="1">
        <v>9.0112979805137619E-2</v>
      </c>
      <c r="R223" s="1">
        <v>6.6950214198784241</v>
      </c>
      <c r="U223" s="128" t="s">
        <v>271</v>
      </c>
      <c r="V223" s="185">
        <f>SUM(N199:N228)</f>
        <v>0.75571161175571167</v>
      </c>
      <c r="W223" s="296" cm="1">
        <f t="array" ref="W223:W228">1/V223:V228</f>
        <v>1.3232560998722036</v>
      </c>
      <c r="X223" s="302"/>
    </row>
    <row r="224" spans="1:24" ht="15.6">
      <c r="A224" s="257">
        <v>120</v>
      </c>
      <c r="B224" s="258">
        <v>140</v>
      </c>
      <c r="C224" s="160">
        <v>123772</v>
      </c>
      <c r="D224" s="30">
        <v>16214708.000000002</v>
      </c>
      <c r="E224" s="187">
        <f t="shared" si="6"/>
        <v>0.52401861487250756</v>
      </c>
      <c r="F224" s="188">
        <v>1.23772E-2</v>
      </c>
      <c r="G224" s="189">
        <v>6.4858832000000005E-3</v>
      </c>
      <c r="H224" s="232">
        <v>0.48</v>
      </c>
      <c r="I224" s="274" t="str">
        <f t="shared" si="7"/>
        <v>(120, 140]</v>
      </c>
      <c r="J224" s="160">
        <v>1</v>
      </c>
      <c r="K224" s="276">
        <v>6.3652575299744694</v>
      </c>
      <c r="L224" s="188">
        <v>7.87840655E-2</v>
      </c>
      <c r="M224" s="233">
        <v>78784065</v>
      </c>
      <c r="N224" s="195">
        <v>7.8784065078784063E-2</v>
      </c>
      <c r="O224" s="211">
        <v>4.1284316656609921E-2</v>
      </c>
      <c r="Q224" s="1">
        <v>4.747126106777233E-2</v>
      </c>
      <c r="R224" s="272">
        <v>3.8353796551540196</v>
      </c>
      <c r="U224" s="124" t="s">
        <v>275</v>
      </c>
      <c r="V224" s="188">
        <f>SUM(N229:N256)</f>
        <v>0.24428838824428839</v>
      </c>
      <c r="W224" s="297">
        <v>4.0935224436455817</v>
      </c>
      <c r="X224" s="303">
        <v>2500</v>
      </c>
    </row>
    <row r="225" spans="1:24" ht="15.6">
      <c r="A225" s="257">
        <v>140</v>
      </c>
      <c r="B225" s="258">
        <v>160</v>
      </c>
      <c r="C225" s="160">
        <v>127265</v>
      </c>
      <c r="D225" s="30">
        <v>19236532.199999999</v>
      </c>
      <c r="E225" s="187">
        <f t="shared" si="6"/>
        <v>0.60461343495855102</v>
      </c>
      <c r="F225" s="188">
        <v>1.27265E-2</v>
      </c>
      <c r="G225" s="189">
        <v>7.6946128799999999E-3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2.8229820060503674</v>
      </c>
      <c r="L225" s="188">
        <v>3.5926680500000002E-2</v>
      </c>
      <c r="M225" s="233">
        <v>35926680</v>
      </c>
      <c r="N225" s="195">
        <v>3.5926680035926681E-2</v>
      </c>
      <c r="O225" s="211">
        <v>2.172175342317843E-2</v>
      </c>
      <c r="Q225" s="1">
        <v>2.1651011757170088E-2</v>
      </c>
      <c r="R225" s="272">
        <v>1.7012542142120841</v>
      </c>
      <c r="U225" s="124" t="s">
        <v>272</v>
      </c>
      <c r="V225" s="188">
        <f>SUM(N234:N256)</f>
        <v>0.12448035512448034</v>
      </c>
      <c r="W225" s="297">
        <v>8.0333961049516613</v>
      </c>
      <c r="X225" s="303">
        <v>5000</v>
      </c>
    </row>
    <row r="226" spans="1:24" ht="15.6">
      <c r="A226" s="257">
        <v>160</v>
      </c>
      <c r="B226" s="258">
        <v>180</v>
      </c>
      <c r="C226" s="160">
        <v>119972</v>
      </c>
      <c r="D226" s="30">
        <v>20524018.999999974</v>
      </c>
      <c r="E226" s="187">
        <f t="shared" si="6"/>
        <v>0.68429363518154152</v>
      </c>
      <c r="F226" s="188">
        <v>1.19972E-2</v>
      </c>
      <c r="G226" s="189">
        <v>8.2096075999999896E-3</v>
      </c>
      <c r="H226" s="232">
        <v>0.64</v>
      </c>
      <c r="I226" s="124" t="str">
        <f t="shared" si="7"/>
        <v>(160, 180]</v>
      </c>
      <c r="J226" s="160">
        <v>1</v>
      </c>
      <c r="K226" s="276">
        <v>1.7073082469242824</v>
      </c>
      <c r="L226" s="188">
        <v>2.0482918499999999E-2</v>
      </c>
      <c r="M226" s="233">
        <v>20482918</v>
      </c>
      <c r="N226" s="195">
        <v>2.0482918020482917E-2</v>
      </c>
      <c r="O226" s="211">
        <v>1.4016330431361759E-2</v>
      </c>
      <c r="Q226" s="1">
        <v>1.2345605360363113E-2</v>
      </c>
      <c r="R226" s="272">
        <v>1.0290405561600302</v>
      </c>
      <c r="U226" s="124" t="s">
        <v>287</v>
      </c>
      <c r="V226" s="188">
        <f>SUM(N245:N256)</f>
        <v>5.3774730053774726E-3</v>
      </c>
      <c r="W226" s="297">
        <v>185.96095210519886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119868</v>
      </c>
      <c r="D227" s="30">
        <v>22945322.199999999</v>
      </c>
      <c r="E227" s="187">
        <f t="shared" si="6"/>
        <v>0.76568632829445715</v>
      </c>
      <c r="F227" s="188">
        <v>1.1986800000000001E-2</v>
      </c>
      <c r="G227" s="189">
        <v>9.1781288799999989E-3</v>
      </c>
      <c r="H227" s="232">
        <v>0.72</v>
      </c>
      <c r="I227" s="124" t="str">
        <f t="shared" si="7"/>
        <v>(180, 200]</v>
      </c>
      <c r="J227" s="160">
        <v>1</v>
      </c>
      <c r="K227" s="276">
        <v>2.5063197433843896</v>
      </c>
      <c r="L227" s="188">
        <v>3.0042753500000002E-2</v>
      </c>
      <c r="M227" s="233">
        <v>30042753</v>
      </c>
      <c r="N227" s="195">
        <v>3.0042753030042751E-2</v>
      </c>
      <c r="O227" s="211">
        <v>2.300332525943061E-2</v>
      </c>
      <c r="Q227" s="1">
        <v>1.8109825476012021E-2</v>
      </c>
      <c r="R227" s="272">
        <v>1.5108140184212651</v>
      </c>
      <c r="U227" s="124" t="s">
        <v>288</v>
      </c>
      <c r="V227" s="188">
        <f>SUM(N246:N256)</f>
        <v>3.7854110037854119E-3</v>
      </c>
      <c r="W227" s="297">
        <v>264.17210680689618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275910</v>
      </c>
      <c r="D228" s="30">
        <v>62280397.199999966</v>
      </c>
      <c r="E228" s="187">
        <f t="shared" si="6"/>
        <v>0.90290887898227634</v>
      </c>
      <c r="F228" s="188">
        <v>2.7591000000000001E-2</v>
      </c>
      <c r="G228" s="189">
        <v>2.4912158879999986E-2</v>
      </c>
      <c r="H228" s="232">
        <v>0.8</v>
      </c>
      <c r="I228" s="124" t="str">
        <f t="shared" si="7"/>
        <v>(200, 250]</v>
      </c>
      <c r="J228" s="160">
        <v>1</v>
      </c>
      <c r="K228" s="276">
        <v>0.4613540466094016</v>
      </c>
      <c r="L228" s="188">
        <v>1.27292195E-2</v>
      </c>
      <c r="M228" s="233">
        <v>12729219</v>
      </c>
      <c r="N228" s="195">
        <v>1.2729219012729219E-2</v>
      </c>
      <c r="O228" s="211">
        <v>1.1493324869103217E-2</v>
      </c>
      <c r="Q228" s="1">
        <v>7.674595432961279E-3</v>
      </c>
      <c r="R228" s="272">
        <v>0.27815575488243555</v>
      </c>
      <c r="U228" s="125" t="s">
        <v>273</v>
      </c>
      <c r="V228" s="191">
        <f>SUM(N253)</f>
        <v>1.99202000199202E-4</v>
      </c>
      <c r="W228" s="298">
        <v>5020.0299143582897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262832</v>
      </c>
      <c r="D229" s="30">
        <v>72457384.399999946</v>
      </c>
      <c r="E229" s="187">
        <f t="shared" si="6"/>
        <v>1.1027178486637845</v>
      </c>
      <c r="F229" s="188">
        <v>2.62832E-2</v>
      </c>
      <c r="G229" s="189">
        <v>2.8982953759999982E-2</v>
      </c>
      <c r="H229" s="232">
        <v>1</v>
      </c>
      <c r="I229" s="275" t="str">
        <f t="shared" si="7"/>
        <v>(250, 300]</v>
      </c>
      <c r="J229" s="160">
        <v>1</v>
      </c>
      <c r="K229" s="276">
        <v>2.808756601174895</v>
      </c>
      <c r="L229" s="188">
        <v>7.3823111499999997E-2</v>
      </c>
      <c r="M229" s="233">
        <v>73823111</v>
      </c>
      <c r="N229" s="195">
        <v>7.3823111073823111E-2</v>
      </c>
      <c r="O229" s="211">
        <v>8.140606222499383E-2</v>
      </c>
      <c r="P229" s="1" cm="1">
        <f t="array" ref="P229:P256">2*K229:K256</f>
        <v>5.61751320234979</v>
      </c>
      <c r="Q229" s="1">
        <v>1.1129664251999793E-2</v>
      </c>
      <c r="R229" s="272">
        <v>0.42345164409203573</v>
      </c>
    </row>
    <row r="230" spans="1:24" ht="15.6">
      <c r="A230" s="257">
        <v>300</v>
      </c>
      <c r="B230" s="258">
        <v>350</v>
      </c>
      <c r="C230" s="160">
        <v>242963</v>
      </c>
      <c r="D230" s="30">
        <v>79072843.800000057</v>
      </c>
      <c r="E230" s="187">
        <f t="shared" si="6"/>
        <v>1.301808815334023</v>
      </c>
      <c r="F230" s="188">
        <v>2.42963E-2</v>
      </c>
      <c r="G230" s="189">
        <v>3.1629137520000024E-2</v>
      </c>
      <c r="H230" s="232">
        <v>1.2</v>
      </c>
      <c r="I230" s="124" t="str">
        <f t="shared" si="7"/>
        <v>(300, 350]</v>
      </c>
      <c r="J230" s="160">
        <v>1</v>
      </c>
      <c r="K230" s="276">
        <v>0.45649627721093333</v>
      </c>
      <c r="L230" s="188">
        <v>1.1091170499999999E-2</v>
      </c>
      <c r="M230" s="233">
        <v>11091170</v>
      </c>
      <c r="N230" s="195">
        <v>1.1091170011091171E-2</v>
      </c>
      <c r="O230" s="211">
        <v>1.4438582892806839E-2</v>
      </c>
      <c r="P230" s="1">
        <v>0.91299255442186666</v>
      </c>
      <c r="Q230" s="1">
        <v>1.6724255706989108E-3</v>
      </c>
      <c r="R230" s="272">
        <v>6.8834578544836489E-2</v>
      </c>
    </row>
    <row r="231" spans="1:24" ht="15.6">
      <c r="A231" s="257">
        <v>350</v>
      </c>
      <c r="B231" s="258">
        <v>400</v>
      </c>
      <c r="C231" s="160">
        <v>233827</v>
      </c>
      <c r="D231" s="30">
        <v>87867479.600000083</v>
      </c>
      <c r="E231" s="187">
        <f t="shared" si="6"/>
        <v>1.5031194789310058</v>
      </c>
      <c r="F231" s="188">
        <v>2.3382699999999999E-2</v>
      </c>
      <c r="G231" s="189">
        <v>3.514699184000003E-2</v>
      </c>
      <c r="H231" s="232">
        <v>1.4</v>
      </c>
      <c r="I231" s="124" t="str">
        <f t="shared" si="7"/>
        <v>(350, 400]</v>
      </c>
      <c r="J231" s="160">
        <v>1</v>
      </c>
      <c r="K231" s="276">
        <v>0.54316501088411517</v>
      </c>
      <c r="L231" s="188">
        <v>1.27006645E-2</v>
      </c>
      <c r="M231" s="233">
        <v>12700664</v>
      </c>
      <c r="N231" s="195">
        <v>1.2700664012700664E-2</v>
      </c>
      <c r="O231" s="211">
        <v>1.9090615472848401E-2</v>
      </c>
      <c r="P231" s="1">
        <v>1.0863300217682303</v>
      </c>
      <c r="Q231" s="1">
        <v>1.915424125577387E-3</v>
      </c>
      <c r="R231" s="272">
        <v>8.1916293908632754E-2</v>
      </c>
    </row>
    <row r="232" spans="1:24" ht="15.6">
      <c r="A232" s="257">
        <v>400</v>
      </c>
      <c r="B232" s="258">
        <v>450</v>
      </c>
      <c r="C232" s="160">
        <v>217556</v>
      </c>
      <c r="D232" s="30">
        <v>92587263.800000072</v>
      </c>
      <c r="E232" s="187">
        <f t="shared" si="6"/>
        <v>1.7023159793340579</v>
      </c>
      <c r="F232" s="188">
        <v>2.17556E-2</v>
      </c>
      <c r="G232" s="189">
        <v>3.7034905520000029E-2</v>
      </c>
      <c r="H232" s="232">
        <v>1.6</v>
      </c>
      <c r="I232" s="124" t="str">
        <f t="shared" si="7"/>
        <v>(400, 450]</v>
      </c>
      <c r="J232" s="160">
        <v>1</v>
      </c>
      <c r="K232" s="276">
        <v>0.45463519737446911</v>
      </c>
      <c r="L232" s="188">
        <v>9.8908615000000005E-3</v>
      </c>
      <c r="M232" s="233">
        <v>9890861</v>
      </c>
      <c r="N232" s="195">
        <v>9.8908610098908615E-3</v>
      </c>
      <c r="O232" s="211">
        <v>1.6837370746509411E-2</v>
      </c>
      <c r="P232" s="1">
        <v>0.90927039474893823</v>
      </c>
      <c r="Q232" s="1">
        <v>1.4918749622586027E-3</v>
      </c>
      <c r="R232" s="272">
        <v>6.8574296376960539E-2</v>
      </c>
    </row>
    <row r="233" spans="1:24" ht="15.6">
      <c r="A233" s="257">
        <v>450</v>
      </c>
      <c r="B233" s="258">
        <v>500</v>
      </c>
      <c r="C233" s="160">
        <v>209551</v>
      </c>
      <c r="D233" s="30">
        <v>99689868.400000095</v>
      </c>
      <c r="E233" s="187">
        <f t="shared" si="6"/>
        <v>1.9029232673668959</v>
      </c>
      <c r="F233" s="188">
        <v>2.0955100000000001E-2</v>
      </c>
      <c r="G233" s="189">
        <v>3.9875947360000039E-2</v>
      </c>
      <c r="H233" s="232">
        <v>1.8</v>
      </c>
      <c r="I233" s="124" t="str">
        <f t="shared" si="7"/>
        <v>(450, 500]</v>
      </c>
      <c r="J233" s="160">
        <v>1</v>
      </c>
      <c r="K233" s="276">
        <v>0.58707558064623888</v>
      </c>
      <c r="L233" s="188">
        <v>1.23022275E-2</v>
      </c>
      <c r="M233" s="233">
        <v>12302227</v>
      </c>
      <c r="N233" s="195">
        <v>1.2302227012302228E-2</v>
      </c>
      <c r="O233" s="211">
        <v>2.3410194022139442E-2</v>
      </c>
      <c r="P233" s="1">
        <v>1.1741511612924778</v>
      </c>
      <c r="Q233" s="1">
        <v>1.8558185333071217E-3</v>
      </c>
      <c r="R233" s="272">
        <v>8.8561664382757505E-2</v>
      </c>
    </row>
    <row r="234" spans="1:24" ht="15.6">
      <c r="A234" s="257">
        <v>500</v>
      </c>
      <c r="B234" s="258">
        <v>550</v>
      </c>
      <c r="C234" s="160">
        <v>197216</v>
      </c>
      <c r="D234" s="30">
        <v>103621657.40000004</v>
      </c>
      <c r="E234" s="187">
        <f t="shared" si="6"/>
        <v>2.1016886540645796</v>
      </c>
      <c r="F234" s="188">
        <v>1.9721599999999999E-2</v>
      </c>
      <c r="G234" s="189">
        <v>4.1448662960000014E-2</v>
      </c>
      <c r="H234" s="232">
        <v>2</v>
      </c>
      <c r="I234" s="275" t="str">
        <f t="shared" si="7"/>
        <v>(500, 550]</v>
      </c>
      <c r="J234" s="160">
        <v>1</v>
      </c>
      <c r="K234" s="276">
        <v>1.7979262585185787</v>
      </c>
      <c r="L234" s="188">
        <v>3.5457982499999999E-2</v>
      </c>
      <c r="M234" s="233">
        <v>35457982</v>
      </c>
      <c r="N234" s="195">
        <v>3.5457982035457983E-2</v>
      </c>
      <c r="O234" s="211">
        <v>7.4521638539947727E-2</v>
      </c>
      <c r="P234" s="1">
        <v>3.5958525170371574</v>
      </c>
      <c r="Q234" s="1">
        <v>5.3495038293716922E-3</v>
      </c>
      <c r="R234" s="272">
        <v>0.27125100546465258</v>
      </c>
    </row>
    <row r="235" spans="1:24" ht="15.6">
      <c r="A235" s="257">
        <v>550</v>
      </c>
      <c r="B235" s="258">
        <v>600</v>
      </c>
      <c r="C235" s="160">
        <v>192649</v>
      </c>
      <c r="D235" s="30">
        <v>110889204.40000011</v>
      </c>
      <c r="E235" s="187">
        <f t="shared" si="6"/>
        <v>2.3024091357858096</v>
      </c>
      <c r="F235" s="188">
        <v>1.9264900000000001E-2</v>
      </c>
      <c r="G235" s="189">
        <v>4.435568176000005E-2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0.96918611049110037</v>
      </c>
      <c r="L235" s="188">
        <v>1.8671273500000002E-2</v>
      </c>
      <c r="M235" s="233">
        <v>18671273</v>
      </c>
      <c r="N235" s="195">
        <v>1.8671273018671272E-2</v>
      </c>
      <c r="O235" s="211">
        <v>4.2988909574939831E-2</v>
      </c>
      <c r="P235" s="1">
        <v>1.9383722209822007</v>
      </c>
      <c r="Q235" s="1">
        <v>2.8171970608689904E-3</v>
      </c>
      <c r="R235" s="272">
        <v>0.14623470980223049</v>
      </c>
    </row>
    <row r="236" spans="1:24" ht="15.6">
      <c r="A236" s="257">
        <v>600</v>
      </c>
      <c r="B236" s="258">
        <v>650</v>
      </c>
      <c r="C236" s="160">
        <v>179937</v>
      </c>
      <c r="D236" s="30">
        <v>112561413.00000019</v>
      </c>
      <c r="E236" s="187">
        <f t="shared" si="6"/>
        <v>2.5022405175144677</v>
      </c>
      <c r="F236" s="188">
        <v>1.7993700000000001E-2</v>
      </c>
      <c r="G236" s="189">
        <v>4.5024565200000081E-2</v>
      </c>
      <c r="H236" s="232">
        <v>2.4</v>
      </c>
      <c r="I236" s="124" t="str">
        <f t="shared" si="7"/>
        <v>(600, 650]</v>
      </c>
      <c r="J236" s="160">
        <v>1</v>
      </c>
      <c r="K236" s="276">
        <v>0.68539680554860871</v>
      </c>
      <c r="L236" s="188">
        <v>1.2332824500000001E-2</v>
      </c>
      <c r="M236" s="233">
        <v>12332824</v>
      </c>
      <c r="N236" s="195">
        <v>1.2332824012332823E-2</v>
      </c>
      <c r="O236" s="211">
        <v>3.0859691939034539E-2</v>
      </c>
      <c r="P236" s="1">
        <v>1.3707936110972174</v>
      </c>
      <c r="Q236" s="1">
        <v>1.8609975223638686E-3</v>
      </c>
      <c r="R236" s="272">
        <v>0.10342494997492836</v>
      </c>
    </row>
    <row r="237" spans="1:24" ht="15.6">
      <c r="A237" s="257">
        <v>650</v>
      </c>
      <c r="B237" s="258">
        <v>700</v>
      </c>
      <c r="C237" s="160">
        <v>173166</v>
      </c>
      <c r="D237" s="30">
        <v>116958074.6000002</v>
      </c>
      <c r="E237" s="187">
        <f t="shared" si="6"/>
        <v>2.7016406130533754</v>
      </c>
      <c r="F237" s="188">
        <v>1.7316600000000001E-2</v>
      </c>
      <c r="G237" s="189">
        <v>4.6783229840000086E-2</v>
      </c>
      <c r="H237" s="232">
        <v>2.6</v>
      </c>
      <c r="I237" s="124" t="str">
        <f t="shared" si="7"/>
        <v>(650, 700]</v>
      </c>
      <c r="J237" s="160">
        <v>1</v>
      </c>
      <c r="K237" s="276">
        <v>0.33531619948488733</v>
      </c>
      <c r="L237" s="188">
        <v>5.8065365000000008E-3</v>
      </c>
      <c r="M237" s="233">
        <v>5806536</v>
      </c>
      <c r="N237" s="195">
        <v>5.806536005806536E-3</v>
      </c>
      <c r="O237" s="211">
        <v>1.5687173494443669E-2</v>
      </c>
      <c r="P237" s="1">
        <v>0.67063239896977467</v>
      </c>
      <c r="Q237" s="1">
        <v>8.762685323830589E-4</v>
      </c>
      <c r="R237" s="272">
        <v>5.0602804960734715E-2</v>
      </c>
    </row>
    <row r="238" spans="1:24" ht="15.6">
      <c r="A238" s="257">
        <v>700</v>
      </c>
      <c r="B238" s="258">
        <v>750</v>
      </c>
      <c r="C238" s="160">
        <v>164247</v>
      </c>
      <c r="D238" s="30">
        <v>119135155.40000024</v>
      </c>
      <c r="E238" s="187">
        <f t="shared" si="6"/>
        <v>2.9013657576698568</v>
      </c>
      <c r="F238" s="188">
        <v>1.64247E-2</v>
      </c>
      <c r="G238" s="189">
        <v>4.76540621600001E-2</v>
      </c>
      <c r="H238" s="232">
        <v>2.8</v>
      </c>
      <c r="I238" s="124" t="str">
        <f t="shared" si="7"/>
        <v>(700, 750]</v>
      </c>
      <c r="J238" s="160">
        <v>1</v>
      </c>
      <c r="K238" s="276">
        <v>0.29898893130468135</v>
      </c>
      <c r="L238" s="188">
        <v>4.9108034999999998E-3</v>
      </c>
      <c r="M238" s="233">
        <v>4910803</v>
      </c>
      <c r="N238" s="195">
        <v>4.9108030049108027E-3</v>
      </c>
      <c r="O238" s="211">
        <v>1.4248035681110442E-2</v>
      </c>
      <c r="P238" s="1">
        <v>0.5979778626093627</v>
      </c>
      <c r="Q238" s="1">
        <v>7.4115146154725073E-4</v>
      </c>
      <c r="R238" s="272">
        <v>4.5124200840639443E-2</v>
      </c>
    </row>
    <row r="239" spans="1:24" ht="15.6">
      <c r="A239" s="257">
        <v>750</v>
      </c>
      <c r="B239" s="258">
        <v>800</v>
      </c>
      <c r="C239" s="160">
        <v>161497</v>
      </c>
      <c r="D239" s="30">
        <v>125292447.00000019</v>
      </c>
      <c r="E239" s="187">
        <f t="shared" si="6"/>
        <v>3.1032761475445412</v>
      </c>
      <c r="F239" s="188">
        <v>1.6149699999999999E-2</v>
      </c>
      <c r="G239" s="189">
        <v>5.0116978800000073E-2</v>
      </c>
      <c r="H239" s="232">
        <v>3</v>
      </c>
      <c r="I239" s="124" t="str">
        <f t="shared" si="7"/>
        <v>(750, 800]</v>
      </c>
      <c r="J239" s="160">
        <v>1</v>
      </c>
      <c r="K239" s="276">
        <v>0.50009371691115001</v>
      </c>
      <c r="L239" s="188">
        <v>8.0763634999999993E-3</v>
      </c>
      <c r="M239" s="233">
        <v>8076363</v>
      </c>
      <c r="N239" s="195">
        <v>8.0763630080763638E-3</v>
      </c>
      <c r="O239" s="211">
        <v>2.5063184681874462E-2</v>
      </c>
      <c r="P239" s="1">
        <v>1.0001874338223</v>
      </c>
      <c r="Q239" s="1">
        <v>1.2189966059970045E-3</v>
      </c>
      <c r="R239" s="272">
        <v>7.5481068131111079E-2</v>
      </c>
    </row>
    <row r="240" spans="1:24" ht="15.6">
      <c r="A240" s="257">
        <v>800</v>
      </c>
      <c r="B240" s="258">
        <v>850</v>
      </c>
      <c r="C240" s="160">
        <v>152160</v>
      </c>
      <c r="D240" s="30">
        <v>125602581.80000021</v>
      </c>
      <c r="E240" s="187">
        <f t="shared" si="6"/>
        <v>3.3018554626708783</v>
      </c>
      <c r="F240" s="188">
        <v>1.5216E-2</v>
      </c>
      <c r="G240" s="189">
        <v>5.0241032720000085E-2</v>
      </c>
      <c r="H240" s="232">
        <v>3.2</v>
      </c>
      <c r="I240" s="124" t="str">
        <f t="shared" si="7"/>
        <v>(800, 850]</v>
      </c>
      <c r="J240" s="160">
        <v>1</v>
      </c>
      <c r="K240" s="276">
        <v>0.29776284831756045</v>
      </c>
      <c r="L240" s="188">
        <v>4.5307595000000003E-3</v>
      </c>
      <c r="M240" s="233">
        <v>4530759</v>
      </c>
      <c r="N240" s="195">
        <v>4.5307590045307591E-3</v>
      </c>
      <c r="O240" s="211">
        <v>1.4959911369155157E-2</v>
      </c>
      <c r="P240" s="1">
        <v>0.59552569663512089</v>
      </c>
      <c r="Q240" s="1">
        <v>6.8389177127303735E-4</v>
      </c>
      <c r="R240" s="272">
        <v>4.4945568564211183E-2</v>
      </c>
    </row>
    <row r="241" spans="1:19" ht="15.6">
      <c r="A241" s="257">
        <v>850</v>
      </c>
      <c r="B241" s="258">
        <v>900</v>
      </c>
      <c r="C241" s="160">
        <v>147143</v>
      </c>
      <c r="D241" s="30">
        <v>128816106.20000017</v>
      </c>
      <c r="E241" s="187">
        <f t="shared" si="6"/>
        <v>3.5017936619479055</v>
      </c>
      <c r="F241" s="188">
        <v>1.47143E-2</v>
      </c>
      <c r="G241" s="189">
        <v>5.1526442480000066E-2</v>
      </c>
      <c r="H241" s="232">
        <v>3.4</v>
      </c>
      <c r="I241" s="124" t="str">
        <f t="shared" si="7"/>
        <v>(850, 900]</v>
      </c>
      <c r="J241" s="160">
        <v>1</v>
      </c>
      <c r="K241" s="276">
        <v>0.29926367547215976</v>
      </c>
      <c r="L241" s="188">
        <v>4.4034555000000003E-3</v>
      </c>
      <c r="M241" s="233">
        <v>4403455</v>
      </c>
      <c r="N241" s="195">
        <v>4.4034550044034547E-3</v>
      </c>
      <c r="O241" s="211">
        <v>1.5419990825092805E-2</v>
      </c>
      <c r="P241" s="1">
        <v>0.59852735094431953</v>
      </c>
      <c r="Q241" s="1">
        <v>6.6471945033239174E-4</v>
      </c>
      <c r="R241" s="272">
        <v>4.5175064415731075E-2</v>
      </c>
    </row>
    <row r="242" spans="1:19" ht="15.6">
      <c r="A242" s="257">
        <v>900</v>
      </c>
      <c r="B242" s="258">
        <v>950</v>
      </c>
      <c r="C242" s="160">
        <v>140340</v>
      </c>
      <c r="D242" s="30">
        <v>129865318.00000021</v>
      </c>
      <c r="E242" s="187">
        <f t="shared" si="6"/>
        <v>3.7014484252529627</v>
      </c>
      <c r="F242" s="188">
        <v>1.4034E-2</v>
      </c>
      <c r="G242" s="189">
        <v>5.1946127200000074E-2</v>
      </c>
      <c r="H242" s="232">
        <v>3.6</v>
      </c>
      <c r="I242" s="124" t="str">
        <f t="shared" si="7"/>
        <v>(900, 950]</v>
      </c>
      <c r="J242" s="160">
        <v>1</v>
      </c>
      <c r="K242" s="276">
        <v>0.24110121846943139</v>
      </c>
      <c r="L242" s="188">
        <v>3.3836144999999998E-3</v>
      </c>
      <c r="M242" s="233">
        <v>3383614</v>
      </c>
      <c r="N242" s="195">
        <v>3.3836140033836142E-3</v>
      </c>
      <c r="O242" s="211">
        <v>1.2524272724488151E-2</v>
      </c>
      <c r="P242" s="1">
        <v>0.48220243693886278</v>
      </c>
      <c r="Q242" s="1">
        <v>5.1080162542589203E-4</v>
      </c>
      <c r="R242" s="272">
        <v>3.6397436612932307E-2</v>
      </c>
    </row>
    <row r="243" spans="1:19" ht="15.6">
      <c r="A243" s="257">
        <v>950</v>
      </c>
      <c r="B243" s="258">
        <v>1000</v>
      </c>
      <c r="C243" s="160">
        <v>137664</v>
      </c>
      <c r="D243" s="30">
        <v>134327075.40000013</v>
      </c>
      <c r="E243" s="187">
        <f t="shared" si="6"/>
        <v>3.9030414748954008</v>
      </c>
      <c r="F243" s="188">
        <v>1.37664E-2</v>
      </c>
      <c r="G243" s="189">
        <v>5.3730830160000041E-2</v>
      </c>
      <c r="H243" s="232">
        <v>3.8</v>
      </c>
      <c r="I243" s="124" t="str">
        <f t="shared" si="7"/>
        <v>(950, 1000]</v>
      </c>
      <c r="J243" s="160">
        <v>1</v>
      </c>
      <c r="K243" s="276">
        <v>0.44867412685960018</v>
      </c>
      <c r="L243" s="188">
        <v>6.1766274999999994E-3</v>
      </c>
      <c r="M243" s="233">
        <v>6176627</v>
      </c>
      <c r="N243" s="195">
        <v>6.1766270061766274E-3</v>
      </c>
      <c r="O243" s="211">
        <v>2.4107631380066389E-2</v>
      </c>
      <c r="P243" s="1">
        <v>0.89734825371920035</v>
      </c>
      <c r="Q243" s="1">
        <v>9.3249869117555866E-4</v>
      </c>
      <c r="R243" s="272">
        <v>6.7737294512404012E-2</v>
      </c>
    </row>
    <row r="244" spans="1:19" ht="15.6">
      <c r="A244" s="257">
        <v>1000</v>
      </c>
      <c r="B244" s="258">
        <v>2000</v>
      </c>
      <c r="C244" s="160">
        <v>1940430</v>
      </c>
      <c r="D244" s="30">
        <v>2804812501.2000656</v>
      </c>
      <c r="E244" s="187">
        <f t="shared" si="6"/>
        <v>5.7818370179806857</v>
      </c>
      <c r="F244" s="188">
        <v>0.19404299999999999</v>
      </c>
      <c r="G244" s="189">
        <v>1.1219250004800261</v>
      </c>
      <c r="H244" s="232">
        <v>4</v>
      </c>
      <c r="I244" s="275" t="str">
        <f t="shared" si="7"/>
        <v>(1000, 2000]</v>
      </c>
      <c r="J244" s="160">
        <v>1</v>
      </c>
      <c r="K244" s="276">
        <v>7.9119816226300363E-2</v>
      </c>
      <c r="L244" s="188">
        <v>1.5352646500000001E-2</v>
      </c>
      <c r="M244" s="233">
        <v>15352646</v>
      </c>
      <c r="N244" s="195">
        <v>1.5352646015352646E-2</v>
      </c>
      <c r="O244" s="211">
        <v>8.8766497055519603E-2</v>
      </c>
      <c r="P244" s="1">
        <v>0.15823963245260073</v>
      </c>
      <c r="Q244" s="1">
        <v>2.3188292455711568E-3</v>
      </c>
      <c r="R244" s="272">
        <v>1.1950079341028312E-2</v>
      </c>
    </row>
    <row r="245" spans="1:19" ht="15.6">
      <c r="A245" s="257">
        <v>2000</v>
      </c>
      <c r="B245" s="258">
        <v>3000</v>
      </c>
      <c r="C245" s="160">
        <v>1053400</v>
      </c>
      <c r="D245" s="30">
        <v>2585071684.600028</v>
      </c>
      <c r="E245" s="187">
        <f t="shared" si="6"/>
        <v>9.816106643630258</v>
      </c>
      <c r="F245" s="188">
        <v>0.10534</v>
      </c>
      <c r="G245" s="189">
        <v>1.0340286738400115</v>
      </c>
      <c r="H245" s="232">
        <v>8</v>
      </c>
      <c r="I245" s="124" t="str">
        <f t="shared" si="7"/>
        <v>(2000, 3000]</v>
      </c>
      <c r="J245" s="160">
        <v>1</v>
      </c>
      <c r="K245" s="276">
        <v>1.5113560850579077E-2</v>
      </c>
      <c r="L245" s="188">
        <v>1.5920625000000002E-3</v>
      </c>
      <c r="M245" s="233">
        <v>1592062</v>
      </c>
      <c r="N245" s="195">
        <v>1.592062001592062E-3</v>
      </c>
      <c r="O245" s="211">
        <v>1.5627850390899124E-2</v>
      </c>
      <c r="P245" s="1">
        <v>3.0227121701158155E-2</v>
      </c>
      <c r="Q245" s="1">
        <v>2.4060234572901006E-4</v>
      </c>
      <c r="R245" s="272">
        <v>2.2840549243308339E-3</v>
      </c>
    </row>
    <row r="246" spans="1:19" ht="15.6">
      <c r="A246" s="257">
        <v>3000</v>
      </c>
      <c r="B246" s="258">
        <v>4000</v>
      </c>
      <c r="C246" s="160">
        <v>625988</v>
      </c>
      <c r="D246" s="30">
        <v>2166424531.8000135</v>
      </c>
      <c r="E246" s="187">
        <f t="shared" si="6"/>
        <v>13.843233619813885</v>
      </c>
      <c r="F246" s="188">
        <v>6.2598799999999996E-2</v>
      </c>
      <c r="G246" s="189">
        <v>0.86656981272000544</v>
      </c>
      <c r="H246" s="232">
        <v>12</v>
      </c>
      <c r="I246" s="124" t="str">
        <f t="shared" si="7"/>
        <v>(3000, 4000]</v>
      </c>
      <c r="J246" s="160">
        <v>1</v>
      </c>
      <c r="K246" s="276">
        <v>2.0561552298127124E-2</v>
      </c>
      <c r="L246" s="188">
        <v>1.2871285000000002E-3</v>
      </c>
      <c r="M246" s="233">
        <v>1287128</v>
      </c>
      <c r="N246" s="195">
        <v>1.287128001287128E-3</v>
      </c>
      <c r="O246" s="211">
        <v>1.7818013620421819E-2</v>
      </c>
      <c r="P246" s="1">
        <v>4.1123104596254248E-2</v>
      </c>
      <c r="Q246" s="1">
        <v>1.9459292360516313E-4</v>
      </c>
      <c r="R246" s="272">
        <v>3.1085727458859138E-3</v>
      </c>
    </row>
    <row r="247" spans="1:19" ht="15.6">
      <c r="A247" s="257">
        <v>4000</v>
      </c>
      <c r="B247" s="258">
        <v>5000</v>
      </c>
      <c r="C247" s="160">
        <v>404937</v>
      </c>
      <c r="D247" s="30">
        <v>1809199357.2000031</v>
      </c>
      <c r="E247" s="187">
        <f t="shared" si="6"/>
        <v>17.871415624652755</v>
      </c>
      <c r="F247" s="188">
        <v>4.0493700000000001E-2</v>
      </c>
      <c r="G247" s="189">
        <v>0.72367974288000125</v>
      </c>
      <c r="H247" s="232">
        <v>16</v>
      </c>
      <c r="I247" s="124" t="str">
        <f t="shared" si="7"/>
        <v>(4000, 5000]</v>
      </c>
      <c r="J247" s="160">
        <v>1</v>
      </c>
      <c r="K247" s="276">
        <v>2.526584382261932E-2</v>
      </c>
      <c r="L247" s="188">
        <v>1.0231075E-3</v>
      </c>
      <c r="M247" s="233">
        <v>1023107</v>
      </c>
      <c r="N247" s="195">
        <v>1.023107001023107E-3</v>
      </c>
      <c r="O247" s="211">
        <v>1.8284370443775979E-2</v>
      </c>
      <c r="P247" s="1">
        <v>5.0531687645238639E-2</v>
      </c>
      <c r="Q247" s="1">
        <v>1.5472097419784935E-4</v>
      </c>
      <c r="R247" s="272">
        <v>3.8208653246764152E-3</v>
      </c>
    </row>
    <row r="248" spans="1:19" ht="15.6">
      <c r="A248" s="257">
        <v>5000</v>
      </c>
      <c r="B248" s="258">
        <v>6000</v>
      </c>
      <c r="C248" s="160">
        <v>277449</v>
      </c>
      <c r="D248" s="30">
        <v>1518449596.0000017</v>
      </c>
      <c r="E248" s="187">
        <f t="shared" si="6"/>
        <v>21.891585062479976</v>
      </c>
      <c r="F248" s="188">
        <v>2.7744899999999999E-2</v>
      </c>
      <c r="G248" s="189">
        <v>0.60737983840000065</v>
      </c>
      <c r="H248" s="232">
        <v>20</v>
      </c>
      <c r="I248" s="124" t="str">
        <f t="shared" si="7"/>
        <v>(5000, 6000]</v>
      </c>
      <c r="J248" s="160">
        <v>1</v>
      </c>
      <c r="K248" s="276">
        <v>1.2233365411300816E-2</v>
      </c>
      <c r="L248" s="188">
        <v>3.3941350000000001E-4</v>
      </c>
      <c r="M248" s="233">
        <v>339413</v>
      </c>
      <c r="N248" s="195">
        <v>3.3941300033941301E-4</v>
      </c>
      <c r="O248" s="211">
        <v>7.4302885682418045E-3</v>
      </c>
      <c r="P248" s="1">
        <v>2.4466730822601632E-2</v>
      </c>
      <c r="Q248" s="1">
        <v>5.1339773931655664E-5</v>
      </c>
      <c r="R248" s="272">
        <v>1.8504220210437113E-3</v>
      </c>
    </row>
    <row r="249" spans="1:19" ht="15.6">
      <c r="A249" s="257">
        <v>6000</v>
      </c>
      <c r="B249" s="258">
        <v>7000</v>
      </c>
      <c r="C249" s="160">
        <v>203141</v>
      </c>
      <c r="D249" s="30">
        <v>1315578753.1999996</v>
      </c>
      <c r="E249" s="187">
        <f t="shared" si="6"/>
        <v>25.904741104946805</v>
      </c>
      <c r="F249" s="188">
        <v>2.0314100000000002E-2</v>
      </c>
      <c r="G249" s="189">
        <v>0.52623150127999996</v>
      </c>
      <c r="H249" s="232">
        <v>24</v>
      </c>
      <c r="I249" s="124" t="str">
        <f t="shared" si="7"/>
        <v>(6000, 7000]</v>
      </c>
      <c r="J249" s="160">
        <v>1</v>
      </c>
      <c r="K249" s="276">
        <v>1.5788467123820402E-2</v>
      </c>
      <c r="L249" s="188">
        <v>3.2072850000000006E-4</v>
      </c>
      <c r="M249" s="233">
        <v>320728</v>
      </c>
      <c r="N249" s="195">
        <v>3.2072800032072798E-4</v>
      </c>
      <c r="O249" s="211">
        <v>8.3083758134157547E-3</v>
      </c>
      <c r="P249" s="1">
        <v>3.1576934247640805E-2</v>
      </c>
      <c r="Q249" s="1">
        <v>4.8522573340460124E-5</v>
      </c>
      <c r="R249" s="272">
        <v>2.388615461204785E-3</v>
      </c>
    </row>
    <row r="250" spans="1:19" ht="15.6">
      <c r="A250" s="257">
        <v>7000</v>
      </c>
      <c r="B250" s="258">
        <v>8000</v>
      </c>
      <c r="C250" s="160">
        <v>155065</v>
      </c>
      <c r="D250" s="30">
        <v>1159884546.9999995</v>
      </c>
      <c r="E250" s="187">
        <f t="shared" si="6"/>
        <v>29.919957359816838</v>
      </c>
      <c r="F250" s="188">
        <v>1.5506499999999999E-2</v>
      </c>
      <c r="G250" s="189">
        <v>0.46395381879999981</v>
      </c>
      <c r="H250" s="232">
        <v>28</v>
      </c>
      <c r="I250" s="124" t="str">
        <f t="shared" si="7"/>
        <v>(7000, 8000]</v>
      </c>
      <c r="J250" s="160">
        <v>1</v>
      </c>
      <c r="K250" s="276">
        <v>1.9277303066456003E-2</v>
      </c>
      <c r="L250" s="188">
        <v>2.9892349999999999E-4</v>
      </c>
      <c r="M250" s="233">
        <v>298923</v>
      </c>
      <c r="N250" s="195">
        <v>2.9892300029892298E-4</v>
      </c>
      <c r="O250" s="211">
        <v>8.9437634228122908E-3</v>
      </c>
      <c r="P250" s="1">
        <v>3.8554606132912006E-2</v>
      </c>
      <c r="Q250" s="1">
        <v>4.5230985118384998E-5</v>
      </c>
      <c r="R250" s="272">
        <v>2.9169048539892948E-3</v>
      </c>
    </row>
    <row r="251" spans="1:19" ht="15.6">
      <c r="A251" s="257">
        <v>8000</v>
      </c>
      <c r="B251" s="258">
        <v>9000</v>
      </c>
      <c r="C251" s="160">
        <v>121655</v>
      </c>
      <c r="D251" s="30">
        <v>1031671374.7999995</v>
      </c>
      <c r="E251" s="187">
        <f t="shared" si="6"/>
        <v>33.921215726439506</v>
      </c>
      <c r="F251" s="188">
        <v>1.2165499999999999E-2</v>
      </c>
      <c r="G251" s="189">
        <v>0.41266854991999979</v>
      </c>
      <c r="H251" s="232">
        <v>32</v>
      </c>
      <c r="I251" s="124" t="str">
        <f t="shared" si="7"/>
        <v>(8000, 9000]</v>
      </c>
      <c r="J251" s="160">
        <v>1</v>
      </c>
      <c r="K251" s="276">
        <v>1.9790431959228968E-2</v>
      </c>
      <c r="L251" s="188">
        <v>2.407605E-4</v>
      </c>
      <c r="M251" s="233">
        <v>240760</v>
      </c>
      <c r="N251" s="195">
        <v>2.4076000024076001E-4</v>
      </c>
      <c r="O251" s="211">
        <v>8.1668719064644478E-3</v>
      </c>
      <c r="P251" s="198">
        <v>3.9580863918457936E-2</v>
      </c>
      <c r="Q251" s="198">
        <v>3.6435176505648529E-5</v>
      </c>
      <c r="R251" s="272">
        <v>2.9949592294314688E-3</v>
      </c>
      <c r="S251" s="182"/>
    </row>
    <row r="252" spans="1:19" ht="15.6">
      <c r="A252" s="257">
        <v>9000</v>
      </c>
      <c r="B252" s="258">
        <v>10000</v>
      </c>
      <c r="C252" s="160">
        <v>96949</v>
      </c>
      <c r="D252" s="30">
        <v>919245620.19999957</v>
      </c>
      <c r="E252" s="187">
        <f t="shared" si="6"/>
        <v>37.92697687237618</v>
      </c>
      <c r="F252" s="188">
        <v>9.6948999999999994E-3</v>
      </c>
      <c r="G252" s="189">
        <v>0.36769824807999979</v>
      </c>
      <c r="H252" s="232">
        <v>36</v>
      </c>
      <c r="I252" s="124" t="str">
        <f t="shared" si="7"/>
        <v>(9000, 10000]</v>
      </c>
      <c r="J252" s="160">
        <v>1</v>
      </c>
      <c r="K252" s="276">
        <v>7.8546967993481116E-3</v>
      </c>
      <c r="L252" s="188">
        <v>7.6150500000000002E-5</v>
      </c>
      <c r="M252" s="233">
        <v>76150</v>
      </c>
      <c r="N252" s="195">
        <v>7.6150000076150005E-5</v>
      </c>
      <c r="O252" s="211">
        <v>2.8881392917195856E-3</v>
      </c>
      <c r="P252" s="198">
        <v>1.5709393598696223E-2</v>
      </c>
      <c r="Q252" s="198">
        <v>1.1525633621686288E-5</v>
      </c>
      <c r="R252" s="272">
        <v>1.1888347091446316E-3</v>
      </c>
      <c r="S252" s="182"/>
    </row>
    <row r="253" spans="1:19" ht="15.6">
      <c r="A253" s="257">
        <v>10000</v>
      </c>
      <c r="B253" s="258">
        <v>20000</v>
      </c>
      <c r="C253" s="160">
        <v>368261</v>
      </c>
      <c r="D253" s="30">
        <v>4939360986.7999973</v>
      </c>
      <c r="E253" s="187">
        <f t="shared" si="6"/>
        <v>53.650655234195284</v>
      </c>
      <c r="F253" s="188">
        <v>3.6826100000000001E-2</v>
      </c>
      <c r="G253" s="189">
        <v>1.9757443947199991</v>
      </c>
      <c r="H253" s="232">
        <v>40</v>
      </c>
      <c r="I253" s="275" t="str">
        <f t="shared" si="7"/>
        <v>(10000, 20000]</v>
      </c>
      <c r="J253" s="160">
        <v>1</v>
      </c>
      <c r="K253" s="276">
        <v>5.4092749435862069E-3</v>
      </c>
      <c r="L253" s="188">
        <v>1.9920250000000003E-4</v>
      </c>
      <c r="M253" s="233">
        <v>199202</v>
      </c>
      <c r="N253" s="195">
        <v>1.99202000199202E-4</v>
      </c>
      <c r="O253" s="211">
        <v>1.0687317834649487E-2</v>
      </c>
      <c r="P253" s="198">
        <v>1.0818549887172414E-2</v>
      </c>
      <c r="Q253" s="198">
        <v>3.0161344925913713E-5</v>
      </c>
      <c r="R253" s="272">
        <v>8.1902088263252723E-4</v>
      </c>
      <c r="S253" s="182"/>
    </row>
    <row r="254" spans="1:19" ht="15.6">
      <c r="A254" s="257">
        <v>20000</v>
      </c>
      <c r="B254" s="258">
        <v>30000</v>
      </c>
      <c r="C254" s="160">
        <v>49353</v>
      </c>
      <c r="D254" s="30">
        <v>1157320143.6000001</v>
      </c>
      <c r="E254" s="187">
        <f t="shared" si="6"/>
        <v>93.799375405750411</v>
      </c>
      <c r="F254" s="188">
        <v>4.9353000000000001E-3</v>
      </c>
      <c r="G254" s="189">
        <v>0.46292805743999998</v>
      </c>
      <c r="H254" s="232">
        <v>80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10072</v>
      </c>
      <c r="D255" s="30">
        <v>367803270.39999998</v>
      </c>
      <c r="E255" s="187">
        <f t="shared" si="6"/>
        <v>146.06960698967433</v>
      </c>
      <c r="F255" s="188">
        <v>1.0072E-3</v>
      </c>
      <c r="G255" s="189">
        <v>0.14712130815999999</v>
      </c>
      <c r="H255" s="232">
        <v>120</v>
      </c>
      <c r="I255" s="124" t="str">
        <f t="shared" si="7"/>
        <v>(30000, 100000]</v>
      </c>
      <c r="J255" s="160">
        <v>1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1</v>
      </c>
      <c r="D256" s="167">
        <v>123598</v>
      </c>
      <c r="E256" s="190">
        <f t="shared" si="6"/>
        <v>494.392</v>
      </c>
      <c r="F256" s="191">
        <v>9.9999999999999995E-8</v>
      </c>
      <c r="G256" s="192">
        <v>4.9439199999999999E-5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>
        <f>1/N251</f>
        <v>4153.5138685828206</v>
      </c>
      <c r="O257" s="10">
        <f>SUM(O240:O250)</f>
        <v>0.23219096561388886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48.238989800299741</v>
      </c>
      <c r="O259" s="220" cm="1">
        <f t="array" ref="O259:O260">N261/N259:N260</f>
        <v>290.22166629022172</v>
      </c>
    </row>
    <row r="260" spans="13:15" ht="16.8" thickBot="1">
      <c r="M260" s="124" t="s">
        <v>179</v>
      </c>
      <c r="N260" s="218">
        <f>1/SUM(N257)</f>
        <v>2.4076000024076004E-4</v>
      </c>
      <c r="O260" s="220">
        <v>58149194.160159484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1" zoomScale="70" zoomScaleNormal="70" workbookViewId="0">
      <selection activeCell="L27" sqref="L27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 cm="1">
        <f t="array" ref="H4:H18">18*(K4:K18/SUM(K4:K18))</f>
        <v>2.0136394797498487</v>
      </c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>
        <v>0.83046028676624162</v>
      </c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>
        <v>0.83046028676624162</v>
      </c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>
        <v>0.83046028676624162</v>
      </c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>
        <v>0.83046028676624162</v>
      </c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>
        <v>0.83046028676624162</v>
      </c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>
        <v>0.83046028676624162</v>
      </c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>
        <v>0.83046028676624162</v>
      </c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>
        <v>2.0761507169156039</v>
      </c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>
        <v>1.038075358457802</v>
      </c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>
        <v>1.038075358457802</v>
      </c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>
        <v>2.0761507169156039</v>
      </c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>
        <v>0.83046028676624162</v>
      </c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>
        <v>2.0761507169156039</v>
      </c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>
        <v>1.038075358457802</v>
      </c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 cm="1">
        <f t="array" ref="H69:H126">A69:A126/1.5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>
        <v>0</v>
      </c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>
        <v>0.66666666666666663</v>
      </c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>
        <v>1.3333333333333333</v>
      </c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>
        <v>2</v>
      </c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>
        <v>2.6666666666666665</v>
      </c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>
        <v>3.3333333333333335</v>
      </c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>
        <v>4</v>
      </c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>
        <v>4.666666666666667</v>
      </c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>
        <v>5.333333333333333</v>
      </c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>
        <v>6</v>
      </c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>
        <v>6.666666666666667</v>
      </c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>
        <v>10</v>
      </c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>
        <v>13.333333333333334</v>
      </c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>
        <v>16.666666666666668</v>
      </c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>
        <v>20</v>
      </c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>
        <v>23.333333333333332</v>
      </c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>
        <v>26.666666666666668</v>
      </c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>
        <v>30</v>
      </c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>
        <v>33.333333333333336</v>
      </c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>
        <v>40</v>
      </c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>
        <v>46.666666666666664</v>
      </c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>
        <v>53.333333333333336</v>
      </c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>
        <v>60</v>
      </c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>
        <v>66.666666666666671</v>
      </c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>
        <v>80</v>
      </c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>
        <v>93.333333333333329</v>
      </c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>
        <v>106.66666666666667</v>
      </c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>
        <v>120</v>
      </c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>
        <v>133.33333333333334</v>
      </c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>
        <v>166.66666666666666</v>
      </c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>
        <v>200</v>
      </c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>
        <v>233.33333333333334</v>
      </c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>
        <v>266.66666666666669</v>
      </c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>
        <v>300</v>
      </c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>
        <v>333.33333333333331</v>
      </c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>
        <v>366.66666666666669</v>
      </c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>
        <v>400</v>
      </c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>
        <v>433.33333333333331</v>
      </c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>
        <v>466.66666666666669</v>
      </c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>
        <v>500</v>
      </c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>
        <v>533.33333333333337</v>
      </c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>
        <v>566.66666666666663</v>
      </c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>
        <v>600</v>
      </c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>
        <v>633.33333333333337</v>
      </c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>
        <v>666.66666666666663</v>
      </c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>
        <v>1333.3333333333333</v>
      </c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>
        <v>2000</v>
      </c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>
        <v>2666.6666666666665</v>
      </c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>
        <v>3333.3333333333335</v>
      </c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>
        <v>4000</v>
      </c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>
        <v>4666.666666666667</v>
      </c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>
        <v>5333.333333333333</v>
      </c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>
        <v>6000</v>
      </c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>
        <v>6666.666666666667</v>
      </c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>
        <v>13333.333333333334</v>
      </c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>
        <v>20000</v>
      </c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>
        <v>66666.666666666672</v>
      </c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 cm="1">
        <f t="array" ref="H134:H168">A134:A168/8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>
        <v>0</v>
      </c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>
        <v>0.125</v>
      </c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>
        <v>0.25</v>
      </c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>
        <v>0.375</v>
      </c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>
        <v>0.5</v>
      </c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>
        <v>0.625</v>
      </c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>
        <v>0.75</v>
      </c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>
        <v>0.875</v>
      </c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>
        <v>1</v>
      </c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>
        <v>1.125</v>
      </c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>
        <v>1.25</v>
      </c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>
        <v>1.875</v>
      </c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>
        <v>2.5</v>
      </c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>
        <v>3.125</v>
      </c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>
        <v>3.75</v>
      </c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>
        <v>4.375</v>
      </c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>
        <v>5</v>
      </c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>
        <v>5.625</v>
      </c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>
        <v>6.25</v>
      </c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>
        <v>7.5</v>
      </c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>
        <v>8.75</v>
      </c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>
        <v>10</v>
      </c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>
        <v>11.25</v>
      </c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>
        <v>12.5</v>
      </c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>
        <v>15</v>
      </c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>
        <v>17.5</v>
      </c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>
        <v>20</v>
      </c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>
        <v>22.5</v>
      </c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>
        <v>25</v>
      </c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>
        <v>31.25</v>
      </c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>
        <v>37.5</v>
      </c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>
        <v>43.75</v>
      </c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>
        <v>50</v>
      </c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>
        <v>56.25</v>
      </c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271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275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272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287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288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289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271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275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272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274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273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271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275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272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287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288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289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271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275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272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274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273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19" t="s">
        <v>138</v>
      </c>
      <c r="B1" s="319"/>
      <c r="C1" s="319"/>
      <c r="D1" s="319"/>
      <c r="E1" s="319"/>
      <c r="F1" s="319"/>
      <c r="G1" s="1"/>
      <c r="H1" s="319" t="s">
        <v>139</v>
      </c>
      <c r="I1" s="319"/>
      <c r="J1" s="319"/>
      <c r="K1" s="319"/>
      <c r="L1" s="319"/>
      <c r="M1" s="319"/>
      <c r="N1" s="1"/>
      <c r="O1" s="319" t="s">
        <v>140</v>
      </c>
      <c r="P1" s="319"/>
      <c r="Q1" s="319"/>
      <c r="R1" s="319"/>
      <c r="S1" s="319"/>
      <c r="T1" s="319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</v>
      </c>
      <c r="BL3" s="29">
        <v>5</v>
      </c>
      <c r="BM3" s="29">
        <v>1</v>
      </c>
      <c r="BN3" s="65"/>
      <c r="BO3" s="29">
        <f ca="1">OFFSET(BK$2,COUNTA(BK$3:BK$211),0)</f>
        <v>1</v>
      </c>
      <c r="BP3" s="29">
        <f t="shared" ref="BP3" ca="1" si="11">OFFSET(BL$2,COUNTA(BL$3:BL$211),0)</f>
        <v>5</v>
      </c>
      <c r="BQ3" s="29">
        <f t="shared" ref="BQ3" ca="1" si="12">OFFSET(BM$2,COUNTA(BM$3:BM$211),0)</f>
        <v>1</v>
      </c>
      <c r="BR3" s="65"/>
      <c r="BS3" s="29">
        <f ca="1">OFFSET(BK$2,COUNTA(BK$3:BK$211)-1,0)</f>
        <v>5</v>
      </c>
      <c r="BT3" s="29">
        <f t="shared" ref="BT3" ca="1" si="13">OFFSET(BL$2,COUNTA(BL$3:BL$211)-1,0)</f>
        <v>5</v>
      </c>
      <c r="BU3" s="29">
        <f t="shared" ref="BU3" ca="1" si="14">OFFSET(BM$2,COUNTA(BM$3:BM$211)-1,0)</f>
        <v>1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5</v>
      </c>
      <c r="BL4" s="29">
        <v>5</v>
      </c>
      <c r="BM4" s="29">
        <v>5</v>
      </c>
      <c r="BN4" s="65"/>
      <c r="BO4" s="29">
        <f>IF(BK3="","",BK3)</f>
        <v>1</v>
      </c>
      <c r="BP4" s="29">
        <f t="shared" ref="BP4:BP67" si="37">IF(BL3="","",BL3)</f>
        <v>5</v>
      </c>
      <c r="BQ4" s="29">
        <f t="shared" ref="BQ4:BQ67" si="38">IF(BM3="","",BM3)</f>
        <v>1</v>
      </c>
      <c r="BR4" s="65"/>
      <c r="BS4" s="29">
        <f ca="1">OFFSET(BK$2,COUNTA(BK$3:BK$211),0)</f>
        <v>1</v>
      </c>
      <c r="BT4" s="29">
        <f t="shared" ref="BT4" ca="1" si="39">OFFSET(BL$2,COUNTA(BL$3:BL$211),0)</f>
        <v>5</v>
      </c>
      <c r="BU4" s="29">
        <f t="shared" ref="BU4" ca="1" si="40">OFFSET(BM$2,COUNTA(BM$3:BM$211),0)</f>
        <v>1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5</v>
      </c>
      <c r="BL5" s="29">
        <v>5</v>
      </c>
      <c r="BM5" s="29">
        <v>5</v>
      </c>
      <c r="BN5" s="65"/>
      <c r="BO5" s="29">
        <f t="shared" ref="BO5:BO68" si="51">IF(BK4="","",BK4)</f>
        <v>5</v>
      </c>
      <c r="BP5" s="29">
        <f t="shared" si="37"/>
        <v>5</v>
      </c>
      <c r="BQ5" s="29">
        <f t="shared" si="38"/>
        <v>5</v>
      </c>
      <c r="BR5" s="65"/>
      <c r="BS5" s="29">
        <f>IF(BK3="","",BK3)</f>
        <v>1</v>
      </c>
      <c r="BT5" s="29">
        <f t="shared" ref="BT5:BT68" si="52">IF(BL3="","",BL3)</f>
        <v>5</v>
      </c>
      <c r="BU5" s="29">
        <f t="shared" ref="BU5:BU68" si="53">IF(BM3="","",BM3)</f>
        <v>1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5</v>
      </c>
      <c r="BL6" s="29">
        <v>1</v>
      </c>
      <c r="BM6" s="29">
        <v>5</v>
      </c>
      <c r="BN6" s="65"/>
      <c r="BO6" s="29">
        <f t="shared" si="51"/>
        <v>5</v>
      </c>
      <c r="BP6" s="29">
        <f t="shared" si="37"/>
        <v>5</v>
      </c>
      <c r="BQ6" s="29">
        <f t="shared" si="38"/>
        <v>5</v>
      </c>
      <c r="BR6" s="65"/>
      <c r="BS6" s="29">
        <f t="shared" ref="BS6:BS69" si="59">IF(BK4="","",BK4)</f>
        <v>5</v>
      </c>
      <c r="BT6" s="29">
        <f t="shared" si="52"/>
        <v>5</v>
      </c>
      <c r="BU6" s="29">
        <f t="shared" si="53"/>
        <v>5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5</v>
      </c>
      <c r="BL7" s="29">
        <v>1</v>
      </c>
      <c r="BM7" s="29">
        <v>5</v>
      </c>
      <c r="BN7" s="65"/>
      <c r="BO7" s="29">
        <f t="shared" si="51"/>
        <v>5</v>
      </c>
      <c r="BP7" s="29">
        <f t="shared" si="37"/>
        <v>1</v>
      </c>
      <c r="BQ7" s="29">
        <f t="shared" si="38"/>
        <v>5</v>
      </c>
      <c r="BR7" s="65"/>
      <c r="BS7" s="29">
        <f t="shared" si="59"/>
        <v>5</v>
      </c>
      <c r="BT7" s="29">
        <f t="shared" si="52"/>
        <v>5</v>
      </c>
      <c r="BU7" s="29">
        <f t="shared" si="53"/>
        <v>5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5</v>
      </c>
      <c r="BL8" s="29">
        <v>1</v>
      </c>
      <c r="BM8" s="29">
        <v>5</v>
      </c>
      <c r="BN8" s="65"/>
      <c r="BO8" s="29">
        <f t="shared" si="51"/>
        <v>5</v>
      </c>
      <c r="BP8" s="29">
        <f t="shared" si="37"/>
        <v>1</v>
      </c>
      <c r="BQ8" s="29">
        <f t="shared" si="38"/>
        <v>5</v>
      </c>
      <c r="BR8" s="65"/>
      <c r="BS8" s="29">
        <f t="shared" si="59"/>
        <v>5</v>
      </c>
      <c r="BT8" s="29">
        <f t="shared" si="52"/>
        <v>1</v>
      </c>
      <c r="BU8" s="29">
        <f t="shared" si="53"/>
        <v>5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</v>
      </c>
      <c r="BL9" s="29">
        <v>1</v>
      </c>
      <c r="BM9" s="29">
        <v>1</v>
      </c>
      <c r="BN9" s="65"/>
      <c r="BO9" s="29">
        <f t="shared" si="51"/>
        <v>5</v>
      </c>
      <c r="BP9" s="29">
        <f t="shared" si="37"/>
        <v>1</v>
      </c>
      <c r="BQ9" s="29">
        <f t="shared" si="38"/>
        <v>5</v>
      </c>
      <c r="BR9" s="65"/>
      <c r="BS9" s="29">
        <f t="shared" si="59"/>
        <v>5</v>
      </c>
      <c r="BT9" s="29">
        <f t="shared" si="52"/>
        <v>1</v>
      </c>
      <c r="BU9" s="29">
        <f t="shared" si="53"/>
        <v>5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</v>
      </c>
      <c r="BL10" s="29">
        <v>1</v>
      </c>
      <c r="BM10" s="29">
        <v>1</v>
      </c>
      <c r="BN10" s="65"/>
      <c r="BO10" s="29">
        <f t="shared" si="51"/>
        <v>1</v>
      </c>
      <c r="BP10" s="29">
        <f t="shared" si="37"/>
        <v>1</v>
      </c>
      <c r="BQ10" s="29">
        <f t="shared" si="38"/>
        <v>1</v>
      </c>
      <c r="BR10" s="65"/>
      <c r="BS10" s="29">
        <f t="shared" si="59"/>
        <v>5</v>
      </c>
      <c r="BT10" s="29">
        <f t="shared" si="52"/>
        <v>1</v>
      </c>
      <c r="BU10" s="29">
        <f t="shared" si="53"/>
        <v>5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</v>
      </c>
      <c r="BL11" s="29">
        <v>1</v>
      </c>
      <c r="BM11" s="29">
        <v>1</v>
      </c>
      <c r="BN11" s="65"/>
      <c r="BO11" s="29">
        <f t="shared" si="51"/>
        <v>1</v>
      </c>
      <c r="BP11" s="29">
        <f t="shared" si="37"/>
        <v>1</v>
      </c>
      <c r="BQ11" s="29">
        <f t="shared" si="38"/>
        <v>1</v>
      </c>
      <c r="BR11" s="65"/>
      <c r="BS11" s="29">
        <f t="shared" si="59"/>
        <v>1</v>
      </c>
      <c r="BT11" s="29">
        <f t="shared" si="52"/>
        <v>1</v>
      </c>
      <c r="BU11" s="29">
        <f t="shared" si="53"/>
        <v>1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</v>
      </c>
      <c r="BL12" s="29">
        <v>1</v>
      </c>
      <c r="BM12" s="29">
        <v>1</v>
      </c>
      <c r="BN12" s="65"/>
      <c r="BO12" s="29">
        <f t="shared" si="51"/>
        <v>1</v>
      </c>
      <c r="BP12" s="29">
        <f t="shared" si="37"/>
        <v>1</v>
      </c>
      <c r="BQ12" s="29">
        <f t="shared" si="38"/>
        <v>1</v>
      </c>
      <c r="BR12" s="65"/>
      <c r="BS12" s="29">
        <f t="shared" si="59"/>
        <v>1</v>
      </c>
      <c r="BT12" s="29">
        <f t="shared" si="52"/>
        <v>1</v>
      </c>
      <c r="BU12" s="29">
        <f t="shared" si="53"/>
        <v>1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</v>
      </c>
      <c r="BL13" s="29">
        <v>1</v>
      </c>
      <c r="BM13" s="29">
        <v>1</v>
      </c>
      <c r="BN13" s="65"/>
      <c r="BO13" s="29">
        <f t="shared" si="51"/>
        <v>1</v>
      </c>
      <c r="BP13" s="29">
        <f t="shared" si="37"/>
        <v>1</v>
      </c>
      <c r="BQ13" s="29">
        <f t="shared" si="38"/>
        <v>1</v>
      </c>
      <c r="BR13" s="65"/>
      <c r="BS13" s="29">
        <f t="shared" si="59"/>
        <v>1</v>
      </c>
      <c r="BT13" s="29">
        <f t="shared" si="52"/>
        <v>1</v>
      </c>
      <c r="BU13" s="29">
        <f t="shared" si="53"/>
        <v>1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</v>
      </c>
      <c r="BL14" s="29">
        <v>1</v>
      </c>
      <c r="BM14" s="29">
        <v>1</v>
      </c>
      <c r="BN14" s="65"/>
      <c r="BO14" s="29">
        <f t="shared" si="51"/>
        <v>1</v>
      </c>
      <c r="BP14" s="29">
        <f t="shared" si="37"/>
        <v>1</v>
      </c>
      <c r="BQ14" s="29">
        <f t="shared" si="38"/>
        <v>1</v>
      </c>
      <c r="BR14" s="65"/>
      <c r="BS14" s="29">
        <f t="shared" si="59"/>
        <v>1</v>
      </c>
      <c r="BT14" s="29">
        <f t="shared" si="52"/>
        <v>1</v>
      </c>
      <c r="BU14" s="29">
        <f t="shared" si="53"/>
        <v>1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</v>
      </c>
      <c r="BL15" s="29">
        <v>1</v>
      </c>
      <c r="BM15" s="29">
        <v>1</v>
      </c>
      <c r="BN15" s="65"/>
      <c r="BO15" s="29">
        <f t="shared" si="51"/>
        <v>1</v>
      </c>
      <c r="BP15" s="29">
        <f t="shared" si="37"/>
        <v>1</v>
      </c>
      <c r="BQ15" s="29">
        <f t="shared" si="38"/>
        <v>1</v>
      </c>
      <c r="BR15" s="65"/>
      <c r="BS15" s="29">
        <f t="shared" si="59"/>
        <v>1</v>
      </c>
      <c r="BT15" s="29">
        <f t="shared" si="52"/>
        <v>1</v>
      </c>
      <c r="BU15" s="29">
        <f t="shared" si="53"/>
        <v>1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</v>
      </c>
      <c r="BL16" s="29">
        <v>1</v>
      </c>
      <c r="BM16" s="29">
        <v>1</v>
      </c>
      <c r="BN16" s="65"/>
      <c r="BO16" s="29">
        <f t="shared" si="51"/>
        <v>1</v>
      </c>
      <c r="BP16" s="29">
        <f t="shared" si="37"/>
        <v>1</v>
      </c>
      <c r="BQ16" s="29">
        <f t="shared" si="38"/>
        <v>1</v>
      </c>
      <c r="BR16" s="65"/>
      <c r="BS16" s="29">
        <f t="shared" si="59"/>
        <v>1</v>
      </c>
      <c r="BT16" s="29">
        <f t="shared" si="52"/>
        <v>1</v>
      </c>
      <c r="BU16" s="29">
        <f t="shared" si="53"/>
        <v>1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</v>
      </c>
      <c r="BL17" s="29">
        <v>1</v>
      </c>
      <c r="BM17" s="29">
        <v>1</v>
      </c>
      <c r="BN17" s="65"/>
      <c r="BO17" s="29">
        <f t="shared" si="51"/>
        <v>1</v>
      </c>
      <c r="BP17" s="29">
        <f t="shared" si="37"/>
        <v>1</v>
      </c>
      <c r="BQ17" s="29">
        <f t="shared" si="38"/>
        <v>1</v>
      </c>
      <c r="BR17" s="65"/>
      <c r="BS17" s="29">
        <f t="shared" si="59"/>
        <v>1</v>
      </c>
      <c r="BT17" s="29">
        <f t="shared" si="52"/>
        <v>1</v>
      </c>
      <c r="BU17" s="29">
        <f t="shared" si="53"/>
        <v>1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</v>
      </c>
      <c r="BL18" s="29">
        <v>1</v>
      </c>
      <c r="BM18" s="29">
        <v>1</v>
      </c>
      <c r="BN18" s="65"/>
      <c r="BO18" s="29">
        <f t="shared" si="51"/>
        <v>1</v>
      </c>
      <c r="BP18" s="29">
        <f t="shared" si="37"/>
        <v>1</v>
      </c>
      <c r="BQ18" s="29">
        <f t="shared" si="38"/>
        <v>1</v>
      </c>
      <c r="BR18" s="65"/>
      <c r="BS18" s="29">
        <f t="shared" si="59"/>
        <v>1</v>
      </c>
      <c r="BT18" s="29">
        <f t="shared" si="52"/>
        <v>1</v>
      </c>
      <c r="BU18" s="29">
        <f t="shared" si="53"/>
        <v>1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</v>
      </c>
      <c r="BL19" s="29">
        <v>1</v>
      </c>
      <c r="BM19" s="29">
        <v>1</v>
      </c>
      <c r="BN19" s="65"/>
      <c r="BO19" s="29">
        <f t="shared" si="51"/>
        <v>1</v>
      </c>
      <c r="BP19" s="29">
        <f t="shared" si="37"/>
        <v>1</v>
      </c>
      <c r="BQ19" s="29">
        <f t="shared" si="38"/>
        <v>1</v>
      </c>
      <c r="BR19" s="65"/>
      <c r="BS19" s="29">
        <f t="shared" si="59"/>
        <v>1</v>
      </c>
      <c r="BT19" s="29">
        <f t="shared" si="52"/>
        <v>1</v>
      </c>
      <c r="BU19" s="29">
        <f t="shared" si="53"/>
        <v>1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</v>
      </c>
      <c r="BL20" s="29">
        <v>1</v>
      </c>
      <c r="BM20" s="29">
        <v>1</v>
      </c>
      <c r="BN20" s="65"/>
      <c r="BO20" s="29">
        <f t="shared" si="51"/>
        <v>1</v>
      </c>
      <c r="BP20" s="29">
        <f t="shared" si="37"/>
        <v>1</v>
      </c>
      <c r="BQ20" s="29">
        <f t="shared" si="38"/>
        <v>1</v>
      </c>
      <c r="BR20" s="65"/>
      <c r="BS20" s="29">
        <f t="shared" si="59"/>
        <v>1</v>
      </c>
      <c r="BT20" s="29">
        <f t="shared" si="52"/>
        <v>1</v>
      </c>
      <c r="BU20" s="29">
        <f t="shared" si="53"/>
        <v>1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</v>
      </c>
      <c r="BL21" s="29">
        <v>1</v>
      </c>
      <c r="BM21" s="29">
        <v>1</v>
      </c>
      <c r="BN21" s="65"/>
      <c r="BO21" s="29">
        <f t="shared" si="51"/>
        <v>1</v>
      </c>
      <c r="BP21" s="29">
        <f t="shared" si="37"/>
        <v>1</v>
      </c>
      <c r="BQ21" s="29">
        <f t="shared" si="38"/>
        <v>1</v>
      </c>
      <c r="BR21" s="65"/>
      <c r="BS21" s="29">
        <f t="shared" si="59"/>
        <v>1</v>
      </c>
      <c r="BT21" s="29">
        <f t="shared" si="52"/>
        <v>1</v>
      </c>
      <c r="BU21" s="29">
        <f t="shared" si="53"/>
        <v>1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</v>
      </c>
      <c r="BL22" s="29">
        <v>1</v>
      </c>
      <c r="BM22" s="29">
        <v>1</v>
      </c>
      <c r="BN22" s="65"/>
      <c r="BO22" s="29">
        <f t="shared" si="51"/>
        <v>1</v>
      </c>
      <c r="BP22" s="29">
        <f t="shared" si="37"/>
        <v>1</v>
      </c>
      <c r="BQ22" s="29">
        <f t="shared" si="38"/>
        <v>1</v>
      </c>
      <c r="BR22" s="65"/>
      <c r="BS22" s="29">
        <f t="shared" si="59"/>
        <v>1</v>
      </c>
      <c r="BT22" s="29">
        <f t="shared" si="52"/>
        <v>1</v>
      </c>
      <c r="BU22" s="29">
        <f t="shared" si="53"/>
        <v>1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</v>
      </c>
      <c r="BL23" s="29">
        <v>5</v>
      </c>
      <c r="BM23" s="29">
        <v>1</v>
      </c>
      <c r="BN23" s="65"/>
      <c r="BO23" s="29">
        <f t="shared" si="51"/>
        <v>1</v>
      </c>
      <c r="BP23" s="29">
        <f t="shared" si="37"/>
        <v>1</v>
      </c>
      <c r="BQ23" s="29">
        <f t="shared" si="38"/>
        <v>1</v>
      </c>
      <c r="BR23" s="65"/>
      <c r="BS23" s="29">
        <f t="shared" si="59"/>
        <v>1</v>
      </c>
      <c r="BT23" s="29">
        <f t="shared" si="52"/>
        <v>1</v>
      </c>
      <c r="BU23" s="29">
        <f t="shared" si="53"/>
        <v>1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</v>
      </c>
      <c r="BL24" s="29">
        <v>5</v>
      </c>
      <c r="BM24" s="29">
        <v>1</v>
      </c>
      <c r="BN24" s="65"/>
      <c r="BO24" s="29">
        <f t="shared" si="51"/>
        <v>1</v>
      </c>
      <c r="BP24" s="29">
        <f t="shared" si="37"/>
        <v>5</v>
      </c>
      <c r="BQ24" s="29">
        <f t="shared" si="38"/>
        <v>1</v>
      </c>
      <c r="BR24" s="65"/>
      <c r="BS24" s="29">
        <f t="shared" si="59"/>
        <v>1</v>
      </c>
      <c r="BT24" s="29">
        <f t="shared" si="52"/>
        <v>1</v>
      </c>
      <c r="BU24" s="29">
        <f t="shared" si="53"/>
        <v>1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</v>
      </c>
      <c r="BL25" s="29">
        <v>5</v>
      </c>
      <c r="BM25" s="29">
        <v>1</v>
      </c>
      <c r="BN25" s="65"/>
      <c r="BO25" s="29">
        <f t="shared" si="51"/>
        <v>1</v>
      </c>
      <c r="BP25" s="29">
        <f t="shared" si="37"/>
        <v>5</v>
      </c>
      <c r="BQ25" s="29">
        <f t="shared" si="38"/>
        <v>1</v>
      </c>
      <c r="BR25" s="65"/>
      <c r="BS25" s="29">
        <f t="shared" si="59"/>
        <v>1</v>
      </c>
      <c r="BT25" s="29">
        <f t="shared" si="52"/>
        <v>5</v>
      </c>
      <c r="BU25" s="29">
        <f t="shared" si="53"/>
        <v>1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</v>
      </c>
      <c r="BL26" s="29">
        <v>5</v>
      </c>
      <c r="BM26" s="29">
        <v>1</v>
      </c>
      <c r="BN26" s="65"/>
      <c r="BO26" s="29">
        <f t="shared" si="51"/>
        <v>1</v>
      </c>
      <c r="BP26" s="29">
        <f t="shared" si="37"/>
        <v>5</v>
      </c>
      <c r="BQ26" s="29">
        <f t="shared" si="38"/>
        <v>1</v>
      </c>
      <c r="BR26" s="65"/>
      <c r="BS26" s="29">
        <f t="shared" si="59"/>
        <v>1</v>
      </c>
      <c r="BT26" s="29">
        <f t="shared" si="52"/>
        <v>5</v>
      </c>
      <c r="BU26" s="29">
        <f t="shared" si="53"/>
        <v>1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0" t="s">
        <v>145</v>
      </c>
      <c r="B27" s="320"/>
      <c r="C27" s="320"/>
      <c r="D27" s="320"/>
      <c r="E27" s="320"/>
      <c r="F27" s="320"/>
      <c r="H27" s="320" t="s">
        <v>146</v>
      </c>
      <c r="I27" s="320"/>
      <c r="J27" s="320"/>
      <c r="K27" s="320"/>
      <c r="L27" s="320"/>
      <c r="M27" s="320"/>
      <c r="O27" s="320" t="s">
        <v>147</v>
      </c>
      <c r="P27" s="320"/>
      <c r="Q27" s="320"/>
      <c r="R27" s="320"/>
      <c r="S27" s="320"/>
      <c r="T27" s="320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</v>
      </c>
      <c r="BL27" s="29">
        <v>5</v>
      </c>
      <c r="BM27" s="29">
        <v>1</v>
      </c>
      <c r="BN27" s="65"/>
      <c r="BO27" s="29">
        <f t="shared" si="51"/>
        <v>1</v>
      </c>
      <c r="BP27" s="29">
        <f t="shared" si="37"/>
        <v>5</v>
      </c>
      <c r="BQ27" s="29">
        <f t="shared" si="38"/>
        <v>1</v>
      </c>
      <c r="BR27" s="65"/>
      <c r="BS27" s="29">
        <f t="shared" si="59"/>
        <v>1</v>
      </c>
      <c r="BT27" s="29">
        <f t="shared" si="52"/>
        <v>5</v>
      </c>
      <c r="BU27" s="29">
        <f t="shared" si="53"/>
        <v>1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</v>
      </c>
      <c r="BL28" s="29">
        <v>1</v>
      </c>
      <c r="BM28" s="29">
        <v>1</v>
      </c>
      <c r="BN28" s="65"/>
      <c r="BO28" s="29">
        <f t="shared" si="51"/>
        <v>1</v>
      </c>
      <c r="BP28" s="29">
        <f t="shared" si="37"/>
        <v>5</v>
      </c>
      <c r="BQ28" s="29">
        <f t="shared" si="38"/>
        <v>1</v>
      </c>
      <c r="BR28" s="65"/>
      <c r="BS28" s="29">
        <f t="shared" si="59"/>
        <v>1</v>
      </c>
      <c r="BT28" s="29">
        <f t="shared" si="52"/>
        <v>5</v>
      </c>
      <c r="BU28" s="29">
        <f t="shared" si="53"/>
        <v>1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</v>
      </c>
      <c r="BL29" s="29">
        <v>1</v>
      </c>
      <c r="BM29" s="29">
        <v>1</v>
      </c>
      <c r="BN29" s="65"/>
      <c r="BO29" s="29">
        <f t="shared" si="51"/>
        <v>1</v>
      </c>
      <c r="BP29" s="29">
        <f t="shared" si="37"/>
        <v>1</v>
      </c>
      <c r="BQ29" s="29">
        <f t="shared" si="38"/>
        <v>1</v>
      </c>
      <c r="BR29" s="65"/>
      <c r="BS29" s="29">
        <f t="shared" si="59"/>
        <v>1</v>
      </c>
      <c r="BT29" s="29">
        <f t="shared" si="52"/>
        <v>5</v>
      </c>
      <c r="BU29" s="29">
        <f t="shared" si="53"/>
        <v>1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</v>
      </c>
      <c r="BL30" s="29">
        <v>1</v>
      </c>
      <c r="BM30" s="29">
        <v>1</v>
      </c>
      <c r="BN30" s="65"/>
      <c r="BO30" s="29">
        <f t="shared" si="51"/>
        <v>1</v>
      </c>
      <c r="BP30" s="29">
        <f t="shared" si="37"/>
        <v>1</v>
      </c>
      <c r="BQ30" s="29">
        <f t="shared" si="38"/>
        <v>1</v>
      </c>
      <c r="BR30" s="65"/>
      <c r="BS30" s="29">
        <f t="shared" si="59"/>
        <v>1</v>
      </c>
      <c r="BT30" s="29">
        <f t="shared" si="52"/>
        <v>1</v>
      </c>
      <c r="BU30" s="29">
        <f t="shared" si="53"/>
        <v>1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</v>
      </c>
      <c r="BL31" s="29">
        <v>1</v>
      </c>
      <c r="BM31" s="29">
        <v>1</v>
      </c>
      <c r="BN31" s="65"/>
      <c r="BO31" s="29">
        <f t="shared" si="51"/>
        <v>1</v>
      </c>
      <c r="BP31" s="29">
        <f t="shared" si="37"/>
        <v>1</v>
      </c>
      <c r="BQ31" s="29">
        <f t="shared" si="38"/>
        <v>1</v>
      </c>
      <c r="BR31" s="65"/>
      <c r="BS31" s="29">
        <f t="shared" si="59"/>
        <v>1</v>
      </c>
      <c r="BT31" s="29">
        <f t="shared" si="52"/>
        <v>1</v>
      </c>
      <c r="BU31" s="29">
        <f t="shared" si="53"/>
        <v>1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</v>
      </c>
      <c r="BL32" s="29">
        <v>1</v>
      </c>
      <c r="BM32" s="29">
        <v>5</v>
      </c>
      <c r="BN32" s="65"/>
      <c r="BO32" s="29">
        <f t="shared" si="51"/>
        <v>1</v>
      </c>
      <c r="BP32" s="29">
        <f t="shared" si="37"/>
        <v>1</v>
      </c>
      <c r="BQ32" s="29">
        <f t="shared" si="38"/>
        <v>1</v>
      </c>
      <c r="BR32" s="65"/>
      <c r="BS32" s="29">
        <f t="shared" si="59"/>
        <v>1</v>
      </c>
      <c r="BT32" s="29">
        <f t="shared" si="52"/>
        <v>1</v>
      </c>
      <c r="BU32" s="29">
        <f t="shared" si="53"/>
        <v>1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</v>
      </c>
      <c r="BL33" s="29">
        <v>1</v>
      </c>
      <c r="BM33" s="29">
        <v>5</v>
      </c>
      <c r="BN33" s="65"/>
      <c r="BO33" s="29">
        <f t="shared" si="51"/>
        <v>1</v>
      </c>
      <c r="BP33" s="29">
        <f t="shared" si="37"/>
        <v>1</v>
      </c>
      <c r="BQ33" s="29">
        <f t="shared" si="38"/>
        <v>5</v>
      </c>
      <c r="BR33" s="65"/>
      <c r="BS33" s="29">
        <f t="shared" si="59"/>
        <v>1</v>
      </c>
      <c r="BT33" s="29">
        <f t="shared" si="52"/>
        <v>1</v>
      </c>
      <c r="BU33" s="29">
        <f t="shared" si="53"/>
        <v>1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</v>
      </c>
      <c r="BL34" s="29">
        <v>1</v>
      </c>
      <c r="BM34" s="29">
        <v>5</v>
      </c>
      <c r="BN34" s="65"/>
      <c r="BO34" s="29">
        <f t="shared" si="51"/>
        <v>1</v>
      </c>
      <c r="BP34" s="29">
        <f t="shared" si="37"/>
        <v>1</v>
      </c>
      <c r="BQ34" s="29">
        <f t="shared" si="38"/>
        <v>5</v>
      </c>
      <c r="BR34" s="65"/>
      <c r="BS34" s="29">
        <f t="shared" si="59"/>
        <v>1</v>
      </c>
      <c r="BT34" s="29">
        <f t="shared" si="52"/>
        <v>1</v>
      </c>
      <c r="BU34" s="29">
        <f t="shared" si="53"/>
        <v>5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</v>
      </c>
      <c r="BL35" s="29">
        <v>1</v>
      </c>
      <c r="BM35" s="29">
        <v>5</v>
      </c>
      <c r="BN35" s="65"/>
      <c r="BO35" s="29">
        <f t="shared" si="51"/>
        <v>1</v>
      </c>
      <c r="BP35" s="29">
        <f t="shared" si="37"/>
        <v>1</v>
      </c>
      <c r="BQ35" s="29">
        <f t="shared" si="38"/>
        <v>5</v>
      </c>
      <c r="BR35" s="65"/>
      <c r="BS35" s="29">
        <f t="shared" si="59"/>
        <v>1</v>
      </c>
      <c r="BT35" s="29">
        <f t="shared" si="52"/>
        <v>1</v>
      </c>
      <c r="BU35" s="29">
        <f t="shared" si="53"/>
        <v>5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</v>
      </c>
      <c r="BL36" s="29">
        <v>1</v>
      </c>
      <c r="BM36" s="29">
        <v>5</v>
      </c>
      <c r="BN36" s="65"/>
      <c r="BO36" s="29">
        <f t="shared" si="51"/>
        <v>1</v>
      </c>
      <c r="BP36" s="29">
        <f t="shared" si="37"/>
        <v>1</v>
      </c>
      <c r="BQ36" s="29">
        <f t="shared" si="38"/>
        <v>5</v>
      </c>
      <c r="BR36" s="65"/>
      <c r="BS36" s="29">
        <f t="shared" si="59"/>
        <v>1</v>
      </c>
      <c r="BT36" s="29">
        <f t="shared" si="52"/>
        <v>1</v>
      </c>
      <c r="BU36" s="29">
        <f t="shared" si="53"/>
        <v>5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</v>
      </c>
      <c r="BL37" s="29">
        <v>1</v>
      </c>
      <c r="BM37" s="29">
        <v>1</v>
      </c>
      <c r="BN37" s="65"/>
      <c r="BO37" s="29">
        <f t="shared" si="51"/>
        <v>1</v>
      </c>
      <c r="BP37" s="29">
        <f t="shared" si="37"/>
        <v>1</v>
      </c>
      <c r="BQ37" s="29">
        <f t="shared" si="38"/>
        <v>5</v>
      </c>
      <c r="BR37" s="65"/>
      <c r="BS37" s="29">
        <f t="shared" si="59"/>
        <v>1</v>
      </c>
      <c r="BT37" s="29">
        <f t="shared" si="52"/>
        <v>1</v>
      </c>
      <c r="BU37" s="29">
        <f t="shared" si="53"/>
        <v>5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</v>
      </c>
      <c r="BL38" s="29">
        <v>1</v>
      </c>
      <c r="BM38" s="29">
        <v>1</v>
      </c>
      <c r="BN38" s="65"/>
      <c r="BO38" s="29">
        <f t="shared" si="51"/>
        <v>1</v>
      </c>
      <c r="BP38" s="29">
        <f t="shared" si="37"/>
        <v>1</v>
      </c>
      <c r="BQ38" s="29">
        <f t="shared" si="38"/>
        <v>1</v>
      </c>
      <c r="BR38" s="65"/>
      <c r="BS38" s="29">
        <f t="shared" si="59"/>
        <v>1</v>
      </c>
      <c r="BT38" s="29">
        <f t="shared" si="52"/>
        <v>1</v>
      </c>
      <c r="BU38" s="29">
        <f t="shared" si="53"/>
        <v>5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</v>
      </c>
      <c r="BL39" s="29">
        <v>1</v>
      </c>
      <c r="BM39" s="29">
        <v>1</v>
      </c>
      <c r="BN39" s="65"/>
      <c r="BO39" s="29">
        <f t="shared" si="51"/>
        <v>1</v>
      </c>
      <c r="BP39" s="29">
        <f t="shared" si="37"/>
        <v>1</v>
      </c>
      <c r="BQ39" s="29">
        <f t="shared" si="38"/>
        <v>1</v>
      </c>
      <c r="BR39" s="65"/>
      <c r="BS39" s="29">
        <f t="shared" si="59"/>
        <v>1</v>
      </c>
      <c r="BT39" s="29">
        <f t="shared" si="52"/>
        <v>1</v>
      </c>
      <c r="BU39" s="29">
        <f t="shared" si="53"/>
        <v>1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</v>
      </c>
      <c r="BL40" s="29">
        <v>1</v>
      </c>
      <c r="BM40" s="29">
        <v>1</v>
      </c>
      <c r="BN40" s="65"/>
      <c r="BO40" s="29">
        <f t="shared" si="51"/>
        <v>1</v>
      </c>
      <c r="BP40" s="29">
        <f t="shared" si="37"/>
        <v>1</v>
      </c>
      <c r="BQ40" s="29">
        <f t="shared" si="38"/>
        <v>1</v>
      </c>
      <c r="BR40" s="65"/>
      <c r="BS40" s="29">
        <f t="shared" si="59"/>
        <v>1</v>
      </c>
      <c r="BT40" s="29">
        <f t="shared" si="52"/>
        <v>1</v>
      </c>
      <c r="BU40" s="29">
        <f t="shared" si="53"/>
        <v>1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</v>
      </c>
      <c r="BL41" s="29">
        <v>1</v>
      </c>
      <c r="BM41" s="29">
        <v>1</v>
      </c>
      <c r="BN41" s="65"/>
      <c r="BO41" s="29">
        <f t="shared" si="51"/>
        <v>1</v>
      </c>
      <c r="BP41" s="29">
        <f t="shared" si="37"/>
        <v>1</v>
      </c>
      <c r="BQ41" s="29">
        <f t="shared" si="38"/>
        <v>1</v>
      </c>
      <c r="BR41" s="65"/>
      <c r="BS41" s="29">
        <f t="shared" si="59"/>
        <v>1</v>
      </c>
      <c r="BT41" s="29">
        <f t="shared" si="52"/>
        <v>1</v>
      </c>
      <c r="BU41" s="29">
        <f t="shared" si="53"/>
        <v>1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</v>
      </c>
      <c r="BL42" s="29">
        <v>1</v>
      </c>
      <c r="BM42" s="29">
        <v>1</v>
      </c>
      <c r="BN42" s="65"/>
      <c r="BO42" s="29">
        <f t="shared" si="51"/>
        <v>1</v>
      </c>
      <c r="BP42" s="29">
        <f t="shared" si="37"/>
        <v>1</v>
      </c>
      <c r="BQ42" s="29">
        <f t="shared" si="38"/>
        <v>1</v>
      </c>
      <c r="BR42" s="65"/>
      <c r="BS42" s="29">
        <f t="shared" si="59"/>
        <v>1</v>
      </c>
      <c r="BT42" s="29">
        <f t="shared" si="52"/>
        <v>1</v>
      </c>
      <c r="BU42" s="29">
        <f t="shared" si="53"/>
        <v>1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</v>
      </c>
      <c r="BL43" s="29">
        <v>1</v>
      </c>
      <c r="BM43" s="29">
        <v>1</v>
      </c>
      <c r="BN43" s="65"/>
      <c r="BO43" s="29">
        <f t="shared" si="51"/>
        <v>1</v>
      </c>
      <c r="BP43" s="29">
        <f t="shared" si="37"/>
        <v>1</v>
      </c>
      <c r="BQ43" s="29">
        <f t="shared" si="38"/>
        <v>1</v>
      </c>
      <c r="BR43" s="65"/>
      <c r="BS43" s="29">
        <f t="shared" si="59"/>
        <v>1</v>
      </c>
      <c r="BT43" s="29">
        <f t="shared" si="52"/>
        <v>1</v>
      </c>
      <c r="BU43" s="29">
        <f t="shared" si="53"/>
        <v>1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</v>
      </c>
      <c r="BL44" s="29">
        <v>1</v>
      </c>
      <c r="BM44" s="29">
        <v>1</v>
      </c>
      <c r="BN44" s="65"/>
      <c r="BO44" s="29">
        <f t="shared" si="51"/>
        <v>1</v>
      </c>
      <c r="BP44" s="29">
        <f t="shared" si="37"/>
        <v>1</v>
      </c>
      <c r="BQ44" s="29">
        <f t="shared" si="38"/>
        <v>1</v>
      </c>
      <c r="BR44" s="65"/>
      <c r="BS44" s="29">
        <f t="shared" si="59"/>
        <v>1</v>
      </c>
      <c r="BT44" s="29">
        <f t="shared" si="52"/>
        <v>1</v>
      </c>
      <c r="BU44" s="29">
        <f t="shared" si="53"/>
        <v>1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</v>
      </c>
      <c r="BL45" s="29">
        <v>1</v>
      </c>
      <c r="BM45" s="29">
        <v>1</v>
      </c>
      <c r="BN45" s="65"/>
      <c r="BO45" s="29">
        <f t="shared" si="51"/>
        <v>1</v>
      </c>
      <c r="BP45" s="29">
        <f t="shared" si="37"/>
        <v>1</v>
      </c>
      <c r="BQ45" s="29">
        <f t="shared" si="38"/>
        <v>1</v>
      </c>
      <c r="BR45" s="65"/>
      <c r="BS45" s="29">
        <f t="shared" si="59"/>
        <v>1</v>
      </c>
      <c r="BT45" s="29">
        <f t="shared" si="52"/>
        <v>1</v>
      </c>
      <c r="BU45" s="29">
        <f t="shared" si="53"/>
        <v>1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</v>
      </c>
      <c r="BL46" s="29">
        <v>1</v>
      </c>
      <c r="BM46" s="29">
        <v>1</v>
      </c>
      <c r="BN46" s="65"/>
      <c r="BO46" s="29">
        <f t="shared" si="51"/>
        <v>1</v>
      </c>
      <c r="BP46" s="29">
        <f t="shared" si="37"/>
        <v>1</v>
      </c>
      <c r="BQ46" s="29">
        <f t="shared" si="38"/>
        <v>1</v>
      </c>
      <c r="BR46" s="65"/>
      <c r="BS46" s="29">
        <f t="shared" si="59"/>
        <v>1</v>
      </c>
      <c r="BT46" s="29">
        <f t="shared" si="52"/>
        <v>1</v>
      </c>
      <c r="BU46" s="29">
        <f t="shared" si="53"/>
        <v>1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</v>
      </c>
      <c r="BL47" s="29">
        <v>1</v>
      </c>
      <c r="BM47" s="29">
        <v>1</v>
      </c>
      <c r="BN47" s="65"/>
      <c r="BO47" s="29">
        <f t="shared" si="51"/>
        <v>1</v>
      </c>
      <c r="BP47" s="29">
        <f t="shared" si="37"/>
        <v>1</v>
      </c>
      <c r="BQ47" s="29">
        <f t="shared" si="38"/>
        <v>1</v>
      </c>
      <c r="BR47" s="65"/>
      <c r="BS47" s="29">
        <f t="shared" si="59"/>
        <v>1</v>
      </c>
      <c r="BT47" s="29">
        <f t="shared" si="52"/>
        <v>1</v>
      </c>
      <c r="BU47" s="29">
        <f t="shared" si="53"/>
        <v>1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</v>
      </c>
      <c r="BL48" s="29">
        <v>1</v>
      </c>
      <c r="BM48" s="29">
        <v>1</v>
      </c>
      <c r="BN48" s="65"/>
      <c r="BO48" s="29">
        <f t="shared" si="51"/>
        <v>1</v>
      </c>
      <c r="BP48" s="29">
        <f t="shared" si="37"/>
        <v>1</v>
      </c>
      <c r="BQ48" s="29">
        <f t="shared" si="38"/>
        <v>1</v>
      </c>
      <c r="BR48" s="65"/>
      <c r="BS48" s="29">
        <f t="shared" si="59"/>
        <v>1</v>
      </c>
      <c r="BT48" s="29">
        <f t="shared" si="52"/>
        <v>1</v>
      </c>
      <c r="BU48" s="29">
        <f t="shared" si="53"/>
        <v>1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</v>
      </c>
      <c r="BL49" s="29">
        <v>1</v>
      </c>
      <c r="BM49" s="29">
        <v>1</v>
      </c>
      <c r="BN49" s="65"/>
      <c r="BO49" s="29">
        <f t="shared" si="51"/>
        <v>1</v>
      </c>
      <c r="BP49" s="29">
        <f t="shared" si="37"/>
        <v>1</v>
      </c>
      <c r="BQ49" s="29">
        <f t="shared" si="38"/>
        <v>1</v>
      </c>
      <c r="BR49" s="65"/>
      <c r="BS49" s="29">
        <f t="shared" si="59"/>
        <v>1</v>
      </c>
      <c r="BT49" s="29">
        <f t="shared" si="52"/>
        <v>1</v>
      </c>
      <c r="BU49" s="29">
        <f t="shared" si="53"/>
        <v>1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</v>
      </c>
      <c r="BL50" s="29">
        <v>1</v>
      </c>
      <c r="BM50" s="29">
        <v>1</v>
      </c>
      <c r="BN50" s="65"/>
      <c r="BO50" s="29">
        <f t="shared" si="51"/>
        <v>1</v>
      </c>
      <c r="BP50" s="29">
        <f t="shared" si="37"/>
        <v>1</v>
      </c>
      <c r="BQ50" s="29">
        <f t="shared" si="38"/>
        <v>1</v>
      </c>
      <c r="BR50" s="65"/>
      <c r="BS50" s="29">
        <f t="shared" si="59"/>
        <v>1</v>
      </c>
      <c r="BT50" s="29">
        <f t="shared" si="52"/>
        <v>1</v>
      </c>
      <c r="BU50" s="29">
        <f t="shared" si="53"/>
        <v>1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5</v>
      </c>
      <c r="BL51" s="29">
        <v>5</v>
      </c>
      <c r="BM51" s="29">
        <v>1</v>
      </c>
      <c r="BN51" s="65"/>
      <c r="BO51" s="29">
        <f t="shared" si="51"/>
        <v>1</v>
      </c>
      <c r="BP51" s="29">
        <f t="shared" si="37"/>
        <v>1</v>
      </c>
      <c r="BQ51" s="29">
        <f t="shared" si="38"/>
        <v>1</v>
      </c>
      <c r="BR51" s="65"/>
      <c r="BS51" s="29">
        <f t="shared" si="59"/>
        <v>1</v>
      </c>
      <c r="BT51" s="29">
        <f t="shared" si="52"/>
        <v>1</v>
      </c>
      <c r="BU51" s="29">
        <f t="shared" si="53"/>
        <v>1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5</v>
      </c>
      <c r="BL52" s="29">
        <v>5</v>
      </c>
      <c r="BM52" s="29">
        <v>1</v>
      </c>
      <c r="BN52" s="65"/>
      <c r="BO52" s="29">
        <f t="shared" si="51"/>
        <v>5</v>
      </c>
      <c r="BP52" s="29">
        <f t="shared" si="37"/>
        <v>5</v>
      </c>
      <c r="BQ52" s="29">
        <f t="shared" si="38"/>
        <v>1</v>
      </c>
      <c r="BR52" s="65"/>
      <c r="BS52" s="29">
        <f t="shared" si="59"/>
        <v>1</v>
      </c>
      <c r="BT52" s="29">
        <f t="shared" si="52"/>
        <v>1</v>
      </c>
      <c r="BU52" s="29">
        <f t="shared" si="53"/>
        <v>1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17" t="s">
        <v>148</v>
      </c>
      <c r="B53" s="317"/>
      <c r="C53" s="317"/>
      <c r="D53" s="317"/>
      <c r="E53" s="317"/>
      <c r="F53" s="317"/>
      <c r="H53" s="317" t="s">
        <v>149</v>
      </c>
      <c r="I53" s="317"/>
      <c r="J53" s="317"/>
      <c r="K53" s="317"/>
      <c r="L53" s="317"/>
      <c r="M53" s="317"/>
      <c r="O53" s="317" t="s">
        <v>150</v>
      </c>
      <c r="P53" s="317"/>
      <c r="Q53" s="317"/>
      <c r="R53" s="317"/>
      <c r="S53" s="317"/>
      <c r="T53" s="317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5</v>
      </c>
      <c r="BL53" s="29">
        <v>5</v>
      </c>
      <c r="BM53" s="29">
        <v>1</v>
      </c>
      <c r="BN53" s="65"/>
      <c r="BO53" s="29">
        <f t="shared" si="51"/>
        <v>5</v>
      </c>
      <c r="BP53" s="29">
        <f t="shared" si="37"/>
        <v>5</v>
      </c>
      <c r="BQ53" s="29">
        <f t="shared" si="38"/>
        <v>1</v>
      </c>
      <c r="BR53" s="65"/>
      <c r="BS53" s="29">
        <f t="shared" si="59"/>
        <v>5</v>
      </c>
      <c r="BT53" s="29">
        <f t="shared" si="52"/>
        <v>5</v>
      </c>
      <c r="BU53" s="29">
        <f t="shared" si="53"/>
        <v>1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5</v>
      </c>
      <c r="BL54" s="29">
        <v>5</v>
      </c>
      <c r="BM54" s="29">
        <v>1</v>
      </c>
      <c r="BN54" s="65"/>
      <c r="BO54" s="29">
        <f t="shared" si="51"/>
        <v>5</v>
      </c>
      <c r="BP54" s="29">
        <f t="shared" si="37"/>
        <v>5</v>
      </c>
      <c r="BQ54" s="29">
        <f t="shared" si="38"/>
        <v>1</v>
      </c>
      <c r="BR54" s="65"/>
      <c r="BS54" s="29">
        <f t="shared" si="59"/>
        <v>5</v>
      </c>
      <c r="BT54" s="29">
        <f t="shared" si="52"/>
        <v>5</v>
      </c>
      <c r="BU54" s="29">
        <f t="shared" si="53"/>
        <v>1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5</v>
      </c>
      <c r="BL55" s="29">
        <v>5</v>
      </c>
      <c r="BM55" s="29">
        <v>1</v>
      </c>
      <c r="BN55" s="65"/>
      <c r="BO55" s="29">
        <f t="shared" si="51"/>
        <v>5</v>
      </c>
      <c r="BP55" s="29">
        <f t="shared" si="37"/>
        <v>5</v>
      </c>
      <c r="BQ55" s="29">
        <f t="shared" si="38"/>
        <v>1</v>
      </c>
      <c r="BR55" s="65"/>
      <c r="BS55" s="29">
        <f t="shared" si="59"/>
        <v>5</v>
      </c>
      <c r="BT55" s="29">
        <f t="shared" si="52"/>
        <v>5</v>
      </c>
      <c r="BU55" s="29">
        <f t="shared" si="53"/>
        <v>1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</v>
      </c>
      <c r="BL56" s="29">
        <v>1</v>
      </c>
      <c r="BM56" s="29">
        <v>1</v>
      </c>
      <c r="BN56" s="65"/>
      <c r="BO56" s="29">
        <f t="shared" si="51"/>
        <v>5</v>
      </c>
      <c r="BP56" s="29">
        <f t="shared" si="37"/>
        <v>5</v>
      </c>
      <c r="BQ56" s="29">
        <f t="shared" si="38"/>
        <v>1</v>
      </c>
      <c r="BR56" s="65"/>
      <c r="BS56" s="29">
        <f t="shared" si="59"/>
        <v>5</v>
      </c>
      <c r="BT56" s="29">
        <f t="shared" si="52"/>
        <v>5</v>
      </c>
      <c r="BU56" s="29">
        <f t="shared" si="53"/>
        <v>1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</v>
      </c>
      <c r="BL57" s="29">
        <v>1</v>
      </c>
      <c r="BM57" s="29">
        <v>1</v>
      </c>
      <c r="BN57" s="65"/>
      <c r="BO57" s="29">
        <f t="shared" si="51"/>
        <v>1</v>
      </c>
      <c r="BP57" s="29">
        <f t="shared" si="37"/>
        <v>1</v>
      </c>
      <c r="BQ57" s="29">
        <f t="shared" si="38"/>
        <v>1</v>
      </c>
      <c r="BR57" s="65"/>
      <c r="BS57" s="29">
        <f t="shared" si="59"/>
        <v>5</v>
      </c>
      <c r="BT57" s="29">
        <f t="shared" si="52"/>
        <v>5</v>
      </c>
      <c r="BU57" s="29">
        <f t="shared" si="53"/>
        <v>1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</v>
      </c>
      <c r="BL58" s="29">
        <v>1</v>
      </c>
      <c r="BM58" s="29">
        <v>1</v>
      </c>
      <c r="BN58" s="65"/>
      <c r="BO58" s="29">
        <f t="shared" si="51"/>
        <v>1</v>
      </c>
      <c r="BP58" s="29">
        <f t="shared" si="37"/>
        <v>1</v>
      </c>
      <c r="BQ58" s="29">
        <f t="shared" si="38"/>
        <v>1</v>
      </c>
      <c r="BR58" s="65"/>
      <c r="BS58" s="29">
        <f t="shared" si="59"/>
        <v>1</v>
      </c>
      <c r="BT58" s="29">
        <f t="shared" si="52"/>
        <v>1</v>
      </c>
      <c r="BU58" s="29">
        <f t="shared" si="53"/>
        <v>1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</v>
      </c>
      <c r="BL59" s="29">
        <v>1</v>
      </c>
      <c r="BM59" s="29">
        <v>1</v>
      </c>
      <c r="BN59" s="65"/>
      <c r="BO59" s="29">
        <f t="shared" si="51"/>
        <v>1</v>
      </c>
      <c r="BP59" s="29">
        <f t="shared" si="37"/>
        <v>1</v>
      </c>
      <c r="BQ59" s="29">
        <f t="shared" si="38"/>
        <v>1</v>
      </c>
      <c r="BR59" s="65"/>
      <c r="BS59" s="29">
        <f t="shared" si="59"/>
        <v>1</v>
      </c>
      <c r="BT59" s="29">
        <f t="shared" si="52"/>
        <v>1</v>
      </c>
      <c r="BU59" s="29">
        <f t="shared" si="53"/>
        <v>1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</v>
      </c>
      <c r="BL60" s="29">
        <v>1</v>
      </c>
      <c r="BM60" s="29">
        <v>1</v>
      </c>
      <c r="BN60" s="65"/>
      <c r="BO60" s="29">
        <f t="shared" si="51"/>
        <v>1</v>
      </c>
      <c r="BP60" s="29">
        <f t="shared" si="37"/>
        <v>1</v>
      </c>
      <c r="BQ60" s="29">
        <f t="shared" si="38"/>
        <v>1</v>
      </c>
      <c r="BR60" s="65"/>
      <c r="BS60" s="29">
        <f t="shared" si="59"/>
        <v>1</v>
      </c>
      <c r="BT60" s="29">
        <f t="shared" si="52"/>
        <v>1</v>
      </c>
      <c r="BU60" s="29">
        <f t="shared" si="53"/>
        <v>1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</v>
      </c>
      <c r="BL61" s="29">
        <v>1</v>
      </c>
      <c r="BM61" s="29">
        <v>1</v>
      </c>
      <c r="BN61" s="65"/>
      <c r="BO61" s="29">
        <f t="shared" si="51"/>
        <v>1</v>
      </c>
      <c r="BP61" s="29">
        <f t="shared" si="37"/>
        <v>1</v>
      </c>
      <c r="BQ61" s="29">
        <f t="shared" si="38"/>
        <v>1</v>
      </c>
      <c r="BR61" s="65"/>
      <c r="BS61" s="29">
        <f t="shared" si="59"/>
        <v>1</v>
      </c>
      <c r="BT61" s="29">
        <f t="shared" si="52"/>
        <v>1</v>
      </c>
      <c r="BU61" s="29">
        <f t="shared" si="53"/>
        <v>1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</v>
      </c>
      <c r="BL62" s="29">
        <v>1</v>
      </c>
      <c r="BM62" s="29">
        <v>1</v>
      </c>
      <c r="BN62" s="65"/>
      <c r="BO62" s="29">
        <f t="shared" si="51"/>
        <v>1</v>
      </c>
      <c r="BP62" s="29">
        <f t="shared" si="37"/>
        <v>1</v>
      </c>
      <c r="BQ62" s="29">
        <f t="shared" si="38"/>
        <v>1</v>
      </c>
      <c r="BR62" s="65"/>
      <c r="BS62" s="29">
        <f t="shared" si="59"/>
        <v>1</v>
      </c>
      <c r="BT62" s="29">
        <f t="shared" si="52"/>
        <v>1</v>
      </c>
      <c r="BU62" s="29">
        <f t="shared" si="53"/>
        <v>1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</v>
      </c>
      <c r="BL63" s="29">
        <v>1</v>
      </c>
      <c r="BM63" s="29">
        <v>1</v>
      </c>
      <c r="BN63" s="65"/>
      <c r="BO63" s="29">
        <f t="shared" si="51"/>
        <v>1</v>
      </c>
      <c r="BP63" s="29">
        <f t="shared" si="37"/>
        <v>1</v>
      </c>
      <c r="BQ63" s="29">
        <f t="shared" si="38"/>
        <v>1</v>
      </c>
      <c r="BR63" s="65"/>
      <c r="BS63" s="29">
        <f t="shared" si="59"/>
        <v>1</v>
      </c>
      <c r="BT63" s="29">
        <f t="shared" si="52"/>
        <v>1</v>
      </c>
      <c r="BU63" s="29">
        <f t="shared" si="53"/>
        <v>1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</v>
      </c>
      <c r="BL64" s="29">
        <v>1</v>
      </c>
      <c r="BM64" s="29">
        <v>1</v>
      </c>
      <c r="BN64" s="65"/>
      <c r="BO64" s="29">
        <f t="shared" si="51"/>
        <v>1</v>
      </c>
      <c r="BP64" s="29">
        <f t="shared" si="37"/>
        <v>1</v>
      </c>
      <c r="BQ64" s="29">
        <f t="shared" si="38"/>
        <v>1</v>
      </c>
      <c r="BR64" s="65"/>
      <c r="BS64" s="29">
        <f t="shared" si="59"/>
        <v>1</v>
      </c>
      <c r="BT64" s="29">
        <f t="shared" si="52"/>
        <v>1</v>
      </c>
      <c r="BU64" s="29">
        <f t="shared" si="53"/>
        <v>1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</v>
      </c>
      <c r="BL65" s="29">
        <v>1</v>
      </c>
      <c r="BM65" s="29">
        <v>1</v>
      </c>
      <c r="BN65" s="65"/>
      <c r="BO65" s="29">
        <f t="shared" si="51"/>
        <v>1</v>
      </c>
      <c r="BP65" s="29">
        <f t="shared" si="37"/>
        <v>1</v>
      </c>
      <c r="BQ65" s="29">
        <f t="shared" si="38"/>
        <v>1</v>
      </c>
      <c r="BR65" s="65"/>
      <c r="BS65" s="29">
        <f t="shared" si="59"/>
        <v>1</v>
      </c>
      <c r="BT65" s="29">
        <f t="shared" si="52"/>
        <v>1</v>
      </c>
      <c r="BU65" s="29">
        <f t="shared" si="53"/>
        <v>1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</v>
      </c>
      <c r="BL66" s="29">
        <v>1</v>
      </c>
      <c r="BM66" s="29">
        <v>1</v>
      </c>
      <c r="BO66" s="29">
        <f t="shared" si="51"/>
        <v>1</v>
      </c>
      <c r="BP66" s="29">
        <f t="shared" si="37"/>
        <v>1</v>
      </c>
      <c r="BQ66" s="29">
        <f t="shared" si="38"/>
        <v>1</v>
      </c>
      <c r="BR66" s="65"/>
      <c r="BS66" s="29">
        <f t="shared" si="59"/>
        <v>1</v>
      </c>
      <c r="BT66" s="29">
        <f t="shared" si="52"/>
        <v>1</v>
      </c>
      <c r="BU66" s="29">
        <f t="shared" si="53"/>
        <v>1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</v>
      </c>
      <c r="BL67" s="29">
        <v>1</v>
      </c>
      <c r="BM67" s="29">
        <v>1</v>
      </c>
      <c r="BO67" s="29">
        <f t="shared" si="51"/>
        <v>1</v>
      </c>
      <c r="BP67" s="29">
        <f t="shared" si="37"/>
        <v>1</v>
      </c>
      <c r="BQ67" s="29">
        <f t="shared" si="38"/>
        <v>1</v>
      </c>
      <c r="BR67" s="65"/>
      <c r="BS67" s="29">
        <f t="shared" si="59"/>
        <v>1</v>
      </c>
      <c r="BT67" s="29">
        <f t="shared" si="52"/>
        <v>1</v>
      </c>
      <c r="BU67" s="29">
        <f t="shared" si="53"/>
        <v>1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</v>
      </c>
      <c r="BL68" s="29">
        <v>1</v>
      </c>
      <c r="BM68" s="29">
        <v>1</v>
      </c>
      <c r="BO68" s="29">
        <f t="shared" si="51"/>
        <v>1</v>
      </c>
      <c r="BP68" s="29">
        <f t="shared" ref="BP68:BP131" si="86">IF(BL67="","",BL67)</f>
        <v>1</v>
      </c>
      <c r="BQ68" s="29">
        <f t="shared" ref="BQ68:BQ131" si="87">IF(BM67="","",BM67)</f>
        <v>1</v>
      </c>
      <c r="BR68" s="65"/>
      <c r="BS68" s="29">
        <f t="shared" si="59"/>
        <v>1</v>
      </c>
      <c r="BT68" s="29">
        <f t="shared" si="52"/>
        <v>1</v>
      </c>
      <c r="BU68" s="29">
        <f t="shared" si="53"/>
        <v>1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</v>
      </c>
      <c r="BL69" s="29">
        <v>1</v>
      </c>
      <c r="BM69" s="29">
        <v>1</v>
      </c>
      <c r="BO69" s="29">
        <f t="shared" ref="BO69:BO132" si="97">IF(BK68="","",BK68)</f>
        <v>1</v>
      </c>
      <c r="BP69" s="29">
        <f t="shared" si="86"/>
        <v>1</v>
      </c>
      <c r="BQ69" s="29">
        <f t="shared" si="87"/>
        <v>1</v>
      </c>
      <c r="BR69" s="65"/>
      <c r="BS69" s="29">
        <f t="shared" si="59"/>
        <v>1</v>
      </c>
      <c r="BT69" s="29">
        <f t="shared" ref="BT69:BT132" si="98">IF(BL67="","",BL67)</f>
        <v>1</v>
      </c>
      <c r="BU69" s="29">
        <f t="shared" ref="BU69:BU132" si="99">IF(BM67="","",BM67)</f>
        <v>1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</v>
      </c>
      <c r="BL70" s="29">
        <v>1</v>
      </c>
      <c r="BM70" s="29">
        <v>1</v>
      </c>
      <c r="BO70" s="29">
        <f t="shared" si="97"/>
        <v>1</v>
      </c>
      <c r="BP70" s="29">
        <f t="shared" si="86"/>
        <v>1</v>
      </c>
      <c r="BQ70" s="29">
        <f t="shared" si="87"/>
        <v>1</v>
      </c>
      <c r="BR70" s="65"/>
      <c r="BS70" s="29">
        <f t="shared" ref="BS70:BS133" si="105">IF(BK68="","",BK68)</f>
        <v>1</v>
      </c>
      <c r="BT70" s="29">
        <f t="shared" si="98"/>
        <v>1</v>
      </c>
      <c r="BU70" s="29">
        <f t="shared" si="99"/>
        <v>1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</v>
      </c>
      <c r="BL71" s="29">
        <v>5</v>
      </c>
      <c r="BM71" s="29">
        <v>1</v>
      </c>
      <c r="BO71" s="29">
        <f t="shared" si="97"/>
        <v>1</v>
      </c>
      <c r="BP71" s="29">
        <f t="shared" si="86"/>
        <v>1</v>
      </c>
      <c r="BQ71" s="29">
        <f t="shared" si="87"/>
        <v>1</v>
      </c>
      <c r="BR71" s="65"/>
      <c r="BS71" s="29">
        <f t="shared" si="105"/>
        <v>1</v>
      </c>
      <c r="BT71" s="29">
        <f t="shared" si="98"/>
        <v>1</v>
      </c>
      <c r="BU71" s="29">
        <f t="shared" si="99"/>
        <v>1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</v>
      </c>
      <c r="BL72" s="29">
        <v>5</v>
      </c>
      <c r="BM72" s="29">
        <v>1</v>
      </c>
      <c r="BO72" s="29">
        <f t="shared" si="97"/>
        <v>1</v>
      </c>
      <c r="BP72" s="29">
        <f t="shared" si="86"/>
        <v>5</v>
      </c>
      <c r="BQ72" s="29">
        <f t="shared" si="87"/>
        <v>1</v>
      </c>
      <c r="BR72" s="65"/>
      <c r="BS72" s="29">
        <f t="shared" si="105"/>
        <v>1</v>
      </c>
      <c r="BT72" s="29">
        <f t="shared" si="98"/>
        <v>1</v>
      </c>
      <c r="BU72" s="29">
        <f t="shared" si="99"/>
        <v>1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</v>
      </c>
      <c r="BL73" s="29">
        <v>5</v>
      </c>
      <c r="BM73" s="29">
        <v>1</v>
      </c>
      <c r="BO73" s="29">
        <f t="shared" si="97"/>
        <v>1</v>
      </c>
      <c r="BP73" s="29">
        <f t="shared" si="86"/>
        <v>5</v>
      </c>
      <c r="BQ73" s="29">
        <f t="shared" si="87"/>
        <v>1</v>
      </c>
      <c r="BR73" s="65"/>
      <c r="BS73" s="29">
        <f t="shared" si="105"/>
        <v>1</v>
      </c>
      <c r="BT73" s="29">
        <f t="shared" si="98"/>
        <v>5</v>
      </c>
      <c r="BU73" s="29">
        <f t="shared" si="99"/>
        <v>1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</v>
      </c>
      <c r="BL74" s="29">
        <v>5</v>
      </c>
      <c r="BM74" s="29">
        <v>1</v>
      </c>
      <c r="BO74" s="29">
        <f t="shared" si="97"/>
        <v>1</v>
      </c>
      <c r="BP74" s="29">
        <f t="shared" si="86"/>
        <v>5</v>
      </c>
      <c r="BQ74" s="29">
        <f t="shared" si="87"/>
        <v>1</v>
      </c>
      <c r="BR74" s="65"/>
      <c r="BS74" s="29">
        <f t="shared" si="105"/>
        <v>1</v>
      </c>
      <c r="BT74" s="29">
        <f t="shared" si="98"/>
        <v>5</v>
      </c>
      <c r="BU74" s="29">
        <f t="shared" si="99"/>
        <v>1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</v>
      </c>
      <c r="BL75" s="29">
        <v>5</v>
      </c>
      <c r="BM75" s="29">
        <v>1</v>
      </c>
      <c r="BO75" s="29">
        <f t="shared" si="97"/>
        <v>1</v>
      </c>
      <c r="BP75" s="29">
        <f t="shared" si="86"/>
        <v>5</v>
      </c>
      <c r="BQ75" s="29">
        <f t="shared" si="87"/>
        <v>1</v>
      </c>
      <c r="BR75" s="65"/>
      <c r="BS75" s="29">
        <f t="shared" si="105"/>
        <v>1</v>
      </c>
      <c r="BT75" s="29">
        <f t="shared" si="98"/>
        <v>5</v>
      </c>
      <c r="BU75" s="29">
        <f t="shared" si="99"/>
        <v>1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</v>
      </c>
      <c r="BL76" s="29">
        <v>1</v>
      </c>
      <c r="BM76" s="29">
        <v>1</v>
      </c>
      <c r="BO76" s="29">
        <f t="shared" si="97"/>
        <v>1</v>
      </c>
      <c r="BP76" s="29">
        <f t="shared" si="86"/>
        <v>5</v>
      </c>
      <c r="BQ76" s="29">
        <f t="shared" si="87"/>
        <v>1</v>
      </c>
      <c r="BR76" s="65"/>
      <c r="BS76" s="29">
        <f t="shared" si="105"/>
        <v>1</v>
      </c>
      <c r="BT76" s="29">
        <f t="shared" si="98"/>
        <v>5</v>
      </c>
      <c r="BU76" s="29">
        <f t="shared" si="99"/>
        <v>1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</v>
      </c>
      <c r="BL77" s="29">
        <v>1</v>
      </c>
      <c r="BM77" s="29">
        <v>1</v>
      </c>
      <c r="BO77" s="29">
        <f t="shared" si="97"/>
        <v>1</v>
      </c>
      <c r="BP77" s="29">
        <f t="shared" si="86"/>
        <v>1</v>
      </c>
      <c r="BQ77" s="29">
        <f t="shared" si="87"/>
        <v>1</v>
      </c>
      <c r="BR77" s="65"/>
      <c r="BS77" s="29">
        <f t="shared" si="105"/>
        <v>1</v>
      </c>
      <c r="BT77" s="29">
        <f t="shared" si="98"/>
        <v>5</v>
      </c>
      <c r="BU77" s="29">
        <f t="shared" si="99"/>
        <v>1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</v>
      </c>
      <c r="BL78" s="29">
        <v>1</v>
      </c>
      <c r="BM78" s="29">
        <v>1</v>
      </c>
      <c r="BO78" s="29">
        <f t="shared" si="97"/>
        <v>1</v>
      </c>
      <c r="BP78" s="29">
        <f t="shared" si="86"/>
        <v>1</v>
      </c>
      <c r="BQ78" s="29">
        <f t="shared" si="87"/>
        <v>1</v>
      </c>
      <c r="BR78" s="65"/>
      <c r="BS78" s="29">
        <f t="shared" si="105"/>
        <v>1</v>
      </c>
      <c r="BT78" s="29">
        <f t="shared" si="98"/>
        <v>1</v>
      </c>
      <c r="BU78" s="29">
        <f t="shared" si="99"/>
        <v>1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18" t="s">
        <v>151</v>
      </c>
      <c r="B79" s="318"/>
      <c r="C79" s="318"/>
      <c r="D79" s="318"/>
      <c r="E79" s="318"/>
      <c r="F79" s="318"/>
      <c r="H79" s="318" t="s">
        <v>152</v>
      </c>
      <c r="I79" s="318"/>
      <c r="J79" s="318"/>
      <c r="K79" s="318"/>
      <c r="L79" s="318"/>
      <c r="M79" s="318"/>
      <c r="O79" s="318" t="s">
        <v>153</v>
      </c>
      <c r="P79" s="318"/>
      <c r="Q79" s="318"/>
      <c r="R79" s="318"/>
      <c r="S79" s="318"/>
      <c r="T79" s="318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</v>
      </c>
      <c r="BL79" s="29">
        <v>1</v>
      </c>
      <c r="BM79" s="29">
        <v>1</v>
      </c>
      <c r="BO79" s="29">
        <f t="shared" si="97"/>
        <v>1</v>
      </c>
      <c r="BP79" s="29">
        <f t="shared" si="86"/>
        <v>1</v>
      </c>
      <c r="BQ79" s="29">
        <f t="shared" si="87"/>
        <v>1</v>
      </c>
      <c r="BR79" s="65"/>
      <c r="BS79" s="29">
        <f t="shared" si="105"/>
        <v>1</v>
      </c>
      <c r="BT79" s="29">
        <f t="shared" si="98"/>
        <v>1</v>
      </c>
      <c r="BU79" s="29">
        <f t="shared" si="99"/>
        <v>1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</v>
      </c>
      <c r="BL80" s="29">
        <v>1</v>
      </c>
      <c r="BM80" s="29">
        <v>1</v>
      </c>
      <c r="BO80" s="29">
        <f t="shared" si="97"/>
        <v>1</v>
      </c>
      <c r="BP80" s="29">
        <f t="shared" si="86"/>
        <v>1</v>
      </c>
      <c r="BQ80" s="29">
        <f t="shared" si="87"/>
        <v>1</v>
      </c>
      <c r="BR80" s="65"/>
      <c r="BS80" s="29">
        <f t="shared" si="105"/>
        <v>1</v>
      </c>
      <c r="BT80" s="29">
        <f t="shared" si="98"/>
        <v>1</v>
      </c>
      <c r="BU80" s="29">
        <f t="shared" si="99"/>
        <v>1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45</v>
      </c>
      <c r="D81" s="77">
        <f t="shared" ref="D81:E81" si="106">SUMIF(X$3:X$211, $A81, BL$3:BL$211)</f>
        <v>105</v>
      </c>
      <c r="E81" s="77">
        <f t="shared" si="106"/>
        <v>105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45</v>
      </c>
      <c r="K81" s="77">
        <f t="shared" ref="K81:L81" ca="1" si="107">SUMIF(X$3:X$211, $H81, BP$3:BP$211)</f>
        <v>105</v>
      </c>
      <c r="L81" s="77">
        <f t="shared" si="107"/>
        <v>105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45</v>
      </c>
      <c r="R81" s="77">
        <f t="shared" ref="R81:S81" ca="1" si="108">SUMIF(X$3:X$211, $H81, BT$3:BT$211)</f>
        <v>105</v>
      </c>
      <c r="S81" s="77">
        <f t="shared" si="108"/>
        <v>105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</v>
      </c>
      <c r="BL81" s="29">
        <v>1</v>
      </c>
      <c r="BM81" s="29">
        <v>1</v>
      </c>
      <c r="BO81" s="29">
        <f t="shared" si="97"/>
        <v>1</v>
      </c>
      <c r="BP81" s="29">
        <f t="shared" si="86"/>
        <v>1</v>
      </c>
      <c r="BQ81" s="29">
        <f t="shared" si="87"/>
        <v>1</v>
      </c>
      <c r="BR81" s="65"/>
      <c r="BS81" s="29">
        <f t="shared" si="105"/>
        <v>1</v>
      </c>
      <c r="BT81" s="29">
        <f t="shared" si="98"/>
        <v>1</v>
      </c>
      <c r="BU81" s="29">
        <f t="shared" si="99"/>
        <v>1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</v>
      </c>
      <c r="D82" s="70">
        <f t="shared" ref="D82:D88" si="110">SUMIF(X$3:X$211, $A82, BL$3:BL$211)</f>
        <v>24</v>
      </c>
      <c r="E82" s="70">
        <f t="shared" ref="E82:E88" si="111">SUMIF(Y$3:Y$211, $A82, BM$3:BM$211)</f>
        <v>31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</v>
      </c>
      <c r="K82" s="70">
        <f t="shared" ref="K82:K88" si="113">SUMIF(X$3:X$211, $H82, BP$3:BP$211)</f>
        <v>24</v>
      </c>
      <c r="L82" s="70">
        <f t="shared" ref="L82:L88" ca="1" si="114">SUMIF(Y$3:Y$211, $H82, BQ$3:BQ$211)</f>
        <v>27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</v>
      </c>
      <c r="R82" s="70">
        <f t="shared" ref="R82:R88" si="116">SUMIF(X$3:X$211, $H82, BT$3:BT$211)</f>
        <v>24</v>
      </c>
      <c r="S82" s="70">
        <f t="shared" ref="S82:S88" ca="1" si="117">SUMIF(Y$3:Y$211, $H82, BU$3:BU$211)</f>
        <v>23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</v>
      </c>
      <c r="BL82" s="29">
        <v>1</v>
      </c>
      <c r="BM82" s="29">
        <v>1</v>
      </c>
      <c r="BO82" s="29">
        <f t="shared" si="97"/>
        <v>1</v>
      </c>
      <c r="BP82" s="29">
        <f t="shared" si="86"/>
        <v>1</v>
      </c>
      <c r="BQ82" s="29">
        <f t="shared" si="87"/>
        <v>1</v>
      </c>
      <c r="BR82" s="65"/>
      <c r="BS82" s="29">
        <f t="shared" si="105"/>
        <v>1</v>
      </c>
      <c r="BT82" s="29">
        <f t="shared" si="98"/>
        <v>1</v>
      </c>
      <c r="BU82" s="29">
        <f t="shared" si="99"/>
        <v>1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</v>
      </c>
      <c r="D83" s="70">
        <f t="shared" si="110"/>
        <v>26</v>
      </c>
      <c r="E83" s="70">
        <f t="shared" si="111"/>
        <v>35</v>
      </c>
      <c r="F83" s="58">
        <v>2</v>
      </c>
      <c r="H83" s="78" t="str">
        <v>M2</v>
      </c>
      <c r="I83" s="58" t="str">
        <v>M2</v>
      </c>
      <c r="J83" s="79">
        <f t="shared" si="112"/>
        <v>13</v>
      </c>
      <c r="K83" s="70">
        <f t="shared" si="113"/>
        <v>34</v>
      </c>
      <c r="L83" s="70">
        <f t="shared" si="114"/>
        <v>31</v>
      </c>
      <c r="M83" s="58">
        <v>2</v>
      </c>
      <c r="O83" s="78" t="str">
        <v>M2</v>
      </c>
      <c r="P83" s="58" t="str">
        <v>M2</v>
      </c>
      <c r="Q83" s="79">
        <f t="shared" si="115"/>
        <v>13</v>
      </c>
      <c r="R83" s="70">
        <f t="shared" si="116"/>
        <v>42</v>
      </c>
      <c r="S83" s="70">
        <f t="shared" si="117"/>
        <v>27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</v>
      </c>
      <c r="BL83" s="29">
        <v>1</v>
      </c>
      <c r="BM83" s="29">
        <v>1</v>
      </c>
      <c r="BO83" s="29">
        <f t="shared" si="97"/>
        <v>1</v>
      </c>
      <c r="BP83" s="29">
        <f t="shared" si="86"/>
        <v>1</v>
      </c>
      <c r="BQ83" s="29">
        <f t="shared" si="87"/>
        <v>1</v>
      </c>
      <c r="BR83" s="65"/>
      <c r="BS83" s="29">
        <f t="shared" si="105"/>
        <v>1</v>
      </c>
      <c r="BT83" s="29">
        <f t="shared" si="98"/>
        <v>1</v>
      </c>
      <c r="BU83" s="29">
        <f t="shared" si="99"/>
        <v>1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</v>
      </c>
      <c r="D84" s="70">
        <f t="shared" si="110"/>
        <v>33</v>
      </c>
      <c r="E84" s="70">
        <f t="shared" si="111"/>
        <v>28</v>
      </c>
      <c r="F84" s="58">
        <v>3</v>
      </c>
      <c r="H84" s="78" t="str">
        <v>M3</v>
      </c>
      <c r="I84" s="58" t="str">
        <v>M3</v>
      </c>
      <c r="J84" s="79">
        <f t="shared" si="112"/>
        <v>14</v>
      </c>
      <c r="K84" s="70">
        <f t="shared" si="113"/>
        <v>29</v>
      </c>
      <c r="L84" s="70">
        <f t="shared" si="114"/>
        <v>32</v>
      </c>
      <c r="M84" s="58">
        <v>3</v>
      </c>
      <c r="O84" s="78" t="str">
        <v>M3</v>
      </c>
      <c r="P84" s="58" t="str">
        <v>M3</v>
      </c>
      <c r="Q84" s="79">
        <f t="shared" si="115"/>
        <v>14</v>
      </c>
      <c r="R84" s="70">
        <f t="shared" si="116"/>
        <v>25</v>
      </c>
      <c r="S84" s="70">
        <f t="shared" si="117"/>
        <v>36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</v>
      </c>
      <c r="BL84" s="29">
        <v>1</v>
      </c>
      <c r="BM84" s="29">
        <v>1</v>
      </c>
      <c r="BO84" s="29">
        <f t="shared" si="97"/>
        <v>1</v>
      </c>
      <c r="BP84" s="29">
        <f t="shared" si="86"/>
        <v>1</v>
      </c>
      <c r="BQ84" s="29">
        <f t="shared" si="87"/>
        <v>1</v>
      </c>
      <c r="BR84" s="65"/>
      <c r="BS84" s="29">
        <f t="shared" si="105"/>
        <v>1</v>
      </c>
      <c r="BT84" s="29">
        <f t="shared" si="98"/>
        <v>1</v>
      </c>
      <c r="BU84" s="29">
        <f t="shared" si="99"/>
        <v>1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</v>
      </c>
      <c r="D85" s="70">
        <f t="shared" si="110"/>
        <v>62</v>
      </c>
      <c r="E85" s="70">
        <f t="shared" si="111"/>
        <v>31</v>
      </c>
      <c r="F85" s="58">
        <v>4</v>
      </c>
      <c r="H85" s="78" t="str">
        <v>A</v>
      </c>
      <c r="I85" s="58" t="str">
        <v>A</v>
      </c>
      <c r="J85" s="79">
        <f t="shared" si="112"/>
        <v>26</v>
      </c>
      <c r="K85" s="70">
        <f t="shared" si="113"/>
        <v>50</v>
      </c>
      <c r="L85" s="70">
        <f t="shared" si="114"/>
        <v>31</v>
      </c>
      <c r="M85" s="58">
        <v>4</v>
      </c>
      <c r="O85" s="78" t="str">
        <v>A</v>
      </c>
      <c r="P85" s="58" t="str">
        <v>A</v>
      </c>
      <c r="Q85" s="79">
        <f t="shared" si="115"/>
        <v>34</v>
      </c>
      <c r="R85" s="70">
        <f t="shared" si="116"/>
        <v>38</v>
      </c>
      <c r="S85" s="70">
        <f t="shared" si="117"/>
        <v>31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</v>
      </c>
      <c r="BL85" s="29">
        <v>1</v>
      </c>
      <c r="BM85" s="29">
        <v>1</v>
      </c>
      <c r="BO85" s="29">
        <f t="shared" si="97"/>
        <v>1</v>
      </c>
      <c r="BP85" s="29">
        <f t="shared" si="86"/>
        <v>1</v>
      </c>
      <c r="BQ85" s="29">
        <f t="shared" si="87"/>
        <v>1</v>
      </c>
      <c r="BR85" s="65"/>
      <c r="BS85" s="29">
        <f t="shared" si="105"/>
        <v>1</v>
      </c>
      <c r="BT85" s="29">
        <f t="shared" si="98"/>
        <v>1</v>
      </c>
      <c r="BU85" s="29">
        <f t="shared" si="99"/>
        <v>1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27</v>
      </c>
      <c r="D86" s="70">
        <f t="shared" si="110"/>
        <v>44</v>
      </c>
      <c r="E86" s="70">
        <f t="shared" si="111"/>
        <v>43</v>
      </c>
      <c r="F86" s="58">
        <v>5</v>
      </c>
      <c r="H86" s="78" t="str">
        <v>K</v>
      </c>
      <c r="I86" s="58" t="str">
        <v>K</v>
      </c>
      <c r="J86" s="79">
        <f t="shared" si="112"/>
        <v>23</v>
      </c>
      <c r="K86" s="70">
        <f t="shared" si="113"/>
        <v>36</v>
      </c>
      <c r="L86" s="70">
        <f t="shared" si="114"/>
        <v>35</v>
      </c>
      <c r="M86" s="58">
        <v>5</v>
      </c>
      <c r="O86" s="78" t="str">
        <v>K</v>
      </c>
      <c r="P86" s="58" t="str">
        <v>K</v>
      </c>
      <c r="Q86" s="79">
        <f t="shared" ca="1" si="115"/>
        <v>19</v>
      </c>
      <c r="R86" s="70">
        <f t="shared" si="116"/>
        <v>28</v>
      </c>
      <c r="S86" s="70">
        <f t="shared" si="117"/>
        <v>27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</v>
      </c>
      <c r="BL86" s="29">
        <v>1</v>
      </c>
      <c r="BM86" s="29">
        <v>1</v>
      </c>
      <c r="BO86" s="29">
        <f t="shared" si="97"/>
        <v>1</v>
      </c>
      <c r="BP86" s="29">
        <f t="shared" si="86"/>
        <v>1</v>
      </c>
      <c r="BQ86" s="29">
        <f t="shared" si="87"/>
        <v>1</v>
      </c>
      <c r="BR86" s="65"/>
      <c r="BS86" s="29">
        <f t="shared" si="105"/>
        <v>1</v>
      </c>
      <c r="BT86" s="29">
        <f t="shared" si="98"/>
        <v>1</v>
      </c>
      <c r="BU86" s="29">
        <f t="shared" si="99"/>
        <v>1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25</v>
      </c>
      <c r="D87" s="70">
        <f t="shared" si="110"/>
        <v>29</v>
      </c>
      <c r="E87" s="70">
        <f t="shared" si="111"/>
        <v>27</v>
      </c>
      <c r="F87" s="58">
        <v>6</v>
      </c>
      <c r="H87" s="78" t="str">
        <v>Q</v>
      </c>
      <c r="I87" s="58" t="str">
        <v>Q</v>
      </c>
      <c r="J87" s="79">
        <f t="shared" si="112"/>
        <v>21</v>
      </c>
      <c r="K87" s="70">
        <f t="shared" si="113"/>
        <v>41</v>
      </c>
      <c r="L87" s="70">
        <f t="shared" si="114"/>
        <v>35</v>
      </c>
      <c r="M87" s="58">
        <v>6</v>
      </c>
      <c r="O87" s="78" t="str">
        <v>Q</v>
      </c>
      <c r="P87" s="58" t="str">
        <v>Q</v>
      </c>
      <c r="Q87" s="79">
        <f t="shared" si="115"/>
        <v>17</v>
      </c>
      <c r="R87" s="70">
        <f t="shared" si="116"/>
        <v>53</v>
      </c>
      <c r="S87" s="70">
        <f t="shared" si="117"/>
        <v>43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</v>
      </c>
      <c r="BL87" s="29">
        <v>1</v>
      </c>
      <c r="BM87" s="29">
        <v>1</v>
      </c>
      <c r="BO87" s="29">
        <f t="shared" si="97"/>
        <v>1</v>
      </c>
      <c r="BP87" s="29">
        <f t="shared" si="86"/>
        <v>1</v>
      </c>
      <c r="BQ87" s="29">
        <f t="shared" si="87"/>
        <v>1</v>
      </c>
      <c r="BR87" s="65"/>
      <c r="BS87" s="29">
        <f t="shared" si="105"/>
        <v>1</v>
      </c>
      <c r="BT87" s="29">
        <f t="shared" si="98"/>
        <v>1</v>
      </c>
      <c r="BU87" s="29">
        <f t="shared" si="99"/>
        <v>1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27</v>
      </c>
      <c r="D88" s="70">
        <f t="shared" si="110"/>
        <v>26</v>
      </c>
      <c r="E88" s="70">
        <f t="shared" si="111"/>
        <v>43</v>
      </c>
      <c r="F88" s="58">
        <v>7</v>
      </c>
      <c r="H88" s="78" t="str">
        <v>J</v>
      </c>
      <c r="I88" s="58" t="str">
        <v>J</v>
      </c>
      <c r="J88" s="79">
        <f t="shared" ca="1" si="112"/>
        <v>27</v>
      </c>
      <c r="K88" s="70">
        <f t="shared" si="113"/>
        <v>30</v>
      </c>
      <c r="L88" s="70">
        <f t="shared" si="114"/>
        <v>47</v>
      </c>
      <c r="M88" s="58">
        <v>7</v>
      </c>
      <c r="O88" s="78" t="str">
        <v>J</v>
      </c>
      <c r="P88" s="58" t="str">
        <v>J</v>
      </c>
      <c r="Q88" s="79">
        <f t="shared" ca="1" si="115"/>
        <v>27</v>
      </c>
      <c r="R88" s="70">
        <f t="shared" si="116"/>
        <v>34</v>
      </c>
      <c r="S88" s="70">
        <f t="shared" si="117"/>
        <v>51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</v>
      </c>
      <c r="BL88" s="29">
        <v>1</v>
      </c>
      <c r="BM88" s="29">
        <v>1</v>
      </c>
      <c r="BO88" s="29">
        <f t="shared" si="97"/>
        <v>1</v>
      </c>
      <c r="BP88" s="29">
        <f t="shared" si="86"/>
        <v>1</v>
      </c>
      <c r="BQ88" s="29">
        <f t="shared" si="87"/>
        <v>1</v>
      </c>
      <c r="BR88" s="65"/>
      <c r="BS88" s="29">
        <f t="shared" si="105"/>
        <v>1</v>
      </c>
      <c r="BT88" s="29">
        <f t="shared" si="98"/>
        <v>1</v>
      </c>
      <c r="BU88" s="29">
        <f t="shared" si="99"/>
        <v>1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</v>
      </c>
      <c r="BL89" s="29">
        <v>1</v>
      </c>
      <c r="BM89" s="29">
        <v>1</v>
      </c>
      <c r="BO89" s="29">
        <f t="shared" si="97"/>
        <v>1</v>
      </c>
      <c r="BP89" s="29">
        <f t="shared" si="86"/>
        <v>1</v>
      </c>
      <c r="BQ89" s="29">
        <f t="shared" si="87"/>
        <v>1</v>
      </c>
      <c r="BR89" s="65"/>
      <c r="BS89" s="29">
        <f t="shared" si="105"/>
        <v>1</v>
      </c>
      <c r="BT89" s="29">
        <f t="shared" si="98"/>
        <v>1</v>
      </c>
      <c r="BU89" s="29">
        <f t="shared" si="99"/>
        <v>1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</v>
      </c>
      <c r="BL90" s="29">
        <v>1</v>
      </c>
      <c r="BM90" s="29">
        <v>1</v>
      </c>
      <c r="BO90" s="29">
        <f t="shared" si="97"/>
        <v>1</v>
      </c>
      <c r="BP90" s="29">
        <f t="shared" si="86"/>
        <v>1</v>
      </c>
      <c r="BQ90" s="29">
        <f t="shared" si="87"/>
        <v>1</v>
      </c>
      <c r="BR90" s="65"/>
      <c r="BS90" s="29">
        <f t="shared" si="105"/>
        <v>1</v>
      </c>
      <c r="BT90" s="29">
        <f t="shared" si="98"/>
        <v>1</v>
      </c>
      <c r="BU90" s="29">
        <f t="shared" si="99"/>
        <v>1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</v>
      </c>
      <c r="BL91" s="29">
        <v>1</v>
      </c>
      <c r="BM91" s="29">
        <v>1</v>
      </c>
      <c r="BO91" s="29">
        <f t="shared" si="97"/>
        <v>1</v>
      </c>
      <c r="BP91" s="29">
        <f t="shared" si="86"/>
        <v>1</v>
      </c>
      <c r="BQ91" s="29">
        <f t="shared" si="87"/>
        <v>1</v>
      </c>
      <c r="BR91" s="65"/>
      <c r="BS91" s="29">
        <f t="shared" si="105"/>
        <v>1</v>
      </c>
      <c r="BT91" s="29">
        <f t="shared" si="98"/>
        <v>1</v>
      </c>
      <c r="BU91" s="29">
        <f t="shared" si="99"/>
        <v>1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183</v>
      </c>
      <c r="D92" s="155">
        <f>SUM(D81:D91)</f>
        <v>349</v>
      </c>
      <c r="E92" s="155">
        <f>SUM(E81:E91)</f>
        <v>343</v>
      </c>
      <c r="F92" s="155"/>
      <c r="H92" s="60" t="s">
        <v>10</v>
      </c>
      <c r="I92" s="155"/>
      <c r="J92" s="155">
        <f ca="1">SUM(J81:J91)</f>
        <v>183</v>
      </c>
      <c r="K92" s="155">
        <f ca="1">SUM(K81:K91)</f>
        <v>349</v>
      </c>
      <c r="L92" s="155">
        <f ca="1">SUM(L81:L91)</f>
        <v>343</v>
      </c>
      <c r="M92" s="155"/>
      <c r="O92" s="60" t="s">
        <v>10</v>
      </c>
      <c r="P92" s="155"/>
      <c r="Q92" s="155">
        <f ca="1">SUM(Q81:Q91)</f>
        <v>183</v>
      </c>
      <c r="R92" s="155">
        <f ca="1">SUM(R81:R91)</f>
        <v>349</v>
      </c>
      <c r="S92" s="155">
        <f ca="1">SUM(S81:S91)</f>
        <v>343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</v>
      </c>
      <c r="BL92" s="29">
        <v>1</v>
      </c>
      <c r="BM92" s="29">
        <v>1</v>
      </c>
      <c r="BO92" s="29">
        <f t="shared" si="97"/>
        <v>1</v>
      </c>
      <c r="BP92" s="29">
        <f t="shared" si="86"/>
        <v>1</v>
      </c>
      <c r="BQ92" s="29">
        <f t="shared" si="87"/>
        <v>1</v>
      </c>
      <c r="BR92" s="65"/>
      <c r="BS92" s="29">
        <f t="shared" si="105"/>
        <v>1</v>
      </c>
      <c r="BT92" s="29">
        <f t="shared" si="98"/>
        <v>1</v>
      </c>
      <c r="BU92" s="29">
        <f t="shared" si="99"/>
        <v>1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</v>
      </c>
      <c r="BL93" s="29">
        <v>1</v>
      </c>
      <c r="BM93" s="29">
        <v>1</v>
      </c>
      <c r="BO93" s="29">
        <f t="shared" si="97"/>
        <v>1</v>
      </c>
      <c r="BP93" s="29">
        <f t="shared" si="86"/>
        <v>1</v>
      </c>
      <c r="BQ93" s="29">
        <f t="shared" si="87"/>
        <v>1</v>
      </c>
      <c r="BR93" s="65"/>
      <c r="BS93" s="29">
        <f t="shared" si="105"/>
        <v>1</v>
      </c>
      <c r="BT93" s="29">
        <f t="shared" si="98"/>
        <v>1</v>
      </c>
      <c r="BU93" s="29">
        <f t="shared" si="99"/>
        <v>1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</v>
      </c>
      <c r="BL94" s="29">
        <v>1</v>
      </c>
      <c r="BM94" s="29">
        <v>1</v>
      </c>
      <c r="BO94" s="29">
        <f t="shared" si="97"/>
        <v>1</v>
      </c>
      <c r="BP94" s="29">
        <f t="shared" si="86"/>
        <v>1</v>
      </c>
      <c r="BQ94" s="29">
        <f t="shared" si="87"/>
        <v>1</v>
      </c>
      <c r="BR94" s="65"/>
      <c r="BS94" s="29">
        <f t="shared" si="105"/>
        <v>1</v>
      </c>
      <c r="BT94" s="29">
        <f t="shared" si="98"/>
        <v>1</v>
      </c>
      <c r="BU94" s="29">
        <f t="shared" si="99"/>
        <v>1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</v>
      </c>
      <c r="BL95" s="29">
        <v>1</v>
      </c>
      <c r="BM95" s="29">
        <v>1</v>
      </c>
      <c r="BO95" s="29">
        <f t="shared" si="97"/>
        <v>1</v>
      </c>
      <c r="BP95" s="29">
        <f t="shared" si="86"/>
        <v>1</v>
      </c>
      <c r="BQ95" s="29">
        <f t="shared" si="87"/>
        <v>1</v>
      </c>
      <c r="BR95" s="65"/>
      <c r="BS95" s="29">
        <f t="shared" si="105"/>
        <v>1</v>
      </c>
      <c r="BT95" s="29">
        <f t="shared" si="98"/>
        <v>1</v>
      </c>
      <c r="BU95" s="29">
        <f t="shared" si="99"/>
        <v>1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183</v>
      </c>
      <c r="D96" s="155">
        <f>SUM(D81:D91)</f>
        <v>349</v>
      </c>
      <c r="E96" s="84">
        <f>SUM(E81:E91)</f>
        <v>343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183</v>
      </c>
      <c r="K96" s="155">
        <f ca="1">SUM(K81:K91)</f>
        <v>349</v>
      </c>
      <c r="L96" s="84">
        <f ca="1">SUM(L81:L91)</f>
        <v>343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183</v>
      </c>
      <c r="R96" s="155">
        <f ca="1">SUM(R81:R91)</f>
        <v>349</v>
      </c>
      <c r="S96" s="84">
        <f ca="1">SUM(S81:S91)</f>
        <v>343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</v>
      </c>
      <c r="BL96" s="29">
        <v>1</v>
      </c>
      <c r="BM96" s="29">
        <v>1</v>
      </c>
      <c r="BO96" s="29">
        <f t="shared" si="97"/>
        <v>1</v>
      </c>
      <c r="BP96" s="29">
        <f t="shared" si="86"/>
        <v>1</v>
      </c>
      <c r="BQ96" s="29">
        <f t="shared" si="87"/>
        <v>1</v>
      </c>
      <c r="BR96" s="65"/>
      <c r="BS96" s="29">
        <f t="shared" si="105"/>
        <v>1</v>
      </c>
      <c r="BT96" s="29">
        <f t="shared" si="98"/>
        <v>1</v>
      </c>
      <c r="BU96" s="29">
        <f t="shared" si="99"/>
        <v>1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59</v>
      </c>
      <c r="D97" s="155">
        <f>D$81+D$82</f>
        <v>129</v>
      </c>
      <c r="E97" s="84">
        <f>E$81+E$82</f>
        <v>136</v>
      </c>
      <c r="F97" s="69"/>
      <c r="H97" s="78" t="str">
        <v>W1</v>
      </c>
      <c r="I97" s="48" t="str">
        <v>WW,M1</v>
      </c>
      <c r="J97" s="155">
        <f>J$81+J$82</f>
        <v>59</v>
      </c>
      <c r="K97" s="155">
        <f ca="1">K$81+K$82</f>
        <v>129</v>
      </c>
      <c r="L97" s="84">
        <f ca="1">L$81+L$82</f>
        <v>132</v>
      </c>
      <c r="M97" s="69"/>
      <c r="O97" s="78" t="str">
        <v>W1</v>
      </c>
      <c r="P97" s="48" t="str">
        <v>WW,M1</v>
      </c>
      <c r="Q97" s="155">
        <f>Q$81+Q$82</f>
        <v>59</v>
      </c>
      <c r="R97" s="155">
        <f ca="1">R$81+R$82</f>
        <v>129</v>
      </c>
      <c r="S97" s="84">
        <f ca="1">S$81+S$82</f>
        <v>128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</v>
      </c>
      <c r="BL97" s="29">
        <v>1</v>
      </c>
      <c r="BM97" s="29">
        <v>1</v>
      </c>
      <c r="BO97" s="29">
        <f t="shared" si="97"/>
        <v>1</v>
      </c>
      <c r="BP97" s="29">
        <f t="shared" si="86"/>
        <v>1</v>
      </c>
      <c r="BQ97" s="29">
        <f t="shared" si="87"/>
        <v>1</v>
      </c>
      <c r="BR97" s="65"/>
      <c r="BS97" s="29">
        <f t="shared" si="105"/>
        <v>1</v>
      </c>
      <c r="BT97" s="29">
        <f t="shared" si="98"/>
        <v>1</v>
      </c>
      <c r="BU97" s="29">
        <f t="shared" si="99"/>
        <v>1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58</v>
      </c>
      <c r="D98" s="155">
        <f>D$81+D$83</f>
        <v>131</v>
      </c>
      <c r="E98" s="84">
        <f>E$81+E$83</f>
        <v>140</v>
      </c>
      <c r="F98" s="69"/>
      <c r="H98" s="78" t="str">
        <v>W2</v>
      </c>
      <c r="I98" s="48" t="str">
        <v>WW,M2</v>
      </c>
      <c r="J98" s="155">
        <f>J$81+J$83</f>
        <v>58</v>
      </c>
      <c r="K98" s="155">
        <f ca="1">K$81+K$83</f>
        <v>139</v>
      </c>
      <c r="L98" s="84">
        <f>L$81+L$83</f>
        <v>136</v>
      </c>
      <c r="M98" s="69"/>
      <c r="O98" s="78" t="str">
        <v>W2</v>
      </c>
      <c r="P98" s="48" t="str">
        <v>WW,M2</v>
      </c>
      <c r="Q98" s="155">
        <f>Q$81+Q$83</f>
        <v>58</v>
      </c>
      <c r="R98" s="155">
        <f ca="1">R$81+R$83</f>
        <v>147</v>
      </c>
      <c r="S98" s="84">
        <f>S$81+S$83</f>
        <v>132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</v>
      </c>
      <c r="BL98" s="29">
        <v>1</v>
      </c>
      <c r="BM98" s="29">
        <v>1</v>
      </c>
      <c r="BO98" s="29">
        <f t="shared" si="97"/>
        <v>1</v>
      </c>
      <c r="BP98" s="29">
        <f t="shared" si="86"/>
        <v>1</v>
      </c>
      <c r="BQ98" s="29">
        <f t="shared" si="87"/>
        <v>1</v>
      </c>
      <c r="BR98" s="65"/>
      <c r="BS98" s="29">
        <f t="shared" si="105"/>
        <v>1</v>
      </c>
      <c r="BT98" s="29">
        <f t="shared" si="98"/>
        <v>1</v>
      </c>
      <c r="BU98" s="29">
        <f t="shared" si="99"/>
        <v>1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59</v>
      </c>
      <c r="D99" s="155">
        <f>D$81+D$84</f>
        <v>138</v>
      </c>
      <c r="E99" s="84">
        <f>E$81+E$84</f>
        <v>133</v>
      </c>
      <c r="F99" s="69"/>
      <c r="H99" s="78" t="str">
        <v>W3</v>
      </c>
      <c r="I99" s="48" t="str">
        <v>WW,M3</v>
      </c>
      <c r="J99" s="155">
        <f>J$81+J$84</f>
        <v>59</v>
      </c>
      <c r="K99" s="155">
        <f ca="1">K$81+K$84</f>
        <v>134</v>
      </c>
      <c r="L99" s="84">
        <f>L$81+L$84</f>
        <v>137</v>
      </c>
      <c r="M99" s="69"/>
      <c r="O99" s="78" t="str">
        <v>W3</v>
      </c>
      <c r="P99" s="48" t="str">
        <v>WW,M3</v>
      </c>
      <c r="Q99" s="155">
        <f>Q$81+Q$84</f>
        <v>59</v>
      </c>
      <c r="R99" s="155">
        <f ca="1">R$81+R$84</f>
        <v>130</v>
      </c>
      <c r="S99" s="84">
        <f>S$81+S$84</f>
        <v>141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</v>
      </c>
      <c r="BL99" s="29">
        <v>1</v>
      </c>
      <c r="BM99" s="29">
        <v>1</v>
      </c>
      <c r="BO99" s="29">
        <f t="shared" si="97"/>
        <v>1</v>
      </c>
      <c r="BP99" s="29">
        <f t="shared" si="86"/>
        <v>1</v>
      </c>
      <c r="BQ99" s="29">
        <f t="shared" si="87"/>
        <v>1</v>
      </c>
      <c r="BR99" s="65"/>
      <c r="BS99" s="29">
        <f t="shared" si="105"/>
        <v>1</v>
      </c>
      <c r="BT99" s="29">
        <f t="shared" si="98"/>
        <v>1</v>
      </c>
      <c r="BU99" s="29">
        <f t="shared" si="99"/>
        <v>1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63</v>
      </c>
      <c r="D100" s="155">
        <f>D$81+D$85</f>
        <v>167</v>
      </c>
      <c r="E100" s="84">
        <f>E$81+E$85</f>
        <v>136</v>
      </c>
      <c r="F100" s="69"/>
      <c r="H100" s="78" t="str">
        <v>WA</v>
      </c>
      <c r="I100" s="48" t="str">
        <v>WW,A</v>
      </c>
      <c r="J100" s="155">
        <f>J$81+J$85</f>
        <v>71</v>
      </c>
      <c r="K100" s="155">
        <f ca="1">K$81+K$85</f>
        <v>155</v>
      </c>
      <c r="L100" s="84">
        <f>L$81+L$85</f>
        <v>136</v>
      </c>
      <c r="M100" s="69"/>
      <c r="O100" s="78" t="str">
        <v>WA</v>
      </c>
      <c r="P100" s="48" t="str">
        <v>WW,A</v>
      </c>
      <c r="Q100" s="155">
        <f>Q$81+Q$85</f>
        <v>79</v>
      </c>
      <c r="R100" s="155">
        <f ca="1">R$81+R$85</f>
        <v>143</v>
      </c>
      <c r="S100" s="84">
        <f>S$81+S$85</f>
        <v>136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</v>
      </c>
      <c r="BL100" s="29">
        <v>1</v>
      </c>
      <c r="BM100" s="29">
        <v>1</v>
      </c>
      <c r="BO100" s="29">
        <f t="shared" si="97"/>
        <v>1</v>
      </c>
      <c r="BP100" s="29">
        <f t="shared" si="86"/>
        <v>1</v>
      </c>
      <c r="BQ100" s="29">
        <f t="shared" si="87"/>
        <v>1</v>
      </c>
      <c r="BR100" s="65"/>
      <c r="BS100" s="29">
        <f t="shared" si="105"/>
        <v>1</v>
      </c>
      <c r="BT100" s="29">
        <f t="shared" si="98"/>
        <v>1</v>
      </c>
      <c r="BU100" s="29">
        <f t="shared" si="99"/>
        <v>1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72</v>
      </c>
      <c r="D101" s="155">
        <f>D$81+D$86</f>
        <v>149</v>
      </c>
      <c r="E101" s="84">
        <f>E$81+E$86</f>
        <v>148</v>
      </c>
      <c r="F101" s="69"/>
      <c r="H101" s="78" t="str">
        <v>WK</v>
      </c>
      <c r="I101" s="48" t="str">
        <v>WW,K</v>
      </c>
      <c r="J101" s="155">
        <f>J$81+J$86</f>
        <v>68</v>
      </c>
      <c r="K101" s="155">
        <f ca="1">K$81+K$86</f>
        <v>141</v>
      </c>
      <c r="L101" s="84">
        <f>L$81+L$86</f>
        <v>140</v>
      </c>
      <c r="M101" s="69"/>
      <c r="O101" s="78" t="str">
        <v>WK</v>
      </c>
      <c r="P101" s="48" t="str">
        <v>WW,K</v>
      </c>
      <c r="Q101" s="155">
        <f ca="1">Q$81+Q$86</f>
        <v>64</v>
      </c>
      <c r="R101" s="155">
        <f ca="1">R$81+R$86</f>
        <v>133</v>
      </c>
      <c r="S101" s="84">
        <f>S$81+S$86</f>
        <v>132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</v>
      </c>
      <c r="BL101" s="29">
        <v>1</v>
      </c>
      <c r="BM101" s="29">
        <v>1</v>
      </c>
      <c r="BO101" s="29">
        <f t="shared" si="97"/>
        <v>1</v>
      </c>
      <c r="BP101" s="29">
        <f t="shared" si="86"/>
        <v>1</v>
      </c>
      <c r="BQ101" s="29">
        <f t="shared" si="87"/>
        <v>1</v>
      </c>
      <c r="BR101" s="65"/>
      <c r="BS101" s="29">
        <f t="shared" si="105"/>
        <v>1</v>
      </c>
      <c r="BT101" s="29">
        <f t="shared" si="98"/>
        <v>1</v>
      </c>
      <c r="BU101" s="29">
        <f t="shared" si="99"/>
        <v>1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70</v>
      </c>
      <c r="D102" s="155">
        <f>D$81+D$87</f>
        <v>134</v>
      </c>
      <c r="E102" s="84">
        <f>E$81+E$87</f>
        <v>132</v>
      </c>
      <c r="F102" s="69"/>
      <c r="H102" s="78" t="str">
        <v>WQ</v>
      </c>
      <c r="I102" s="48" t="str">
        <v>WW,Q</v>
      </c>
      <c r="J102" s="155">
        <f>J$81+J$87</f>
        <v>66</v>
      </c>
      <c r="K102" s="155">
        <f ca="1">K$81+K$87</f>
        <v>146</v>
      </c>
      <c r="L102" s="84">
        <f>L$81+L$87</f>
        <v>140</v>
      </c>
      <c r="M102" s="69"/>
      <c r="O102" s="78" t="str">
        <v>WQ</v>
      </c>
      <c r="P102" s="48" t="str">
        <v>WW,Q</v>
      </c>
      <c r="Q102" s="155">
        <f>Q$81+Q$87</f>
        <v>62</v>
      </c>
      <c r="R102" s="155">
        <f ca="1">R$81+R$87</f>
        <v>158</v>
      </c>
      <c r="S102" s="84">
        <f>S$81+S$87</f>
        <v>148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</v>
      </c>
      <c r="BL102" s="29">
        <v>1</v>
      </c>
      <c r="BM102" s="29">
        <v>1</v>
      </c>
      <c r="BO102" s="29">
        <f t="shared" si="97"/>
        <v>1</v>
      </c>
      <c r="BP102" s="29">
        <f t="shared" si="86"/>
        <v>1</v>
      </c>
      <c r="BQ102" s="29">
        <f t="shared" si="87"/>
        <v>1</v>
      </c>
      <c r="BR102" s="65"/>
      <c r="BS102" s="29">
        <f t="shared" si="105"/>
        <v>1</v>
      </c>
      <c r="BT102" s="29">
        <f t="shared" si="98"/>
        <v>1</v>
      </c>
      <c r="BU102" s="29">
        <f t="shared" si="99"/>
        <v>1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72</v>
      </c>
      <c r="D103" s="154">
        <f>D$81+D$88</f>
        <v>131</v>
      </c>
      <c r="E103" s="17">
        <f>E$81+E$88</f>
        <v>148</v>
      </c>
      <c r="F103" s="69"/>
      <c r="H103" s="73" t="str">
        <v>WJ</v>
      </c>
      <c r="I103" s="53" t="str">
        <v>WW,J</v>
      </c>
      <c r="J103" s="154">
        <f ca="1">J$81+J$88</f>
        <v>72</v>
      </c>
      <c r="K103" s="154">
        <f ca="1">K$81+K$88</f>
        <v>135</v>
      </c>
      <c r="L103" s="17">
        <f>L$81+L$88</f>
        <v>152</v>
      </c>
      <c r="M103" s="69"/>
      <c r="O103" s="73" t="str">
        <v>WJ</v>
      </c>
      <c r="P103" s="53" t="str">
        <v>WW,J</v>
      </c>
      <c r="Q103" s="154">
        <f ca="1">Q$81+Q$88</f>
        <v>72</v>
      </c>
      <c r="R103" s="154">
        <f ca="1">R$81+R$88</f>
        <v>139</v>
      </c>
      <c r="S103" s="17">
        <f>S$81+S$88</f>
        <v>156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</v>
      </c>
      <c r="BL103" s="29">
        <v>1</v>
      </c>
      <c r="BM103" s="29">
        <v>1</v>
      </c>
      <c r="BO103" s="29">
        <f t="shared" si="97"/>
        <v>1</v>
      </c>
      <c r="BP103" s="29">
        <f t="shared" si="86"/>
        <v>1</v>
      </c>
      <c r="BQ103" s="29">
        <f t="shared" si="87"/>
        <v>1</v>
      </c>
      <c r="BR103" s="65"/>
      <c r="BS103" s="29">
        <f t="shared" si="105"/>
        <v>1</v>
      </c>
      <c r="BT103" s="29">
        <f t="shared" si="98"/>
        <v>1</v>
      </c>
      <c r="BU103" s="29">
        <f t="shared" si="99"/>
        <v>1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</v>
      </c>
      <c r="BL104" s="29">
        <v>1</v>
      </c>
      <c r="BM104" s="29">
        <v>1</v>
      </c>
      <c r="BO104" s="29">
        <f t="shared" si="97"/>
        <v>1</v>
      </c>
      <c r="BP104" s="29">
        <f t="shared" si="86"/>
        <v>1</v>
      </c>
      <c r="BQ104" s="29">
        <f t="shared" si="87"/>
        <v>1</v>
      </c>
      <c r="BR104" s="65"/>
      <c r="BS104" s="29">
        <f t="shared" si="105"/>
        <v>1</v>
      </c>
      <c r="BT104" s="29">
        <f t="shared" si="98"/>
        <v>1</v>
      </c>
      <c r="BU104" s="29">
        <f t="shared" si="99"/>
        <v>1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</v>
      </c>
      <c r="BL105" s="29">
        <v>1</v>
      </c>
      <c r="BM105" s="29">
        <v>1</v>
      </c>
      <c r="BO105" s="29">
        <f t="shared" si="97"/>
        <v>1</v>
      </c>
      <c r="BP105" s="29">
        <f t="shared" si="86"/>
        <v>1</v>
      </c>
      <c r="BQ105" s="29">
        <f t="shared" si="87"/>
        <v>1</v>
      </c>
      <c r="BR105" s="65"/>
      <c r="BS105" s="29">
        <f t="shared" si="105"/>
        <v>1</v>
      </c>
      <c r="BT105" s="29">
        <f t="shared" si="98"/>
        <v>1</v>
      </c>
      <c r="BU105" s="29">
        <f t="shared" si="99"/>
        <v>1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</v>
      </c>
      <c r="BL106" s="29">
        <v>1</v>
      </c>
      <c r="BM106" s="29">
        <v>1</v>
      </c>
      <c r="BO106" s="29">
        <f t="shared" si="97"/>
        <v>1</v>
      </c>
      <c r="BP106" s="29">
        <f t="shared" si="86"/>
        <v>1</v>
      </c>
      <c r="BQ106" s="29">
        <f t="shared" si="87"/>
        <v>1</v>
      </c>
      <c r="BR106" s="65"/>
      <c r="BS106" s="29">
        <f t="shared" si="105"/>
        <v>1</v>
      </c>
      <c r="BT106" s="29">
        <f t="shared" si="98"/>
        <v>1</v>
      </c>
      <c r="BU106" s="29">
        <f t="shared" si="99"/>
        <v>1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</v>
      </c>
      <c r="BL107" s="29">
        <v>1</v>
      </c>
      <c r="BM107" s="29">
        <v>1</v>
      </c>
      <c r="BO107" s="29">
        <f t="shared" si="97"/>
        <v>1</v>
      </c>
      <c r="BP107" s="29">
        <f t="shared" si="86"/>
        <v>1</v>
      </c>
      <c r="BQ107" s="29">
        <f t="shared" si="87"/>
        <v>1</v>
      </c>
      <c r="BR107" s="65"/>
      <c r="BS107" s="29">
        <f t="shared" si="105"/>
        <v>1</v>
      </c>
      <c r="BT107" s="29">
        <f t="shared" si="98"/>
        <v>1</v>
      </c>
      <c r="BU107" s="29">
        <f t="shared" si="99"/>
        <v>1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</v>
      </c>
      <c r="BL108" s="29">
        <v>1</v>
      </c>
      <c r="BM108" s="29">
        <v>1</v>
      </c>
      <c r="BO108" s="29">
        <f t="shared" si="97"/>
        <v>1</v>
      </c>
      <c r="BP108" s="29">
        <f t="shared" si="86"/>
        <v>1</v>
      </c>
      <c r="BQ108" s="29">
        <f t="shared" si="87"/>
        <v>1</v>
      </c>
      <c r="BR108" s="65"/>
      <c r="BS108" s="29">
        <f t="shared" si="105"/>
        <v>1</v>
      </c>
      <c r="BT108" s="29">
        <f t="shared" si="98"/>
        <v>1</v>
      </c>
      <c r="BU108" s="29">
        <f t="shared" si="99"/>
        <v>1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</v>
      </c>
      <c r="BL109" s="29">
        <v>1</v>
      </c>
      <c r="BM109" s="29">
        <v>1</v>
      </c>
      <c r="BO109" s="29">
        <f t="shared" si="97"/>
        <v>1</v>
      </c>
      <c r="BP109" s="29">
        <f t="shared" si="86"/>
        <v>1</v>
      </c>
      <c r="BQ109" s="29">
        <f t="shared" si="87"/>
        <v>1</v>
      </c>
      <c r="BR109" s="65"/>
      <c r="BS109" s="29">
        <f t="shared" si="105"/>
        <v>1</v>
      </c>
      <c r="BT109" s="29">
        <f t="shared" si="98"/>
        <v>1</v>
      </c>
      <c r="BU109" s="29">
        <f t="shared" si="99"/>
        <v>1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</v>
      </c>
      <c r="BL110" s="29">
        <v>1</v>
      </c>
      <c r="BM110" s="29">
        <v>1</v>
      </c>
      <c r="BO110" s="29">
        <f t="shared" si="97"/>
        <v>1</v>
      </c>
      <c r="BP110" s="29">
        <f t="shared" si="86"/>
        <v>1</v>
      </c>
      <c r="BQ110" s="29">
        <f t="shared" si="87"/>
        <v>1</v>
      </c>
      <c r="BR110" s="65"/>
      <c r="BS110" s="29">
        <f t="shared" si="105"/>
        <v>1</v>
      </c>
      <c r="BT110" s="29">
        <f t="shared" si="98"/>
        <v>1</v>
      </c>
      <c r="BU110" s="29">
        <f t="shared" si="99"/>
        <v>1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</v>
      </c>
      <c r="BL111" s="29">
        <v>1</v>
      </c>
      <c r="BM111" s="29">
        <v>1</v>
      </c>
      <c r="BO111" s="29">
        <f t="shared" si="97"/>
        <v>1</v>
      </c>
      <c r="BP111" s="29">
        <f t="shared" si="86"/>
        <v>1</v>
      </c>
      <c r="BQ111" s="29">
        <f t="shared" si="87"/>
        <v>1</v>
      </c>
      <c r="BR111" s="65"/>
      <c r="BS111" s="29">
        <f t="shared" si="105"/>
        <v>1</v>
      </c>
      <c r="BT111" s="29">
        <f t="shared" si="98"/>
        <v>1</v>
      </c>
      <c r="BU111" s="29">
        <f t="shared" si="99"/>
        <v>1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</v>
      </c>
      <c r="BL112" s="29">
        <v>1</v>
      </c>
      <c r="BM112" s="29">
        <v>1</v>
      </c>
      <c r="BO112" s="29">
        <f t="shared" si="97"/>
        <v>1</v>
      </c>
      <c r="BP112" s="29">
        <f t="shared" si="86"/>
        <v>1</v>
      </c>
      <c r="BQ112" s="29">
        <f t="shared" si="87"/>
        <v>1</v>
      </c>
      <c r="BR112" s="65"/>
      <c r="BS112" s="29">
        <f t="shared" si="105"/>
        <v>1</v>
      </c>
      <c r="BT112" s="29">
        <f t="shared" si="98"/>
        <v>1</v>
      </c>
      <c r="BU112" s="29">
        <f t="shared" si="99"/>
        <v>1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</v>
      </c>
      <c r="BL113" s="29">
        <v>1</v>
      </c>
      <c r="BM113" s="29">
        <v>1</v>
      </c>
      <c r="BO113" s="29">
        <f t="shared" si="97"/>
        <v>1</v>
      </c>
      <c r="BP113" s="29">
        <f t="shared" si="86"/>
        <v>1</v>
      </c>
      <c r="BQ113" s="29">
        <f t="shared" si="87"/>
        <v>1</v>
      </c>
      <c r="BR113" s="65"/>
      <c r="BS113" s="29">
        <f t="shared" si="105"/>
        <v>1</v>
      </c>
      <c r="BT113" s="29">
        <f t="shared" si="98"/>
        <v>1</v>
      </c>
      <c r="BU113" s="29">
        <f t="shared" si="99"/>
        <v>1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</v>
      </c>
      <c r="BL114" s="29">
        <v>1</v>
      </c>
      <c r="BM114" s="29">
        <v>1</v>
      </c>
      <c r="BO114" s="29">
        <f t="shared" si="97"/>
        <v>1</v>
      </c>
      <c r="BP114" s="29">
        <f t="shared" si="86"/>
        <v>1</v>
      </c>
      <c r="BQ114" s="29">
        <f t="shared" si="87"/>
        <v>1</v>
      </c>
      <c r="BR114" s="65"/>
      <c r="BS114" s="29">
        <f t="shared" si="105"/>
        <v>1</v>
      </c>
      <c r="BT114" s="29">
        <f t="shared" si="98"/>
        <v>1</v>
      </c>
      <c r="BU114" s="29">
        <f t="shared" si="99"/>
        <v>1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</v>
      </c>
      <c r="BL115" s="29">
        <v>1</v>
      </c>
      <c r="BM115" s="29">
        <v>1</v>
      </c>
      <c r="BO115" s="29">
        <f t="shared" si="97"/>
        <v>1</v>
      </c>
      <c r="BP115" s="29">
        <f t="shared" si="86"/>
        <v>1</v>
      </c>
      <c r="BQ115" s="29">
        <f t="shared" si="87"/>
        <v>1</v>
      </c>
      <c r="BR115" s="65"/>
      <c r="BS115" s="29">
        <f t="shared" si="105"/>
        <v>1</v>
      </c>
      <c r="BT115" s="29">
        <f t="shared" si="98"/>
        <v>1</v>
      </c>
      <c r="BU115" s="29">
        <f t="shared" si="99"/>
        <v>1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</v>
      </c>
      <c r="BL116" s="29">
        <v>1</v>
      </c>
      <c r="BM116" s="29">
        <v>1</v>
      </c>
      <c r="BO116" s="29">
        <f t="shared" si="97"/>
        <v>1</v>
      </c>
      <c r="BP116" s="29">
        <f t="shared" si="86"/>
        <v>1</v>
      </c>
      <c r="BQ116" s="29">
        <f t="shared" si="87"/>
        <v>1</v>
      </c>
      <c r="BR116" s="65"/>
      <c r="BS116" s="29">
        <f t="shared" si="105"/>
        <v>1</v>
      </c>
      <c r="BT116" s="29">
        <f t="shared" si="98"/>
        <v>1</v>
      </c>
      <c r="BU116" s="29">
        <f t="shared" si="99"/>
        <v>1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</v>
      </c>
      <c r="BL117" s="29">
        <v>1</v>
      </c>
      <c r="BM117" s="29">
        <v>1</v>
      </c>
      <c r="BO117" s="29">
        <f t="shared" si="97"/>
        <v>1</v>
      </c>
      <c r="BP117" s="29">
        <f t="shared" si="86"/>
        <v>1</v>
      </c>
      <c r="BQ117" s="29">
        <f t="shared" si="87"/>
        <v>1</v>
      </c>
      <c r="BR117" s="65"/>
      <c r="BS117" s="29">
        <f t="shared" si="105"/>
        <v>1</v>
      </c>
      <c r="BT117" s="29">
        <f t="shared" si="98"/>
        <v>1</v>
      </c>
      <c r="BU117" s="29">
        <f t="shared" si="99"/>
        <v>1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</v>
      </c>
      <c r="BL118" s="29">
        <v>1</v>
      </c>
      <c r="BM118" s="29">
        <v>1</v>
      </c>
      <c r="BO118" s="29">
        <f t="shared" si="97"/>
        <v>1</v>
      </c>
      <c r="BP118" s="29">
        <f t="shared" si="86"/>
        <v>1</v>
      </c>
      <c r="BQ118" s="29">
        <f t="shared" si="87"/>
        <v>1</v>
      </c>
      <c r="BR118" s="65"/>
      <c r="BS118" s="29">
        <f t="shared" si="105"/>
        <v>1</v>
      </c>
      <c r="BT118" s="29">
        <f t="shared" si="98"/>
        <v>1</v>
      </c>
      <c r="BU118" s="29">
        <f t="shared" si="99"/>
        <v>1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</v>
      </c>
      <c r="BL119" s="29">
        <v>1</v>
      </c>
      <c r="BM119" s="29">
        <v>1</v>
      </c>
      <c r="BO119" s="29">
        <f t="shared" si="97"/>
        <v>1</v>
      </c>
      <c r="BP119" s="29">
        <f t="shared" si="86"/>
        <v>1</v>
      </c>
      <c r="BQ119" s="29">
        <f t="shared" si="87"/>
        <v>1</v>
      </c>
      <c r="BR119" s="65"/>
      <c r="BS119" s="29">
        <f t="shared" si="105"/>
        <v>1</v>
      </c>
      <c r="BT119" s="29">
        <f t="shared" si="98"/>
        <v>1</v>
      </c>
      <c r="BU119" s="29">
        <f t="shared" si="99"/>
        <v>1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5</v>
      </c>
      <c r="BL120" s="29">
        <v>1</v>
      </c>
      <c r="BM120" s="29">
        <v>1</v>
      </c>
      <c r="BO120" s="29">
        <f t="shared" si="97"/>
        <v>1</v>
      </c>
      <c r="BP120" s="29">
        <f t="shared" si="86"/>
        <v>1</v>
      </c>
      <c r="BQ120" s="29">
        <f t="shared" si="87"/>
        <v>1</v>
      </c>
      <c r="BR120" s="65"/>
      <c r="BS120" s="29">
        <f t="shared" si="105"/>
        <v>1</v>
      </c>
      <c r="BT120" s="29">
        <f t="shared" si="98"/>
        <v>1</v>
      </c>
      <c r="BU120" s="29">
        <f t="shared" si="99"/>
        <v>1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5</v>
      </c>
      <c r="BL121" s="29">
        <v>1</v>
      </c>
      <c r="BM121" s="29">
        <v>1</v>
      </c>
      <c r="BO121" s="29">
        <f t="shared" si="97"/>
        <v>5</v>
      </c>
      <c r="BP121" s="29">
        <f t="shared" si="86"/>
        <v>1</v>
      </c>
      <c r="BQ121" s="29">
        <f t="shared" si="87"/>
        <v>1</v>
      </c>
      <c r="BR121" s="65"/>
      <c r="BS121" s="29">
        <f t="shared" si="105"/>
        <v>1</v>
      </c>
      <c r="BT121" s="29">
        <f t="shared" si="98"/>
        <v>1</v>
      </c>
      <c r="BU121" s="29">
        <f t="shared" si="99"/>
        <v>1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5</v>
      </c>
      <c r="BL122" s="29">
        <v>1</v>
      </c>
      <c r="BM122" s="29">
        <v>1</v>
      </c>
      <c r="BO122" s="29">
        <f t="shared" si="97"/>
        <v>5</v>
      </c>
      <c r="BP122" s="29">
        <f t="shared" si="86"/>
        <v>1</v>
      </c>
      <c r="BQ122" s="29">
        <f t="shared" si="87"/>
        <v>1</v>
      </c>
      <c r="BR122" s="65"/>
      <c r="BS122" s="29">
        <f t="shared" si="105"/>
        <v>5</v>
      </c>
      <c r="BT122" s="29">
        <f t="shared" si="98"/>
        <v>1</v>
      </c>
      <c r="BU122" s="29">
        <f t="shared" si="99"/>
        <v>1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5</v>
      </c>
      <c r="BL123" s="29">
        <v>1</v>
      </c>
      <c r="BM123" s="29">
        <v>1</v>
      </c>
      <c r="BO123" s="29">
        <f t="shared" si="97"/>
        <v>5</v>
      </c>
      <c r="BP123" s="29">
        <f t="shared" si="86"/>
        <v>1</v>
      </c>
      <c r="BQ123" s="29">
        <f t="shared" si="87"/>
        <v>1</v>
      </c>
      <c r="BR123" s="65"/>
      <c r="BS123" s="29">
        <f t="shared" si="105"/>
        <v>5</v>
      </c>
      <c r="BT123" s="29">
        <f t="shared" si="98"/>
        <v>1</v>
      </c>
      <c r="BU123" s="29">
        <f t="shared" si="99"/>
        <v>1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5</v>
      </c>
      <c r="BL124" s="29">
        <v>1</v>
      </c>
      <c r="BM124" s="29">
        <v>1</v>
      </c>
      <c r="BO124" s="29">
        <f t="shared" si="97"/>
        <v>5</v>
      </c>
      <c r="BP124" s="29">
        <f t="shared" si="86"/>
        <v>1</v>
      </c>
      <c r="BQ124" s="29">
        <f t="shared" si="87"/>
        <v>1</v>
      </c>
      <c r="BR124" s="65"/>
      <c r="BS124" s="29">
        <f t="shared" si="105"/>
        <v>5</v>
      </c>
      <c r="BT124" s="29">
        <f t="shared" si="98"/>
        <v>1</v>
      </c>
      <c r="BU124" s="29">
        <f t="shared" si="99"/>
        <v>1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</v>
      </c>
      <c r="BL125" s="29">
        <v>1</v>
      </c>
      <c r="BM125" s="29">
        <v>1</v>
      </c>
      <c r="BO125" s="29">
        <f t="shared" si="97"/>
        <v>5</v>
      </c>
      <c r="BP125" s="29">
        <f t="shared" si="86"/>
        <v>1</v>
      </c>
      <c r="BQ125" s="29">
        <f t="shared" si="87"/>
        <v>1</v>
      </c>
      <c r="BR125" s="65"/>
      <c r="BS125" s="29">
        <f t="shared" si="105"/>
        <v>5</v>
      </c>
      <c r="BT125" s="29">
        <f t="shared" si="98"/>
        <v>1</v>
      </c>
      <c r="BU125" s="29">
        <f t="shared" si="99"/>
        <v>1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</v>
      </c>
      <c r="BM126" s="29">
        <v>1</v>
      </c>
      <c r="BO126" s="29">
        <f t="shared" si="97"/>
        <v>1</v>
      </c>
      <c r="BP126" s="29">
        <f t="shared" si="86"/>
        <v>1</v>
      </c>
      <c r="BQ126" s="29">
        <f t="shared" si="87"/>
        <v>1</v>
      </c>
      <c r="BR126" s="65"/>
      <c r="BS126" s="29">
        <f t="shared" si="105"/>
        <v>5</v>
      </c>
      <c r="BT126" s="29">
        <f t="shared" si="98"/>
        <v>1</v>
      </c>
      <c r="BU126" s="29">
        <f t="shared" si="99"/>
        <v>1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</v>
      </c>
      <c r="BM127" s="29">
        <v>1</v>
      </c>
      <c r="BO127" s="29" t="str">
        <f t="shared" si="97"/>
        <v/>
      </c>
      <c r="BP127" s="29">
        <f t="shared" si="86"/>
        <v>1</v>
      </c>
      <c r="BQ127" s="29">
        <f t="shared" si="87"/>
        <v>1</v>
      </c>
      <c r="BR127" s="65"/>
      <c r="BS127" s="29">
        <f t="shared" si="105"/>
        <v>1</v>
      </c>
      <c r="BT127" s="29">
        <f t="shared" si="98"/>
        <v>1</v>
      </c>
      <c r="BU127" s="29">
        <f t="shared" si="99"/>
        <v>1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</v>
      </c>
      <c r="BM128" s="29">
        <v>1</v>
      </c>
      <c r="BO128" s="29" t="str">
        <f t="shared" si="97"/>
        <v/>
      </c>
      <c r="BP128" s="29">
        <f t="shared" si="86"/>
        <v>1</v>
      </c>
      <c r="BQ128" s="29">
        <f t="shared" si="87"/>
        <v>1</v>
      </c>
      <c r="BR128" s="65"/>
      <c r="BS128" s="29" t="str">
        <f t="shared" si="105"/>
        <v/>
      </c>
      <c r="BT128" s="29">
        <f t="shared" si="98"/>
        <v>1</v>
      </c>
      <c r="BU128" s="29">
        <f t="shared" si="99"/>
        <v>1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</v>
      </c>
      <c r="BM129" s="29">
        <v>1</v>
      </c>
      <c r="BO129" s="29" t="str">
        <f t="shared" si="97"/>
        <v/>
      </c>
      <c r="BP129" s="29">
        <f t="shared" si="86"/>
        <v>1</v>
      </c>
      <c r="BQ129" s="29">
        <f t="shared" si="87"/>
        <v>1</v>
      </c>
      <c r="BR129" s="65"/>
      <c r="BS129" s="29" t="str">
        <f t="shared" si="105"/>
        <v/>
      </c>
      <c r="BT129" s="29">
        <f t="shared" si="98"/>
        <v>1</v>
      </c>
      <c r="BU129" s="29">
        <f t="shared" si="99"/>
        <v>1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</v>
      </c>
      <c r="BM130" s="29">
        <v>1</v>
      </c>
      <c r="BO130" s="29" t="str">
        <f t="shared" si="97"/>
        <v/>
      </c>
      <c r="BP130" s="29">
        <f t="shared" si="86"/>
        <v>1</v>
      </c>
      <c r="BQ130" s="29">
        <f t="shared" si="87"/>
        <v>1</v>
      </c>
      <c r="BR130" s="65"/>
      <c r="BS130" s="29" t="str">
        <f t="shared" si="105"/>
        <v/>
      </c>
      <c r="BT130" s="29">
        <f t="shared" si="98"/>
        <v>1</v>
      </c>
      <c r="BU130" s="29">
        <f t="shared" si="99"/>
        <v>1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</v>
      </c>
      <c r="BM131" s="29">
        <v>5</v>
      </c>
      <c r="BO131" s="29" t="str">
        <f t="shared" si="97"/>
        <v/>
      </c>
      <c r="BP131" s="29">
        <f t="shared" si="86"/>
        <v>1</v>
      </c>
      <c r="BQ131" s="29">
        <f t="shared" si="87"/>
        <v>1</v>
      </c>
      <c r="BR131" s="65"/>
      <c r="BS131" s="29" t="str">
        <f t="shared" si="105"/>
        <v/>
      </c>
      <c r="BT131" s="29">
        <f t="shared" si="98"/>
        <v>1</v>
      </c>
      <c r="BU131" s="29">
        <f t="shared" si="99"/>
        <v>1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</v>
      </c>
      <c r="BM132" s="29">
        <v>5</v>
      </c>
      <c r="BO132" s="29" t="str">
        <f t="shared" si="97"/>
        <v/>
      </c>
      <c r="BP132" s="29">
        <f t="shared" ref="BP132:BP195" si="125">IF(BL131="","",BL131)</f>
        <v>1</v>
      </c>
      <c r="BQ132" s="29">
        <f t="shared" ref="BQ132:BQ195" si="126">IF(BM131="","",BM131)</f>
        <v>5</v>
      </c>
      <c r="BR132" s="65"/>
      <c r="BS132" s="29" t="str">
        <f t="shared" si="105"/>
        <v/>
      </c>
      <c r="BT132" s="29">
        <f t="shared" si="98"/>
        <v>1</v>
      </c>
      <c r="BU132" s="29">
        <f t="shared" si="99"/>
        <v>1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</v>
      </c>
      <c r="BM133" s="29">
        <v>5</v>
      </c>
      <c r="BO133" s="29" t="str">
        <f t="shared" ref="BO133:BO196" si="136">IF(BK132="","",BK132)</f>
        <v/>
      </c>
      <c r="BP133" s="29">
        <f t="shared" si="125"/>
        <v>1</v>
      </c>
      <c r="BQ133" s="29">
        <f t="shared" si="126"/>
        <v>5</v>
      </c>
      <c r="BR133" s="65"/>
      <c r="BS133" s="29" t="str">
        <f t="shared" si="105"/>
        <v/>
      </c>
      <c r="BT133" s="29">
        <f t="shared" ref="BT133:BT196" si="137">IF(BL131="","",BL131)</f>
        <v>1</v>
      </c>
      <c r="BU133" s="29">
        <f t="shared" ref="BU133:BU196" si="138">IF(BM131="","",BM131)</f>
        <v>5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</v>
      </c>
      <c r="BM134" s="29">
        <v>5</v>
      </c>
      <c r="BO134" s="29" t="str">
        <f t="shared" si="136"/>
        <v/>
      </c>
      <c r="BP134" s="29">
        <f t="shared" si="125"/>
        <v>1</v>
      </c>
      <c r="BQ134" s="29">
        <f t="shared" si="126"/>
        <v>5</v>
      </c>
      <c r="BR134" s="65"/>
      <c r="BS134" s="29" t="str">
        <f t="shared" ref="BS134:BS197" si="144">IF(BK132="","",BK132)</f>
        <v/>
      </c>
      <c r="BT134" s="29">
        <f t="shared" si="137"/>
        <v>1</v>
      </c>
      <c r="BU134" s="29">
        <f t="shared" si="138"/>
        <v>5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</v>
      </c>
      <c r="BM135" s="29">
        <v>5</v>
      </c>
      <c r="BO135" s="29" t="str">
        <f t="shared" si="136"/>
        <v/>
      </c>
      <c r="BP135" s="29">
        <f t="shared" si="125"/>
        <v>1</v>
      </c>
      <c r="BQ135" s="29">
        <f t="shared" si="126"/>
        <v>5</v>
      </c>
      <c r="BR135" s="65"/>
      <c r="BS135" s="29" t="str">
        <f t="shared" si="144"/>
        <v/>
      </c>
      <c r="BT135" s="29">
        <f t="shared" si="137"/>
        <v>1</v>
      </c>
      <c r="BU135" s="29">
        <f t="shared" si="138"/>
        <v>5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</v>
      </c>
      <c r="BM136" s="29">
        <v>1</v>
      </c>
      <c r="BO136" s="29" t="str">
        <f t="shared" si="136"/>
        <v/>
      </c>
      <c r="BP136" s="29">
        <f t="shared" si="125"/>
        <v>1</v>
      </c>
      <c r="BQ136" s="29">
        <f t="shared" si="126"/>
        <v>5</v>
      </c>
      <c r="BR136" s="65"/>
      <c r="BS136" s="29" t="str">
        <f t="shared" si="144"/>
        <v/>
      </c>
      <c r="BT136" s="29">
        <f t="shared" si="137"/>
        <v>1</v>
      </c>
      <c r="BU136" s="29">
        <f t="shared" si="138"/>
        <v>5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</v>
      </c>
      <c r="BM137" s="29">
        <v>1</v>
      </c>
      <c r="BO137" s="29" t="str">
        <f t="shared" si="136"/>
        <v/>
      </c>
      <c r="BP137" s="29">
        <f t="shared" si="125"/>
        <v>1</v>
      </c>
      <c r="BQ137" s="29">
        <f t="shared" si="126"/>
        <v>1</v>
      </c>
      <c r="BR137" s="65"/>
      <c r="BS137" s="29" t="str">
        <f t="shared" si="144"/>
        <v/>
      </c>
      <c r="BT137" s="29">
        <f t="shared" si="137"/>
        <v>1</v>
      </c>
      <c r="BU137" s="29">
        <f t="shared" si="138"/>
        <v>5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</v>
      </c>
      <c r="BM138" s="29">
        <v>1</v>
      </c>
      <c r="BO138" s="29" t="str">
        <f t="shared" si="136"/>
        <v/>
      </c>
      <c r="BP138" s="29">
        <f t="shared" si="125"/>
        <v>1</v>
      </c>
      <c r="BQ138" s="29">
        <f t="shared" si="126"/>
        <v>1</v>
      </c>
      <c r="BR138" s="65"/>
      <c r="BS138" s="29" t="str">
        <f t="shared" si="144"/>
        <v/>
      </c>
      <c r="BT138" s="29">
        <f t="shared" si="137"/>
        <v>1</v>
      </c>
      <c r="BU138" s="29">
        <f t="shared" si="138"/>
        <v>1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</v>
      </c>
      <c r="BM139" s="29">
        <v>1</v>
      </c>
      <c r="BO139" s="29" t="str">
        <f t="shared" si="136"/>
        <v/>
      </c>
      <c r="BP139" s="29">
        <f t="shared" si="125"/>
        <v>1</v>
      </c>
      <c r="BQ139" s="29">
        <f t="shared" si="126"/>
        <v>1</v>
      </c>
      <c r="BR139" s="65"/>
      <c r="BS139" s="29" t="str">
        <f t="shared" si="144"/>
        <v/>
      </c>
      <c r="BT139" s="29">
        <f t="shared" si="137"/>
        <v>1</v>
      </c>
      <c r="BU139" s="29">
        <f t="shared" si="138"/>
        <v>1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</v>
      </c>
      <c r="BM140" s="29">
        <v>1</v>
      </c>
      <c r="BO140" s="29" t="str">
        <f t="shared" si="136"/>
        <v/>
      </c>
      <c r="BP140" s="29">
        <f t="shared" si="125"/>
        <v>1</v>
      </c>
      <c r="BQ140" s="29">
        <f t="shared" si="126"/>
        <v>1</v>
      </c>
      <c r="BR140" s="65"/>
      <c r="BS140" s="29" t="str">
        <f t="shared" si="144"/>
        <v/>
      </c>
      <c r="BT140" s="29">
        <f t="shared" si="137"/>
        <v>1</v>
      </c>
      <c r="BU140" s="29">
        <f t="shared" si="138"/>
        <v>1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</v>
      </c>
      <c r="BM141" s="29">
        <v>1</v>
      </c>
      <c r="BO141" s="29" t="str">
        <f t="shared" si="136"/>
        <v/>
      </c>
      <c r="BP141" s="29">
        <f t="shared" si="125"/>
        <v>1</v>
      </c>
      <c r="BQ141" s="29">
        <f t="shared" si="126"/>
        <v>1</v>
      </c>
      <c r="BR141" s="65"/>
      <c r="BS141" s="29" t="str">
        <f t="shared" si="144"/>
        <v/>
      </c>
      <c r="BT141" s="29">
        <f t="shared" si="137"/>
        <v>1</v>
      </c>
      <c r="BU141" s="29">
        <f t="shared" si="138"/>
        <v>1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5</v>
      </c>
      <c r="BM142" s="29">
        <v>5</v>
      </c>
      <c r="BO142" s="29" t="str">
        <f t="shared" si="136"/>
        <v/>
      </c>
      <c r="BP142" s="29">
        <f t="shared" si="125"/>
        <v>1</v>
      </c>
      <c r="BQ142" s="29">
        <f t="shared" si="126"/>
        <v>1</v>
      </c>
      <c r="BR142" s="65"/>
      <c r="BS142" s="29" t="str">
        <f t="shared" si="144"/>
        <v/>
      </c>
      <c r="BT142" s="29">
        <f t="shared" si="137"/>
        <v>1</v>
      </c>
      <c r="BU142" s="29">
        <f t="shared" si="138"/>
        <v>1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5</v>
      </c>
      <c r="BM143" s="29">
        <v>5</v>
      </c>
      <c r="BO143" s="29" t="str">
        <f t="shared" si="136"/>
        <v/>
      </c>
      <c r="BP143" s="29">
        <f t="shared" si="125"/>
        <v>5</v>
      </c>
      <c r="BQ143" s="29">
        <f t="shared" si="126"/>
        <v>5</v>
      </c>
      <c r="BR143" s="65"/>
      <c r="BS143" s="29" t="str">
        <f t="shared" si="144"/>
        <v/>
      </c>
      <c r="BT143" s="29">
        <f t="shared" si="137"/>
        <v>1</v>
      </c>
      <c r="BU143" s="29">
        <f t="shared" si="138"/>
        <v>1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5</v>
      </c>
      <c r="BM144" s="29">
        <v>5</v>
      </c>
      <c r="BO144" s="29" t="str">
        <f t="shared" si="136"/>
        <v/>
      </c>
      <c r="BP144" s="29">
        <f t="shared" si="125"/>
        <v>5</v>
      </c>
      <c r="BQ144" s="29">
        <f t="shared" si="126"/>
        <v>5</v>
      </c>
      <c r="BR144" s="65"/>
      <c r="BS144" s="29" t="str">
        <f t="shared" si="144"/>
        <v/>
      </c>
      <c r="BT144" s="29">
        <f t="shared" si="137"/>
        <v>5</v>
      </c>
      <c r="BU144" s="29">
        <f t="shared" si="138"/>
        <v>5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5</v>
      </c>
      <c r="BM145" s="29">
        <v>5</v>
      </c>
      <c r="BO145" s="29" t="str">
        <f t="shared" si="136"/>
        <v/>
      </c>
      <c r="BP145" s="29">
        <f t="shared" si="125"/>
        <v>5</v>
      </c>
      <c r="BQ145" s="29">
        <f t="shared" si="126"/>
        <v>5</v>
      </c>
      <c r="BR145" s="65"/>
      <c r="BS145" s="29" t="str">
        <f t="shared" si="144"/>
        <v/>
      </c>
      <c r="BT145" s="29">
        <f t="shared" si="137"/>
        <v>5</v>
      </c>
      <c r="BU145" s="29">
        <f t="shared" si="138"/>
        <v>5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5</v>
      </c>
      <c r="BM146" s="29">
        <v>5</v>
      </c>
      <c r="BO146" s="29" t="str">
        <f t="shared" si="136"/>
        <v/>
      </c>
      <c r="BP146" s="29">
        <f t="shared" si="125"/>
        <v>5</v>
      </c>
      <c r="BQ146" s="29">
        <f t="shared" si="126"/>
        <v>5</v>
      </c>
      <c r="BR146" s="65"/>
      <c r="BS146" s="29" t="str">
        <f t="shared" si="144"/>
        <v/>
      </c>
      <c r="BT146" s="29">
        <f t="shared" si="137"/>
        <v>5</v>
      </c>
      <c r="BU146" s="29">
        <f t="shared" si="138"/>
        <v>5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</v>
      </c>
      <c r="BM147" s="29">
        <v>1</v>
      </c>
      <c r="BO147" s="29" t="str">
        <f t="shared" si="136"/>
        <v/>
      </c>
      <c r="BP147" s="29">
        <f t="shared" si="125"/>
        <v>5</v>
      </c>
      <c r="BQ147" s="29">
        <f t="shared" si="126"/>
        <v>5</v>
      </c>
      <c r="BR147" s="65"/>
      <c r="BS147" s="29" t="str">
        <f t="shared" si="144"/>
        <v/>
      </c>
      <c r="BT147" s="29">
        <f t="shared" si="137"/>
        <v>5</v>
      </c>
      <c r="BU147" s="29">
        <f t="shared" si="138"/>
        <v>5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</v>
      </c>
      <c r="BM148" s="29">
        <v>1</v>
      </c>
      <c r="BO148" s="29" t="str">
        <f t="shared" si="136"/>
        <v/>
      </c>
      <c r="BP148" s="29">
        <f t="shared" si="125"/>
        <v>1</v>
      </c>
      <c r="BQ148" s="29">
        <f t="shared" si="126"/>
        <v>1</v>
      </c>
      <c r="BR148" s="65"/>
      <c r="BS148" s="29" t="str">
        <f t="shared" si="144"/>
        <v/>
      </c>
      <c r="BT148" s="29">
        <f t="shared" si="137"/>
        <v>5</v>
      </c>
      <c r="BU148" s="29">
        <f t="shared" si="138"/>
        <v>5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</v>
      </c>
      <c r="BM149" s="29">
        <v>1</v>
      </c>
      <c r="BO149" s="29" t="str">
        <f t="shared" si="136"/>
        <v/>
      </c>
      <c r="BP149" s="29">
        <f t="shared" si="125"/>
        <v>1</v>
      </c>
      <c r="BQ149" s="29">
        <f t="shared" si="126"/>
        <v>1</v>
      </c>
      <c r="BR149" s="65"/>
      <c r="BS149" s="29" t="str">
        <f t="shared" si="144"/>
        <v/>
      </c>
      <c r="BT149" s="29">
        <f t="shared" si="137"/>
        <v>1</v>
      </c>
      <c r="BU149" s="29">
        <f t="shared" si="138"/>
        <v>1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</v>
      </c>
      <c r="BM150" s="29">
        <v>1</v>
      </c>
      <c r="BO150" s="29" t="str">
        <f t="shared" si="136"/>
        <v/>
      </c>
      <c r="BP150" s="29">
        <f t="shared" si="125"/>
        <v>1</v>
      </c>
      <c r="BQ150" s="29">
        <f t="shared" si="126"/>
        <v>1</v>
      </c>
      <c r="BR150" s="65"/>
      <c r="BS150" s="29" t="str">
        <f t="shared" si="144"/>
        <v/>
      </c>
      <c r="BT150" s="29">
        <f t="shared" si="137"/>
        <v>1</v>
      </c>
      <c r="BU150" s="29">
        <f t="shared" si="138"/>
        <v>1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</v>
      </c>
      <c r="BM151" s="29">
        <v>1</v>
      </c>
      <c r="BO151" s="29" t="str">
        <f t="shared" si="136"/>
        <v/>
      </c>
      <c r="BP151" s="29">
        <f t="shared" si="125"/>
        <v>1</v>
      </c>
      <c r="BQ151" s="29">
        <f t="shared" si="126"/>
        <v>1</v>
      </c>
      <c r="BR151" s="65"/>
      <c r="BS151" s="29" t="str">
        <f t="shared" si="144"/>
        <v/>
      </c>
      <c r="BT151" s="29">
        <f t="shared" si="137"/>
        <v>1</v>
      </c>
      <c r="BU151" s="29">
        <f t="shared" si="138"/>
        <v>1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</v>
      </c>
      <c r="BM152" s="29">
        <v>1</v>
      </c>
      <c r="BO152" s="29" t="str">
        <f t="shared" si="136"/>
        <v/>
      </c>
      <c r="BP152" s="29">
        <f t="shared" si="125"/>
        <v>1</v>
      </c>
      <c r="BQ152" s="29">
        <f t="shared" si="126"/>
        <v>1</v>
      </c>
      <c r="BR152" s="65"/>
      <c r="BS152" s="29" t="str">
        <f t="shared" si="144"/>
        <v/>
      </c>
      <c r="BT152" s="29">
        <f t="shared" si="137"/>
        <v>1</v>
      </c>
      <c r="BU152" s="29">
        <f t="shared" si="138"/>
        <v>1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</v>
      </c>
      <c r="BM153" s="29">
        <v>1</v>
      </c>
      <c r="BO153" s="29" t="str">
        <f t="shared" si="136"/>
        <v/>
      </c>
      <c r="BP153" s="29">
        <f t="shared" si="125"/>
        <v>1</v>
      </c>
      <c r="BQ153" s="29">
        <f t="shared" si="126"/>
        <v>1</v>
      </c>
      <c r="BR153" s="65"/>
      <c r="BS153" s="29" t="str">
        <f t="shared" si="144"/>
        <v/>
      </c>
      <c r="BT153" s="29">
        <f t="shared" si="137"/>
        <v>1</v>
      </c>
      <c r="BU153" s="29">
        <f t="shared" si="138"/>
        <v>1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</v>
      </c>
      <c r="BM154" s="29">
        <v>1</v>
      </c>
      <c r="BO154" s="29" t="str">
        <f t="shared" si="136"/>
        <v/>
      </c>
      <c r="BP154" s="29">
        <f t="shared" si="125"/>
        <v>1</v>
      </c>
      <c r="BQ154" s="29">
        <f t="shared" si="126"/>
        <v>1</v>
      </c>
      <c r="BR154" s="65"/>
      <c r="BS154" s="29" t="str">
        <f t="shared" si="144"/>
        <v/>
      </c>
      <c r="BT154" s="29">
        <f t="shared" si="137"/>
        <v>1</v>
      </c>
      <c r="BU154" s="29">
        <f t="shared" si="138"/>
        <v>1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</v>
      </c>
      <c r="BM155" s="29">
        <v>1</v>
      </c>
      <c r="BO155" s="29" t="str">
        <f t="shared" si="136"/>
        <v/>
      </c>
      <c r="BP155" s="29">
        <f t="shared" si="125"/>
        <v>1</v>
      </c>
      <c r="BQ155" s="29">
        <f t="shared" si="126"/>
        <v>1</v>
      </c>
      <c r="BR155" s="65"/>
      <c r="BS155" s="29" t="str">
        <f t="shared" si="144"/>
        <v/>
      </c>
      <c r="BT155" s="29">
        <f t="shared" si="137"/>
        <v>1</v>
      </c>
      <c r="BU155" s="29">
        <f t="shared" si="138"/>
        <v>1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</v>
      </c>
      <c r="BM156" s="29">
        <v>1</v>
      </c>
      <c r="BO156" s="29" t="str">
        <f t="shared" si="136"/>
        <v/>
      </c>
      <c r="BP156" s="29">
        <f t="shared" si="125"/>
        <v>1</v>
      </c>
      <c r="BQ156" s="29">
        <f t="shared" si="126"/>
        <v>1</v>
      </c>
      <c r="BR156" s="65"/>
      <c r="BS156" s="29" t="str">
        <f t="shared" si="144"/>
        <v/>
      </c>
      <c r="BT156" s="29">
        <f t="shared" si="137"/>
        <v>1</v>
      </c>
      <c r="BU156" s="29">
        <f t="shared" si="138"/>
        <v>1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</v>
      </c>
      <c r="BM157" s="29">
        <v>5</v>
      </c>
      <c r="BO157" s="29" t="str">
        <f t="shared" si="136"/>
        <v/>
      </c>
      <c r="BP157" s="29">
        <f t="shared" si="125"/>
        <v>1</v>
      </c>
      <c r="BQ157" s="29">
        <f t="shared" si="126"/>
        <v>1</v>
      </c>
      <c r="BR157" s="65"/>
      <c r="BS157" s="29" t="str">
        <f t="shared" si="144"/>
        <v/>
      </c>
      <c r="BT157" s="29">
        <f t="shared" si="137"/>
        <v>1</v>
      </c>
      <c r="BU157" s="29">
        <f t="shared" si="138"/>
        <v>1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</v>
      </c>
      <c r="BM158" s="29">
        <v>5</v>
      </c>
      <c r="BO158" s="29" t="str">
        <f t="shared" si="136"/>
        <v/>
      </c>
      <c r="BP158" s="29">
        <f t="shared" si="125"/>
        <v>1</v>
      </c>
      <c r="BQ158" s="29">
        <f t="shared" si="126"/>
        <v>5</v>
      </c>
      <c r="BR158" s="65"/>
      <c r="BS158" s="29" t="str">
        <f t="shared" si="144"/>
        <v/>
      </c>
      <c r="BT158" s="29">
        <f t="shared" si="137"/>
        <v>1</v>
      </c>
      <c r="BU158" s="29">
        <f t="shared" si="138"/>
        <v>1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</v>
      </c>
      <c r="BM159" s="29">
        <v>5</v>
      </c>
      <c r="BO159" s="29" t="str">
        <f t="shared" si="136"/>
        <v/>
      </c>
      <c r="BP159" s="29">
        <f t="shared" si="125"/>
        <v>1</v>
      </c>
      <c r="BQ159" s="29">
        <f t="shared" si="126"/>
        <v>5</v>
      </c>
      <c r="BR159" s="65"/>
      <c r="BS159" s="29" t="str">
        <f t="shared" si="144"/>
        <v/>
      </c>
      <c r="BT159" s="29">
        <f t="shared" si="137"/>
        <v>1</v>
      </c>
      <c r="BU159" s="29">
        <f t="shared" si="138"/>
        <v>5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</v>
      </c>
      <c r="BM160" s="29">
        <v>5</v>
      </c>
      <c r="BO160" s="29" t="str">
        <f t="shared" si="136"/>
        <v/>
      </c>
      <c r="BP160" s="29">
        <f t="shared" si="125"/>
        <v>1</v>
      </c>
      <c r="BQ160" s="29">
        <f t="shared" si="126"/>
        <v>5</v>
      </c>
      <c r="BR160" s="65"/>
      <c r="BS160" s="29" t="str">
        <f t="shared" si="144"/>
        <v/>
      </c>
      <c r="BT160" s="29">
        <f t="shared" si="137"/>
        <v>1</v>
      </c>
      <c r="BU160" s="29">
        <f t="shared" si="138"/>
        <v>5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</v>
      </c>
      <c r="BM161" s="29">
        <v>5</v>
      </c>
      <c r="BO161" s="29" t="str">
        <f t="shared" si="136"/>
        <v/>
      </c>
      <c r="BP161" s="29">
        <f t="shared" si="125"/>
        <v>1</v>
      </c>
      <c r="BQ161" s="29">
        <f t="shared" si="126"/>
        <v>5</v>
      </c>
      <c r="BR161" s="65"/>
      <c r="BS161" s="29" t="str">
        <f t="shared" si="144"/>
        <v/>
      </c>
      <c r="BT161" s="29">
        <f t="shared" si="137"/>
        <v>1</v>
      </c>
      <c r="BU161" s="29">
        <f t="shared" si="138"/>
        <v>5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</v>
      </c>
      <c r="BM162" s="29">
        <v>1</v>
      </c>
      <c r="BO162" s="29" t="str">
        <f t="shared" si="136"/>
        <v/>
      </c>
      <c r="BP162" s="29">
        <f t="shared" si="125"/>
        <v>1</v>
      </c>
      <c r="BQ162" s="29">
        <f t="shared" si="126"/>
        <v>5</v>
      </c>
      <c r="BR162" s="65"/>
      <c r="BS162" s="29" t="str">
        <f t="shared" si="144"/>
        <v/>
      </c>
      <c r="BT162" s="29">
        <f t="shared" si="137"/>
        <v>1</v>
      </c>
      <c r="BU162" s="29">
        <f t="shared" si="138"/>
        <v>5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</v>
      </c>
      <c r="BM163" s="29">
        <v>1</v>
      </c>
      <c r="BO163" s="29" t="str">
        <f t="shared" si="136"/>
        <v/>
      </c>
      <c r="BP163" s="29">
        <f t="shared" si="125"/>
        <v>1</v>
      </c>
      <c r="BQ163" s="29">
        <f t="shared" si="126"/>
        <v>1</v>
      </c>
      <c r="BR163" s="65"/>
      <c r="BS163" s="29" t="str">
        <f t="shared" si="144"/>
        <v/>
      </c>
      <c r="BT163" s="29">
        <f t="shared" si="137"/>
        <v>1</v>
      </c>
      <c r="BU163" s="29">
        <f t="shared" si="138"/>
        <v>5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</v>
      </c>
      <c r="BM164" s="29">
        <v>1</v>
      </c>
      <c r="BO164" s="29" t="str">
        <f t="shared" si="136"/>
        <v/>
      </c>
      <c r="BP164" s="29">
        <f t="shared" si="125"/>
        <v>1</v>
      </c>
      <c r="BQ164" s="29">
        <f t="shared" si="126"/>
        <v>1</v>
      </c>
      <c r="BR164" s="65"/>
      <c r="BS164" s="29" t="str">
        <f t="shared" si="144"/>
        <v/>
      </c>
      <c r="BT164" s="29">
        <f t="shared" si="137"/>
        <v>1</v>
      </c>
      <c r="BU164" s="29">
        <f t="shared" si="138"/>
        <v>1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</v>
      </c>
      <c r="BM165" s="29">
        <v>1</v>
      </c>
      <c r="BO165" s="29" t="str">
        <f t="shared" si="136"/>
        <v/>
      </c>
      <c r="BP165" s="29">
        <f t="shared" si="125"/>
        <v>1</v>
      </c>
      <c r="BQ165" s="29">
        <f t="shared" si="126"/>
        <v>1</v>
      </c>
      <c r="BR165" s="65"/>
      <c r="BS165" s="29" t="str">
        <f t="shared" si="144"/>
        <v/>
      </c>
      <c r="BT165" s="29">
        <f t="shared" si="137"/>
        <v>1</v>
      </c>
      <c r="BU165" s="29">
        <f t="shared" si="138"/>
        <v>1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</v>
      </c>
      <c r="BM166" s="29">
        <v>1</v>
      </c>
      <c r="BO166" s="29" t="str">
        <f t="shared" si="136"/>
        <v/>
      </c>
      <c r="BP166" s="29">
        <f t="shared" si="125"/>
        <v>1</v>
      </c>
      <c r="BQ166" s="29">
        <f t="shared" si="126"/>
        <v>1</v>
      </c>
      <c r="BR166" s="65"/>
      <c r="BS166" s="29" t="str">
        <f t="shared" si="144"/>
        <v/>
      </c>
      <c r="BT166" s="29">
        <f t="shared" si="137"/>
        <v>1</v>
      </c>
      <c r="BU166" s="29">
        <f t="shared" si="138"/>
        <v>1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</v>
      </c>
      <c r="BM167" s="29">
        <v>1</v>
      </c>
      <c r="BO167" s="29" t="str">
        <f t="shared" si="136"/>
        <v/>
      </c>
      <c r="BP167" s="29">
        <f t="shared" si="125"/>
        <v>1</v>
      </c>
      <c r="BQ167" s="29">
        <f t="shared" si="126"/>
        <v>1</v>
      </c>
      <c r="BR167" s="65"/>
      <c r="BS167" s="29" t="str">
        <f t="shared" si="144"/>
        <v/>
      </c>
      <c r="BT167" s="29">
        <f t="shared" si="137"/>
        <v>1</v>
      </c>
      <c r="BU167" s="29">
        <f t="shared" si="138"/>
        <v>1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</v>
      </c>
      <c r="BM168" s="29">
        <v>1</v>
      </c>
      <c r="BO168" s="29" t="str">
        <f t="shared" si="136"/>
        <v/>
      </c>
      <c r="BP168" s="29">
        <f t="shared" si="125"/>
        <v>1</v>
      </c>
      <c r="BQ168" s="29">
        <f t="shared" si="126"/>
        <v>1</v>
      </c>
      <c r="BR168" s="65"/>
      <c r="BS168" s="29" t="str">
        <f t="shared" si="144"/>
        <v/>
      </c>
      <c r="BT168" s="29">
        <f t="shared" si="137"/>
        <v>1</v>
      </c>
      <c r="BU168" s="29">
        <f t="shared" si="138"/>
        <v>1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</v>
      </c>
      <c r="BM169" s="29">
        <v>1</v>
      </c>
      <c r="BO169" s="29" t="str">
        <f t="shared" si="136"/>
        <v/>
      </c>
      <c r="BP169" s="29">
        <f t="shared" si="125"/>
        <v>1</v>
      </c>
      <c r="BQ169" s="29">
        <f t="shared" si="126"/>
        <v>1</v>
      </c>
      <c r="BR169" s="65"/>
      <c r="BS169" s="29" t="str">
        <f t="shared" si="144"/>
        <v/>
      </c>
      <c r="BT169" s="29">
        <f t="shared" si="137"/>
        <v>1</v>
      </c>
      <c r="BU169" s="29">
        <f t="shared" si="138"/>
        <v>1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</v>
      </c>
      <c r="BM170" s="29">
        <v>1</v>
      </c>
      <c r="BO170" s="29" t="str">
        <f t="shared" si="136"/>
        <v/>
      </c>
      <c r="BP170" s="29">
        <f t="shared" si="125"/>
        <v>1</v>
      </c>
      <c r="BQ170" s="29">
        <f t="shared" si="126"/>
        <v>1</v>
      </c>
      <c r="BR170" s="65"/>
      <c r="BS170" s="29" t="str">
        <f t="shared" si="144"/>
        <v/>
      </c>
      <c r="BT170" s="29">
        <f t="shared" si="137"/>
        <v>1</v>
      </c>
      <c r="BU170" s="29">
        <f t="shared" si="138"/>
        <v>1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</v>
      </c>
      <c r="BM171" s="29">
        <v>1</v>
      </c>
      <c r="BO171" s="29" t="str">
        <f t="shared" si="136"/>
        <v/>
      </c>
      <c r="BP171" s="29">
        <f t="shared" si="125"/>
        <v>1</v>
      </c>
      <c r="BQ171" s="29">
        <f t="shared" si="126"/>
        <v>1</v>
      </c>
      <c r="BR171" s="65"/>
      <c r="BS171" s="29" t="str">
        <f t="shared" si="144"/>
        <v/>
      </c>
      <c r="BT171" s="29">
        <f t="shared" si="137"/>
        <v>1</v>
      </c>
      <c r="BU171" s="29">
        <f t="shared" si="138"/>
        <v>1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</v>
      </c>
      <c r="BM172" s="29">
        <v>1</v>
      </c>
      <c r="BO172" s="29" t="str">
        <f t="shared" si="136"/>
        <v/>
      </c>
      <c r="BP172" s="29">
        <f t="shared" si="125"/>
        <v>1</v>
      </c>
      <c r="BQ172" s="29">
        <f t="shared" si="126"/>
        <v>1</v>
      </c>
      <c r="BR172" s="65"/>
      <c r="BS172" s="29" t="str">
        <f t="shared" si="144"/>
        <v/>
      </c>
      <c r="BT172" s="29">
        <f t="shared" si="137"/>
        <v>1</v>
      </c>
      <c r="BU172" s="29">
        <f t="shared" si="138"/>
        <v>1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</v>
      </c>
      <c r="BM173" s="29">
        <v>1</v>
      </c>
      <c r="BO173" s="29" t="str">
        <f t="shared" si="136"/>
        <v/>
      </c>
      <c r="BP173" s="29">
        <f t="shared" si="125"/>
        <v>1</v>
      </c>
      <c r="BQ173" s="29">
        <f t="shared" si="126"/>
        <v>1</v>
      </c>
      <c r="BR173" s="65"/>
      <c r="BS173" s="29" t="str">
        <f t="shared" si="144"/>
        <v/>
      </c>
      <c r="BT173" s="29">
        <f t="shared" si="137"/>
        <v>1</v>
      </c>
      <c r="BU173" s="29">
        <f t="shared" si="138"/>
        <v>1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</v>
      </c>
      <c r="BM174" s="29">
        <v>1</v>
      </c>
      <c r="BO174" s="29" t="str">
        <f t="shared" si="136"/>
        <v/>
      </c>
      <c r="BP174" s="29">
        <f t="shared" si="125"/>
        <v>1</v>
      </c>
      <c r="BQ174" s="29">
        <f t="shared" si="126"/>
        <v>1</v>
      </c>
      <c r="BR174" s="65"/>
      <c r="BS174" s="29" t="str">
        <f t="shared" si="144"/>
        <v/>
      </c>
      <c r="BT174" s="29">
        <f t="shared" si="137"/>
        <v>1</v>
      </c>
      <c r="BU174" s="29">
        <f t="shared" si="138"/>
        <v>1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</v>
      </c>
      <c r="BM175" s="29">
        <v>1</v>
      </c>
      <c r="BO175" s="29" t="str">
        <f t="shared" si="136"/>
        <v/>
      </c>
      <c r="BP175" s="29">
        <f t="shared" si="125"/>
        <v>1</v>
      </c>
      <c r="BQ175" s="29">
        <f t="shared" si="126"/>
        <v>1</v>
      </c>
      <c r="BR175" s="65"/>
      <c r="BS175" s="29" t="str">
        <f t="shared" si="144"/>
        <v/>
      </c>
      <c r="BT175" s="29">
        <f t="shared" si="137"/>
        <v>1</v>
      </c>
      <c r="BU175" s="29">
        <f t="shared" si="138"/>
        <v>1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</v>
      </c>
      <c r="BM176" s="29">
        <v>1</v>
      </c>
      <c r="BO176" s="29" t="str">
        <f t="shared" si="136"/>
        <v/>
      </c>
      <c r="BP176" s="29">
        <f t="shared" si="125"/>
        <v>1</v>
      </c>
      <c r="BQ176" s="29">
        <f t="shared" si="126"/>
        <v>1</v>
      </c>
      <c r="BR176" s="65"/>
      <c r="BS176" s="29" t="str">
        <f t="shared" si="144"/>
        <v/>
      </c>
      <c r="BT176" s="29">
        <f t="shared" si="137"/>
        <v>1</v>
      </c>
      <c r="BU176" s="29">
        <f t="shared" si="138"/>
        <v>1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</v>
      </c>
      <c r="BM177" s="29">
        <v>1</v>
      </c>
      <c r="BO177" s="29" t="str">
        <f t="shared" si="136"/>
        <v/>
      </c>
      <c r="BP177" s="29">
        <f t="shared" si="125"/>
        <v>1</v>
      </c>
      <c r="BQ177" s="29">
        <f t="shared" si="126"/>
        <v>1</v>
      </c>
      <c r="BR177" s="65"/>
      <c r="BS177" s="29" t="str">
        <f t="shared" si="144"/>
        <v/>
      </c>
      <c r="BT177" s="29">
        <f t="shared" si="137"/>
        <v>1</v>
      </c>
      <c r="BU177" s="29">
        <f t="shared" si="138"/>
        <v>1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</v>
      </c>
      <c r="BM178" s="29">
        <v>1</v>
      </c>
      <c r="BO178" s="29" t="str">
        <f t="shared" si="136"/>
        <v/>
      </c>
      <c r="BP178" s="29">
        <f t="shared" si="125"/>
        <v>1</v>
      </c>
      <c r="BQ178" s="29">
        <f t="shared" si="126"/>
        <v>1</v>
      </c>
      <c r="BR178" s="65"/>
      <c r="BS178" s="29" t="str">
        <f t="shared" si="144"/>
        <v/>
      </c>
      <c r="BT178" s="29">
        <f t="shared" si="137"/>
        <v>1</v>
      </c>
      <c r="BU178" s="29">
        <f t="shared" si="138"/>
        <v>1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</v>
      </c>
      <c r="BM179" s="29">
        <v>1</v>
      </c>
      <c r="BO179" s="29" t="str">
        <f t="shared" si="136"/>
        <v/>
      </c>
      <c r="BP179" s="29">
        <f t="shared" si="125"/>
        <v>1</v>
      </c>
      <c r="BQ179" s="29">
        <f t="shared" si="126"/>
        <v>1</v>
      </c>
      <c r="BR179" s="65"/>
      <c r="BS179" s="29" t="str">
        <f t="shared" si="144"/>
        <v/>
      </c>
      <c r="BT179" s="29">
        <f t="shared" si="137"/>
        <v>1</v>
      </c>
      <c r="BU179" s="29">
        <f t="shared" si="138"/>
        <v>1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</v>
      </c>
      <c r="BM180" s="29">
        <v>1</v>
      </c>
      <c r="BO180" s="29" t="str">
        <f t="shared" si="136"/>
        <v/>
      </c>
      <c r="BP180" s="29">
        <f t="shared" si="125"/>
        <v>1</v>
      </c>
      <c r="BQ180" s="29">
        <f t="shared" si="126"/>
        <v>1</v>
      </c>
      <c r="BR180" s="65"/>
      <c r="BS180" s="29" t="str">
        <f t="shared" si="144"/>
        <v/>
      </c>
      <c r="BT180" s="29">
        <f t="shared" si="137"/>
        <v>1</v>
      </c>
      <c r="BU180" s="29">
        <f t="shared" si="138"/>
        <v>1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5</v>
      </c>
      <c r="BM181" s="29">
        <v>1</v>
      </c>
      <c r="BO181" s="29" t="str">
        <f t="shared" si="136"/>
        <v/>
      </c>
      <c r="BP181" s="29">
        <f t="shared" si="125"/>
        <v>1</v>
      </c>
      <c r="BQ181" s="29">
        <f t="shared" si="126"/>
        <v>1</v>
      </c>
      <c r="BR181" s="65"/>
      <c r="BS181" s="29" t="str">
        <f t="shared" si="144"/>
        <v/>
      </c>
      <c r="BT181" s="29">
        <f t="shared" si="137"/>
        <v>1</v>
      </c>
      <c r="BU181" s="29">
        <f t="shared" si="138"/>
        <v>1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5</v>
      </c>
      <c r="BM182" s="29">
        <v>1</v>
      </c>
      <c r="BO182" s="29" t="str">
        <f t="shared" si="136"/>
        <v/>
      </c>
      <c r="BP182" s="29">
        <f t="shared" si="125"/>
        <v>5</v>
      </c>
      <c r="BQ182" s="29">
        <f t="shared" si="126"/>
        <v>1</v>
      </c>
      <c r="BR182" s="65"/>
      <c r="BS182" s="29" t="str">
        <f t="shared" si="144"/>
        <v/>
      </c>
      <c r="BT182" s="29">
        <f t="shared" si="137"/>
        <v>1</v>
      </c>
      <c r="BU182" s="29">
        <f t="shared" si="138"/>
        <v>1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5</v>
      </c>
      <c r="BM183" s="29">
        <v>1</v>
      </c>
      <c r="BO183" s="29" t="str">
        <f t="shared" si="136"/>
        <v/>
      </c>
      <c r="BP183" s="29">
        <f t="shared" si="125"/>
        <v>5</v>
      </c>
      <c r="BQ183" s="29">
        <f t="shared" si="126"/>
        <v>1</v>
      </c>
      <c r="BR183" s="65"/>
      <c r="BS183" s="29" t="str">
        <f t="shared" si="144"/>
        <v/>
      </c>
      <c r="BT183" s="29">
        <f t="shared" si="137"/>
        <v>5</v>
      </c>
      <c r="BU183" s="29">
        <f t="shared" si="138"/>
        <v>1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5</v>
      </c>
      <c r="BM184" s="29">
        <v>1</v>
      </c>
      <c r="BO184" s="29" t="str">
        <f t="shared" si="136"/>
        <v/>
      </c>
      <c r="BP184" s="29">
        <f t="shared" si="125"/>
        <v>5</v>
      </c>
      <c r="BQ184" s="29">
        <f t="shared" si="126"/>
        <v>1</v>
      </c>
      <c r="BR184" s="65"/>
      <c r="BS184" s="29" t="str">
        <f t="shared" si="144"/>
        <v/>
      </c>
      <c r="BT184" s="29">
        <f t="shared" si="137"/>
        <v>5</v>
      </c>
      <c r="BU184" s="29">
        <f t="shared" si="138"/>
        <v>1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5</v>
      </c>
      <c r="BM185" s="29">
        <v>1</v>
      </c>
      <c r="BO185" s="29" t="str">
        <f t="shared" si="136"/>
        <v/>
      </c>
      <c r="BP185" s="29">
        <f t="shared" si="125"/>
        <v>5</v>
      </c>
      <c r="BQ185" s="29">
        <f t="shared" si="126"/>
        <v>1</v>
      </c>
      <c r="BR185" s="65"/>
      <c r="BS185" s="29" t="str">
        <f t="shared" si="144"/>
        <v/>
      </c>
      <c r="BT185" s="29">
        <f t="shared" si="137"/>
        <v>5</v>
      </c>
      <c r="BU185" s="29">
        <f t="shared" si="138"/>
        <v>1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</v>
      </c>
      <c r="BM186" s="29">
        <v>1</v>
      </c>
      <c r="BO186" s="29" t="str">
        <f t="shared" si="136"/>
        <v/>
      </c>
      <c r="BP186" s="29">
        <f t="shared" si="125"/>
        <v>5</v>
      </c>
      <c r="BQ186" s="29">
        <f t="shared" si="126"/>
        <v>1</v>
      </c>
      <c r="BR186" s="65"/>
      <c r="BS186" s="29" t="str">
        <f t="shared" si="144"/>
        <v/>
      </c>
      <c r="BT186" s="29">
        <f t="shared" si="137"/>
        <v>5</v>
      </c>
      <c r="BU186" s="29">
        <f t="shared" si="138"/>
        <v>1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</v>
      </c>
      <c r="BM187" s="29">
        <v>1</v>
      </c>
      <c r="BO187" s="29" t="str">
        <f t="shared" si="136"/>
        <v/>
      </c>
      <c r="BP187" s="29">
        <f t="shared" si="125"/>
        <v>1</v>
      </c>
      <c r="BQ187" s="29">
        <f t="shared" si="126"/>
        <v>1</v>
      </c>
      <c r="BR187" s="65"/>
      <c r="BS187" s="29" t="str">
        <f t="shared" si="144"/>
        <v/>
      </c>
      <c r="BT187" s="29">
        <f t="shared" si="137"/>
        <v>5</v>
      </c>
      <c r="BU187" s="29">
        <f t="shared" si="138"/>
        <v>1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</v>
      </c>
      <c r="BM188" s="29">
        <v>1</v>
      </c>
      <c r="BO188" s="29" t="str">
        <f t="shared" si="136"/>
        <v/>
      </c>
      <c r="BP188" s="29">
        <f t="shared" si="125"/>
        <v>1</v>
      </c>
      <c r="BQ188" s="29">
        <f t="shared" si="126"/>
        <v>1</v>
      </c>
      <c r="BR188" s="65"/>
      <c r="BS188" s="29" t="str">
        <f t="shared" si="144"/>
        <v/>
      </c>
      <c r="BT188" s="29">
        <f t="shared" si="137"/>
        <v>1</v>
      </c>
      <c r="BU188" s="29">
        <f t="shared" si="138"/>
        <v>1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</v>
      </c>
      <c r="BM189" s="29">
        <v>1</v>
      </c>
      <c r="BO189" s="29" t="str">
        <f t="shared" si="136"/>
        <v/>
      </c>
      <c r="BP189" s="29">
        <f t="shared" si="125"/>
        <v>1</v>
      </c>
      <c r="BQ189" s="29">
        <f t="shared" si="126"/>
        <v>1</v>
      </c>
      <c r="BR189" s="65"/>
      <c r="BS189" s="29" t="str">
        <f t="shared" si="144"/>
        <v/>
      </c>
      <c r="BT189" s="29">
        <f t="shared" si="137"/>
        <v>1</v>
      </c>
      <c r="BU189" s="29">
        <f t="shared" si="138"/>
        <v>1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</v>
      </c>
      <c r="BM190" s="29">
        <v>1</v>
      </c>
      <c r="BO190" s="29" t="str">
        <f t="shared" si="136"/>
        <v/>
      </c>
      <c r="BP190" s="29">
        <f t="shared" si="125"/>
        <v>1</v>
      </c>
      <c r="BQ190" s="29">
        <f t="shared" si="126"/>
        <v>1</v>
      </c>
      <c r="BR190" s="65"/>
      <c r="BS190" s="29" t="str">
        <f t="shared" si="144"/>
        <v/>
      </c>
      <c r="BT190" s="29">
        <f t="shared" si="137"/>
        <v>1</v>
      </c>
      <c r="BU190" s="29">
        <f t="shared" si="138"/>
        <v>1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</v>
      </c>
      <c r="BM191" s="29">
        <v>1</v>
      </c>
      <c r="BO191" s="29" t="str">
        <f t="shared" si="136"/>
        <v/>
      </c>
      <c r="BP191" s="29">
        <f t="shared" si="125"/>
        <v>1</v>
      </c>
      <c r="BQ191" s="29">
        <f t="shared" si="126"/>
        <v>1</v>
      </c>
      <c r="BR191" s="65"/>
      <c r="BS191" s="29" t="str">
        <f t="shared" si="144"/>
        <v/>
      </c>
      <c r="BT191" s="29">
        <f t="shared" si="137"/>
        <v>1</v>
      </c>
      <c r="BU191" s="29">
        <f t="shared" si="138"/>
        <v>1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</v>
      </c>
      <c r="BM192" s="29">
        <v>5</v>
      </c>
      <c r="BO192" s="29" t="str">
        <f t="shared" si="136"/>
        <v/>
      </c>
      <c r="BP192" s="29">
        <f t="shared" si="125"/>
        <v>1</v>
      </c>
      <c r="BQ192" s="29">
        <f t="shared" si="126"/>
        <v>1</v>
      </c>
      <c r="BR192" s="65"/>
      <c r="BS192" s="29" t="str">
        <f t="shared" si="144"/>
        <v/>
      </c>
      <c r="BT192" s="29">
        <f t="shared" si="137"/>
        <v>1</v>
      </c>
      <c r="BU192" s="29">
        <f t="shared" si="138"/>
        <v>1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</v>
      </c>
      <c r="BM193" s="29">
        <v>5</v>
      </c>
      <c r="BO193" s="29" t="str">
        <f t="shared" si="136"/>
        <v/>
      </c>
      <c r="BP193" s="29">
        <f t="shared" si="125"/>
        <v>1</v>
      </c>
      <c r="BQ193" s="29">
        <f t="shared" si="126"/>
        <v>5</v>
      </c>
      <c r="BR193" s="65"/>
      <c r="BS193" s="29" t="str">
        <f t="shared" si="144"/>
        <v/>
      </c>
      <c r="BT193" s="29">
        <f t="shared" si="137"/>
        <v>1</v>
      </c>
      <c r="BU193" s="29">
        <f t="shared" si="138"/>
        <v>1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</v>
      </c>
      <c r="BM194" s="29">
        <v>5</v>
      </c>
      <c r="BO194" s="29" t="str">
        <f t="shared" si="136"/>
        <v/>
      </c>
      <c r="BP194" s="29">
        <f t="shared" si="125"/>
        <v>1</v>
      </c>
      <c r="BQ194" s="29">
        <f t="shared" si="126"/>
        <v>5</v>
      </c>
      <c r="BR194" s="65"/>
      <c r="BS194" s="29" t="str">
        <f t="shared" si="144"/>
        <v/>
      </c>
      <c r="BT194" s="29">
        <f t="shared" si="137"/>
        <v>1</v>
      </c>
      <c r="BU194" s="29">
        <f t="shared" si="138"/>
        <v>5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</v>
      </c>
      <c r="BM195" s="29">
        <v>5</v>
      </c>
      <c r="BO195" s="29" t="str">
        <f t="shared" si="136"/>
        <v/>
      </c>
      <c r="BP195" s="29">
        <f t="shared" si="125"/>
        <v>1</v>
      </c>
      <c r="BQ195" s="29">
        <f t="shared" si="126"/>
        <v>5</v>
      </c>
      <c r="BR195" s="65"/>
      <c r="BS195" s="29" t="str">
        <f t="shared" si="144"/>
        <v/>
      </c>
      <c r="BT195" s="29">
        <f t="shared" si="137"/>
        <v>1</v>
      </c>
      <c r="BU195" s="29">
        <f t="shared" si="138"/>
        <v>5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</v>
      </c>
      <c r="BM196" s="29">
        <v>5</v>
      </c>
      <c r="BO196" s="29" t="str">
        <f t="shared" si="136"/>
        <v/>
      </c>
      <c r="BP196" s="29">
        <f t="shared" ref="BP196:BP211" si="152">IF(BL195="","",BL195)</f>
        <v>1</v>
      </c>
      <c r="BQ196" s="29">
        <f t="shared" ref="BQ196:BQ211" si="153">IF(BM195="","",BM195)</f>
        <v>5</v>
      </c>
      <c r="BR196" s="65"/>
      <c r="BS196" s="29" t="str">
        <f t="shared" si="144"/>
        <v/>
      </c>
      <c r="BT196" s="29">
        <f t="shared" si="137"/>
        <v>1</v>
      </c>
      <c r="BU196" s="29">
        <f t="shared" si="138"/>
        <v>5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</v>
      </c>
      <c r="BM197" s="29">
        <v>1</v>
      </c>
      <c r="BO197" s="29" t="str">
        <f t="shared" ref="BO197:BO211" si="163">IF(BK196="","",BK196)</f>
        <v/>
      </c>
      <c r="BP197" s="29">
        <f t="shared" si="152"/>
        <v>1</v>
      </c>
      <c r="BQ197" s="29">
        <f t="shared" si="153"/>
        <v>5</v>
      </c>
      <c r="BR197" s="65"/>
      <c r="BS197" s="29" t="str">
        <f t="shared" si="144"/>
        <v/>
      </c>
      <c r="BT197" s="29">
        <f t="shared" ref="BT197:BT211" si="164">IF(BL195="","",BL195)</f>
        <v>1</v>
      </c>
      <c r="BU197" s="29">
        <f t="shared" ref="BU197:BU211" si="165">IF(BM195="","",BM195)</f>
        <v>5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</v>
      </c>
      <c r="BM198" s="29">
        <v>5</v>
      </c>
      <c r="BO198" s="29" t="str">
        <f t="shared" si="163"/>
        <v/>
      </c>
      <c r="BP198" s="29">
        <f t="shared" si="152"/>
        <v>1</v>
      </c>
      <c r="BQ198" s="29">
        <f t="shared" si="153"/>
        <v>1</v>
      </c>
      <c r="BR198" s="65"/>
      <c r="BS198" s="29" t="str">
        <f t="shared" ref="BS198:BS211" si="171">IF(BK196="","",BK196)</f>
        <v/>
      </c>
      <c r="BT198" s="29">
        <f t="shared" si="164"/>
        <v>1</v>
      </c>
      <c r="BU198" s="29">
        <f t="shared" si="165"/>
        <v>5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</v>
      </c>
      <c r="BM199" s="29">
        <v>5</v>
      </c>
      <c r="BO199" s="29" t="str">
        <f t="shared" si="163"/>
        <v/>
      </c>
      <c r="BP199" s="29">
        <f t="shared" si="152"/>
        <v>1</v>
      </c>
      <c r="BQ199" s="29">
        <f t="shared" si="153"/>
        <v>5</v>
      </c>
      <c r="BR199" s="65"/>
      <c r="BS199" s="29" t="str">
        <f t="shared" si="171"/>
        <v/>
      </c>
      <c r="BT199" s="29">
        <f t="shared" si="164"/>
        <v>1</v>
      </c>
      <c r="BU199" s="29">
        <f t="shared" si="165"/>
        <v>1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</v>
      </c>
      <c r="BM200" s="29">
        <v>5</v>
      </c>
      <c r="BO200" s="29" t="str">
        <f t="shared" si="163"/>
        <v/>
      </c>
      <c r="BP200" s="29">
        <f t="shared" si="152"/>
        <v>1</v>
      </c>
      <c r="BQ200" s="29">
        <f t="shared" si="153"/>
        <v>5</v>
      </c>
      <c r="BR200" s="65"/>
      <c r="BS200" s="29" t="str">
        <f t="shared" si="171"/>
        <v/>
      </c>
      <c r="BT200" s="29">
        <f t="shared" si="164"/>
        <v>1</v>
      </c>
      <c r="BU200" s="29">
        <f t="shared" si="165"/>
        <v>5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5</v>
      </c>
      <c r="BM201" s="29">
        <v>5</v>
      </c>
      <c r="BO201" s="29" t="str">
        <f t="shared" si="163"/>
        <v/>
      </c>
      <c r="BP201" s="29">
        <f t="shared" si="152"/>
        <v>1</v>
      </c>
      <c r="BQ201" s="29">
        <f t="shared" si="153"/>
        <v>5</v>
      </c>
      <c r="BR201" s="65"/>
      <c r="BS201" s="29" t="str">
        <f t="shared" si="171"/>
        <v/>
      </c>
      <c r="BT201" s="29">
        <f t="shared" si="164"/>
        <v>1</v>
      </c>
      <c r="BU201" s="29">
        <f t="shared" si="165"/>
        <v>5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5</v>
      </c>
      <c r="BM202" s="29">
        <v>5</v>
      </c>
      <c r="BO202" s="29" t="str">
        <f t="shared" si="163"/>
        <v/>
      </c>
      <c r="BP202" s="29">
        <f t="shared" si="152"/>
        <v>5</v>
      </c>
      <c r="BQ202" s="29">
        <f t="shared" si="153"/>
        <v>5</v>
      </c>
      <c r="BR202" s="65"/>
      <c r="BS202" s="29" t="str">
        <f t="shared" si="171"/>
        <v/>
      </c>
      <c r="BT202" s="29">
        <f t="shared" si="164"/>
        <v>1</v>
      </c>
      <c r="BU202" s="29">
        <f t="shared" si="165"/>
        <v>5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5</v>
      </c>
      <c r="BM203" s="29">
        <v>1</v>
      </c>
      <c r="BO203" s="29" t="str">
        <f t="shared" si="163"/>
        <v/>
      </c>
      <c r="BP203" s="29">
        <f t="shared" si="152"/>
        <v>5</v>
      </c>
      <c r="BQ203" s="29">
        <f t="shared" si="153"/>
        <v>5</v>
      </c>
      <c r="BR203" s="65"/>
      <c r="BS203" s="29" t="str">
        <f t="shared" si="171"/>
        <v/>
      </c>
      <c r="BT203" s="29">
        <f t="shared" si="164"/>
        <v>5</v>
      </c>
      <c r="BU203" s="29">
        <f t="shared" si="165"/>
        <v>5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5</v>
      </c>
      <c r="BM204" s="29">
        <v>1</v>
      </c>
      <c r="BO204" s="29" t="str">
        <f t="shared" si="163"/>
        <v/>
      </c>
      <c r="BP204" s="29">
        <f t="shared" si="152"/>
        <v>5</v>
      </c>
      <c r="BQ204" s="29">
        <f t="shared" si="153"/>
        <v>1</v>
      </c>
      <c r="BR204" s="65"/>
      <c r="BS204" s="29" t="str">
        <f t="shared" si="171"/>
        <v/>
      </c>
      <c r="BT204" s="29">
        <f t="shared" si="164"/>
        <v>5</v>
      </c>
      <c r="BU204" s="29">
        <f t="shared" si="165"/>
        <v>5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5</v>
      </c>
      <c r="BM205" s="29">
        <v>1</v>
      </c>
      <c r="BO205" s="29" t="str">
        <f t="shared" si="163"/>
        <v/>
      </c>
      <c r="BP205" s="29">
        <f t="shared" si="152"/>
        <v>5</v>
      </c>
      <c r="BQ205" s="29">
        <f t="shared" si="153"/>
        <v>1</v>
      </c>
      <c r="BR205" s="65"/>
      <c r="BS205" s="29" t="str">
        <f t="shared" si="171"/>
        <v/>
      </c>
      <c r="BT205" s="29">
        <f t="shared" si="164"/>
        <v>5</v>
      </c>
      <c r="BU205" s="29">
        <f t="shared" si="165"/>
        <v>1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</v>
      </c>
      <c r="BM206" s="29"/>
      <c r="BO206" s="29" t="str">
        <f t="shared" si="163"/>
        <v/>
      </c>
      <c r="BP206" s="29">
        <f t="shared" si="152"/>
        <v>5</v>
      </c>
      <c r="BQ206" s="29">
        <f t="shared" si="153"/>
        <v>1</v>
      </c>
      <c r="BR206" s="65"/>
      <c r="BS206" s="29" t="str">
        <f t="shared" si="171"/>
        <v/>
      </c>
      <c r="BT206" s="29">
        <f t="shared" si="164"/>
        <v>5</v>
      </c>
      <c r="BU206" s="29">
        <f t="shared" si="165"/>
        <v>1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</v>
      </c>
      <c r="BM207" s="29"/>
      <c r="BO207" s="29" t="str">
        <f t="shared" si="163"/>
        <v/>
      </c>
      <c r="BP207" s="29">
        <f t="shared" si="152"/>
        <v>1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5</v>
      </c>
      <c r="BU207" s="29">
        <f t="shared" si="165"/>
        <v>1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</v>
      </c>
      <c r="BM208" s="29"/>
      <c r="BO208" s="29" t="str">
        <f t="shared" si="163"/>
        <v/>
      </c>
      <c r="BP208" s="29">
        <f t="shared" si="152"/>
        <v>1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</v>
      </c>
      <c r="BM209" s="29"/>
      <c r="BO209" s="29" t="str">
        <f t="shared" si="163"/>
        <v/>
      </c>
      <c r="BP209" s="29">
        <f t="shared" si="152"/>
        <v>1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5</v>
      </c>
      <c r="BM210" s="29"/>
      <c r="BO210" s="29" t="str">
        <f t="shared" si="163"/>
        <v/>
      </c>
      <c r="BP210" s="29">
        <f t="shared" si="152"/>
        <v>1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5</v>
      </c>
      <c r="BM211" s="29"/>
      <c r="BO211" s="29" t="str">
        <f t="shared" si="163"/>
        <v/>
      </c>
      <c r="BP211" s="29">
        <f t="shared" si="152"/>
        <v>5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1:F1"/>
    <mergeCell ref="H1:M1"/>
    <mergeCell ref="O1:T1"/>
    <mergeCell ref="A27:F27"/>
    <mergeCell ref="H27:M27"/>
    <mergeCell ref="O27:T27"/>
    <mergeCell ref="A53:F53"/>
    <mergeCell ref="H53:M53"/>
    <mergeCell ref="O53:T53"/>
    <mergeCell ref="A79:F79"/>
    <mergeCell ref="H79:M79"/>
    <mergeCell ref="O79:T79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19" t="s">
        <v>113</v>
      </c>
      <c r="B1" s="319"/>
      <c r="C1" s="319"/>
      <c r="D1" s="319"/>
      <c r="E1" s="319"/>
      <c r="F1" s="1"/>
      <c r="G1" s="320" t="s">
        <v>114</v>
      </c>
      <c r="H1" s="320"/>
      <c r="I1" s="320"/>
      <c r="J1" s="320"/>
      <c r="K1" s="320"/>
      <c r="L1" s="1"/>
      <c r="M1" s="317" t="s">
        <v>115</v>
      </c>
      <c r="N1" s="317"/>
      <c r="O1" s="317"/>
      <c r="P1" s="317"/>
      <c r="Q1" s="317"/>
      <c r="R1" s="60"/>
      <c r="S1" s="318" t="s">
        <v>129</v>
      </c>
      <c r="T1" s="318"/>
      <c r="U1" s="318"/>
      <c r="V1" s="318"/>
      <c r="W1" s="318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topLeftCell="A5" zoomScale="70" zoomScaleNormal="70" workbookViewId="0">
      <selection activeCell="O31" sqref="O31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1">
        <f>PRODUCT('Regular Symbol'!C18:E18)</f>
        <v>5218521</v>
      </c>
      <c r="D11" s="321"/>
      <c r="E11" s="321"/>
      <c r="F11" s="321"/>
      <c r="G11" s="321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1">
        <f>PRODUCT('Regular Symbol'!C18:E18)</f>
        <v>5218521</v>
      </c>
      <c r="D23" s="321"/>
      <c r="E23" s="321"/>
      <c r="F23" s="321"/>
      <c r="G23" s="321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1">
        <f>PRODUCT('Regular Symbol'!C18:E18)</f>
        <v>5218521</v>
      </c>
      <c r="D35" s="321"/>
      <c r="E35" s="321"/>
      <c r="F35" s="321"/>
      <c r="G35" s="321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1">
        <f>PRODUCT('Regular Symbol'!C18:E18)</f>
        <v>5218521</v>
      </c>
      <c r="D47" s="321"/>
      <c r="E47" s="321"/>
      <c r="F47" s="321"/>
      <c r="G47" s="321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1">
        <f>PRODUCT('Regular Symbol'!C18:E18)</f>
        <v>5218521</v>
      </c>
      <c r="D59" s="321"/>
      <c r="E59" s="321"/>
      <c r="F59" s="321"/>
      <c r="G59" s="321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V26" sqref="V26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Symbol'!C44:E44)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>
        <v>2</v>
      </c>
      <c r="R20" s="180" cm="1">
        <f t="array" ref="R20:R30">S20:S30/SUM(S20:S30)</f>
        <v>0.20836289114841963</v>
      </c>
      <c r="S20" s="1">
        <v>5287</v>
      </c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>
        <v>3</v>
      </c>
      <c r="R21" s="180">
        <v>0.18507133286040831</v>
      </c>
      <c r="S21" s="1">
        <v>4696</v>
      </c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>
        <v>4</v>
      </c>
      <c r="R22" s="180">
        <v>0.1340742492314968</v>
      </c>
      <c r="S22" s="1">
        <v>3402</v>
      </c>
    </row>
    <row r="23" spans="1:19" ht="16.8" thickBot="1">
      <c r="A23" s="1"/>
      <c r="B23" s="61" t="s">
        <v>53</v>
      </c>
      <c r="C23" s="321">
        <f>PRODUCT('Regular Symbol'!C44:E44)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>
        <v>5</v>
      </c>
      <c r="R23" s="180">
        <v>0.14408449594072673</v>
      </c>
      <c r="S23" s="1">
        <v>3656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>
        <v>6</v>
      </c>
      <c r="R24" s="180">
        <v>0.11842831244581067</v>
      </c>
      <c r="S24" s="1">
        <v>3005</v>
      </c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>
        <v>7</v>
      </c>
      <c r="R25" s="180">
        <v>6.5381886970915112E-2</v>
      </c>
      <c r="S25" s="1">
        <v>1659</v>
      </c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>
        <v>8</v>
      </c>
      <c r="R26" s="180">
        <v>4.9696539765113894E-2</v>
      </c>
      <c r="S26" s="1">
        <v>1261</v>
      </c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>
        <v>9</v>
      </c>
      <c r="R27" s="180">
        <v>4.40214392685426E-2</v>
      </c>
      <c r="S27" s="1">
        <v>1117</v>
      </c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>
        <v>10</v>
      </c>
      <c r="R28" s="180">
        <v>3.9016315913927645E-2</v>
      </c>
      <c r="S28" s="1">
        <v>990</v>
      </c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>
        <v>20</v>
      </c>
      <c r="R29" s="180">
        <v>1.1074328052337037E-2</v>
      </c>
      <c r="S29" s="1">
        <v>281</v>
      </c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>
        <v>50</v>
      </c>
      <c r="R30" s="180">
        <v>7.8820840230156856E-4</v>
      </c>
      <c r="S30" s="1">
        <v>20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93">
        <f>SUMPRODUCT(_xlfn.ANCHORARRAY(R20),Q20:Q30)</f>
        <v>4.8417277528178451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Symbol'!C44:E44)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Symbol'!C44:E44)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Symbol'!C44:E44)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Symbol'!C70:E70)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Symbol'!C70:E70)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Symbol'!C70:E70)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Symbol'!C70:E70)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Symbol'!C70:E70)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1.1245138811381032E-2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9.4492678040371896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0.56589999999999996</v>
      </c>
      <c r="K4" s="33"/>
      <c r="L4" s="124">
        <v>2</v>
      </c>
      <c r="M4" s="108">
        <v>4.1176470588235294E-2</v>
      </c>
      <c r="N4" s="170">
        <v>7000000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5.8823529411764705E-2</v>
      </c>
      <c r="N5" s="170">
        <v>10000000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8.8235294117647065E-2</v>
      </c>
      <c r="N6" s="170">
        <v>15000000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8.8235294117647065E-2</v>
      </c>
      <c r="N7" s="170">
        <v>15000000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8.8235294117647065E-2</v>
      </c>
      <c r="N8" s="170">
        <v>15000000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8.8235294117647065E-2</v>
      </c>
      <c r="N9" s="170">
        <v>15000000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2.9411764705882353E-2</v>
      </c>
      <c r="N10" s="170">
        <v>5000000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21906381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2.9411764705882353E-2</v>
      </c>
      <c r="N11" s="170">
        <v>5000000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2.9411764705882353E-2</v>
      </c>
      <c r="N12" s="170">
        <v>5000000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45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105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105</v>
      </c>
      <c r="F13" s="43">
        <f>C13*D13*E13</f>
        <v>496125</v>
      </c>
      <c r="G13" s="44">
        <f t="shared" ref="G13:G20" si="0">C$11/F13</f>
        <v>44.154962962962962</v>
      </c>
      <c r="H13" s="43" cm="1">
        <f t="array" ref="H13:H20">Overview!B40:B47</f>
        <v>5</v>
      </c>
      <c r="I13" s="95">
        <f t="shared" ref="I13:I20" si="1">J13*H13/$C$1</f>
        <v>4.5295021573851015E-4</v>
      </c>
      <c r="J13" s="45">
        <f t="shared" ref="J13:J20" si="2">F13/C$11</f>
        <v>2.2647510786925507E-2</v>
      </c>
      <c r="K13" s="67"/>
      <c r="L13" s="124">
        <v>500</v>
      </c>
      <c r="M13" s="108">
        <v>2.9411764705882353E-2</v>
      </c>
      <c r="N13" s="170">
        <v>5000000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59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129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136</v>
      </c>
      <c r="F14" s="48">
        <f>C14*D14*E14-F13</f>
        <v>538971</v>
      </c>
      <c r="G14" s="49">
        <f t="shared" si="0"/>
        <v>40.644823190858133</v>
      </c>
      <c r="H14" s="48">
        <v>4</v>
      </c>
      <c r="I14" s="96">
        <f t="shared" si="1"/>
        <v>3.9365406819136397E-4</v>
      </c>
      <c r="J14" s="50">
        <f t="shared" si="2"/>
        <v>2.4603379261960247E-2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126.47783824647155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58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131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140</v>
      </c>
      <c r="F15" s="48">
        <f>C15*D15*E15-F13</f>
        <v>567595</v>
      </c>
      <c r="G15" s="49">
        <f t="shared" si="0"/>
        <v>38.595091570574091</v>
      </c>
      <c r="H15" s="48">
        <v>3</v>
      </c>
      <c r="I15" s="96">
        <f t="shared" si="1"/>
        <v>3.1092036607963678E-4</v>
      </c>
      <c r="J15" s="50">
        <f t="shared" si="2"/>
        <v>2.59100305066364E-2</v>
      </c>
      <c r="K15" s="34"/>
      <c r="L15" s="35"/>
      <c r="M15" s="35"/>
      <c r="N15" s="111" t="s">
        <v>92</v>
      </c>
      <c r="O15" s="98">
        <f>SUMPRODUCT(M3:M14, O3:O14)</f>
        <v>78.834601129367201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59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138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133</v>
      </c>
      <c r="F16" s="48">
        <f>C16*D16*E16-F13</f>
        <v>586761</v>
      </c>
      <c r="G16" s="49">
        <f t="shared" si="0"/>
        <v>37.334418954224972</v>
      </c>
      <c r="H16" s="48">
        <v>2.4</v>
      </c>
      <c r="I16" s="96">
        <f t="shared" si="1"/>
        <v>2.5713537986945444E-4</v>
      </c>
      <c r="J16" s="50">
        <f t="shared" si="2"/>
        <v>2.6784935403068175E-2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126.47783824647155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63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167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136</v>
      </c>
      <c r="F17" s="48">
        <f>C17*D17*E17-F13</f>
        <v>934731</v>
      </c>
      <c r="G17" s="49">
        <f t="shared" si="0"/>
        <v>23.436027049493383</v>
      </c>
      <c r="H17" s="48">
        <v>2</v>
      </c>
      <c r="I17" s="96">
        <f t="shared" si="1"/>
        <v>3.4135478607808385E-4</v>
      </c>
      <c r="J17" s="50">
        <f t="shared" si="2"/>
        <v>4.266934825976048E-2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72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148</v>
      </c>
      <c r="F18" s="48">
        <f>C18*D18*E18-F13</f>
        <v>1091619</v>
      </c>
      <c r="G18" s="49">
        <f t="shared" si="0"/>
        <v>20.067790135569279</v>
      </c>
      <c r="H18" s="48">
        <v>1.6</v>
      </c>
      <c r="I18" s="96">
        <f t="shared" si="1"/>
        <v>3.1891902181378111E-4</v>
      </c>
      <c r="J18" s="50">
        <f t="shared" si="2"/>
        <v>4.9831097158403295E-2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70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134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132</v>
      </c>
      <c r="F19" s="48">
        <f>C19*D19*E19-F13</f>
        <v>742035</v>
      </c>
      <c r="G19" s="49">
        <f t="shared" si="0"/>
        <v>29.522031979623602</v>
      </c>
      <c r="H19" s="48">
        <v>1</v>
      </c>
      <c r="I19" s="96">
        <f t="shared" si="1"/>
        <v>1.354920285555154E-4</v>
      </c>
      <c r="J19" s="50">
        <f t="shared" si="2"/>
        <v>3.387300713887885E-2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72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131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148</v>
      </c>
      <c r="F20" s="53">
        <f>C20*D20*E20-F13</f>
        <v>899811</v>
      </c>
      <c r="G20" s="54">
        <f t="shared" si="0"/>
        <v>24.345535895871468</v>
      </c>
      <c r="H20" s="53">
        <v>0.4</v>
      </c>
      <c r="I20" s="97">
        <f t="shared" si="1"/>
        <v>6.5720467474750859E-5</v>
      </c>
      <c r="J20" s="55">
        <f t="shared" si="2"/>
        <v>4.1075292171719284E-2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1.1245138811381032E-2</v>
      </c>
      <c r="N21" s="288">
        <f>$O$15</f>
        <v>78.834601129367201</v>
      </c>
      <c r="O21" s="186" cm="1">
        <f t="array" aca="1" ref="O21:O25" ca="1">M21:M25*N21:N25</f>
        <v>0.88650603283959006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1.1245138811381032E-2</v>
      </c>
      <c r="N22" s="290">
        <f>$O$15+1*$O$15*_xlfn.BINOM.DIST(1,1,$I$4,FALSE)</f>
        <v>123.4471019084761</v>
      </c>
      <c r="O22" s="189">
        <f ca="1"/>
        <v>1.3881797968235141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21906381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1.1245138811381032E-2</v>
      </c>
      <c r="N23" s="290">
        <f>$O$15+1*$O$15*_xlfn.BINOM.DIST(1,2,$I$4,FALSE)+2*$O$15*_xlfn.BINOM.DIST(2,2,$I$4,FALSE)</f>
        <v>168.059602687585</v>
      </c>
      <c r="O23" s="189">
        <f ca="1"/>
        <v>1.889853560807438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1.1245138811381032E-2</v>
      </c>
      <c r="N24" s="290">
        <f>$O$15+1*$O$15*_xlfn.BINOM.DIST(1,3,$I$4,FALSE)+2*$O$15*_xlfn.BINOM.DIST(2,3,$I$4,FALSE)+3*$O$15*_xlfn.BINOM.DIST(3,3,$I$4,FALSE)</f>
        <v>212.6721034666939</v>
      </c>
      <c r="O24" s="189">
        <f ca="1"/>
        <v>2.3915273247913622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45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105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105</v>
      </c>
      <c r="F25" s="43">
        <f ca="1">C25*D25*E25</f>
        <v>496125</v>
      </c>
      <c r="G25" s="44">
        <f t="shared" ref="G25:G32" ca="1" si="5">C$11/F25</f>
        <v>44.154962962962962</v>
      </c>
      <c r="H25" s="43" cm="1">
        <f t="array" ref="H25:H32">_xlfn.ANCHORARRAY(H13)</f>
        <v>5</v>
      </c>
      <c r="I25" s="45">
        <f t="shared" ref="I25:I32" ca="1" si="6">J25*H25/$C$1</f>
        <v>4.5295021573851015E-4</v>
      </c>
      <c r="J25" s="45">
        <f t="shared" ref="J25:J32" ca="1" si="7">F25/C$11</f>
        <v>2.2647510786925507E-2</v>
      </c>
      <c r="K25" s="34"/>
      <c r="L25" s="68" t="s">
        <v>281</v>
      </c>
      <c r="M25" s="291">
        <f t="shared" ca="1" si="4"/>
        <v>1.1245138811381032E-2</v>
      </c>
      <c r="N25" s="292">
        <f>$O$15+1*$O$15*_xlfn.BINOM.DIST(1,4,$I$4,FALSE)+2*$O$15*_xlfn.BINOM.DIST(2,4,$I$4,FALSE)+3*$O$15*_xlfn.BINOM.DIST(3,4,$I$4,FALSE)+4*$O$15*_xlfn.BINOM.DIST(4,4,$I$4,FALSE)</f>
        <v>257.28460424580277</v>
      </c>
      <c r="O25" s="192">
        <f ca="1"/>
        <v>2.8932010887752857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59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129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132</v>
      </c>
      <c r="F26" s="48">
        <f ca="1">C26*D26*E26-F25</f>
        <v>508527</v>
      </c>
      <c r="G26" s="49">
        <f t="shared" ca="1" si="5"/>
        <v>43.078107947070656</v>
      </c>
      <c r="H26" s="48">
        <v>4</v>
      </c>
      <c r="I26" s="50">
        <f t="shared" ca="1" si="6"/>
        <v>3.714183552271824E-4</v>
      </c>
      <c r="J26" s="50">
        <f t="shared" ca="1" si="7"/>
        <v>2.3213647201698901E-2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58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139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136</v>
      </c>
      <c r="F27" s="48">
        <f ca="1">C27*D27*E27-F25</f>
        <v>600307</v>
      </c>
      <c r="G27" s="49">
        <f t="shared" ca="1" si="5"/>
        <v>36.491963278789022</v>
      </c>
      <c r="H27" s="48">
        <v>3</v>
      </c>
      <c r="I27" s="50">
        <f t="shared" ca="1" si="6"/>
        <v>3.2883952853737E-4</v>
      </c>
      <c r="J27" s="50">
        <f t="shared" ca="1" si="7"/>
        <v>2.7403294044780833E-2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59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134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137</v>
      </c>
      <c r="F28" s="48">
        <f ca="1">C28*D28*E28-F25</f>
        <v>586997</v>
      </c>
      <c r="G28" s="49">
        <f t="shared" ca="1" si="5"/>
        <v>37.319408787438434</v>
      </c>
      <c r="H28" s="48">
        <v>2.4</v>
      </c>
      <c r="I28" s="50">
        <f t="shared" ca="1" si="6"/>
        <v>2.5723880179021811E-4</v>
      </c>
      <c r="J28" s="50">
        <f t="shared" ca="1" si="7"/>
        <v>2.6795708519814387E-2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71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155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136</v>
      </c>
      <c r="F29" s="48">
        <f ca="1">C29*D29*E29-F25</f>
        <v>1000555</v>
      </c>
      <c r="G29" s="49">
        <f t="shared" ca="1" si="5"/>
        <v>21.894229702515105</v>
      </c>
      <c r="H29" s="48">
        <v>2</v>
      </c>
      <c r="I29" s="50">
        <f t="shared" ca="1" si="6"/>
        <v>3.6539307884766542E-4</v>
      </c>
      <c r="J29" s="50">
        <f t="shared" ca="1" si="7"/>
        <v>4.5674134855958178E-2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68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141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140</v>
      </c>
      <c r="F30" s="48">
        <f ca="1">C30*D30*E30-F25</f>
        <v>846195</v>
      </c>
      <c r="G30" s="49">
        <f t="shared" ca="1" si="5"/>
        <v>25.888100260578234</v>
      </c>
      <c r="H30" s="48">
        <v>1.6</v>
      </c>
      <c r="I30" s="50">
        <f t="shared" ca="1" si="6"/>
        <v>2.4721783118809084E-4</v>
      </c>
      <c r="J30" s="50">
        <f t="shared" ca="1" si="7"/>
        <v>3.8627786123139191E-2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66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146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140</v>
      </c>
      <c r="F31" s="48">
        <f ca="1">C31*D31*E31-F25</f>
        <v>852915</v>
      </c>
      <c r="G31" s="49">
        <f t="shared" ca="1" si="5"/>
        <v>25.684131478517788</v>
      </c>
      <c r="H31" s="48">
        <v>1</v>
      </c>
      <c r="I31" s="50">
        <f t="shared" ca="1" si="6"/>
        <v>1.5573818423043041E-4</v>
      </c>
      <c r="J31" s="50">
        <f t="shared" ca="1" si="7"/>
        <v>3.89345460576076E-2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72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135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152</v>
      </c>
      <c r="F32" s="53">
        <f ca="1">C32*D32*E32-F25</f>
        <v>981315</v>
      </c>
      <c r="G32" s="54">
        <f t="shared" ca="1" si="5"/>
        <v>22.323495513672981</v>
      </c>
      <c r="H32" s="53">
        <v>0.4</v>
      </c>
      <c r="I32" s="55">
        <f t="shared" ca="1" si="6"/>
        <v>7.1673363117349235E-5</v>
      </c>
      <c r="J32" s="55">
        <f t="shared" ca="1" si="7"/>
        <v>4.479585194834327E-2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21906381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45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105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105</v>
      </c>
      <c r="F37" s="43">
        <f ca="1">C37*D37*E37</f>
        <v>496125</v>
      </c>
      <c r="G37" s="44">
        <f t="shared" ref="G37:G44" ca="1" si="8">C$11/F37</f>
        <v>44.154962962962962</v>
      </c>
      <c r="H37" s="43" cm="1">
        <f t="array" ref="H37:H44">_xlfn.ANCHORARRAY(H25)</f>
        <v>5</v>
      </c>
      <c r="I37" s="45">
        <f t="shared" ref="I37:I44" ca="1" si="9">J37*H37/$C$1</f>
        <v>4.5295021573851015E-4</v>
      </c>
      <c r="J37" s="45">
        <f t="shared" ref="J37:J44" ca="1" si="10">F37/C$11</f>
        <v>2.2647510786925507E-2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59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129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128</v>
      </c>
      <c r="F38" s="48">
        <f ca="1">C38*D38*E38-F37</f>
        <v>478083</v>
      </c>
      <c r="G38" s="49">
        <f t="shared" ca="1" si="8"/>
        <v>45.821292537069922</v>
      </c>
      <c r="H38" s="48">
        <v>4</v>
      </c>
      <c r="I38" s="50">
        <f t="shared" ca="1" si="9"/>
        <v>3.4918264226300089E-4</v>
      </c>
      <c r="J38" s="50">
        <f t="shared" ca="1" si="10"/>
        <v>2.1823915141437555E-2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58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132</v>
      </c>
      <c r="F39" s="48">
        <f ca="1">C39*D39*E39-F37</f>
        <v>629307</v>
      </c>
      <c r="G39" s="49">
        <f t="shared" ca="1" si="8"/>
        <v>34.810324690492877</v>
      </c>
      <c r="H39" s="48">
        <v>3</v>
      </c>
      <c r="I39" s="50">
        <f t="shared" ca="1" si="9"/>
        <v>3.4472531085805549E-4</v>
      </c>
      <c r="J39" s="50">
        <f t="shared" ca="1" si="10"/>
        <v>2.8727109238171289E-2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59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130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141</v>
      </c>
      <c r="F40" s="48">
        <f ca="1">C40*D40*E40-F37</f>
        <v>585345</v>
      </c>
      <c r="G40" s="49">
        <f t="shared" ca="1" si="8"/>
        <v>37.424734131153421</v>
      </c>
      <c r="H40" s="48">
        <v>2.4</v>
      </c>
      <c r="I40" s="50">
        <f t="shared" ca="1" si="9"/>
        <v>2.5651484834487265E-4</v>
      </c>
      <c r="J40" s="50">
        <f t="shared" ca="1" si="10"/>
        <v>2.6720296702590903E-2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79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143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136</v>
      </c>
      <c r="F41" s="48">
        <f ca="1">C41*D41*E41-F37</f>
        <v>1040267</v>
      </c>
      <c r="G41" s="49">
        <f t="shared" ca="1" si="8"/>
        <v>21.05842153985467</v>
      </c>
      <c r="H41" s="48">
        <v>2</v>
      </c>
      <c r="I41" s="50">
        <f t="shared" ca="1" si="9"/>
        <v>3.7989551994005764E-4</v>
      </c>
      <c r="J41" s="50">
        <f t="shared" ca="1" si="10"/>
        <v>4.7486939992507207E-2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64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133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132</v>
      </c>
      <c r="F42" s="48">
        <f ca="1">C42*D42*E42-F37</f>
        <v>627459</v>
      </c>
      <c r="G42" s="49">
        <f t="shared" ca="1" si="8"/>
        <v>34.912848488905254</v>
      </c>
      <c r="H42" s="48">
        <v>1.6</v>
      </c>
      <c r="I42" s="50">
        <f t="shared" ca="1" si="9"/>
        <v>1.8331360163963183E-4</v>
      </c>
      <c r="J42" s="50">
        <f t="shared" ca="1" si="10"/>
        <v>2.8642750256192475E-2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62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158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148</v>
      </c>
      <c r="F43" s="48">
        <f ca="1">C43*D43*E43-F37</f>
        <v>953683</v>
      </c>
      <c r="G43" s="49">
        <f t="shared" ca="1" si="8"/>
        <v>22.970296209537132</v>
      </c>
      <c r="H43" s="48">
        <v>1</v>
      </c>
      <c r="I43" s="50">
        <f t="shared" ca="1" si="9"/>
        <v>1.7413793725216411E-4</v>
      </c>
      <c r="J43" s="50">
        <f t="shared" ca="1" si="10"/>
        <v>4.3534484313041029E-2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72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139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156</v>
      </c>
      <c r="F44" s="53">
        <f ca="1">C44*D44*E44-F37</f>
        <v>1065123</v>
      </c>
      <c r="G44" s="54">
        <f t="shared" ca="1" si="8"/>
        <v>20.566996487729586</v>
      </c>
      <c r="H44" s="53">
        <v>0.4</v>
      </c>
      <c r="I44" s="55">
        <f t="shared" ca="1" si="9"/>
        <v>7.7794538495427429E-5</v>
      </c>
      <c r="J44" s="55">
        <f t="shared" ca="1" si="10"/>
        <v>4.862158655964214E-2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21906381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45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105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105</v>
      </c>
      <c r="F49" s="43">
        <f ca="1">C49*D49*E49</f>
        <v>496125</v>
      </c>
      <c r="G49" s="44">
        <f t="shared" ref="G49:G56" ca="1" si="11">C$11/F49</f>
        <v>44.154962962962962</v>
      </c>
      <c r="H49" s="43" cm="1">
        <f t="array" ref="H49:H56">_xlfn.ANCHORARRAY(H37)</f>
        <v>5</v>
      </c>
      <c r="I49" s="45">
        <f t="shared" ref="I49:I56" ca="1" si="12">J49*H49/$C$1</f>
        <v>4.5295021573851015E-4</v>
      </c>
      <c r="J49" s="45">
        <f t="shared" ref="J49:J56" ca="1" si="13">F49/C$11</f>
        <v>2.2647510786925507E-2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59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129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128</v>
      </c>
      <c r="F50" s="48">
        <f ca="1">C50*D50*E50-F49</f>
        <v>478083</v>
      </c>
      <c r="G50" s="49">
        <f t="shared" ca="1" si="11"/>
        <v>45.821292537069922</v>
      </c>
      <c r="H50" s="48">
        <v>4</v>
      </c>
      <c r="I50" s="50">
        <f t="shared" ca="1" si="12"/>
        <v>3.4918264226300089E-4</v>
      </c>
      <c r="J50" s="50">
        <f t="shared" ca="1" si="13"/>
        <v>2.1823915141437555E-2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58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139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132</v>
      </c>
      <c r="F51" s="48">
        <f ca="1">C51*D51*E51-F49</f>
        <v>568059</v>
      </c>
      <c r="G51" s="49">
        <f t="shared" ca="1" si="11"/>
        <v>38.563566460526104</v>
      </c>
      <c r="H51" s="48">
        <v>3</v>
      </c>
      <c r="I51" s="50">
        <f t="shared" ca="1" si="12"/>
        <v>3.1117453859676777E-4</v>
      </c>
      <c r="J51" s="50">
        <f t="shared" ca="1" si="13"/>
        <v>2.5931211549730646E-2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59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134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141</v>
      </c>
      <c r="F52" s="48">
        <f ca="1">C52*D52*E52-F49</f>
        <v>618621</v>
      </c>
      <c r="G52" s="49">
        <f t="shared" ca="1" si="11"/>
        <v>35.411634910551051</v>
      </c>
      <c r="H52" s="48">
        <v>2.4</v>
      </c>
      <c r="I52" s="50">
        <f t="shared" ca="1" si="12"/>
        <v>2.7109733917254518E-4</v>
      </c>
      <c r="J52" s="50">
        <f t="shared" ca="1" si="13"/>
        <v>2.8239306163806793E-2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63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155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136</v>
      </c>
      <c r="F53" s="48">
        <f ca="1">C53*D53*E53-F49</f>
        <v>831915</v>
      </c>
      <c r="G53" s="49">
        <f t="shared" ca="1" si="11"/>
        <v>26.332475072573519</v>
      </c>
      <c r="H53" s="48">
        <v>2</v>
      </c>
      <c r="I53" s="50">
        <f t="shared" ca="1" si="12"/>
        <v>3.0380737009915056E-4</v>
      </c>
      <c r="J53" s="50">
        <f t="shared" ca="1" si="13"/>
        <v>3.7975921262393818E-2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72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141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132</v>
      </c>
      <c r="F54" s="48">
        <f ca="1">C54*D54*E54-F49</f>
        <v>843939</v>
      </c>
      <c r="G54" s="49">
        <f t="shared" ca="1" si="11"/>
        <v>25.957303786174119</v>
      </c>
      <c r="H54" s="48">
        <v>1.6</v>
      </c>
      <c r="I54" s="50">
        <f t="shared" ca="1" si="12"/>
        <v>2.4655873555746153E-4</v>
      </c>
      <c r="J54" s="50">
        <f t="shared" ca="1" si="13"/>
        <v>3.8524802430853364E-2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70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146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148</v>
      </c>
      <c r="F55" s="48">
        <f ca="1">C55*D55*E55-F49</f>
        <v>1016435</v>
      </c>
      <c r="G55" s="49">
        <f t="shared" ca="1" si="11"/>
        <v>21.552171068489375</v>
      </c>
      <c r="H55" s="48">
        <v>1</v>
      </c>
      <c r="I55" s="50">
        <f t="shared" ca="1" si="12"/>
        <v>1.8559615118535552E-4</v>
      </c>
      <c r="J55" s="50">
        <f t="shared" ca="1" si="13"/>
        <v>4.6399037796338881E-2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72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135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156</v>
      </c>
      <c r="F56" s="53">
        <f ca="1">C56*D56*E56-F49</f>
        <v>1020195</v>
      </c>
      <c r="G56" s="54">
        <f t="shared" ca="1" si="11"/>
        <v>21.47273903518445</v>
      </c>
      <c r="H56" s="53">
        <v>0.4</v>
      </c>
      <c r="I56" s="55">
        <f t="shared" ca="1" si="12"/>
        <v>7.4513083653571086E-5</v>
      </c>
      <c r="J56" s="55">
        <f t="shared" ca="1" si="13"/>
        <v>4.6570677283481923E-2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21906381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45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105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105</v>
      </c>
      <c r="F61" s="43">
        <f ca="1">C61*D61*E61</f>
        <v>496125</v>
      </c>
      <c r="G61" s="44">
        <f t="shared" ref="G61:G68" ca="1" si="14">C$11/F61</f>
        <v>44.154962962962962</v>
      </c>
      <c r="H61" s="43" cm="1">
        <f t="array" ref="H61:H68">_xlfn.ANCHORARRAY(H49)</f>
        <v>5</v>
      </c>
      <c r="I61" s="45">
        <f t="shared" ref="I61:I68" ca="1" si="15">J61*H61/$C$1</f>
        <v>4.5295021573851015E-4</v>
      </c>
      <c r="J61" s="45">
        <f t="shared" ref="J61:J68" ca="1" si="16">F61/C$11</f>
        <v>2.2647510786925507E-2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59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129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136</v>
      </c>
      <c r="F62" s="48">
        <f ca="1">C62*D62*E62-F61</f>
        <v>538971</v>
      </c>
      <c r="G62" s="49">
        <f t="shared" ca="1" si="14"/>
        <v>40.644823190858133</v>
      </c>
      <c r="H62" s="48">
        <v>4</v>
      </c>
      <c r="I62" s="50">
        <f t="shared" ca="1" si="15"/>
        <v>3.9365406819136397E-4</v>
      </c>
      <c r="J62" s="50">
        <f t="shared" ca="1" si="16"/>
        <v>2.4603379261960247E-2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58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139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140</v>
      </c>
      <c r="F63" s="48">
        <f ca="1">C63*D63*E63-F61</f>
        <v>632555</v>
      </c>
      <c r="G63" s="49">
        <f t="shared" ca="1" si="14"/>
        <v>34.631583024401039</v>
      </c>
      <c r="H63" s="48">
        <v>3</v>
      </c>
      <c r="I63" s="50">
        <f t="shared" ca="1" si="15"/>
        <v>3.4650451847797228E-4</v>
      </c>
      <c r="J63" s="50">
        <f t="shared" ca="1" si="16"/>
        <v>2.8875376539831021E-2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59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134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133</v>
      </c>
      <c r="F64" s="48">
        <f ca="1">C64*D64*E64-F61</f>
        <v>555373</v>
      </c>
      <c r="G64" s="49">
        <f t="shared" ca="1" si="14"/>
        <v>39.444447245364827</v>
      </c>
      <c r="H64" s="48">
        <v>2.4</v>
      </c>
      <c r="I64" s="50">
        <f t="shared" ca="1" si="15"/>
        <v>2.43380264407891E-4</v>
      </c>
      <c r="J64" s="50">
        <f t="shared" ca="1" si="16"/>
        <v>2.5352110875821982E-2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79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155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136</v>
      </c>
      <c r="F65" s="48">
        <f ca="1">C65*D65*E65-F61</f>
        <v>1169195</v>
      </c>
      <c r="G65" s="49">
        <f t="shared" ca="1" si="14"/>
        <v>18.736293774776662</v>
      </c>
      <c r="H65" s="48">
        <v>2</v>
      </c>
      <c r="I65" s="50">
        <f t="shared" ca="1" si="15"/>
        <v>4.2697878759618028E-4</v>
      </c>
      <c r="J65" s="50">
        <f t="shared" ca="1" si="16"/>
        <v>5.3372348449522537E-2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64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141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148</v>
      </c>
      <c r="F66" s="48">
        <f ca="1">C66*D66*E66-F61</f>
        <v>839427</v>
      </c>
      <c r="G66" s="49">
        <f t="shared" ca="1" si="14"/>
        <v>26.096826763971137</v>
      </c>
      <c r="H66" s="48">
        <v>1.6</v>
      </c>
      <c r="I66" s="50">
        <f t="shared" ca="1" si="15"/>
        <v>2.4524054429620303E-4</v>
      </c>
      <c r="J66" s="50">
        <f t="shared" ca="1" si="16"/>
        <v>3.8318835046281717E-2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62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146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132</v>
      </c>
      <c r="F67" s="48">
        <f ca="1">C67*D67*E67-F61</f>
        <v>698739</v>
      </c>
      <c r="G67" s="49">
        <f t="shared" ca="1" si="14"/>
        <v>31.351307140434411</v>
      </c>
      <c r="H67" s="48">
        <v>1</v>
      </c>
      <c r="I67" s="50">
        <f t="shared" ca="1" si="15"/>
        <v>1.2758638681578668E-4</v>
      </c>
      <c r="J67" s="50">
        <f t="shared" ca="1" si="16"/>
        <v>3.1896596703946671E-2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72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135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148</v>
      </c>
      <c r="F68" s="53">
        <f ca="1">C68*D68*E68-F61</f>
        <v>942435</v>
      </c>
      <c r="G68" s="54">
        <f t="shared" ca="1" si="14"/>
        <v>23.244447627687851</v>
      </c>
      <c r="H68" s="53">
        <v>0.4</v>
      </c>
      <c r="I68" s="55">
        <f t="shared" ca="1" si="15"/>
        <v>6.8833642581127383E-5</v>
      </c>
      <c r="J68" s="55">
        <f t="shared" ca="1" si="16"/>
        <v>4.3021026613204616E-2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2.811284702845257E-2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21.511944888993025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21906381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45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105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105</v>
      </c>
      <c r="F13" s="43">
        <f>C13*D13*E13</f>
        <v>496125</v>
      </c>
      <c r="G13" s="44">
        <f t="shared" ref="G13:G20" si="0">C$11/F13</f>
        <v>44.154962962962962</v>
      </c>
      <c r="H13" s="43" cm="1">
        <f t="array" ref="H13:H20">Overview!B40:B47</f>
        <v>5</v>
      </c>
      <c r="I13" s="95">
        <f t="shared" ref="I13:I20" si="1">J13*H13/$C$1</f>
        <v>1.1323755393462752E-3</v>
      </c>
      <c r="J13" s="45">
        <f t="shared" ref="J13:J20" si="2">F13/C$11</f>
        <v>2.2647510786925507E-2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59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129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136</v>
      </c>
      <c r="F14" s="48">
        <f>C14*D14*E14-F13</f>
        <v>538971</v>
      </c>
      <c r="G14" s="49">
        <f t="shared" si="0"/>
        <v>40.644823190858133</v>
      </c>
      <c r="H14" s="48">
        <v>4</v>
      </c>
      <c r="I14" s="96">
        <f t="shared" si="1"/>
        <v>9.8413517047840995E-4</v>
      </c>
      <c r="J14" s="50">
        <f t="shared" si="2"/>
        <v>2.4603379261960247E-2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58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131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140</v>
      </c>
      <c r="F15" s="48">
        <f>C15*D15*E15-F13</f>
        <v>567595</v>
      </c>
      <c r="G15" s="49">
        <f t="shared" si="0"/>
        <v>38.595091570574091</v>
      </c>
      <c r="H15" s="48">
        <v>3</v>
      </c>
      <c r="I15" s="96">
        <f t="shared" si="1"/>
        <v>7.7730091519909205E-4</v>
      </c>
      <c r="J15" s="50">
        <f t="shared" si="2"/>
        <v>2.59100305066364E-2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59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138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133</v>
      </c>
      <c r="F16" s="48">
        <f>C16*D16*E16-F13</f>
        <v>586761</v>
      </c>
      <c r="G16" s="49">
        <f t="shared" si="0"/>
        <v>37.334418954224972</v>
      </c>
      <c r="H16" s="48">
        <v>2.4</v>
      </c>
      <c r="I16" s="96">
        <f t="shared" si="1"/>
        <v>6.4283844967363618E-4</v>
      </c>
      <c r="J16" s="50">
        <f t="shared" si="2"/>
        <v>2.6784935403068175E-2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63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167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136</v>
      </c>
      <c r="F17" s="48">
        <f>C17*D17*E17-F13</f>
        <v>934731</v>
      </c>
      <c r="G17" s="49">
        <f t="shared" si="0"/>
        <v>23.436027049493383</v>
      </c>
      <c r="H17" s="48">
        <v>2</v>
      </c>
      <c r="I17" s="96">
        <f t="shared" si="1"/>
        <v>8.533869651952096E-4</v>
      </c>
      <c r="J17" s="50">
        <f t="shared" si="2"/>
        <v>4.266934825976048E-2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72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148</v>
      </c>
      <c r="F18" s="48">
        <f>C18*D18*E18-F13</f>
        <v>1091619</v>
      </c>
      <c r="G18" s="49">
        <f t="shared" si="0"/>
        <v>20.067790135569279</v>
      </c>
      <c r="H18" s="48">
        <v>1.6</v>
      </c>
      <c r="I18" s="96">
        <f t="shared" si="1"/>
        <v>7.9729755453445284E-4</v>
      </c>
      <c r="J18" s="50">
        <f t="shared" si="2"/>
        <v>4.9831097158403295E-2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70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134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132</v>
      </c>
      <c r="F19" s="48">
        <f>C19*D19*E19-F13</f>
        <v>742035</v>
      </c>
      <c r="G19" s="49">
        <f t="shared" si="0"/>
        <v>29.522031979623602</v>
      </c>
      <c r="H19" s="48">
        <v>1</v>
      </c>
      <c r="I19" s="96">
        <f t="shared" si="1"/>
        <v>3.3873007138878852E-4</v>
      </c>
      <c r="J19" s="50">
        <f t="shared" si="2"/>
        <v>3.387300713887885E-2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72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131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148</v>
      </c>
      <c r="F20" s="53">
        <f>C20*D20*E20-F13</f>
        <v>899811</v>
      </c>
      <c r="G20" s="54">
        <f t="shared" si="0"/>
        <v>24.345535895871468</v>
      </c>
      <c r="H20" s="53">
        <v>0.4</v>
      </c>
      <c r="I20" s="97">
        <f t="shared" si="1"/>
        <v>1.6430116868687713E-4</v>
      </c>
      <c r="J20" s="55">
        <f t="shared" si="2"/>
        <v>4.1075292171719284E-2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2.811284702845257E-2</v>
      </c>
      <c r="N21" s="288">
        <f>$O$15</f>
        <v>108.57529814106596</v>
      </c>
      <c r="O21" s="186" cm="1">
        <f t="array" aca="1" ref="O21:O25" ca="1">M21:M25*N21:N25</f>
        <v>3.052360747708418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2.811284702845257E-2</v>
      </c>
      <c r="N22" s="290">
        <f>$O$15+1*$O$15*_xlfn.BINOM.DIST(1,1,$I$4,FALSE)</f>
        <v>130.80762894742386</v>
      </c>
      <c r="O22" s="189">
        <f ca="1"/>
        <v>3.6773748627535112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21906381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2.811284702845257E-2</v>
      </c>
      <c r="N23" s="290">
        <f>$O$15+1*$O$15*_xlfn.BINOM.DIST(1,2,$I$4,FALSE)+2*$O$15*_xlfn.BINOM.DIST(2,2,$I$4,FALSE)</f>
        <v>153.03995975378177</v>
      </c>
      <c r="O23" s="189">
        <f ca="1"/>
        <v>4.3023889777986044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2.811284702845257E-2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4.9274030928436998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45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105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105</v>
      </c>
      <c r="F25" s="43">
        <f ca="1">C25*D25*E25</f>
        <v>496125</v>
      </c>
      <c r="G25" s="44">
        <f t="shared" ref="G25:G32" ca="1" si="5">C$11/F25</f>
        <v>44.154962962962962</v>
      </c>
      <c r="H25" s="43" cm="1">
        <f t="array" ref="H25:H32">_xlfn.ANCHORARRAY(H13)</f>
        <v>5</v>
      </c>
      <c r="I25" s="45">
        <f t="shared" ref="I25:I32" ca="1" si="6">J25*H25/$C$1</f>
        <v>1.1323755393462752E-3</v>
      </c>
      <c r="J25" s="45">
        <f t="shared" ref="J25:J32" ca="1" si="7">F25/C$11</f>
        <v>2.2647510786925507E-2</v>
      </c>
      <c r="K25" s="34"/>
      <c r="L25" s="68" t="s">
        <v>281</v>
      </c>
      <c r="M25" s="291">
        <f t="shared" ca="1" si="4"/>
        <v>2.811284702845257E-2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5.5524172078887917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59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129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132</v>
      </c>
      <c r="F26" s="48">
        <f ca="1">C26*D26*E26-F25</f>
        <v>508527</v>
      </c>
      <c r="G26" s="49">
        <f t="shared" ca="1" si="5"/>
        <v>43.078107947070656</v>
      </c>
      <c r="H26" s="48">
        <v>4</v>
      </c>
      <c r="I26" s="50">
        <f t="shared" ca="1" si="6"/>
        <v>9.28545888067956E-4</v>
      </c>
      <c r="J26" s="50">
        <f t="shared" ca="1" si="7"/>
        <v>2.3213647201698901E-2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58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139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136</v>
      </c>
      <c r="F27" s="48">
        <f ca="1">C27*D27*E27-F25</f>
        <v>600307</v>
      </c>
      <c r="G27" s="49">
        <f t="shared" ca="1" si="5"/>
        <v>36.491963278789022</v>
      </c>
      <c r="H27" s="48">
        <v>3</v>
      </c>
      <c r="I27" s="50">
        <f t="shared" ca="1" si="6"/>
        <v>8.2209882134342497E-4</v>
      </c>
      <c r="J27" s="50">
        <f t="shared" ca="1" si="7"/>
        <v>2.7403294044780833E-2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59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134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137</v>
      </c>
      <c r="F28" s="48">
        <f ca="1">C28*D28*E28-F25</f>
        <v>586997</v>
      </c>
      <c r="G28" s="49">
        <f t="shared" ca="1" si="5"/>
        <v>37.319408787438434</v>
      </c>
      <c r="H28" s="48">
        <v>2.4</v>
      </c>
      <c r="I28" s="50">
        <f t="shared" ca="1" si="6"/>
        <v>6.4309700447554529E-4</v>
      </c>
      <c r="J28" s="50">
        <f t="shared" ca="1" si="7"/>
        <v>2.6795708519814387E-2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71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155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136</v>
      </c>
      <c r="F29" s="48">
        <f ca="1">C29*D29*E29-F25</f>
        <v>1000555</v>
      </c>
      <c r="G29" s="49">
        <f t="shared" ca="1" si="5"/>
        <v>21.894229702515105</v>
      </c>
      <c r="H29" s="48">
        <v>2</v>
      </c>
      <c r="I29" s="50">
        <f t="shared" ca="1" si="6"/>
        <v>9.1348269711916358E-4</v>
      </c>
      <c r="J29" s="50">
        <f t="shared" ca="1" si="7"/>
        <v>4.5674134855958178E-2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68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141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140</v>
      </c>
      <c r="F30" s="48">
        <f ca="1">C30*D30*E30-F25</f>
        <v>846195</v>
      </c>
      <c r="G30" s="49">
        <f t="shared" ca="1" si="5"/>
        <v>25.888100260578234</v>
      </c>
      <c r="H30" s="48">
        <v>1.6</v>
      </c>
      <c r="I30" s="50">
        <f t="shared" ca="1" si="6"/>
        <v>6.1804457797022701E-4</v>
      </c>
      <c r="J30" s="50">
        <f t="shared" ca="1" si="7"/>
        <v>3.8627786123139191E-2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66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146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140</v>
      </c>
      <c r="F31" s="48">
        <f ca="1">C31*D31*E31-F25</f>
        <v>852915</v>
      </c>
      <c r="G31" s="49">
        <f t="shared" ca="1" si="5"/>
        <v>25.684131478517788</v>
      </c>
      <c r="H31" s="48">
        <v>1</v>
      </c>
      <c r="I31" s="50">
        <f t="shared" ca="1" si="6"/>
        <v>3.8934546057607601E-4</v>
      </c>
      <c r="J31" s="50">
        <f t="shared" ca="1" si="7"/>
        <v>3.89345460576076E-2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72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135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152</v>
      </c>
      <c r="F32" s="53">
        <f ca="1">C32*D32*E32-F25</f>
        <v>981315</v>
      </c>
      <c r="G32" s="54">
        <f t="shared" ca="1" si="5"/>
        <v>22.323495513672981</v>
      </c>
      <c r="H32" s="53">
        <v>0.4</v>
      </c>
      <c r="I32" s="55">
        <f t="shared" ca="1" si="6"/>
        <v>1.7918340779337307E-4</v>
      </c>
      <c r="J32" s="55">
        <f t="shared" ca="1" si="7"/>
        <v>4.479585194834327E-2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21906381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45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105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105</v>
      </c>
      <c r="F37" s="43">
        <f ca="1">C37*D37*E37</f>
        <v>496125</v>
      </c>
      <c r="G37" s="44">
        <f t="shared" ref="G37:G44" ca="1" si="8">C$11/F37</f>
        <v>44.154962962962962</v>
      </c>
      <c r="H37" s="43" cm="1">
        <f t="array" ref="H37:H44">_xlfn.ANCHORARRAY(H25)</f>
        <v>5</v>
      </c>
      <c r="I37" s="45">
        <f t="shared" ref="I37:I44" ca="1" si="9">J37*H37/$C$1</f>
        <v>1.1323755393462752E-3</v>
      </c>
      <c r="J37" s="45">
        <f t="shared" ref="J37:J44" ca="1" si="10">F37/C$11</f>
        <v>2.2647510786925507E-2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59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129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128</v>
      </c>
      <c r="F38" s="48">
        <f ca="1">C38*D38*E38-F37</f>
        <v>478083</v>
      </c>
      <c r="G38" s="49">
        <f t="shared" ca="1" si="8"/>
        <v>45.821292537069922</v>
      </c>
      <c r="H38" s="48">
        <v>4</v>
      </c>
      <c r="I38" s="50">
        <f t="shared" ca="1" si="9"/>
        <v>8.7295660565750227E-4</v>
      </c>
      <c r="J38" s="50">
        <f t="shared" ca="1" si="10"/>
        <v>2.1823915141437555E-2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58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132</v>
      </c>
      <c r="F39" s="48">
        <f ca="1">C39*D39*E39-F37</f>
        <v>629307</v>
      </c>
      <c r="G39" s="49">
        <f t="shared" ca="1" si="8"/>
        <v>34.810324690492877</v>
      </c>
      <c r="H39" s="48">
        <v>3</v>
      </c>
      <c r="I39" s="50">
        <f t="shared" ca="1" si="9"/>
        <v>8.6181327714513866E-4</v>
      </c>
      <c r="J39" s="50">
        <f t="shared" ca="1" si="10"/>
        <v>2.8727109238171289E-2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59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130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141</v>
      </c>
      <c r="F40" s="48">
        <f ca="1">C40*D40*E40-F37</f>
        <v>585345</v>
      </c>
      <c r="G40" s="49">
        <f t="shared" ca="1" si="8"/>
        <v>37.424734131153421</v>
      </c>
      <c r="H40" s="48">
        <v>2.4</v>
      </c>
      <c r="I40" s="50">
        <f t="shared" ca="1" si="9"/>
        <v>6.4128712086218163E-4</v>
      </c>
      <c r="J40" s="50">
        <f t="shared" ca="1" si="10"/>
        <v>2.6720296702590903E-2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79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143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136</v>
      </c>
      <c r="F41" s="48">
        <f ca="1">C41*D41*E41-F37</f>
        <v>1040267</v>
      </c>
      <c r="G41" s="49">
        <f t="shared" ca="1" si="8"/>
        <v>21.05842153985467</v>
      </c>
      <c r="H41" s="48">
        <v>2</v>
      </c>
      <c r="I41" s="50">
        <f t="shared" ca="1" si="9"/>
        <v>9.4973879985014412E-4</v>
      </c>
      <c r="J41" s="50">
        <f t="shared" ca="1" si="10"/>
        <v>4.7486939992507207E-2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64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133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132</v>
      </c>
      <c r="F42" s="48">
        <f ca="1">C42*D42*E42-F37</f>
        <v>627459</v>
      </c>
      <c r="G42" s="49">
        <f t="shared" ca="1" si="8"/>
        <v>34.912848488905254</v>
      </c>
      <c r="H42" s="48">
        <v>1.6</v>
      </c>
      <c r="I42" s="50">
        <f t="shared" ca="1" si="9"/>
        <v>4.5828400409907957E-4</v>
      </c>
      <c r="J42" s="50">
        <f t="shared" ca="1" si="10"/>
        <v>2.8642750256192475E-2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62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158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148</v>
      </c>
      <c r="F43" s="48">
        <f ca="1">C43*D43*E43-F37</f>
        <v>953683</v>
      </c>
      <c r="G43" s="49">
        <f t="shared" ca="1" si="8"/>
        <v>22.970296209537132</v>
      </c>
      <c r="H43" s="48">
        <v>1</v>
      </c>
      <c r="I43" s="50">
        <f t="shared" ca="1" si="9"/>
        <v>4.3534484313041027E-4</v>
      </c>
      <c r="J43" s="50">
        <f t="shared" ca="1" si="10"/>
        <v>4.3534484313041029E-2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72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139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156</v>
      </c>
      <c r="F44" s="53">
        <f ca="1">C44*D44*E44-F37</f>
        <v>1065123</v>
      </c>
      <c r="G44" s="54">
        <f t="shared" ca="1" si="8"/>
        <v>20.566996487729586</v>
      </c>
      <c r="H44" s="53">
        <v>0.4</v>
      </c>
      <c r="I44" s="55">
        <f t="shared" ca="1" si="9"/>
        <v>1.9448634623856859E-4</v>
      </c>
      <c r="J44" s="55">
        <f t="shared" ca="1" si="10"/>
        <v>4.862158655964214E-2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21906381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45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105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105</v>
      </c>
      <c r="F49" s="43">
        <f ca="1">C49*D49*E49</f>
        <v>496125</v>
      </c>
      <c r="G49" s="44">
        <f t="shared" ref="G49:G56" ca="1" si="11">C$11/F49</f>
        <v>44.154962962962962</v>
      </c>
      <c r="H49" s="43" cm="1">
        <f t="array" ref="H49:H56">_xlfn.ANCHORARRAY(H37)</f>
        <v>5</v>
      </c>
      <c r="I49" s="45">
        <f t="shared" ref="I49:I56" ca="1" si="12">J49*H49/$C$1</f>
        <v>1.1323755393462752E-3</v>
      </c>
      <c r="J49" s="45">
        <f t="shared" ref="J49:J56" ca="1" si="13">F49/C$11</f>
        <v>2.2647510786925507E-2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59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129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128</v>
      </c>
      <c r="F50" s="48">
        <f ca="1">C50*D50*E50-F49</f>
        <v>478083</v>
      </c>
      <c r="G50" s="49">
        <f t="shared" ca="1" si="11"/>
        <v>45.821292537069922</v>
      </c>
      <c r="H50" s="48">
        <v>4</v>
      </c>
      <c r="I50" s="50">
        <f t="shared" ca="1" si="12"/>
        <v>8.7295660565750227E-4</v>
      </c>
      <c r="J50" s="50">
        <f t="shared" ca="1" si="13"/>
        <v>2.1823915141437555E-2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58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139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132</v>
      </c>
      <c r="F51" s="48">
        <f ca="1">C51*D51*E51-F49</f>
        <v>568059</v>
      </c>
      <c r="G51" s="49">
        <f t="shared" ca="1" si="11"/>
        <v>38.563566460526104</v>
      </c>
      <c r="H51" s="48">
        <v>3</v>
      </c>
      <c r="I51" s="50">
        <f t="shared" ca="1" si="12"/>
        <v>7.7793634649191937E-4</v>
      </c>
      <c r="J51" s="50">
        <f t="shared" ca="1" si="13"/>
        <v>2.5931211549730646E-2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59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134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141</v>
      </c>
      <c r="F52" s="48">
        <f ca="1">C52*D52*E52-F49</f>
        <v>618621</v>
      </c>
      <c r="G52" s="49">
        <f t="shared" ca="1" si="11"/>
        <v>35.411634910551051</v>
      </c>
      <c r="H52" s="48">
        <v>2.4</v>
      </c>
      <c r="I52" s="50">
        <f t="shared" ca="1" si="12"/>
        <v>6.7774334793136294E-4</v>
      </c>
      <c r="J52" s="50">
        <f t="shared" ca="1" si="13"/>
        <v>2.8239306163806793E-2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63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155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136</v>
      </c>
      <c r="F53" s="48">
        <f ca="1">C53*D53*E53-F49</f>
        <v>831915</v>
      </c>
      <c r="G53" s="49">
        <f t="shared" ca="1" si="11"/>
        <v>26.332475072573519</v>
      </c>
      <c r="H53" s="48">
        <v>2</v>
      </c>
      <c r="I53" s="50">
        <f t="shared" ca="1" si="12"/>
        <v>7.5951842524787634E-4</v>
      </c>
      <c r="J53" s="50">
        <f t="shared" ca="1" si="13"/>
        <v>3.7975921262393818E-2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72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141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132</v>
      </c>
      <c r="F54" s="48">
        <f ca="1">C54*D54*E54-F49</f>
        <v>843939</v>
      </c>
      <c r="G54" s="49">
        <f t="shared" ca="1" si="11"/>
        <v>25.957303786174119</v>
      </c>
      <c r="H54" s="48">
        <v>1.6</v>
      </c>
      <c r="I54" s="50">
        <f t="shared" ca="1" si="12"/>
        <v>6.1639683889365383E-4</v>
      </c>
      <c r="J54" s="50">
        <f t="shared" ca="1" si="13"/>
        <v>3.8524802430853364E-2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70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146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148</v>
      </c>
      <c r="F55" s="48">
        <f ca="1">C55*D55*E55-F49</f>
        <v>1016435</v>
      </c>
      <c r="G55" s="49">
        <f t="shared" ca="1" si="11"/>
        <v>21.552171068489375</v>
      </c>
      <c r="H55" s="48">
        <v>1</v>
      </c>
      <c r="I55" s="50">
        <f t="shared" ca="1" si="12"/>
        <v>4.6399037796338878E-4</v>
      </c>
      <c r="J55" s="50">
        <f t="shared" ca="1" si="13"/>
        <v>4.6399037796338881E-2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72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135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156</v>
      </c>
      <c r="F56" s="53">
        <f ca="1">C56*D56*E56-F49</f>
        <v>1020195</v>
      </c>
      <c r="G56" s="54">
        <f t="shared" ca="1" si="11"/>
        <v>21.47273903518445</v>
      </c>
      <c r="H56" s="53">
        <v>0.4</v>
      </c>
      <c r="I56" s="55">
        <f t="shared" ca="1" si="12"/>
        <v>1.862827091339277E-4</v>
      </c>
      <c r="J56" s="55">
        <f t="shared" ca="1" si="13"/>
        <v>4.6570677283481923E-2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21906381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45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105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105</v>
      </c>
      <c r="F61" s="43">
        <f ca="1">C61*D61*E61</f>
        <v>496125</v>
      </c>
      <c r="G61" s="44">
        <f t="shared" ref="G61:G68" ca="1" si="14">C$11/F61</f>
        <v>44.154962962962962</v>
      </c>
      <c r="H61" s="43" cm="1">
        <f t="array" ref="H61:H68">_xlfn.ANCHORARRAY(H49)</f>
        <v>5</v>
      </c>
      <c r="I61" s="45">
        <f t="shared" ref="I61:I68" ca="1" si="15">J61*H61/$C$1</f>
        <v>1.1323755393462752E-3</v>
      </c>
      <c r="J61" s="45">
        <f t="shared" ref="J61:J68" ca="1" si="16">F61/C$11</f>
        <v>2.2647510786925507E-2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59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129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136</v>
      </c>
      <c r="F62" s="48">
        <f ca="1">C62*D62*E62-F61</f>
        <v>538971</v>
      </c>
      <c r="G62" s="49">
        <f t="shared" ca="1" si="14"/>
        <v>40.644823190858133</v>
      </c>
      <c r="H62" s="48">
        <v>4</v>
      </c>
      <c r="I62" s="50">
        <f t="shared" ca="1" si="15"/>
        <v>9.8413517047840995E-4</v>
      </c>
      <c r="J62" s="50">
        <f t="shared" ca="1" si="16"/>
        <v>2.4603379261960247E-2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58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139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140</v>
      </c>
      <c r="F63" s="48">
        <f ca="1">C63*D63*E63-F61</f>
        <v>632555</v>
      </c>
      <c r="G63" s="49">
        <f t="shared" ca="1" si="14"/>
        <v>34.631583024401039</v>
      </c>
      <c r="H63" s="48">
        <v>3</v>
      </c>
      <c r="I63" s="50">
        <f t="shared" ca="1" si="15"/>
        <v>8.6626129619493068E-4</v>
      </c>
      <c r="J63" s="50">
        <f t="shared" ca="1" si="16"/>
        <v>2.8875376539831021E-2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59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134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133</v>
      </c>
      <c r="F64" s="48">
        <f ca="1">C64*D64*E64-F61</f>
        <v>555373</v>
      </c>
      <c r="G64" s="49">
        <f t="shared" ca="1" si="14"/>
        <v>39.444447245364827</v>
      </c>
      <c r="H64" s="48">
        <v>2.4</v>
      </c>
      <c r="I64" s="50">
        <f t="shared" ca="1" si="15"/>
        <v>6.0845066101972752E-4</v>
      </c>
      <c r="J64" s="50">
        <f t="shared" ca="1" si="16"/>
        <v>2.5352110875821982E-2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79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155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136</v>
      </c>
      <c r="F65" s="48">
        <f ca="1">C65*D65*E65-F61</f>
        <v>1169195</v>
      </c>
      <c r="G65" s="49">
        <f t="shared" ca="1" si="14"/>
        <v>18.736293774776662</v>
      </c>
      <c r="H65" s="48">
        <v>2</v>
      </c>
      <c r="I65" s="50">
        <f t="shared" ca="1" si="15"/>
        <v>1.0674469689904507E-3</v>
      </c>
      <c r="J65" s="50">
        <f t="shared" ca="1" si="16"/>
        <v>5.3372348449522537E-2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64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141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148</v>
      </c>
      <c r="F66" s="48">
        <f ca="1">C66*D66*E66-F61</f>
        <v>839427</v>
      </c>
      <c r="G66" s="49">
        <f t="shared" ca="1" si="14"/>
        <v>26.096826763971137</v>
      </c>
      <c r="H66" s="48">
        <v>1.6</v>
      </c>
      <c r="I66" s="50">
        <f t="shared" ca="1" si="15"/>
        <v>6.1310136074050757E-4</v>
      </c>
      <c r="J66" s="50">
        <f t="shared" ca="1" si="16"/>
        <v>3.8318835046281717E-2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62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146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132</v>
      </c>
      <c r="F67" s="48">
        <f ca="1">C67*D67*E67-F61</f>
        <v>698739</v>
      </c>
      <c r="G67" s="49">
        <f t="shared" ca="1" si="14"/>
        <v>31.351307140434411</v>
      </c>
      <c r="H67" s="48">
        <v>1</v>
      </c>
      <c r="I67" s="50">
        <f t="shared" ca="1" si="15"/>
        <v>3.1896596703946673E-4</v>
      </c>
      <c r="J67" s="50">
        <f t="shared" ca="1" si="16"/>
        <v>3.1896596703946671E-2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72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135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148</v>
      </c>
      <c r="F68" s="53">
        <f ca="1">C68*D68*E68-F61</f>
        <v>942435</v>
      </c>
      <c r="G68" s="54">
        <f t="shared" ca="1" si="14"/>
        <v>23.244447627687851</v>
      </c>
      <c r="H68" s="53">
        <v>0.4</v>
      </c>
      <c r="I68" s="55">
        <f t="shared" ca="1" si="15"/>
        <v>1.7208410645281846E-4</v>
      </c>
      <c r="J68" s="55">
        <f t="shared" ca="1" si="16"/>
        <v>4.3021026613204616E-2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2.811284702845257E-2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36.551086651266019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21906381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45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105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105</v>
      </c>
      <c r="F13" s="43">
        <f>C13*D13*E13</f>
        <v>496125</v>
      </c>
      <c r="G13" s="44">
        <f t="shared" ref="G13:G20" si="0">C$11/F13</f>
        <v>44.154962962962962</v>
      </c>
      <c r="H13" s="43" cm="1">
        <f t="array" ref="H13:H20">Overview!B40:B47</f>
        <v>5</v>
      </c>
      <c r="I13" s="95">
        <f t="shared" ref="I13:I20" si="1">J13*H13/$C$1</f>
        <v>1.1323755393462752E-3</v>
      </c>
      <c r="J13" s="45">
        <f t="shared" ref="J13:J20" si="2">F13/C$11</f>
        <v>2.2647510786925507E-2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59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129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136</v>
      </c>
      <c r="F14" s="48">
        <f>C14*D14*E14-F13</f>
        <v>538971</v>
      </c>
      <c r="G14" s="49">
        <f t="shared" si="0"/>
        <v>40.644823190858133</v>
      </c>
      <c r="H14" s="48">
        <v>4</v>
      </c>
      <c r="I14" s="96">
        <f t="shared" si="1"/>
        <v>9.8413517047840995E-4</v>
      </c>
      <c r="J14" s="50">
        <f t="shared" si="2"/>
        <v>2.4603379261960247E-2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58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131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140</v>
      </c>
      <c r="F15" s="48">
        <f>C15*D15*E15-F13</f>
        <v>567595</v>
      </c>
      <c r="G15" s="49">
        <f t="shared" si="0"/>
        <v>38.595091570574091</v>
      </c>
      <c r="H15" s="48">
        <v>3</v>
      </c>
      <c r="I15" s="96">
        <f t="shared" si="1"/>
        <v>7.7730091519909205E-4</v>
      </c>
      <c r="J15" s="50">
        <f t="shared" si="2"/>
        <v>2.59100305066364E-2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59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138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133</v>
      </c>
      <c r="F16" s="48">
        <f>C16*D16*E16-F13</f>
        <v>586761</v>
      </c>
      <c r="G16" s="49">
        <f t="shared" si="0"/>
        <v>37.334418954224972</v>
      </c>
      <c r="H16" s="48">
        <v>2.4</v>
      </c>
      <c r="I16" s="96">
        <f t="shared" si="1"/>
        <v>6.4283844967363618E-4</v>
      </c>
      <c r="J16" s="50">
        <f t="shared" si="2"/>
        <v>2.6784935403068175E-2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63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167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136</v>
      </c>
      <c r="F17" s="48">
        <f>C17*D17*E17-F13</f>
        <v>934731</v>
      </c>
      <c r="G17" s="49">
        <f t="shared" si="0"/>
        <v>23.436027049493383</v>
      </c>
      <c r="H17" s="48">
        <v>2</v>
      </c>
      <c r="I17" s="96">
        <f t="shared" si="1"/>
        <v>8.533869651952096E-4</v>
      </c>
      <c r="J17" s="50">
        <f t="shared" si="2"/>
        <v>4.266934825976048E-2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72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148</v>
      </c>
      <c r="F18" s="48">
        <f>C18*D18*E18-F13</f>
        <v>1091619</v>
      </c>
      <c r="G18" s="49">
        <f t="shared" si="0"/>
        <v>20.067790135569279</v>
      </c>
      <c r="H18" s="48">
        <v>1.6</v>
      </c>
      <c r="I18" s="96">
        <f t="shared" si="1"/>
        <v>7.9729755453445284E-4</v>
      </c>
      <c r="J18" s="50">
        <f t="shared" si="2"/>
        <v>4.9831097158403295E-2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70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134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132</v>
      </c>
      <c r="F19" s="48">
        <f>C19*D19*E19-F13</f>
        <v>742035</v>
      </c>
      <c r="G19" s="49">
        <f t="shared" si="0"/>
        <v>29.522031979623602</v>
      </c>
      <c r="H19" s="48">
        <v>1</v>
      </c>
      <c r="I19" s="96">
        <f t="shared" si="1"/>
        <v>3.3873007138878852E-4</v>
      </c>
      <c r="J19" s="50">
        <f t="shared" si="2"/>
        <v>3.387300713887885E-2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72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131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148</v>
      </c>
      <c r="F20" s="53">
        <f>C20*D20*E20-F13</f>
        <v>899811</v>
      </c>
      <c r="G20" s="54">
        <f t="shared" si="0"/>
        <v>24.345535895871468</v>
      </c>
      <c r="H20" s="53">
        <v>0.4</v>
      </c>
      <c r="I20" s="97">
        <f t="shared" si="1"/>
        <v>1.6430116868687713E-4</v>
      </c>
      <c r="J20" s="55">
        <f t="shared" si="2"/>
        <v>4.1075292171719284E-2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2.811284702845257E-2</v>
      </c>
      <c r="N21" s="288">
        <f>$O$15</f>
        <v>184.48100118421755</v>
      </c>
      <c r="O21" s="186" cm="1">
        <f t="array" aca="1" ref="O21:O25" ca="1">M21:M25*N21:N25</f>
        <v>5.1862861659476849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2.811284702845257E-2</v>
      </c>
      <c r="N22" s="290">
        <f>$O$15+1*$O$15*_xlfn.BINOM.DIST(1,1,$I$4,FALSE)</f>
        <v>222.25610027247288</v>
      </c>
      <c r="O22" s="189">
        <f ca="1"/>
        <v>6.2482517481004454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21906381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2.811284702845257E-2</v>
      </c>
      <c r="N23" s="290">
        <f>$O$15+1*$O$15*_xlfn.BINOM.DIST(1,2,$I$4,FALSE)+2*$O$15*_xlfn.BINOM.DIST(2,2,$I$4,FALSE)</f>
        <v>260.03119936072818</v>
      </c>
      <c r="O23" s="189">
        <f ca="1"/>
        <v>7.310217330253205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2.811284702845257E-2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8.3721829124059663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45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105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105</v>
      </c>
      <c r="F25" s="43">
        <f ca="1">C25*D25*E25</f>
        <v>496125</v>
      </c>
      <c r="G25" s="44">
        <f t="shared" ref="G25:G32" ca="1" si="5">C$11/F25</f>
        <v>44.154962962962962</v>
      </c>
      <c r="H25" s="43" cm="1">
        <f t="array" ref="H25:H32">_xlfn.ANCHORARRAY(H13)</f>
        <v>5</v>
      </c>
      <c r="I25" s="45">
        <f t="shared" ref="I25:I32" ca="1" si="6">J25*H25/$C$1</f>
        <v>1.1323755393462752E-3</v>
      </c>
      <c r="J25" s="45">
        <f t="shared" ref="J25:J32" ca="1" si="7">F25/C$11</f>
        <v>2.2647510786925507E-2</v>
      </c>
      <c r="K25" s="34"/>
      <c r="L25" s="68" t="s">
        <v>281</v>
      </c>
      <c r="M25" s="291">
        <f t="shared" ca="1" si="4"/>
        <v>2.811284702845257E-2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9.4341484945587233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59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129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132</v>
      </c>
      <c r="F26" s="48">
        <f ca="1">C26*D26*E26-F25</f>
        <v>508527</v>
      </c>
      <c r="G26" s="49">
        <f t="shared" ca="1" si="5"/>
        <v>43.078107947070656</v>
      </c>
      <c r="H26" s="48">
        <v>4</v>
      </c>
      <c r="I26" s="50">
        <f t="shared" ca="1" si="6"/>
        <v>9.28545888067956E-4</v>
      </c>
      <c r="J26" s="50">
        <f t="shared" ca="1" si="7"/>
        <v>2.3213647201698901E-2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58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139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136</v>
      </c>
      <c r="F27" s="48">
        <f ca="1">C27*D27*E27-F25</f>
        <v>600307</v>
      </c>
      <c r="G27" s="49">
        <f t="shared" ca="1" si="5"/>
        <v>36.491963278789022</v>
      </c>
      <c r="H27" s="48">
        <v>3</v>
      </c>
      <c r="I27" s="50">
        <f t="shared" ca="1" si="6"/>
        <v>8.2209882134342497E-4</v>
      </c>
      <c r="J27" s="50">
        <f t="shared" ca="1" si="7"/>
        <v>2.7403294044780833E-2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59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134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137</v>
      </c>
      <c r="F28" s="48">
        <f ca="1">C28*D28*E28-F25</f>
        <v>586997</v>
      </c>
      <c r="G28" s="49">
        <f t="shared" ca="1" si="5"/>
        <v>37.319408787438434</v>
      </c>
      <c r="H28" s="48">
        <v>2.4</v>
      </c>
      <c r="I28" s="50">
        <f t="shared" ca="1" si="6"/>
        <v>6.4309700447554529E-4</v>
      </c>
      <c r="J28" s="50">
        <f t="shared" ca="1" si="7"/>
        <v>2.6795708519814387E-2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71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155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136</v>
      </c>
      <c r="F29" s="48">
        <f ca="1">C29*D29*E29-F25</f>
        <v>1000555</v>
      </c>
      <c r="G29" s="49">
        <f t="shared" ca="1" si="5"/>
        <v>21.894229702515105</v>
      </c>
      <c r="H29" s="48">
        <v>2</v>
      </c>
      <c r="I29" s="50">
        <f t="shared" ca="1" si="6"/>
        <v>9.1348269711916358E-4</v>
      </c>
      <c r="J29" s="50">
        <f t="shared" ca="1" si="7"/>
        <v>4.5674134855958178E-2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68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141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140</v>
      </c>
      <c r="F30" s="48">
        <f ca="1">C30*D30*E30-F25</f>
        <v>846195</v>
      </c>
      <c r="G30" s="49">
        <f t="shared" ca="1" si="5"/>
        <v>25.888100260578234</v>
      </c>
      <c r="H30" s="48">
        <v>1.6</v>
      </c>
      <c r="I30" s="50">
        <f t="shared" ca="1" si="6"/>
        <v>6.1804457797022701E-4</v>
      </c>
      <c r="J30" s="50">
        <f t="shared" ca="1" si="7"/>
        <v>3.8627786123139191E-2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66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146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140</v>
      </c>
      <c r="F31" s="48">
        <f ca="1">C31*D31*E31-F25</f>
        <v>852915</v>
      </c>
      <c r="G31" s="49">
        <f t="shared" ca="1" si="5"/>
        <v>25.684131478517788</v>
      </c>
      <c r="H31" s="48">
        <v>1</v>
      </c>
      <c r="I31" s="50">
        <f t="shared" ca="1" si="6"/>
        <v>3.8934546057607601E-4</v>
      </c>
      <c r="J31" s="50">
        <f t="shared" ca="1" si="7"/>
        <v>3.89345460576076E-2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72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135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152</v>
      </c>
      <c r="F32" s="53">
        <f ca="1">C32*D32*E32-F25</f>
        <v>981315</v>
      </c>
      <c r="G32" s="54">
        <f t="shared" ca="1" si="5"/>
        <v>22.323495513672981</v>
      </c>
      <c r="H32" s="53">
        <v>0.4</v>
      </c>
      <c r="I32" s="55">
        <f t="shared" ca="1" si="6"/>
        <v>1.7918340779337307E-4</v>
      </c>
      <c r="J32" s="55">
        <f t="shared" ca="1" si="7"/>
        <v>4.479585194834327E-2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21906381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45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105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105</v>
      </c>
      <c r="F37" s="43">
        <f ca="1">C37*D37*E37</f>
        <v>496125</v>
      </c>
      <c r="G37" s="44">
        <f t="shared" ref="G37:G44" ca="1" si="8">C$11/F37</f>
        <v>44.154962962962962</v>
      </c>
      <c r="H37" s="43" cm="1">
        <f t="array" ref="H37:H44">_xlfn.ANCHORARRAY(H25)</f>
        <v>5</v>
      </c>
      <c r="I37" s="45">
        <f t="shared" ref="I37:I44" ca="1" si="9">J37*H37/$C$1</f>
        <v>1.1323755393462752E-3</v>
      </c>
      <c r="J37" s="45">
        <f t="shared" ref="J37:J44" ca="1" si="10">F37/C$11</f>
        <v>2.2647510786925507E-2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59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129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128</v>
      </c>
      <c r="F38" s="48">
        <f ca="1">C38*D38*E38-F37</f>
        <v>478083</v>
      </c>
      <c r="G38" s="49">
        <f t="shared" ca="1" si="8"/>
        <v>45.821292537069922</v>
      </c>
      <c r="H38" s="48">
        <v>4</v>
      </c>
      <c r="I38" s="50">
        <f t="shared" ca="1" si="9"/>
        <v>8.7295660565750227E-4</v>
      </c>
      <c r="J38" s="50">
        <f t="shared" ca="1" si="10"/>
        <v>2.1823915141437555E-2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58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132</v>
      </c>
      <c r="F39" s="48">
        <f ca="1">C39*D39*E39-F37</f>
        <v>629307</v>
      </c>
      <c r="G39" s="49">
        <f t="shared" ca="1" si="8"/>
        <v>34.810324690492877</v>
      </c>
      <c r="H39" s="48">
        <v>3</v>
      </c>
      <c r="I39" s="50">
        <f t="shared" ca="1" si="9"/>
        <v>8.6181327714513866E-4</v>
      </c>
      <c r="J39" s="50">
        <f t="shared" ca="1" si="10"/>
        <v>2.8727109238171289E-2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59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130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141</v>
      </c>
      <c r="F40" s="48">
        <f ca="1">C40*D40*E40-F37</f>
        <v>585345</v>
      </c>
      <c r="G40" s="49">
        <f t="shared" ca="1" si="8"/>
        <v>37.424734131153421</v>
      </c>
      <c r="H40" s="48">
        <v>2.4</v>
      </c>
      <c r="I40" s="50">
        <f t="shared" ca="1" si="9"/>
        <v>6.4128712086218163E-4</v>
      </c>
      <c r="J40" s="50">
        <f t="shared" ca="1" si="10"/>
        <v>2.6720296702590903E-2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79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143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136</v>
      </c>
      <c r="F41" s="48">
        <f ca="1">C41*D41*E41-F37</f>
        <v>1040267</v>
      </c>
      <c r="G41" s="49">
        <f t="shared" ca="1" si="8"/>
        <v>21.05842153985467</v>
      </c>
      <c r="H41" s="48">
        <v>2</v>
      </c>
      <c r="I41" s="50">
        <f t="shared" ca="1" si="9"/>
        <v>9.4973879985014412E-4</v>
      </c>
      <c r="J41" s="50">
        <f t="shared" ca="1" si="10"/>
        <v>4.7486939992507207E-2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64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133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132</v>
      </c>
      <c r="F42" s="48">
        <f ca="1">C42*D42*E42-F37</f>
        <v>627459</v>
      </c>
      <c r="G42" s="49">
        <f t="shared" ca="1" si="8"/>
        <v>34.912848488905254</v>
      </c>
      <c r="H42" s="48">
        <v>1.6</v>
      </c>
      <c r="I42" s="50">
        <f t="shared" ca="1" si="9"/>
        <v>4.5828400409907957E-4</v>
      </c>
      <c r="J42" s="50">
        <f t="shared" ca="1" si="10"/>
        <v>2.8642750256192475E-2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62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158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148</v>
      </c>
      <c r="F43" s="48">
        <f ca="1">C43*D43*E43-F37</f>
        <v>953683</v>
      </c>
      <c r="G43" s="49">
        <f t="shared" ca="1" si="8"/>
        <v>22.970296209537132</v>
      </c>
      <c r="H43" s="48">
        <v>1</v>
      </c>
      <c r="I43" s="50">
        <f t="shared" ca="1" si="9"/>
        <v>4.3534484313041027E-4</v>
      </c>
      <c r="J43" s="50">
        <f t="shared" ca="1" si="10"/>
        <v>4.3534484313041029E-2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72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139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156</v>
      </c>
      <c r="F44" s="53">
        <f ca="1">C44*D44*E44-F37</f>
        <v>1065123</v>
      </c>
      <c r="G44" s="54">
        <f t="shared" ca="1" si="8"/>
        <v>20.566996487729586</v>
      </c>
      <c r="H44" s="53">
        <v>0.4</v>
      </c>
      <c r="I44" s="55">
        <f t="shared" ca="1" si="9"/>
        <v>1.9448634623856859E-4</v>
      </c>
      <c r="J44" s="55">
        <f t="shared" ca="1" si="10"/>
        <v>4.862158655964214E-2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21906381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45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105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105</v>
      </c>
      <c r="F49" s="43">
        <f ca="1">C49*D49*E49</f>
        <v>496125</v>
      </c>
      <c r="G49" s="44">
        <f t="shared" ref="G49:G56" ca="1" si="11">C$11/F49</f>
        <v>44.154962962962962</v>
      </c>
      <c r="H49" s="43" cm="1">
        <f t="array" ref="H49:H56">_xlfn.ANCHORARRAY(H37)</f>
        <v>5</v>
      </c>
      <c r="I49" s="45">
        <f t="shared" ref="I49:I56" ca="1" si="12">J49*H49/$C$1</f>
        <v>1.1323755393462752E-3</v>
      </c>
      <c r="J49" s="45">
        <f t="shared" ref="J49:J56" ca="1" si="13">F49/C$11</f>
        <v>2.2647510786925507E-2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59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129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128</v>
      </c>
      <c r="F50" s="48">
        <f ca="1">C50*D50*E50-F49</f>
        <v>478083</v>
      </c>
      <c r="G50" s="49">
        <f t="shared" ca="1" si="11"/>
        <v>45.821292537069922</v>
      </c>
      <c r="H50" s="48">
        <v>4</v>
      </c>
      <c r="I50" s="50">
        <f t="shared" ca="1" si="12"/>
        <v>8.7295660565750227E-4</v>
      </c>
      <c r="J50" s="50">
        <f t="shared" ca="1" si="13"/>
        <v>2.1823915141437555E-2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58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139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132</v>
      </c>
      <c r="F51" s="48">
        <f ca="1">C51*D51*E51-F49</f>
        <v>568059</v>
      </c>
      <c r="G51" s="49">
        <f t="shared" ca="1" si="11"/>
        <v>38.563566460526104</v>
      </c>
      <c r="H51" s="48">
        <v>3</v>
      </c>
      <c r="I51" s="50">
        <f t="shared" ca="1" si="12"/>
        <v>7.7793634649191937E-4</v>
      </c>
      <c r="J51" s="50">
        <f t="shared" ca="1" si="13"/>
        <v>2.5931211549730646E-2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59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134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141</v>
      </c>
      <c r="F52" s="48">
        <f ca="1">C52*D52*E52-F49</f>
        <v>618621</v>
      </c>
      <c r="G52" s="49">
        <f t="shared" ca="1" si="11"/>
        <v>35.411634910551051</v>
      </c>
      <c r="H52" s="48">
        <v>2.4</v>
      </c>
      <c r="I52" s="50">
        <f t="shared" ca="1" si="12"/>
        <v>6.7774334793136294E-4</v>
      </c>
      <c r="J52" s="50">
        <f t="shared" ca="1" si="13"/>
        <v>2.8239306163806793E-2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63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155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136</v>
      </c>
      <c r="F53" s="48">
        <f ca="1">C53*D53*E53-F49</f>
        <v>831915</v>
      </c>
      <c r="G53" s="49">
        <f t="shared" ca="1" si="11"/>
        <v>26.332475072573519</v>
      </c>
      <c r="H53" s="48">
        <v>2</v>
      </c>
      <c r="I53" s="50">
        <f t="shared" ca="1" si="12"/>
        <v>7.5951842524787634E-4</v>
      </c>
      <c r="J53" s="50">
        <f t="shared" ca="1" si="13"/>
        <v>3.7975921262393818E-2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72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141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132</v>
      </c>
      <c r="F54" s="48">
        <f ca="1">C54*D54*E54-F49</f>
        <v>843939</v>
      </c>
      <c r="G54" s="49">
        <f t="shared" ca="1" si="11"/>
        <v>25.957303786174119</v>
      </c>
      <c r="H54" s="48">
        <v>1.6</v>
      </c>
      <c r="I54" s="50">
        <f t="shared" ca="1" si="12"/>
        <v>6.1639683889365383E-4</v>
      </c>
      <c r="J54" s="50">
        <f t="shared" ca="1" si="13"/>
        <v>3.8524802430853364E-2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70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146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148</v>
      </c>
      <c r="F55" s="48">
        <f ca="1">C55*D55*E55-F49</f>
        <v>1016435</v>
      </c>
      <c r="G55" s="49">
        <f t="shared" ca="1" si="11"/>
        <v>21.552171068489375</v>
      </c>
      <c r="H55" s="48">
        <v>1</v>
      </c>
      <c r="I55" s="50">
        <f t="shared" ca="1" si="12"/>
        <v>4.6399037796338878E-4</v>
      </c>
      <c r="J55" s="50">
        <f t="shared" ca="1" si="13"/>
        <v>4.6399037796338881E-2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72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135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156</v>
      </c>
      <c r="F56" s="53">
        <f ca="1">C56*D56*E56-F49</f>
        <v>1020195</v>
      </c>
      <c r="G56" s="54">
        <f t="shared" ca="1" si="11"/>
        <v>21.47273903518445</v>
      </c>
      <c r="H56" s="53">
        <v>0.4</v>
      </c>
      <c r="I56" s="55">
        <f t="shared" ca="1" si="12"/>
        <v>1.862827091339277E-4</v>
      </c>
      <c r="J56" s="55">
        <f t="shared" ca="1" si="13"/>
        <v>4.6570677283481923E-2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21906381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45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105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105</v>
      </c>
      <c r="F61" s="43">
        <f ca="1">C61*D61*E61</f>
        <v>496125</v>
      </c>
      <c r="G61" s="44">
        <f t="shared" ref="G61:G68" ca="1" si="14">C$11/F61</f>
        <v>44.154962962962962</v>
      </c>
      <c r="H61" s="43" cm="1">
        <f t="array" ref="H61:H68">_xlfn.ANCHORARRAY(H49)</f>
        <v>5</v>
      </c>
      <c r="I61" s="45">
        <f t="shared" ref="I61:I68" ca="1" si="15">J61*H61/$C$1</f>
        <v>1.1323755393462752E-3</v>
      </c>
      <c r="J61" s="45">
        <f t="shared" ref="J61:J68" ca="1" si="16">F61/C$11</f>
        <v>2.2647510786925507E-2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59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129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136</v>
      </c>
      <c r="F62" s="48">
        <f ca="1">C62*D62*E62-F61</f>
        <v>538971</v>
      </c>
      <c r="G62" s="49">
        <f t="shared" ca="1" si="14"/>
        <v>40.644823190858133</v>
      </c>
      <c r="H62" s="48">
        <v>4</v>
      </c>
      <c r="I62" s="50">
        <f t="shared" ca="1" si="15"/>
        <v>9.8413517047840995E-4</v>
      </c>
      <c r="J62" s="50">
        <f t="shared" ca="1" si="16"/>
        <v>2.4603379261960247E-2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58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139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140</v>
      </c>
      <c r="F63" s="48">
        <f ca="1">C63*D63*E63-F61</f>
        <v>632555</v>
      </c>
      <c r="G63" s="49">
        <f t="shared" ca="1" si="14"/>
        <v>34.631583024401039</v>
      </c>
      <c r="H63" s="48">
        <v>3</v>
      </c>
      <c r="I63" s="50">
        <f t="shared" ca="1" si="15"/>
        <v>8.6626129619493068E-4</v>
      </c>
      <c r="J63" s="50">
        <f t="shared" ca="1" si="16"/>
        <v>2.8875376539831021E-2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59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134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133</v>
      </c>
      <c r="F64" s="48">
        <f ca="1">C64*D64*E64-F61</f>
        <v>555373</v>
      </c>
      <c r="G64" s="49">
        <f t="shared" ca="1" si="14"/>
        <v>39.444447245364827</v>
      </c>
      <c r="H64" s="48">
        <v>2.4</v>
      </c>
      <c r="I64" s="50">
        <f t="shared" ca="1" si="15"/>
        <v>6.0845066101972752E-4</v>
      </c>
      <c r="J64" s="50">
        <f t="shared" ca="1" si="16"/>
        <v>2.5352110875821982E-2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79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155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136</v>
      </c>
      <c r="F65" s="48">
        <f ca="1">C65*D65*E65-F61</f>
        <v>1169195</v>
      </c>
      <c r="G65" s="49">
        <f t="shared" ca="1" si="14"/>
        <v>18.736293774776662</v>
      </c>
      <c r="H65" s="48">
        <v>2</v>
      </c>
      <c r="I65" s="50">
        <f t="shared" ca="1" si="15"/>
        <v>1.0674469689904507E-3</v>
      </c>
      <c r="J65" s="50">
        <f t="shared" ca="1" si="16"/>
        <v>5.3372348449522537E-2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64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141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148</v>
      </c>
      <c r="F66" s="48">
        <f ca="1">C66*D66*E66-F61</f>
        <v>839427</v>
      </c>
      <c r="G66" s="49">
        <f t="shared" ca="1" si="14"/>
        <v>26.096826763971137</v>
      </c>
      <c r="H66" s="48">
        <v>1.6</v>
      </c>
      <c r="I66" s="50">
        <f t="shared" ca="1" si="15"/>
        <v>6.1310136074050757E-4</v>
      </c>
      <c r="J66" s="50">
        <f t="shared" ca="1" si="16"/>
        <v>3.8318835046281717E-2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62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146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132</v>
      </c>
      <c r="F67" s="48">
        <f ca="1">C67*D67*E67-F61</f>
        <v>698739</v>
      </c>
      <c r="G67" s="49">
        <f t="shared" ca="1" si="14"/>
        <v>31.351307140434411</v>
      </c>
      <c r="H67" s="48">
        <v>1</v>
      </c>
      <c r="I67" s="50">
        <f t="shared" ca="1" si="15"/>
        <v>3.1896596703946673E-4</v>
      </c>
      <c r="J67" s="50">
        <f t="shared" ca="1" si="16"/>
        <v>3.1896596703946671E-2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72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135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148</v>
      </c>
      <c r="F68" s="53">
        <f ca="1">C68*D68*E68-F61</f>
        <v>942435</v>
      </c>
      <c r="G68" s="54">
        <f t="shared" ca="1" si="14"/>
        <v>23.244447627687851</v>
      </c>
      <c r="H68" s="53">
        <v>0.4</v>
      </c>
      <c r="I68" s="55">
        <f t="shared" ca="1" si="15"/>
        <v>1.7208410645281846E-4</v>
      </c>
      <c r="J68" s="55">
        <f t="shared" ca="1" si="16"/>
        <v>4.3021026613204616E-2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7.4380756730196562E-2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6.8634433201734648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21906381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45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105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105</v>
      </c>
      <c r="F13" s="43">
        <f>C13*D13*E13</f>
        <v>496125</v>
      </c>
      <c r="G13" s="44">
        <f t="shared" ref="G13:G20" si="0">C$11/F13</f>
        <v>44.154962962962962</v>
      </c>
      <c r="H13" s="43" cm="1">
        <f t="array" ref="H13:H20">Overview!B40:B47</f>
        <v>5</v>
      </c>
      <c r="I13" s="95">
        <f t="shared" ref="I13:I20" si="1">J13*H13/$C$1</f>
        <v>4.5295021573851015E-4</v>
      </c>
      <c r="J13" s="45">
        <f t="shared" ref="J13:J20" si="2">F13/C$11</f>
        <v>2.2647510786925507E-2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59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129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136</v>
      </c>
      <c r="F14" s="48">
        <f>C14*D14*E14-F13</f>
        <v>538971</v>
      </c>
      <c r="G14" s="49">
        <f t="shared" si="0"/>
        <v>40.644823190858133</v>
      </c>
      <c r="H14" s="48">
        <v>4</v>
      </c>
      <c r="I14" s="96">
        <f t="shared" si="1"/>
        <v>3.9365406819136397E-4</v>
      </c>
      <c r="J14" s="50">
        <f t="shared" si="2"/>
        <v>2.4603379261960247E-2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58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131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140</v>
      </c>
      <c r="F15" s="48">
        <f>C15*D15*E15-F13</f>
        <v>567595</v>
      </c>
      <c r="G15" s="49">
        <f t="shared" si="0"/>
        <v>38.595091570574091</v>
      </c>
      <c r="H15" s="48">
        <v>3</v>
      </c>
      <c r="I15" s="96">
        <f t="shared" si="1"/>
        <v>3.1092036607963678E-4</v>
      </c>
      <c r="J15" s="50">
        <f t="shared" si="2"/>
        <v>2.59100305066364E-2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59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138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133</v>
      </c>
      <c r="F16" s="48">
        <f>C16*D16*E16-F13</f>
        <v>586761</v>
      </c>
      <c r="G16" s="49">
        <f t="shared" si="0"/>
        <v>37.334418954224972</v>
      </c>
      <c r="H16" s="48">
        <v>2.4</v>
      </c>
      <c r="I16" s="96">
        <f t="shared" si="1"/>
        <v>2.5713537986945444E-4</v>
      </c>
      <c r="J16" s="50">
        <f t="shared" si="2"/>
        <v>2.6784935403068175E-2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63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167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136</v>
      </c>
      <c r="F17" s="48">
        <f>C17*D17*E17-F13</f>
        <v>934731</v>
      </c>
      <c r="G17" s="49">
        <f t="shared" si="0"/>
        <v>23.436027049493383</v>
      </c>
      <c r="H17" s="48">
        <v>2</v>
      </c>
      <c r="I17" s="96">
        <f t="shared" si="1"/>
        <v>3.4135478607808385E-4</v>
      </c>
      <c r="J17" s="50">
        <f t="shared" si="2"/>
        <v>4.266934825976048E-2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72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148</v>
      </c>
      <c r="F18" s="48">
        <f>C18*D18*E18-F13</f>
        <v>1091619</v>
      </c>
      <c r="G18" s="49">
        <f t="shared" si="0"/>
        <v>20.067790135569279</v>
      </c>
      <c r="H18" s="48">
        <v>1.6</v>
      </c>
      <c r="I18" s="96">
        <f t="shared" si="1"/>
        <v>3.1891902181378111E-4</v>
      </c>
      <c r="J18" s="50">
        <f t="shared" si="2"/>
        <v>4.9831097158403295E-2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70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134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132</v>
      </c>
      <c r="F19" s="48">
        <f>C19*D19*E19-F13</f>
        <v>742035</v>
      </c>
      <c r="G19" s="49">
        <f t="shared" si="0"/>
        <v>29.522031979623602</v>
      </c>
      <c r="H19" s="48">
        <v>1</v>
      </c>
      <c r="I19" s="96">
        <f t="shared" si="1"/>
        <v>1.354920285555154E-4</v>
      </c>
      <c r="J19" s="50">
        <f t="shared" si="2"/>
        <v>3.387300713887885E-2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72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131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148</v>
      </c>
      <c r="F20" s="53">
        <f>C20*D20*E20-F13</f>
        <v>899811</v>
      </c>
      <c r="G20" s="54">
        <f t="shared" si="0"/>
        <v>24.345535895871468</v>
      </c>
      <c r="H20" s="53">
        <v>0.4</v>
      </c>
      <c r="I20" s="97">
        <f t="shared" si="1"/>
        <v>6.5720467474750859E-5</v>
      </c>
      <c r="J20" s="55">
        <f t="shared" si="2"/>
        <v>4.1075292171719284E-2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21906381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45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349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343</v>
      </c>
      <c r="F25" s="43">
        <f ca="1">C25*D25*E25</f>
        <v>5386815</v>
      </c>
      <c r="G25" s="44">
        <f t="shared" ref="G25:G32" ca="1" si="4">C$11/F25</f>
        <v>4.0666666666666664</v>
      </c>
      <c r="H25" s="43" cm="1">
        <f t="array" ref="H25:H32">_xlfn.ANCHORARRAY(H13)</f>
        <v>5</v>
      </c>
      <c r="I25" s="45">
        <f t="shared" ref="I25:I32" ca="1" si="5">J25*H25/$C$1</f>
        <v>4.9180327868852463E-3</v>
      </c>
      <c r="J25" s="45">
        <f t="shared" ref="J25:J32" ca="1" si="6">F25/C$11</f>
        <v>0.24590163934426229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59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349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343</v>
      </c>
      <c r="F26" s="48">
        <f ca="1">C26*D26*E26-F25</f>
        <v>1675898</v>
      </c>
      <c r="G26" s="49">
        <f t="shared" ca="1" si="4"/>
        <v>13.071428571428571</v>
      </c>
      <c r="H26" s="48">
        <v>4</v>
      </c>
      <c r="I26" s="50">
        <f t="shared" ca="1" si="5"/>
        <v>1.2240437158469945E-3</v>
      </c>
      <c r="J26" s="50">
        <f t="shared" ca="1" si="6"/>
        <v>7.650273224043716E-2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58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349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343</v>
      </c>
      <c r="F27" s="48">
        <f ca="1">C27*D27*E27-F25</f>
        <v>1556191</v>
      </c>
      <c r="G27" s="49">
        <f t="shared" ca="1" si="4"/>
        <v>14.076923076923077</v>
      </c>
      <c r="H27" s="48">
        <v>3</v>
      </c>
      <c r="I27" s="50">
        <f t="shared" ca="1" si="5"/>
        <v>8.5245901639344256E-4</v>
      </c>
      <c r="J27" s="50">
        <f t="shared" ca="1" si="6"/>
        <v>7.1038251366120214E-2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59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349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343</v>
      </c>
      <c r="F28" s="48">
        <f ca="1">C28*D28*E28-F25</f>
        <v>1675898</v>
      </c>
      <c r="G28" s="49">
        <f t="shared" ca="1" si="4"/>
        <v>13.071428571428571</v>
      </c>
      <c r="H28" s="48">
        <v>2.4</v>
      </c>
      <c r="I28" s="50">
        <f t="shared" ca="1" si="5"/>
        <v>7.3442622950819667E-4</v>
      </c>
      <c r="J28" s="50">
        <f t="shared" ca="1" si="6"/>
        <v>7.650273224043716E-2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71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349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343</v>
      </c>
      <c r="F29" s="48">
        <f ca="1">C29*D29*E29-F25</f>
        <v>3112382</v>
      </c>
      <c r="G29" s="49">
        <f t="shared" ca="1" si="4"/>
        <v>7.0384615384615383</v>
      </c>
      <c r="H29" s="48">
        <v>2</v>
      </c>
      <c r="I29" s="50">
        <f t="shared" ca="1" si="5"/>
        <v>1.1366120218579234E-3</v>
      </c>
      <c r="J29" s="50">
        <f t="shared" ca="1" si="6"/>
        <v>0.14207650273224043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68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349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343</v>
      </c>
      <c r="F30" s="48">
        <f ca="1">C30*D30*E30-F25</f>
        <v>2753261</v>
      </c>
      <c r="G30" s="49">
        <f t="shared" ca="1" si="4"/>
        <v>7.9565217391304346</v>
      </c>
      <c r="H30" s="48">
        <v>1.6</v>
      </c>
      <c r="I30" s="50">
        <f t="shared" ca="1" si="5"/>
        <v>8.0437158469945358E-4</v>
      </c>
      <c r="J30" s="50">
        <f t="shared" ca="1" si="6"/>
        <v>0.12568306010928962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66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349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343</v>
      </c>
      <c r="F31" s="48">
        <f ca="1">C31*D31*E31-F25</f>
        <v>2513847</v>
      </c>
      <c r="G31" s="49">
        <f t="shared" ca="1" si="4"/>
        <v>8.7142857142857135</v>
      </c>
      <c r="H31" s="48">
        <v>1</v>
      </c>
      <c r="I31" s="50">
        <f t="shared" ca="1" si="5"/>
        <v>4.5901639344262296E-4</v>
      </c>
      <c r="J31" s="50">
        <f t="shared" ca="1" si="6"/>
        <v>0.11475409836065574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72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349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343</v>
      </c>
      <c r="F32" s="53">
        <f ca="1">C32*D32*E32-F25</f>
        <v>3232089</v>
      </c>
      <c r="G32" s="54">
        <f t="shared" ca="1" si="4"/>
        <v>6.7777777777777777</v>
      </c>
      <c r="H32" s="53">
        <v>0.4</v>
      </c>
      <c r="I32" s="55">
        <f t="shared" ca="1" si="5"/>
        <v>2.3606557377049182E-4</v>
      </c>
      <c r="J32" s="55">
        <f t="shared" ca="1" si="6"/>
        <v>0.14754098360655737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21906381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45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105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105</v>
      </c>
      <c r="F37" s="43">
        <f ca="1">C37*D37*E37</f>
        <v>496125</v>
      </c>
      <c r="G37" s="44">
        <f t="shared" ref="G37:G44" ca="1" si="7">C$11/F37</f>
        <v>44.154962962962962</v>
      </c>
      <c r="H37" s="43" cm="1">
        <f t="array" ref="H37:H44">_xlfn.ANCHORARRAY(H25)</f>
        <v>5</v>
      </c>
      <c r="I37" s="45">
        <f t="shared" ref="I37:I44" ca="1" si="8">J37*H37/$C$1</f>
        <v>4.5295021573851015E-4</v>
      </c>
      <c r="J37" s="45">
        <f t="shared" ref="J37:J44" ca="1" si="9">F37/C$11</f>
        <v>2.2647510786925507E-2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59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129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128</v>
      </c>
      <c r="F38" s="48">
        <f ca="1">C38*D38*E38-F37</f>
        <v>478083</v>
      </c>
      <c r="G38" s="49">
        <f t="shared" ca="1" si="7"/>
        <v>45.821292537069922</v>
      </c>
      <c r="H38" s="48">
        <v>4</v>
      </c>
      <c r="I38" s="50">
        <f t="shared" ca="1" si="8"/>
        <v>3.4918264226300089E-4</v>
      </c>
      <c r="J38" s="50">
        <f t="shared" ca="1" si="9"/>
        <v>2.1823915141437555E-2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58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132</v>
      </c>
      <c r="F39" s="48">
        <f ca="1">C39*D39*E39-F37</f>
        <v>629307</v>
      </c>
      <c r="G39" s="49">
        <f t="shared" ca="1" si="7"/>
        <v>34.810324690492877</v>
      </c>
      <c r="H39" s="48">
        <v>3</v>
      </c>
      <c r="I39" s="50">
        <f t="shared" ca="1" si="8"/>
        <v>3.4472531085805549E-4</v>
      </c>
      <c r="J39" s="50">
        <f t="shared" ca="1" si="9"/>
        <v>2.8727109238171289E-2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59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130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141</v>
      </c>
      <c r="F40" s="48">
        <f ca="1">C40*D40*E40-F37</f>
        <v>585345</v>
      </c>
      <c r="G40" s="49">
        <f t="shared" ca="1" si="7"/>
        <v>37.424734131153421</v>
      </c>
      <c r="H40" s="48">
        <v>2.4</v>
      </c>
      <c r="I40" s="50">
        <f t="shared" ca="1" si="8"/>
        <v>2.5651484834487265E-4</v>
      </c>
      <c r="J40" s="50">
        <f t="shared" ca="1" si="9"/>
        <v>2.6720296702590903E-2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79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143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136</v>
      </c>
      <c r="F41" s="48">
        <f ca="1">C41*D41*E41-F37</f>
        <v>1040267</v>
      </c>
      <c r="G41" s="49">
        <f t="shared" ca="1" si="7"/>
        <v>21.05842153985467</v>
      </c>
      <c r="H41" s="48">
        <v>2</v>
      </c>
      <c r="I41" s="50">
        <f t="shared" ca="1" si="8"/>
        <v>3.7989551994005764E-4</v>
      </c>
      <c r="J41" s="50">
        <f t="shared" ca="1" si="9"/>
        <v>4.7486939992507207E-2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64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133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132</v>
      </c>
      <c r="F42" s="48">
        <f ca="1">C42*D42*E42-F37</f>
        <v>627459</v>
      </c>
      <c r="G42" s="49">
        <f t="shared" ca="1" si="7"/>
        <v>34.912848488905254</v>
      </c>
      <c r="H42" s="48">
        <v>1.6</v>
      </c>
      <c r="I42" s="50">
        <f t="shared" ca="1" si="8"/>
        <v>1.8331360163963183E-4</v>
      </c>
      <c r="J42" s="50">
        <f t="shared" ca="1" si="9"/>
        <v>2.8642750256192475E-2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62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158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148</v>
      </c>
      <c r="F43" s="48">
        <f ca="1">C43*D43*E43-F37</f>
        <v>953683</v>
      </c>
      <c r="G43" s="49">
        <f t="shared" ca="1" si="7"/>
        <v>22.970296209537132</v>
      </c>
      <c r="H43" s="48">
        <v>1</v>
      </c>
      <c r="I43" s="50">
        <f t="shared" ca="1" si="8"/>
        <v>1.7413793725216411E-4</v>
      </c>
      <c r="J43" s="50">
        <f t="shared" ca="1" si="9"/>
        <v>4.3534484313041029E-2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72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139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156</v>
      </c>
      <c r="F44" s="53">
        <f ca="1">C44*D44*E44-F37</f>
        <v>1065123</v>
      </c>
      <c r="G44" s="54">
        <f t="shared" ca="1" si="7"/>
        <v>20.566996487729586</v>
      </c>
      <c r="H44" s="53">
        <v>0.4</v>
      </c>
      <c r="I44" s="55">
        <f t="shared" ca="1" si="8"/>
        <v>7.7794538495427429E-5</v>
      </c>
      <c r="J44" s="55">
        <f t="shared" ca="1" si="9"/>
        <v>4.862158655964214E-2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21906381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45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349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105</v>
      </c>
      <c r="F49" s="43">
        <f ca="1">C49*D49*E49</f>
        <v>1649025</v>
      </c>
      <c r="G49" s="44">
        <f t="shared" ref="G49:G56" ca="1" si="10">C$11/F49</f>
        <v>13.284444444444444</v>
      </c>
      <c r="H49" s="43" cm="1">
        <f t="array" ref="H49:H56">_xlfn.ANCHORARRAY(H37)</f>
        <v>5</v>
      </c>
      <c r="I49" s="45">
        <f t="shared" ref="I49:I56" ca="1" si="11">J49*H49/$C$1</f>
        <v>1.5055202408832385E-3</v>
      </c>
      <c r="J49" s="45">
        <f t="shared" ref="J49:J56" ca="1" si="12">F49/C$11</f>
        <v>7.5276012044161927E-2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59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349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128</v>
      </c>
      <c r="F50" s="48">
        <f ca="1">C50*D50*E50-F49</f>
        <v>986623</v>
      </c>
      <c r="G50" s="49">
        <f t="shared" ca="1" si="10"/>
        <v>22.20339582596392</v>
      </c>
      <c r="H50" s="48">
        <v>4</v>
      </c>
      <c r="I50" s="50">
        <f t="shared" ca="1" si="11"/>
        <v>7.2061049244053594E-4</v>
      </c>
      <c r="J50" s="50">
        <f t="shared" ca="1" si="12"/>
        <v>4.5038155777533499E-2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58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349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132</v>
      </c>
      <c r="F51" s="48">
        <f ca="1">C51*D51*E51-F49</f>
        <v>1022919</v>
      </c>
      <c r="G51" s="49">
        <f t="shared" ca="1" si="10"/>
        <v>21.415557830092119</v>
      </c>
      <c r="H51" s="48">
        <v>3</v>
      </c>
      <c r="I51" s="50">
        <f t="shared" ca="1" si="11"/>
        <v>5.6034029536873294E-4</v>
      </c>
      <c r="J51" s="50">
        <f t="shared" ca="1" si="12"/>
        <v>4.6695024614061081E-2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59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349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141</v>
      </c>
      <c r="F52" s="48">
        <f ca="1">C52*D52*E52-F49</f>
        <v>1254306</v>
      </c>
      <c r="G52" s="49">
        <f t="shared" ca="1" si="10"/>
        <v>17.464941569282136</v>
      </c>
      <c r="H52" s="48">
        <v>2.4</v>
      </c>
      <c r="I52" s="50">
        <f t="shared" ca="1" si="11"/>
        <v>5.4967260909047453E-4</v>
      </c>
      <c r="J52" s="50">
        <f t="shared" ca="1" si="12"/>
        <v>5.7257563446924439E-2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63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349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136</v>
      </c>
      <c r="F53" s="48">
        <f ca="1">C53*D53*E53-F49</f>
        <v>1341207</v>
      </c>
      <c r="G53" s="49">
        <f t="shared" ca="1" si="10"/>
        <v>16.333333333333332</v>
      </c>
      <c r="H53" s="48">
        <v>2</v>
      </c>
      <c r="I53" s="50">
        <f t="shared" ca="1" si="11"/>
        <v>4.8979591836734691E-4</v>
      </c>
      <c r="J53" s="50">
        <f t="shared" ca="1" si="12"/>
        <v>6.1224489795918366E-2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72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132</v>
      </c>
      <c r="F54" s="48">
        <f ca="1">C54*D54*E54-F49</f>
        <v>1667871</v>
      </c>
      <c r="G54" s="49">
        <f t="shared" ca="1" si="10"/>
        <v>13.134337727558066</v>
      </c>
      <c r="H54" s="48">
        <v>1.6</v>
      </c>
      <c r="I54" s="50">
        <f t="shared" ca="1" si="11"/>
        <v>4.8727237967786653E-4</v>
      </c>
      <c r="J54" s="50">
        <f t="shared" ca="1" si="12"/>
        <v>7.613630932466664E-2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70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349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148</v>
      </c>
      <c r="F55" s="48">
        <f ca="1">C55*D55*E55-F49</f>
        <v>1966615</v>
      </c>
      <c r="G55" s="49">
        <f t="shared" ca="1" si="10"/>
        <v>11.139130434782608</v>
      </c>
      <c r="H55" s="48">
        <v>1</v>
      </c>
      <c r="I55" s="50">
        <f t="shared" ca="1" si="11"/>
        <v>3.5909445745511319E-4</v>
      </c>
      <c r="J55" s="50">
        <f t="shared" ca="1" si="12"/>
        <v>8.9773614363778301E-2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72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349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156</v>
      </c>
      <c r="F56" s="53">
        <f ca="1">C56*D56*E56-F49</f>
        <v>2270943</v>
      </c>
      <c r="G56" s="54">
        <f t="shared" ca="1" si="10"/>
        <v>9.6463808206546791</v>
      </c>
      <c r="H56" s="53">
        <v>0.4</v>
      </c>
      <c r="I56" s="55">
        <f t="shared" ca="1" si="11"/>
        <v>1.6586531568130766E-4</v>
      </c>
      <c r="J56" s="55">
        <f t="shared" ca="1" si="12"/>
        <v>0.10366582230081728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21906381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45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349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105</v>
      </c>
      <c r="F61" s="43">
        <f ca="1">C61*D61*E61</f>
        <v>1649025</v>
      </c>
      <c r="G61" s="44">
        <f t="shared" ref="G61:G68" ca="1" si="13">C$11/F61</f>
        <v>13.284444444444444</v>
      </c>
      <c r="H61" s="43" cm="1">
        <f t="array" ref="H61:H68">_xlfn.ANCHORARRAY(H49)</f>
        <v>5</v>
      </c>
      <c r="I61" s="45">
        <f t="shared" ref="I61:I68" ca="1" si="14">J61*H61/$C$1</f>
        <v>1.5055202408832385E-3</v>
      </c>
      <c r="J61" s="45">
        <f t="shared" ref="J61:J68" ca="1" si="15">F61/C$11</f>
        <v>7.5276012044161927E-2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59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349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136</v>
      </c>
      <c r="F62" s="48">
        <f ca="1">C62*D62*E62-F61</f>
        <v>1151351</v>
      </c>
      <c r="G62" s="49">
        <f t="shared" ca="1" si="13"/>
        <v>19.026674749924219</v>
      </c>
      <c r="H62" s="48">
        <v>4</v>
      </c>
      <c r="I62" s="50">
        <f t="shared" ca="1" si="14"/>
        <v>8.4092466026223134E-4</v>
      </c>
      <c r="J62" s="50">
        <f t="shared" ca="1" si="15"/>
        <v>5.2557791266389459E-2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58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349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140</v>
      </c>
      <c r="F63" s="48">
        <f ca="1">C63*D63*E63-F61</f>
        <v>1184855</v>
      </c>
      <c r="G63" s="49">
        <f t="shared" ca="1" si="13"/>
        <v>18.488659793814431</v>
      </c>
      <c r="H63" s="48">
        <v>3</v>
      </c>
      <c r="I63" s="50">
        <f t="shared" ca="1" si="14"/>
        <v>6.4904650384744057E-4</v>
      </c>
      <c r="J63" s="50">
        <f t="shared" ca="1" si="15"/>
        <v>5.4087208653953382E-2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59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349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133</v>
      </c>
      <c r="F64" s="48">
        <f ca="1">C64*D64*E64-F61</f>
        <v>1089578</v>
      </c>
      <c r="G64" s="49">
        <f t="shared" ca="1" si="13"/>
        <v>20.105381165919283</v>
      </c>
      <c r="H64" s="48">
        <v>2.4</v>
      </c>
      <c r="I64" s="50">
        <f t="shared" ca="1" si="14"/>
        <v>4.7748410839745732E-4</v>
      </c>
      <c r="J64" s="50">
        <f t="shared" ca="1" si="15"/>
        <v>4.9737927958068473E-2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79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349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136</v>
      </c>
      <c r="F65" s="48">
        <f ca="1">C65*D65*E65-F61</f>
        <v>2100631</v>
      </c>
      <c r="G65" s="49">
        <f t="shared" ca="1" si="13"/>
        <v>10.42847649111148</v>
      </c>
      <c r="H65" s="48">
        <v>2</v>
      </c>
      <c r="I65" s="50">
        <f t="shared" ca="1" si="14"/>
        <v>7.67130271312272E-4</v>
      </c>
      <c r="J65" s="50">
        <f t="shared" ca="1" si="15"/>
        <v>9.5891283914033995E-2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64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148</v>
      </c>
      <c r="F66" s="48">
        <f ca="1">C66*D66*E66-F61</f>
        <v>1656703</v>
      </c>
      <c r="G66" s="49">
        <f t="shared" ca="1" si="13"/>
        <v>13.222877606909627</v>
      </c>
      <c r="H66" s="48">
        <v>1.6</v>
      </c>
      <c r="I66" s="50">
        <f t="shared" ca="1" si="14"/>
        <v>4.8400962258439678E-4</v>
      </c>
      <c r="J66" s="50">
        <f t="shared" ca="1" si="15"/>
        <v>7.5626503528811992E-2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62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349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132</v>
      </c>
      <c r="F67" s="48">
        <f ca="1">C67*D67*E67-F61</f>
        <v>1207191</v>
      </c>
      <c r="G67" s="49">
        <f t="shared" ca="1" si="13"/>
        <v>18.146574154379877</v>
      </c>
      <c r="H67" s="48">
        <v>1</v>
      </c>
      <c r="I67" s="50">
        <f t="shared" ca="1" si="14"/>
        <v>2.2042728098265065E-4</v>
      </c>
      <c r="J67" s="50">
        <f t="shared" ca="1" si="15"/>
        <v>5.5106820245662665E-2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72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349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148</v>
      </c>
      <c r="F68" s="53">
        <f ca="1">C68*D68*E68-F61</f>
        <v>2069919</v>
      </c>
      <c r="G68" s="54">
        <f t="shared" ca="1" si="13"/>
        <v>10.583206879109762</v>
      </c>
      <c r="H68" s="53">
        <v>0.4</v>
      </c>
      <c r="I68" s="55">
        <f t="shared" ca="1" si="14"/>
        <v>1.5118290876069398E-4</v>
      </c>
      <c r="J68" s="55">
        <f t="shared" ca="1" si="15"/>
        <v>9.4489317975433737E-2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0.24793585576732186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9.164016071027989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21906381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45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105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105</v>
      </c>
      <c r="F13" s="43">
        <f>C13*D13*E13</f>
        <v>496125</v>
      </c>
      <c r="G13" s="44">
        <f t="shared" ref="G13:G20" si="0">C$11/F13</f>
        <v>44.154962962962962</v>
      </c>
      <c r="H13" s="43" cm="1">
        <f t="array" ref="H13:H20">Overview!B40:B47</f>
        <v>5</v>
      </c>
      <c r="I13" s="95">
        <f t="shared" ref="I13:I20" si="1">J13*H13/$C$1</f>
        <v>4.5295021573851015E-4</v>
      </c>
      <c r="J13" s="45">
        <f t="shared" ref="J13:J20" si="2">F13/C$11</f>
        <v>2.2647510786925507E-2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59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129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136</v>
      </c>
      <c r="F14" s="48">
        <f>C14*D14*E14-F13</f>
        <v>538971</v>
      </c>
      <c r="G14" s="49">
        <f t="shared" si="0"/>
        <v>40.644823190858133</v>
      </c>
      <c r="H14" s="48">
        <v>4</v>
      </c>
      <c r="I14" s="96">
        <f t="shared" si="1"/>
        <v>3.9365406819136397E-4</v>
      </c>
      <c r="J14" s="50">
        <f t="shared" si="2"/>
        <v>2.4603379261960247E-2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58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131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140</v>
      </c>
      <c r="F15" s="48">
        <f>C15*D15*E15-F13</f>
        <v>567595</v>
      </c>
      <c r="G15" s="49">
        <f t="shared" si="0"/>
        <v>38.595091570574091</v>
      </c>
      <c r="H15" s="48">
        <v>3</v>
      </c>
      <c r="I15" s="96">
        <f t="shared" si="1"/>
        <v>3.1092036607963678E-4</v>
      </c>
      <c r="J15" s="50">
        <f t="shared" si="2"/>
        <v>2.59100305066364E-2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59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138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133</v>
      </c>
      <c r="F16" s="48">
        <f>C16*D16*E16-F13</f>
        <v>586761</v>
      </c>
      <c r="G16" s="49">
        <f t="shared" si="0"/>
        <v>37.334418954224972</v>
      </c>
      <c r="H16" s="48">
        <v>2.4</v>
      </c>
      <c r="I16" s="96">
        <f t="shared" si="1"/>
        <v>2.5713537986945444E-4</v>
      </c>
      <c r="J16" s="50">
        <f t="shared" si="2"/>
        <v>2.6784935403068175E-2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63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167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136</v>
      </c>
      <c r="F17" s="48">
        <f>C17*D17*E17-F13</f>
        <v>934731</v>
      </c>
      <c r="G17" s="49">
        <f t="shared" si="0"/>
        <v>23.436027049493383</v>
      </c>
      <c r="H17" s="48">
        <v>2</v>
      </c>
      <c r="I17" s="96">
        <f t="shared" si="1"/>
        <v>3.4135478607808385E-4</v>
      </c>
      <c r="J17" s="50">
        <f t="shared" si="2"/>
        <v>4.266934825976048E-2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72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148</v>
      </c>
      <c r="F18" s="48">
        <f>C18*D18*E18-F13</f>
        <v>1091619</v>
      </c>
      <c r="G18" s="49">
        <f t="shared" si="0"/>
        <v>20.067790135569279</v>
      </c>
      <c r="H18" s="48">
        <v>1.6</v>
      </c>
      <c r="I18" s="96">
        <f t="shared" si="1"/>
        <v>3.1891902181378111E-4</v>
      </c>
      <c r="J18" s="50">
        <f t="shared" si="2"/>
        <v>4.9831097158403295E-2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70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134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132</v>
      </c>
      <c r="F19" s="48">
        <f>C19*D19*E19-F13</f>
        <v>742035</v>
      </c>
      <c r="G19" s="49">
        <f t="shared" si="0"/>
        <v>29.522031979623602</v>
      </c>
      <c r="H19" s="48">
        <v>1</v>
      </c>
      <c r="I19" s="96">
        <f t="shared" si="1"/>
        <v>1.354920285555154E-4</v>
      </c>
      <c r="J19" s="50">
        <f t="shared" si="2"/>
        <v>3.387300713887885E-2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72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131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148</v>
      </c>
      <c r="F20" s="53">
        <f>C20*D20*E20-F13</f>
        <v>899811</v>
      </c>
      <c r="G20" s="54">
        <f t="shared" si="0"/>
        <v>24.345535895871468</v>
      </c>
      <c r="H20" s="53">
        <v>0.4</v>
      </c>
      <c r="I20" s="97">
        <f t="shared" si="1"/>
        <v>6.5720467474750859E-5</v>
      </c>
      <c r="J20" s="55">
        <f t="shared" si="2"/>
        <v>4.1075292171719284E-2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21906381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45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349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343</v>
      </c>
      <c r="F25" s="43">
        <f ca="1">C25*D25*E25</f>
        <v>5386815</v>
      </c>
      <c r="G25" s="44">
        <f t="shared" ref="G25:G32" ca="1" si="4">C$11/F25</f>
        <v>4.0666666666666664</v>
      </c>
      <c r="H25" s="43" cm="1">
        <f t="array" ref="H25:H32">_xlfn.ANCHORARRAY(H13)</f>
        <v>5</v>
      </c>
      <c r="I25" s="45">
        <f t="shared" ref="I25:I32" ca="1" si="5">J25*H25/$C$1</f>
        <v>4.9180327868852463E-3</v>
      </c>
      <c r="J25" s="45">
        <f t="shared" ref="J25:J32" ca="1" si="6">F25/C$11</f>
        <v>0.24590163934426229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59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349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343</v>
      </c>
      <c r="F26" s="48">
        <f ca="1">C26*D26*E26-F25</f>
        <v>1675898</v>
      </c>
      <c r="G26" s="49">
        <f t="shared" ca="1" si="4"/>
        <v>13.071428571428571</v>
      </c>
      <c r="H26" s="48">
        <v>4</v>
      </c>
      <c r="I26" s="50">
        <f t="shared" ca="1" si="5"/>
        <v>1.2240437158469945E-3</v>
      </c>
      <c r="J26" s="50">
        <f t="shared" ca="1" si="6"/>
        <v>7.650273224043716E-2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58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349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343</v>
      </c>
      <c r="F27" s="48">
        <f ca="1">C27*D27*E27-F25</f>
        <v>1556191</v>
      </c>
      <c r="G27" s="49">
        <f t="shared" ca="1" si="4"/>
        <v>14.076923076923077</v>
      </c>
      <c r="H27" s="48">
        <v>3</v>
      </c>
      <c r="I27" s="50">
        <f t="shared" ca="1" si="5"/>
        <v>8.5245901639344256E-4</v>
      </c>
      <c r="J27" s="50">
        <f t="shared" ca="1" si="6"/>
        <v>7.1038251366120214E-2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59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349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343</v>
      </c>
      <c r="F28" s="48">
        <f ca="1">C28*D28*E28-F25</f>
        <v>1675898</v>
      </c>
      <c r="G28" s="49">
        <f t="shared" ca="1" si="4"/>
        <v>13.071428571428571</v>
      </c>
      <c r="H28" s="48">
        <v>2.4</v>
      </c>
      <c r="I28" s="50">
        <f t="shared" ca="1" si="5"/>
        <v>7.3442622950819667E-4</v>
      </c>
      <c r="J28" s="50">
        <f t="shared" ca="1" si="6"/>
        <v>7.650273224043716E-2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71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349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343</v>
      </c>
      <c r="F29" s="48">
        <f ca="1">C29*D29*E29-F25</f>
        <v>3112382</v>
      </c>
      <c r="G29" s="49">
        <f t="shared" ca="1" si="4"/>
        <v>7.0384615384615383</v>
      </c>
      <c r="H29" s="48">
        <v>2</v>
      </c>
      <c r="I29" s="50">
        <f t="shared" ca="1" si="5"/>
        <v>1.1366120218579234E-3</v>
      </c>
      <c r="J29" s="50">
        <f t="shared" ca="1" si="6"/>
        <v>0.14207650273224043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68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349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343</v>
      </c>
      <c r="F30" s="48">
        <f ca="1">C30*D30*E30-F25</f>
        <v>2753261</v>
      </c>
      <c r="G30" s="49">
        <f t="shared" ca="1" si="4"/>
        <v>7.9565217391304346</v>
      </c>
      <c r="H30" s="48">
        <v>1.6</v>
      </c>
      <c r="I30" s="50">
        <f t="shared" ca="1" si="5"/>
        <v>8.0437158469945358E-4</v>
      </c>
      <c r="J30" s="50">
        <f t="shared" ca="1" si="6"/>
        <v>0.12568306010928962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66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349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343</v>
      </c>
      <c r="F31" s="48">
        <f ca="1">C31*D31*E31-F25</f>
        <v>2513847</v>
      </c>
      <c r="G31" s="49">
        <f t="shared" ca="1" si="4"/>
        <v>8.7142857142857135</v>
      </c>
      <c r="H31" s="48">
        <v>1</v>
      </c>
      <c r="I31" s="50">
        <f t="shared" ca="1" si="5"/>
        <v>4.5901639344262296E-4</v>
      </c>
      <c r="J31" s="50">
        <f t="shared" ca="1" si="6"/>
        <v>0.11475409836065574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72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349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343</v>
      </c>
      <c r="F32" s="53">
        <f ca="1">C32*D32*E32-F25</f>
        <v>3232089</v>
      </c>
      <c r="G32" s="54">
        <f t="shared" ca="1" si="4"/>
        <v>6.7777777777777777</v>
      </c>
      <c r="H32" s="53">
        <v>0.4</v>
      </c>
      <c r="I32" s="55">
        <f t="shared" ca="1" si="5"/>
        <v>2.3606557377049182E-4</v>
      </c>
      <c r="J32" s="55">
        <f t="shared" ca="1" si="6"/>
        <v>0.14754098360655737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21906381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45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105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105</v>
      </c>
      <c r="F37" s="43">
        <f ca="1">C37*D37*E37</f>
        <v>496125</v>
      </c>
      <c r="G37" s="44">
        <f t="shared" ref="G37:G44" ca="1" si="7">C$11/F37</f>
        <v>44.154962962962962</v>
      </c>
      <c r="H37" s="43" cm="1">
        <f t="array" ref="H37:H44">_xlfn.ANCHORARRAY(H25)</f>
        <v>5</v>
      </c>
      <c r="I37" s="45">
        <f t="shared" ref="I37:I44" ca="1" si="8">J37*H37/$C$1</f>
        <v>4.5295021573851015E-4</v>
      </c>
      <c r="J37" s="45">
        <f t="shared" ref="J37:J44" ca="1" si="9">F37/C$11</f>
        <v>2.2647510786925507E-2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59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129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128</v>
      </c>
      <c r="F38" s="48">
        <f ca="1">C38*D38*E38-F37</f>
        <v>478083</v>
      </c>
      <c r="G38" s="49">
        <f t="shared" ca="1" si="7"/>
        <v>45.821292537069922</v>
      </c>
      <c r="H38" s="48">
        <v>4</v>
      </c>
      <c r="I38" s="50">
        <f t="shared" ca="1" si="8"/>
        <v>3.4918264226300089E-4</v>
      </c>
      <c r="J38" s="50">
        <f t="shared" ca="1" si="9"/>
        <v>2.1823915141437555E-2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58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132</v>
      </c>
      <c r="F39" s="48">
        <f ca="1">C39*D39*E39-F37</f>
        <v>629307</v>
      </c>
      <c r="G39" s="49">
        <f t="shared" ca="1" si="7"/>
        <v>34.810324690492877</v>
      </c>
      <c r="H39" s="48">
        <v>3</v>
      </c>
      <c r="I39" s="50">
        <f t="shared" ca="1" si="8"/>
        <v>3.4472531085805549E-4</v>
      </c>
      <c r="J39" s="50">
        <f t="shared" ca="1" si="9"/>
        <v>2.8727109238171289E-2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59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130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141</v>
      </c>
      <c r="F40" s="48">
        <f ca="1">C40*D40*E40-F37</f>
        <v>585345</v>
      </c>
      <c r="G40" s="49">
        <f t="shared" ca="1" si="7"/>
        <v>37.424734131153421</v>
      </c>
      <c r="H40" s="48">
        <v>2.4</v>
      </c>
      <c r="I40" s="50">
        <f t="shared" ca="1" si="8"/>
        <v>2.5651484834487265E-4</v>
      </c>
      <c r="J40" s="50">
        <f t="shared" ca="1" si="9"/>
        <v>2.6720296702590903E-2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79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143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136</v>
      </c>
      <c r="F41" s="48">
        <f ca="1">C41*D41*E41-F37</f>
        <v>1040267</v>
      </c>
      <c r="G41" s="49">
        <f t="shared" ca="1" si="7"/>
        <v>21.05842153985467</v>
      </c>
      <c r="H41" s="48">
        <v>2</v>
      </c>
      <c r="I41" s="50">
        <f t="shared" ca="1" si="8"/>
        <v>3.7989551994005764E-4</v>
      </c>
      <c r="J41" s="50">
        <f t="shared" ca="1" si="9"/>
        <v>4.7486939992507207E-2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64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133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132</v>
      </c>
      <c r="F42" s="48">
        <f ca="1">C42*D42*E42-F37</f>
        <v>627459</v>
      </c>
      <c r="G42" s="49">
        <f t="shared" ca="1" si="7"/>
        <v>34.912848488905254</v>
      </c>
      <c r="H42" s="48">
        <v>1.6</v>
      </c>
      <c r="I42" s="50">
        <f t="shared" ca="1" si="8"/>
        <v>1.8331360163963183E-4</v>
      </c>
      <c r="J42" s="50">
        <f t="shared" ca="1" si="9"/>
        <v>2.8642750256192475E-2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62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158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148</v>
      </c>
      <c r="F43" s="48">
        <f ca="1">C43*D43*E43-F37</f>
        <v>953683</v>
      </c>
      <c r="G43" s="49">
        <f t="shared" ca="1" si="7"/>
        <v>22.970296209537132</v>
      </c>
      <c r="H43" s="48">
        <v>1</v>
      </c>
      <c r="I43" s="50">
        <f t="shared" ca="1" si="8"/>
        <v>1.7413793725216411E-4</v>
      </c>
      <c r="J43" s="50">
        <f t="shared" ca="1" si="9"/>
        <v>4.3534484313041029E-2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72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139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156</v>
      </c>
      <c r="F44" s="53">
        <f ca="1">C44*D44*E44-F37</f>
        <v>1065123</v>
      </c>
      <c r="G44" s="54">
        <f t="shared" ca="1" si="7"/>
        <v>20.566996487729586</v>
      </c>
      <c r="H44" s="53">
        <v>0.4</v>
      </c>
      <c r="I44" s="55">
        <f t="shared" ca="1" si="8"/>
        <v>7.7794538495427429E-5</v>
      </c>
      <c r="J44" s="55">
        <f t="shared" ca="1" si="9"/>
        <v>4.862158655964214E-2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21906381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45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349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105</v>
      </c>
      <c r="F49" s="43">
        <f ca="1">C49*D49*E49</f>
        <v>1649025</v>
      </c>
      <c r="G49" s="44">
        <f t="shared" ref="G49:G56" ca="1" si="10">C$11/F49</f>
        <v>13.284444444444444</v>
      </c>
      <c r="H49" s="43" cm="1">
        <f t="array" ref="H49:H56">_xlfn.ANCHORARRAY(H37)</f>
        <v>5</v>
      </c>
      <c r="I49" s="45">
        <f t="shared" ref="I49:I56" ca="1" si="11">J49*H49/$C$1</f>
        <v>1.5055202408832385E-3</v>
      </c>
      <c r="J49" s="45">
        <f t="shared" ref="J49:J56" ca="1" si="12">F49/C$11</f>
        <v>7.5276012044161927E-2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59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349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128</v>
      </c>
      <c r="F50" s="48">
        <f ca="1">C50*D50*E50-F49</f>
        <v>986623</v>
      </c>
      <c r="G50" s="49">
        <f t="shared" ca="1" si="10"/>
        <v>22.20339582596392</v>
      </c>
      <c r="H50" s="48">
        <v>4</v>
      </c>
      <c r="I50" s="50">
        <f t="shared" ca="1" si="11"/>
        <v>7.2061049244053594E-4</v>
      </c>
      <c r="J50" s="50">
        <f t="shared" ca="1" si="12"/>
        <v>4.5038155777533499E-2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58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349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132</v>
      </c>
      <c r="F51" s="48">
        <f ca="1">C51*D51*E51-F49</f>
        <v>1022919</v>
      </c>
      <c r="G51" s="49">
        <f t="shared" ca="1" si="10"/>
        <v>21.415557830092119</v>
      </c>
      <c r="H51" s="48">
        <v>3</v>
      </c>
      <c r="I51" s="50">
        <f t="shared" ca="1" si="11"/>
        <v>5.6034029536873294E-4</v>
      </c>
      <c r="J51" s="50">
        <f t="shared" ca="1" si="12"/>
        <v>4.6695024614061081E-2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59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349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141</v>
      </c>
      <c r="F52" s="48">
        <f ca="1">C52*D52*E52-F49</f>
        <v>1254306</v>
      </c>
      <c r="G52" s="49">
        <f t="shared" ca="1" si="10"/>
        <v>17.464941569282136</v>
      </c>
      <c r="H52" s="48">
        <v>2.4</v>
      </c>
      <c r="I52" s="50">
        <f t="shared" ca="1" si="11"/>
        <v>5.4967260909047453E-4</v>
      </c>
      <c r="J52" s="50">
        <f t="shared" ca="1" si="12"/>
        <v>5.7257563446924439E-2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63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349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136</v>
      </c>
      <c r="F53" s="48">
        <f ca="1">C53*D53*E53-F49</f>
        <v>1341207</v>
      </c>
      <c r="G53" s="49">
        <f t="shared" ca="1" si="10"/>
        <v>16.333333333333332</v>
      </c>
      <c r="H53" s="48">
        <v>2</v>
      </c>
      <c r="I53" s="50">
        <f t="shared" ca="1" si="11"/>
        <v>4.8979591836734691E-4</v>
      </c>
      <c r="J53" s="50">
        <f t="shared" ca="1" si="12"/>
        <v>6.1224489795918366E-2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72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132</v>
      </c>
      <c r="F54" s="48">
        <f ca="1">C54*D54*E54-F49</f>
        <v>1667871</v>
      </c>
      <c r="G54" s="49">
        <f t="shared" ca="1" si="10"/>
        <v>13.134337727558066</v>
      </c>
      <c r="H54" s="48">
        <v>1.6</v>
      </c>
      <c r="I54" s="50">
        <f t="shared" ca="1" si="11"/>
        <v>4.8727237967786653E-4</v>
      </c>
      <c r="J54" s="50">
        <f t="shared" ca="1" si="12"/>
        <v>7.613630932466664E-2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70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349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148</v>
      </c>
      <c r="F55" s="48">
        <f ca="1">C55*D55*E55-F49</f>
        <v>1966615</v>
      </c>
      <c r="G55" s="49">
        <f t="shared" ca="1" si="10"/>
        <v>11.139130434782608</v>
      </c>
      <c r="H55" s="48">
        <v>1</v>
      </c>
      <c r="I55" s="50">
        <f t="shared" ca="1" si="11"/>
        <v>3.5909445745511319E-4</v>
      </c>
      <c r="J55" s="50">
        <f t="shared" ca="1" si="12"/>
        <v>8.9773614363778301E-2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72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349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156</v>
      </c>
      <c r="F56" s="53">
        <f ca="1">C56*D56*E56-F49</f>
        <v>2270943</v>
      </c>
      <c r="G56" s="54">
        <f t="shared" ca="1" si="10"/>
        <v>9.6463808206546791</v>
      </c>
      <c r="H56" s="53">
        <v>0.4</v>
      </c>
      <c r="I56" s="55">
        <f t="shared" ca="1" si="11"/>
        <v>1.6586531568130766E-4</v>
      </c>
      <c r="J56" s="55">
        <f t="shared" ca="1" si="12"/>
        <v>0.10366582230081728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21906381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45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349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105</v>
      </c>
      <c r="F61" s="43">
        <f ca="1">C61*D61*E61</f>
        <v>1649025</v>
      </c>
      <c r="G61" s="44">
        <f t="shared" ref="G61:G68" ca="1" si="13">C$11/F61</f>
        <v>13.284444444444444</v>
      </c>
      <c r="H61" s="43" cm="1">
        <f t="array" ref="H61:H68">_xlfn.ANCHORARRAY(H49)</f>
        <v>5</v>
      </c>
      <c r="I61" s="45">
        <f t="shared" ref="I61:I68" ca="1" si="14">J61*H61/$C$1</f>
        <v>1.5055202408832385E-3</v>
      </c>
      <c r="J61" s="45">
        <f t="shared" ref="J61:J68" ca="1" si="15">F61/C$11</f>
        <v>7.5276012044161927E-2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59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349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136</v>
      </c>
      <c r="F62" s="48">
        <f ca="1">C62*D62*E62-F61</f>
        <v>1151351</v>
      </c>
      <c r="G62" s="49">
        <f t="shared" ca="1" si="13"/>
        <v>19.026674749924219</v>
      </c>
      <c r="H62" s="48">
        <v>4</v>
      </c>
      <c r="I62" s="50">
        <f t="shared" ca="1" si="14"/>
        <v>8.4092466026223134E-4</v>
      </c>
      <c r="J62" s="50">
        <f t="shared" ca="1" si="15"/>
        <v>5.2557791266389459E-2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58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349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140</v>
      </c>
      <c r="F63" s="48">
        <f ca="1">C63*D63*E63-F61</f>
        <v>1184855</v>
      </c>
      <c r="G63" s="49">
        <f t="shared" ca="1" si="13"/>
        <v>18.488659793814431</v>
      </c>
      <c r="H63" s="48">
        <v>3</v>
      </c>
      <c r="I63" s="50">
        <f t="shared" ca="1" si="14"/>
        <v>6.4904650384744057E-4</v>
      </c>
      <c r="J63" s="50">
        <f t="shared" ca="1" si="15"/>
        <v>5.4087208653953382E-2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59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349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133</v>
      </c>
      <c r="F64" s="48">
        <f ca="1">C64*D64*E64-F61</f>
        <v>1089578</v>
      </c>
      <c r="G64" s="49">
        <f t="shared" ca="1" si="13"/>
        <v>20.105381165919283</v>
      </c>
      <c r="H64" s="48">
        <v>2.4</v>
      </c>
      <c r="I64" s="50">
        <f t="shared" ca="1" si="14"/>
        <v>4.7748410839745732E-4</v>
      </c>
      <c r="J64" s="50">
        <f t="shared" ca="1" si="15"/>
        <v>4.9737927958068473E-2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79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349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136</v>
      </c>
      <c r="F65" s="48">
        <f ca="1">C65*D65*E65-F61</f>
        <v>2100631</v>
      </c>
      <c r="G65" s="49">
        <f t="shared" ca="1" si="13"/>
        <v>10.42847649111148</v>
      </c>
      <c r="H65" s="48">
        <v>2</v>
      </c>
      <c r="I65" s="50">
        <f t="shared" ca="1" si="14"/>
        <v>7.67130271312272E-4</v>
      </c>
      <c r="J65" s="50">
        <f t="shared" ca="1" si="15"/>
        <v>9.5891283914033995E-2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64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148</v>
      </c>
      <c r="F66" s="48">
        <f ca="1">C66*D66*E66-F61</f>
        <v>1656703</v>
      </c>
      <c r="G66" s="49">
        <f t="shared" ca="1" si="13"/>
        <v>13.222877606909627</v>
      </c>
      <c r="H66" s="48">
        <v>1.6</v>
      </c>
      <c r="I66" s="50">
        <f t="shared" ca="1" si="14"/>
        <v>4.8400962258439678E-4</v>
      </c>
      <c r="J66" s="50">
        <f t="shared" ca="1" si="15"/>
        <v>7.5626503528811992E-2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62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349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132</v>
      </c>
      <c r="F67" s="48">
        <f ca="1">C67*D67*E67-F61</f>
        <v>1207191</v>
      </c>
      <c r="G67" s="49">
        <f t="shared" ca="1" si="13"/>
        <v>18.146574154379877</v>
      </c>
      <c r="H67" s="48">
        <v>1</v>
      </c>
      <c r="I67" s="50">
        <f t="shared" ca="1" si="14"/>
        <v>2.2042728098265065E-4</v>
      </c>
      <c r="J67" s="50">
        <f t="shared" ca="1" si="15"/>
        <v>5.5106820245662665E-2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72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349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148</v>
      </c>
      <c r="F68" s="53">
        <f ca="1">C68*D68*E68-F61</f>
        <v>2069919</v>
      </c>
      <c r="G68" s="54">
        <f t="shared" ca="1" si="13"/>
        <v>10.583206879109762</v>
      </c>
      <c r="H68" s="53">
        <v>0.4</v>
      </c>
      <c r="I68" s="55">
        <f t="shared" ca="1" si="14"/>
        <v>1.5118290876069398E-4</v>
      </c>
      <c r="J68" s="55">
        <f t="shared" ca="1" si="15"/>
        <v>9.4489317975433737E-2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2026-10-19T03:22:42Z</dcterms:modified>
</cp:coreProperties>
</file>