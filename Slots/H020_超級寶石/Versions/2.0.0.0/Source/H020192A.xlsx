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627AAD5F-45D0-4A8F-947B-48C695154B4E}" xr6:coauthVersionLast="47" xr6:coauthVersionMax="47" xr10:uidLastSave="{00000000-0000-0000-0000-000000000000}"/>
  <bookViews>
    <workbookView xWindow="-28920" yWindow="60" windowWidth="29040" windowHeight="1572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0" i="24" l="1" a="1"/>
  <c r="R20" i="24" s="1"/>
  <c r="S31" i="24" s="1"/>
  <c r="P229" i="28" l="1" a="1"/>
  <c r="P229" i="28" s="1"/>
  <c r="AR15" i="40" l="1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I77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M4" i="39" s="1" a="1"/>
  <c r="M4" i="39" s="1"/>
  <c r="N4" i="39" s="1" a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I70" i="39" l="1"/>
  <c r="Q4" i="39" a="1"/>
  <c r="Q4" i="39" s="1"/>
  <c r="P3" i="39" s="1"/>
  <c r="R4" i="39" s="1" a="1"/>
  <c r="I101" i="39"/>
  <c r="Q69" i="39" a="1"/>
  <c r="Q69" i="39" s="1"/>
  <c r="P68" i="39" s="1"/>
  <c r="R69" i="39" s="1" a="1"/>
  <c r="R69" i="39" s="1"/>
  <c r="I85" i="39"/>
  <c r="I125" i="39"/>
  <c r="I93" i="38"/>
  <c r="I109" i="39"/>
  <c r="I93" i="39"/>
  <c r="E220" i="38"/>
  <c r="E231" i="39"/>
  <c r="E211" i="38"/>
  <c r="E221" i="38"/>
  <c r="E205" i="38"/>
  <c r="E230" i="39"/>
  <c r="E238" i="39"/>
  <c r="E213" i="38"/>
  <c r="E219" i="38"/>
  <c r="E239" i="39"/>
  <c r="E253" i="39"/>
  <c r="E254" i="39"/>
  <c r="E225" i="38"/>
  <c r="E246" i="39"/>
  <c r="E224" i="38"/>
  <c r="E238" i="38"/>
  <c r="E239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E203" i="38"/>
  <c r="E225" i="39"/>
  <c r="T3" i="40" a="1"/>
  <c r="T3" i="40" s="1"/>
  <c r="T16" i="40" s="1" a="1"/>
  <c r="T16" i="40" s="1"/>
  <c r="O14" i="40" s="1"/>
  <c r="O15" i="40" s="1"/>
  <c r="S5" i="39" a="1"/>
  <c r="S5" i="39" s="1"/>
  <c r="R4" i="39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5" i="39"/>
  <c r="N64" i="39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/>
  <c r="AI15" i="37" a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O64" i="39" l="1" a="1"/>
  <c r="O64" i="39" s="1"/>
  <c r="S70" i="39" a="1"/>
  <c r="S70" i="39" s="1"/>
  <c r="E199" i="38"/>
  <c r="G199" i="38" s="1" a="1"/>
  <c r="G199" i="38" s="1"/>
  <c r="L199" i="38" a="1"/>
  <c r="L199" i="38" s="1"/>
  <c r="M199" i="38" s="1" a="1"/>
  <c r="M199" i="38" s="1"/>
  <c r="N199" i="38" s="1" a="1"/>
  <c r="N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U225" i="38" l="1"/>
  <c r="U227" i="38"/>
  <c r="U228" i="38"/>
  <c r="U224" i="38"/>
  <c r="U226" i="38"/>
  <c r="N257" i="38"/>
  <c r="N260" i="38" s="1"/>
  <c r="N259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U223" i="38"/>
  <c r="O199" i="38" a="1"/>
  <c r="O4" i="38" a="1"/>
  <c r="Q134" i="38" a="1"/>
  <c r="Q134" i="38" s="1"/>
  <c r="R3" i="38"/>
  <c r="S4" i="38" s="1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O259" i="38" l="1" a="1"/>
  <c r="O259" i="38" s="1"/>
  <c r="V223" i="38" a="1"/>
  <c r="V223" i="38" s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M69" i="36" s="1" a="1"/>
  <c r="M69" i="36" s="1"/>
  <c r="N69" i="36" s="1" a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Q4" i="36" s="1" a="1"/>
  <c r="Q4" i="36" s="1"/>
  <c r="P3" i="36" s="1"/>
  <c r="R4" i="36" s="1" a="1"/>
  <c r="AB3" i="36" a="1"/>
  <c r="AB3" i="36" s="1"/>
  <c r="AC3" i="36" s="1" a="1"/>
  <c r="AC3" i="36" s="1"/>
  <c r="AD3" i="36" s="1" a="1"/>
  <c r="AD3" i="36" s="1"/>
  <c r="M2" i="36"/>
  <c r="I100" i="36" l="1"/>
  <c r="I84" i="36"/>
  <c r="I108" i="36"/>
  <c r="Q69" i="36" a="1"/>
  <c r="Q69" i="36" s="1"/>
  <c r="P68" i="36" s="1"/>
  <c r="R69" i="36" s="1" a="1"/>
  <c r="I76" i="36"/>
  <c r="I124" i="36"/>
  <c r="I92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E121" i="34"/>
  <c r="E120" i="34"/>
  <c r="E119" i="34"/>
  <c r="E118" i="34"/>
  <c r="E117" i="34"/>
  <c r="E116" i="34"/>
  <c r="I115" i="34"/>
  <c r="E115" i="34"/>
  <c r="I114" i="34"/>
  <c r="E114" i="34"/>
  <c r="I113" i="34"/>
  <c r="E113" i="34"/>
  <c r="E112" i="34"/>
  <c r="E111" i="34"/>
  <c r="E110" i="34"/>
  <c r="E109" i="34"/>
  <c r="E108" i="34"/>
  <c r="E107" i="34"/>
  <c r="E106" i="34"/>
  <c r="I105" i="34"/>
  <c r="E105" i="34"/>
  <c r="E104" i="34"/>
  <c r="E103" i="34"/>
  <c r="E102" i="34"/>
  <c r="E101" i="34"/>
  <c r="E100" i="34"/>
  <c r="I99" i="34"/>
  <c r="E99" i="34"/>
  <c r="I98" i="34"/>
  <c r="E98" i="34"/>
  <c r="E97" i="34"/>
  <c r="E96" i="34"/>
  <c r="E95" i="34"/>
  <c r="E94" i="34"/>
  <c r="E93" i="34"/>
  <c r="E92" i="34"/>
  <c r="E91" i="34"/>
  <c r="I90" i="34"/>
  <c r="E90" i="34"/>
  <c r="I89" i="34"/>
  <c r="E89" i="34"/>
  <c r="E88" i="34"/>
  <c r="E87" i="34"/>
  <c r="E86" i="34"/>
  <c r="E85" i="34"/>
  <c r="I84" i="34"/>
  <c r="E84" i="34"/>
  <c r="I83" i="34"/>
  <c r="E83" i="34"/>
  <c r="E82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Q69" i="34" s="1" a="1"/>
  <c r="Q69" i="34" s="1"/>
  <c r="P68" i="34" s="1"/>
  <c r="R69" i="34" s="1" a="1"/>
  <c r="AT69" i="34" a="1"/>
  <c r="AT69" i="34" s="1"/>
  <c r="F69" i="34"/>
  <c r="J69" i="34" s="1" a="1"/>
  <c r="J69" i="34" s="1"/>
  <c r="L69" i="34" s="1" a="1"/>
  <c r="L69" i="34" s="1"/>
  <c r="M69" i="34" s="1" a="1"/>
  <c r="M69" i="34" s="1"/>
  <c r="N69" i="34" s="1" a="1"/>
  <c r="F69" i="34" a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Q4" i="34" s="1" a="1"/>
  <c r="Q4" i="34" s="1"/>
  <c r="P3" i="34" s="1"/>
  <c r="R4" i="34" s="1" a="1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91" i="34" l="1"/>
  <c r="I106" i="34"/>
  <c r="I121" i="34"/>
  <c r="I81" i="34"/>
  <c r="I123" i="34"/>
  <c r="G69" i="34" a="1"/>
  <c r="G69" i="34" s="1"/>
  <c r="I82" i="34"/>
  <c r="O129" i="36" a="1"/>
  <c r="O129" i="36" s="1"/>
  <c r="I107" i="34"/>
  <c r="I122" i="34"/>
  <c r="I97" i="34"/>
  <c r="E243" i="34"/>
  <c r="E252" i="34"/>
  <c r="E210" i="34"/>
  <c r="E244" i="34"/>
  <c r="E218" i="34"/>
  <c r="E250" i="34"/>
  <c r="E251" i="34"/>
  <c r="E209" i="34"/>
  <c r="E225" i="34"/>
  <c r="E217" i="34"/>
  <c r="E227" i="34"/>
  <c r="E216" i="34"/>
  <c r="E223" i="34"/>
  <c r="E228" i="34"/>
  <c r="E229" i="34"/>
  <c r="E200" i="34"/>
  <c r="E234" i="34"/>
  <c r="E201" i="34"/>
  <c r="E235" i="34"/>
  <c r="E202" i="34"/>
  <c r="E236" i="34"/>
  <c r="E208" i="34"/>
  <c r="E242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 s="1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O129" i="34" a="1"/>
  <c r="O129" i="34" s="1"/>
  <c r="R4" i="34"/>
  <c r="S5" i="34" a="1"/>
  <c r="S5" i="34" s="1"/>
  <c r="R69" i="34"/>
  <c r="S70" i="34" a="1"/>
  <c r="S70" i="34" s="1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U225" i="36" l="1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64" i="34" l="1" a="1"/>
  <c r="O64" i="34" s="1"/>
  <c r="O194" i="34" a="1"/>
  <c r="O19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G4" i="28" s="1" a="1"/>
  <c r="G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A134" i="28" l="1" a="1"/>
  <c r="A134" i="28" s="1"/>
  <c r="I121" i="28"/>
  <c r="I122" i="28"/>
  <c r="I123" i="28"/>
  <c r="I124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E116" i="32"/>
  <c r="E71" i="32"/>
  <c r="E90" i="32"/>
  <c r="E110" i="32"/>
  <c r="E120" i="32"/>
  <c r="I186" i="28"/>
  <c r="E81" i="32"/>
  <c r="E111" i="32"/>
  <c r="E122" i="32"/>
  <c r="I187" i="28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I191" i="28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A199" i="28" l="1" a="1"/>
  <c r="H134" i="28" a="1"/>
  <c r="H134" i="28" s="1"/>
  <c r="A134" i="32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A199" i="28" l="1"/>
  <c r="H199" i="28" s="1" a="1"/>
  <c r="H199" i="28" s="1"/>
  <c r="I251" i="28"/>
  <c r="I255" i="28"/>
  <c r="I254" i="28"/>
  <c r="I253" i="28"/>
  <c r="I256" i="28"/>
  <c r="I252" i="28"/>
  <c r="N65" i="32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O129" i="32" s="1" a="1"/>
  <c r="O129" i="32" s="1"/>
  <c r="N194" i="32"/>
  <c r="O194" i="32" s="1" a="1"/>
  <c r="O194" i="32" s="1"/>
  <c r="O134" i="32"/>
  <c r="O132" i="32" s="1"/>
  <c r="N64" i="32"/>
  <c r="O64" i="32" s="1" a="1"/>
  <c r="O64" i="32" s="1"/>
  <c r="O69" i="32" a="1"/>
  <c r="O4" i="32" a="1"/>
  <c r="H134" i="32" l="1" a="1"/>
  <c r="H134" i="32" s="1"/>
  <c r="I134" i="32"/>
  <c r="O4" i="32"/>
  <c r="O2" i="32" s="1"/>
  <c r="O62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6" i="28"/>
  <c r="V224" i="28"/>
  <c r="V227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O194" i="28" s="1" a="1"/>
  <c r="O194" i="28" s="1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45" i="1" l="1"/>
  <c r="C47" i="1"/>
  <c r="C48" i="1"/>
  <c r="C46" i="1"/>
  <c r="C74" i="1"/>
  <c r="C49" i="1"/>
  <c r="C77" i="1"/>
  <c r="C75" i="1"/>
  <c r="C56" i="24"/>
  <c r="C20" i="24"/>
  <c r="C50" i="1"/>
  <c r="C71" i="1"/>
  <c r="C72" i="1"/>
  <c r="C73" i="1"/>
  <c r="C76" i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64" i="24"/>
  <c r="E16" i="24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54" i="26" l="1"/>
  <c r="C18" i="26"/>
  <c r="C19" i="26"/>
  <c r="C55" i="26"/>
  <c r="C51" i="26"/>
  <c r="C15" i="26"/>
  <c r="C20" i="26"/>
  <c r="C56" i="26"/>
  <c r="E97" i="1"/>
  <c r="E103" i="1"/>
  <c r="E99" i="1"/>
  <c r="E61" i="40"/>
  <c r="E13" i="40"/>
  <c r="E13" i="37"/>
  <c r="E61" i="37"/>
  <c r="E13" i="27"/>
  <c r="E61" i="27"/>
  <c r="E61" i="35"/>
  <c r="E13" i="35"/>
  <c r="E61" i="33"/>
  <c r="E13" i="33"/>
  <c r="R34" i="1"/>
  <c r="C54" i="24"/>
  <c r="C18" i="24"/>
  <c r="C53" i="26"/>
  <c r="C17" i="26"/>
  <c r="C51" i="24"/>
  <c r="C15" i="24"/>
  <c r="C55" i="24"/>
  <c r="C19" i="24"/>
  <c r="C17" i="24"/>
  <c r="C53" i="24"/>
  <c r="C52" i="24"/>
  <c r="C16" i="24"/>
  <c r="C52" i="26"/>
  <c r="C16" i="26"/>
  <c r="J59" i="1"/>
  <c r="C14" i="26"/>
  <c r="C50" i="26"/>
  <c r="C50" i="24"/>
  <c r="C14" i="24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K34" i="1"/>
  <c r="Q29" i="1"/>
  <c r="R30" i="1"/>
  <c r="E85" i="1"/>
  <c r="E100" i="1" s="1"/>
  <c r="K31" i="1"/>
  <c r="C85" i="1"/>
  <c r="L32" i="1"/>
  <c r="S36" i="1"/>
  <c r="D85" i="1"/>
  <c r="E88" i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Q49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Q77" i="1" s="1"/>
  <c r="E66" i="40" l="1"/>
  <c r="E18" i="40"/>
  <c r="E66" i="37"/>
  <c r="E18" i="37"/>
  <c r="E18" i="27"/>
  <c r="E66" i="27"/>
  <c r="E66" i="35"/>
  <c r="E18" i="35"/>
  <c r="E66" i="33"/>
  <c r="E18" i="33"/>
  <c r="E15" i="40"/>
  <c r="E63" i="40"/>
  <c r="E63" i="37"/>
  <c r="E15" i="37"/>
  <c r="E15" i="27"/>
  <c r="E63" i="27"/>
  <c r="E15" i="35"/>
  <c r="E63" i="35"/>
  <c r="E15" i="33"/>
  <c r="E63" i="33"/>
  <c r="E67" i="40"/>
  <c r="E19" i="40"/>
  <c r="E67" i="37"/>
  <c r="E19" i="37"/>
  <c r="E67" i="27"/>
  <c r="E19" i="27"/>
  <c r="E19" i="35"/>
  <c r="E67" i="35"/>
  <c r="E19" i="33"/>
  <c r="E67" i="33"/>
  <c r="E65" i="40"/>
  <c r="E17" i="40"/>
  <c r="E17" i="37"/>
  <c r="E65" i="37"/>
  <c r="E65" i="27"/>
  <c r="E17" i="27"/>
  <c r="E65" i="35"/>
  <c r="E17" i="35"/>
  <c r="E17" i="33"/>
  <c r="E65" i="33"/>
  <c r="S81" i="1"/>
  <c r="E37" i="24"/>
  <c r="E68" i="40"/>
  <c r="E20" i="40"/>
  <c r="E68" i="37"/>
  <c r="E20" i="37"/>
  <c r="E20" i="27"/>
  <c r="E68" i="27"/>
  <c r="E68" i="35"/>
  <c r="E20" i="35"/>
  <c r="E68" i="33"/>
  <c r="E20" i="33"/>
  <c r="Q21" i="1"/>
  <c r="C64" i="2" s="1"/>
  <c r="Q46" i="1"/>
  <c r="C39" i="24" s="1"/>
  <c r="Q74" i="1"/>
  <c r="C65" i="26" s="1"/>
  <c r="Q72" i="1"/>
  <c r="C39" i="26" s="1"/>
  <c r="Q76" i="1"/>
  <c r="C67" i="26" s="1"/>
  <c r="Q48" i="1"/>
  <c r="C41" i="24" s="1"/>
  <c r="Q45" i="1"/>
  <c r="C38" i="24" s="1"/>
  <c r="Q73" i="1"/>
  <c r="Q71" i="1"/>
  <c r="C62" i="26" s="1"/>
  <c r="Q50" i="1"/>
  <c r="C43" i="24" s="1"/>
  <c r="Q47" i="1"/>
  <c r="Q51" i="1"/>
  <c r="D101" i="1"/>
  <c r="D98" i="1"/>
  <c r="D97" i="1"/>
  <c r="D102" i="1"/>
  <c r="D99" i="1"/>
  <c r="D103" i="1"/>
  <c r="D100" i="1"/>
  <c r="D13" i="40"/>
  <c r="D13" i="37"/>
  <c r="D13" i="27"/>
  <c r="D13" i="35"/>
  <c r="D13" i="33"/>
  <c r="E14" i="40"/>
  <c r="E62" i="40"/>
  <c r="E62" i="37"/>
  <c r="E14" i="37"/>
  <c r="E62" i="27"/>
  <c r="E14" i="27"/>
  <c r="E62" i="35"/>
  <c r="E14" i="35"/>
  <c r="E14" i="33"/>
  <c r="E62" i="33"/>
  <c r="C64" i="24"/>
  <c r="C40" i="24"/>
  <c r="J24" i="1"/>
  <c r="C31" i="2" s="1"/>
  <c r="J50" i="1"/>
  <c r="C31" i="24" s="1"/>
  <c r="J75" i="1"/>
  <c r="C30" i="26" s="1"/>
  <c r="J72" i="1"/>
  <c r="C27" i="26" s="1"/>
  <c r="J49" i="1"/>
  <c r="C30" i="24" s="1"/>
  <c r="J46" i="1"/>
  <c r="C27" i="24" s="1"/>
  <c r="J45" i="1"/>
  <c r="C26" i="24" s="1"/>
  <c r="J71" i="1"/>
  <c r="C26" i="26" s="1"/>
  <c r="J74" i="1"/>
  <c r="C29" i="26" s="1"/>
  <c r="J48" i="1"/>
  <c r="C29" i="24" s="1"/>
  <c r="J47" i="1"/>
  <c r="C28" i="24" s="1"/>
  <c r="J73" i="1"/>
  <c r="C28" i="26" s="1"/>
  <c r="J76" i="1"/>
  <c r="C31" i="26" s="1"/>
  <c r="J51" i="1"/>
  <c r="C32" i="24" s="1"/>
  <c r="C37" i="26"/>
  <c r="E64" i="40"/>
  <c r="E16" i="40"/>
  <c r="E16" i="37"/>
  <c r="E64" i="37"/>
  <c r="E64" i="27"/>
  <c r="E16" i="27"/>
  <c r="E16" i="35"/>
  <c r="E64" i="35"/>
  <c r="E64" i="33"/>
  <c r="E16" i="33"/>
  <c r="Q75" i="1"/>
  <c r="C66" i="26" s="1"/>
  <c r="C64" i="26"/>
  <c r="C40" i="26"/>
  <c r="C102" i="1"/>
  <c r="C100" i="1"/>
  <c r="C99" i="1"/>
  <c r="C101" i="1"/>
  <c r="C98" i="1"/>
  <c r="C97" i="1"/>
  <c r="C103" i="1"/>
  <c r="C49" i="40"/>
  <c r="C13" i="40"/>
  <c r="C49" i="37"/>
  <c r="C13" i="37"/>
  <c r="C49" i="27"/>
  <c r="C13" i="27"/>
  <c r="C13" i="35"/>
  <c r="C49" i="35"/>
  <c r="C49" i="33"/>
  <c r="C13" i="33"/>
  <c r="C61" i="40"/>
  <c r="E37" i="40"/>
  <c r="E49" i="40"/>
  <c r="E49" i="37"/>
  <c r="C61" i="37"/>
  <c r="E37" i="37"/>
  <c r="E49" i="27"/>
  <c r="E37" i="27"/>
  <c r="E37" i="35"/>
  <c r="E49" i="35"/>
  <c r="E49" i="33"/>
  <c r="C37" i="33"/>
  <c r="E37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103" i="1" s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C37" i="35" s="1"/>
  <c r="J87" i="1"/>
  <c r="K84" i="1"/>
  <c r="Q88" i="1"/>
  <c r="Q103" i="1" s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42" i="26"/>
  <c r="C68" i="26"/>
  <c r="C44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C68" i="24"/>
  <c r="C44" i="24"/>
  <c r="E50" i="24"/>
  <c r="E38" i="24"/>
  <c r="C66" i="24"/>
  <c r="C42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S97" i="1" s="1"/>
  <c r="Q86" i="1"/>
  <c r="S87" i="1"/>
  <c r="L82" i="1"/>
  <c r="L97" i="1" s="1"/>
  <c r="J86" i="1"/>
  <c r="C96" i="1"/>
  <c r="R81" i="1"/>
  <c r="R103" i="1" s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C65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C52" i="40" l="1"/>
  <c r="C16" i="40"/>
  <c r="C52" i="37"/>
  <c r="C16" i="37"/>
  <c r="C16" i="27"/>
  <c r="C52" i="27"/>
  <c r="C16" i="35"/>
  <c r="C52" i="35"/>
  <c r="C16" i="33"/>
  <c r="C52" i="33"/>
  <c r="C40" i="2"/>
  <c r="J97" i="1"/>
  <c r="J102" i="1"/>
  <c r="J101" i="1"/>
  <c r="J100" i="1"/>
  <c r="J99" i="1"/>
  <c r="J98" i="1"/>
  <c r="C25" i="37"/>
  <c r="C25" i="33"/>
  <c r="C25" i="27"/>
  <c r="C25" i="40"/>
  <c r="C25" i="35"/>
  <c r="C61" i="33"/>
  <c r="C67" i="24"/>
  <c r="F13" i="33"/>
  <c r="L100" i="1"/>
  <c r="L102" i="1"/>
  <c r="L101" i="1"/>
  <c r="L103" i="1"/>
  <c r="L99" i="1"/>
  <c r="L98" i="1"/>
  <c r="E25" i="37"/>
  <c r="E25" i="40"/>
  <c r="E25" i="27"/>
  <c r="C41" i="26"/>
  <c r="D19" i="40"/>
  <c r="D19" i="37"/>
  <c r="D19" i="27"/>
  <c r="F19" i="27" s="1"/>
  <c r="D19" i="35"/>
  <c r="D19" i="33"/>
  <c r="Q102" i="1"/>
  <c r="Q100" i="1"/>
  <c r="Q99" i="1"/>
  <c r="Q98" i="1"/>
  <c r="Q97" i="1"/>
  <c r="D16" i="40"/>
  <c r="D16" i="37"/>
  <c r="D16" i="27"/>
  <c r="D16" i="35"/>
  <c r="D16" i="33"/>
  <c r="C63" i="26"/>
  <c r="C63" i="24"/>
  <c r="D14" i="40"/>
  <c r="D14" i="37"/>
  <c r="D14" i="27"/>
  <c r="F14" i="27" s="1"/>
  <c r="D14" i="35"/>
  <c r="D14" i="33"/>
  <c r="C62" i="24"/>
  <c r="C61" i="27"/>
  <c r="Q101" i="1"/>
  <c r="C66" i="40" s="1"/>
  <c r="F13" i="35"/>
  <c r="D15" i="40"/>
  <c r="D15" i="37"/>
  <c r="D15" i="27"/>
  <c r="D15" i="35"/>
  <c r="D15" i="33"/>
  <c r="C47" i="40"/>
  <c r="C11" i="40"/>
  <c r="C35" i="40"/>
  <c r="C23" i="40"/>
  <c r="C59" i="40"/>
  <c r="C47" i="37"/>
  <c r="C11" i="37"/>
  <c r="C35" i="37"/>
  <c r="C59" i="37"/>
  <c r="C23" i="37"/>
  <c r="C23" i="35"/>
  <c r="C11" i="35"/>
  <c r="C35" i="35"/>
  <c r="C47" i="35"/>
  <c r="C59" i="35"/>
  <c r="C23" i="33"/>
  <c r="C47" i="33"/>
  <c r="C35" i="33"/>
  <c r="C59" i="33"/>
  <c r="C11" i="33"/>
  <c r="C43" i="26"/>
  <c r="C61" i="35"/>
  <c r="F13" i="27"/>
  <c r="F16" i="27" s="1"/>
  <c r="C38" i="26"/>
  <c r="D18" i="40"/>
  <c r="D18" i="37"/>
  <c r="D18" i="27"/>
  <c r="D18" i="35"/>
  <c r="D18" i="33"/>
  <c r="C37" i="27"/>
  <c r="C19" i="40"/>
  <c r="F19" i="40" s="1"/>
  <c r="J19" i="40" s="1"/>
  <c r="C55" i="40"/>
  <c r="C19" i="37"/>
  <c r="F19" i="37" s="1"/>
  <c r="C55" i="37"/>
  <c r="C19" i="27"/>
  <c r="C55" i="27"/>
  <c r="C55" i="35"/>
  <c r="C19" i="35"/>
  <c r="C55" i="33"/>
  <c r="C19" i="33"/>
  <c r="D17" i="40"/>
  <c r="D17" i="37"/>
  <c r="D17" i="27"/>
  <c r="F17" i="27" s="1"/>
  <c r="D17" i="35"/>
  <c r="D17" i="33"/>
  <c r="D20" i="40"/>
  <c r="D20" i="37"/>
  <c r="D20" i="27"/>
  <c r="F20" i="27" s="1"/>
  <c r="D20" i="35"/>
  <c r="D20" i="33"/>
  <c r="C14" i="40"/>
  <c r="F14" i="40" s="1"/>
  <c r="J14" i="40" s="1"/>
  <c r="C50" i="40"/>
  <c r="C14" i="37"/>
  <c r="F14" i="37" s="1"/>
  <c r="J14" i="37" s="1"/>
  <c r="C50" i="37"/>
  <c r="C50" i="27"/>
  <c r="C14" i="27"/>
  <c r="C50" i="35"/>
  <c r="C14" i="35"/>
  <c r="C14" i="33"/>
  <c r="C50" i="33"/>
  <c r="C54" i="40"/>
  <c r="C18" i="40"/>
  <c r="C18" i="37"/>
  <c r="C54" i="37"/>
  <c r="C18" i="27"/>
  <c r="C54" i="27"/>
  <c r="C54" i="35"/>
  <c r="C18" i="35"/>
  <c r="C54" i="33"/>
  <c r="C18" i="33"/>
  <c r="C65" i="24"/>
  <c r="C37" i="40"/>
  <c r="F13" i="37"/>
  <c r="C20" i="40"/>
  <c r="F20" i="40" s="1"/>
  <c r="J20" i="40" s="1"/>
  <c r="C56" i="40"/>
  <c r="C20" i="37"/>
  <c r="C56" i="37"/>
  <c r="C56" i="27"/>
  <c r="C20" i="27"/>
  <c r="C56" i="35"/>
  <c r="C20" i="35"/>
  <c r="C56" i="33"/>
  <c r="C20" i="33"/>
  <c r="C15" i="40"/>
  <c r="C51" i="40"/>
  <c r="C51" i="37"/>
  <c r="C15" i="37"/>
  <c r="C15" i="27"/>
  <c r="C51" i="27"/>
  <c r="C51" i="35"/>
  <c r="C15" i="35"/>
  <c r="F15" i="35" s="1"/>
  <c r="C51" i="33"/>
  <c r="C15" i="33"/>
  <c r="F15" i="33" s="1"/>
  <c r="J15" i="33" s="1"/>
  <c r="C53" i="40"/>
  <c r="C17" i="40"/>
  <c r="C17" i="37"/>
  <c r="C53" i="37"/>
  <c r="C53" i="27"/>
  <c r="C17" i="27"/>
  <c r="C53" i="35"/>
  <c r="C17" i="35"/>
  <c r="C17" i="33"/>
  <c r="C53" i="33"/>
  <c r="C37" i="37"/>
  <c r="F13" i="40"/>
  <c r="J13" i="40" s="1"/>
  <c r="S103" i="1"/>
  <c r="E44" i="27" s="1"/>
  <c r="S102" i="1"/>
  <c r="S101" i="1"/>
  <c r="S100" i="1"/>
  <c r="E53" i="27" s="1"/>
  <c r="S99" i="1"/>
  <c r="S98" i="1"/>
  <c r="E39" i="33" s="1"/>
  <c r="C68" i="40"/>
  <c r="C44" i="35"/>
  <c r="C44" i="33"/>
  <c r="C44" i="40"/>
  <c r="C68" i="27"/>
  <c r="C44" i="37"/>
  <c r="C68" i="35"/>
  <c r="C68" i="33"/>
  <c r="C68" i="37"/>
  <c r="C44" i="27"/>
  <c r="C32" i="40"/>
  <c r="C32" i="35"/>
  <c r="C32" i="27"/>
  <c r="C32" i="33"/>
  <c r="C32" i="37"/>
  <c r="R101" i="1"/>
  <c r="D42" i="33" s="1"/>
  <c r="R102" i="1"/>
  <c r="D43" i="33" s="1"/>
  <c r="K101" i="1"/>
  <c r="D30" i="27" s="1"/>
  <c r="K102" i="1"/>
  <c r="D55" i="37" s="1"/>
  <c r="C42" i="33"/>
  <c r="R99" i="1"/>
  <c r="D40" i="35" s="1"/>
  <c r="R100" i="1"/>
  <c r="D41" i="33" s="1"/>
  <c r="K99" i="1"/>
  <c r="D28" i="40" s="1"/>
  <c r="K100" i="1"/>
  <c r="D65" i="37" s="1"/>
  <c r="R97" i="1"/>
  <c r="D38" i="40" s="1"/>
  <c r="R98" i="1"/>
  <c r="D39" i="33" s="1"/>
  <c r="K97" i="1"/>
  <c r="D50" i="37" s="1"/>
  <c r="K98" i="1"/>
  <c r="D27" i="27" s="1"/>
  <c r="E26" i="40"/>
  <c r="E38" i="40"/>
  <c r="E50" i="40"/>
  <c r="D37" i="37"/>
  <c r="F37" i="37" s="1"/>
  <c r="G37" i="37" s="1"/>
  <c r="D37" i="40"/>
  <c r="F37" i="40" s="1"/>
  <c r="D49" i="40"/>
  <c r="F49" i="40" s="1"/>
  <c r="D25" i="40"/>
  <c r="D61" i="40"/>
  <c r="F61" i="40" s="1"/>
  <c r="D44" i="37"/>
  <c r="D44" i="40"/>
  <c r="D56" i="40"/>
  <c r="D68" i="40"/>
  <c r="D32" i="40"/>
  <c r="E26" i="27"/>
  <c r="E26" i="37"/>
  <c r="E50" i="37"/>
  <c r="E38" i="37"/>
  <c r="D61" i="27"/>
  <c r="D49" i="37"/>
  <c r="F49" i="37" s="1"/>
  <c r="D61" i="37"/>
  <c r="F61" i="37" s="1"/>
  <c r="D25" i="37"/>
  <c r="D68" i="27"/>
  <c r="D56" i="37"/>
  <c r="D68" i="37"/>
  <c r="D32" i="37"/>
  <c r="E55" i="27"/>
  <c r="E42" i="35"/>
  <c r="E54" i="35"/>
  <c r="E54" i="33"/>
  <c r="E42" i="33"/>
  <c r="E52" i="27"/>
  <c r="E40" i="27"/>
  <c r="E40" i="35"/>
  <c r="E53" i="33"/>
  <c r="E38" i="27"/>
  <c r="E50" i="27"/>
  <c r="D32" i="27"/>
  <c r="D56" i="27"/>
  <c r="D25" i="27"/>
  <c r="D49" i="27"/>
  <c r="D37" i="35"/>
  <c r="F37" i="35" s="1"/>
  <c r="D37" i="27"/>
  <c r="D44" i="35"/>
  <c r="D44" i="27"/>
  <c r="E50" i="26"/>
  <c r="E38" i="35"/>
  <c r="E50" i="35"/>
  <c r="E38" i="33"/>
  <c r="E50" i="33"/>
  <c r="D37" i="33"/>
  <c r="F37" i="33" s="1"/>
  <c r="D44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F18" i="27"/>
  <c r="F15" i="27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G13" i="37" l="1"/>
  <c r="J13" i="37"/>
  <c r="C29" i="35"/>
  <c r="C29" i="33"/>
  <c r="C29" i="27"/>
  <c r="C29" i="37"/>
  <c r="C29" i="40"/>
  <c r="E54" i="40"/>
  <c r="E54" i="37"/>
  <c r="E42" i="37"/>
  <c r="E42" i="40"/>
  <c r="E53" i="35"/>
  <c r="C26" i="37"/>
  <c r="C26" i="27"/>
  <c r="C26" i="33"/>
  <c r="C26" i="35"/>
  <c r="C26" i="40"/>
  <c r="E41" i="27"/>
  <c r="E44" i="35"/>
  <c r="F44" i="35" s="1"/>
  <c r="J44" i="35" s="1"/>
  <c r="F17" i="33"/>
  <c r="J17" i="33" s="1"/>
  <c r="F18" i="40"/>
  <c r="J18" i="40" s="1"/>
  <c r="G13" i="40"/>
  <c r="G19" i="40"/>
  <c r="G20" i="40"/>
  <c r="G18" i="40"/>
  <c r="G14" i="40"/>
  <c r="G17" i="40"/>
  <c r="E30" i="37"/>
  <c r="E30" i="40"/>
  <c r="E30" i="27"/>
  <c r="C66" i="37"/>
  <c r="E51" i="37"/>
  <c r="E39" i="37"/>
  <c r="E51" i="40"/>
  <c r="E39" i="40"/>
  <c r="E41" i="35"/>
  <c r="F15" i="40"/>
  <c r="J15" i="40" s="1"/>
  <c r="E28" i="37"/>
  <c r="E28" i="40"/>
  <c r="E28" i="27"/>
  <c r="E39" i="35"/>
  <c r="E56" i="27"/>
  <c r="F17" i="35"/>
  <c r="J17" i="35" s="1"/>
  <c r="F20" i="35"/>
  <c r="J20" i="35" s="1"/>
  <c r="E31" i="40"/>
  <c r="E31" i="37"/>
  <c r="E31" i="27"/>
  <c r="F16" i="35"/>
  <c r="J16" i="35" s="1"/>
  <c r="E55" i="40"/>
  <c r="F55" i="40" s="1"/>
  <c r="E43" i="37"/>
  <c r="E55" i="37"/>
  <c r="F55" i="37" s="1"/>
  <c r="J55" i="37" s="1"/>
  <c r="E43" i="40"/>
  <c r="G16" i="37"/>
  <c r="G18" i="37"/>
  <c r="G14" i="37"/>
  <c r="G17" i="37"/>
  <c r="F20" i="33"/>
  <c r="J20" i="33" s="1"/>
  <c r="E51" i="35"/>
  <c r="C42" i="35"/>
  <c r="F19" i="33"/>
  <c r="J19" i="33" s="1"/>
  <c r="G13" i="33"/>
  <c r="G15" i="33"/>
  <c r="G19" i="33"/>
  <c r="E29" i="37"/>
  <c r="E29" i="40"/>
  <c r="E29" i="27"/>
  <c r="G19" i="37"/>
  <c r="J19" i="37"/>
  <c r="C42" i="27"/>
  <c r="F42" i="27" s="1"/>
  <c r="G42" i="27" s="1"/>
  <c r="E41" i="33"/>
  <c r="F15" i="37"/>
  <c r="J15" i="37" s="1"/>
  <c r="E56" i="37"/>
  <c r="F56" i="37" s="1"/>
  <c r="J56" i="37" s="1"/>
  <c r="E56" i="40"/>
  <c r="E44" i="40"/>
  <c r="E44" i="37"/>
  <c r="E56" i="33"/>
  <c r="F18" i="37"/>
  <c r="J18" i="37" s="1"/>
  <c r="E51" i="27"/>
  <c r="E55" i="33"/>
  <c r="C66" i="27"/>
  <c r="F14" i="33"/>
  <c r="J14" i="33" s="1"/>
  <c r="C62" i="35"/>
  <c r="C38" i="40"/>
  <c r="F38" i="40" s="1"/>
  <c r="G38" i="40" s="1"/>
  <c r="C38" i="37"/>
  <c r="C62" i="33"/>
  <c r="C62" i="27"/>
  <c r="C38" i="27"/>
  <c r="C62" i="40"/>
  <c r="C38" i="35"/>
  <c r="C62" i="37"/>
  <c r="C38" i="33"/>
  <c r="F18" i="33"/>
  <c r="J18" i="33" s="1"/>
  <c r="J13" i="33"/>
  <c r="C66" i="35"/>
  <c r="E52" i="37"/>
  <c r="E40" i="40"/>
  <c r="E40" i="37"/>
  <c r="E52" i="40"/>
  <c r="C30" i="27"/>
  <c r="C30" i="40"/>
  <c r="C30" i="37"/>
  <c r="C30" i="33"/>
  <c r="C30" i="35"/>
  <c r="E42" i="27"/>
  <c r="E27" i="40"/>
  <c r="E27" i="37"/>
  <c r="E27" i="27"/>
  <c r="E39" i="27"/>
  <c r="E43" i="33"/>
  <c r="F43" i="33" s="1"/>
  <c r="C42" i="37"/>
  <c r="F42" i="37" s="1"/>
  <c r="J42" i="37" s="1"/>
  <c r="F14" i="35"/>
  <c r="J14" i="35" s="1"/>
  <c r="F19" i="35"/>
  <c r="J19" i="35" s="1"/>
  <c r="C63" i="33"/>
  <c r="C39" i="40"/>
  <c r="C63" i="27"/>
  <c r="C63" i="40"/>
  <c r="C39" i="37"/>
  <c r="C63" i="35"/>
  <c r="C39" i="27"/>
  <c r="C39" i="35"/>
  <c r="C39" i="33"/>
  <c r="F39" i="33" s="1"/>
  <c r="C63" i="37"/>
  <c r="F16" i="37"/>
  <c r="J16" i="37" s="1"/>
  <c r="G13" i="35"/>
  <c r="G17" i="35"/>
  <c r="G15" i="35"/>
  <c r="G20" i="35"/>
  <c r="G16" i="35"/>
  <c r="J15" i="35"/>
  <c r="E56" i="35"/>
  <c r="E32" i="37"/>
  <c r="E32" i="40"/>
  <c r="E32" i="27"/>
  <c r="F37" i="27"/>
  <c r="E52" i="33"/>
  <c r="E55" i="35"/>
  <c r="C66" i="33"/>
  <c r="C64" i="35"/>
  <c r="C40" i="37"/>
  <c r="C64" i="40"/>
  <c r="C40" i="33"/>
  <c r="C64" i="33"/>
  <c r="C40" i="27"/>
  <c r="C40" i="35"/>
  <c r="F40" i="35" s="1"/>
  <c r="J40" i="35" s="1"/>
  <c r="C40" i="40"/>
  <c r="C64" i="27"/>
  <c r="C64" i="37"/>
  <c r="C27" i="37"/>
  <c r="C27" i="35"/>
  <c r="C27" i="33"/>
  <c r="C27" i="27"/>
  <c r="C27" i="40"/>
  <c r="E54" i="27"/>
  <c r="C31" i="40"/>
  <c r="C31" i="35"/>
  <c r="C31" i="33"/>
  <c r="C31" i="27"/>
  <c r="C31" i="37"/>
  <c r="E44" i="33"/>
  <c r="J37" i="35"/>
  <c r="E40" i="33"/>
  <c r="E43" i="35"/>
  <c r="C42" i="40"/>
  <c r="F42" i="40" s="1"/>
  <c r="F17" i="37"/>
  <c r="J17" i="37" s="1"/>
  <c r="F20" i="37"/>
  <c r="C65" i="35"/>
  <c r="C65" i="33"/>
  <c r="C65" i="37"/>
  <c r="F65" i="37" s="1"/>
  <c r="G65" i="37" s="1"/>
  <c r="C41" i="33"/>
  <c r="F41" i="33" s="1"/>
  <c r="C65" i="27"/>
  <c r="C41" i="37"/>
  <c r="C41" i="35"/>
  <c r="C41" i="40"/>
  <c r="C65" i="40"/>
  <c r="C41" i="27"/>
  <c r="F16" i="40"/>
  <c r="J16" i="40" s="1"/>
  <c r="C28" i="27"/>
  <c r="C28" i="35"/>
  <c r="C28" i="33"/>
  <c r="C28" i="40"/>
  <c r="F28" i="40" s="1"/>
  <c r="C28" i="37"/>
  <c r="F25" i="37"/>
  <c r="F32" i="37" s="1"/>
  <c r="J32" i="37" s="1"/>
  <c r="E53" i="37"/>
  <c r="E41" i="37"/>
  <c r="E53" i="40"/>
  <c r="E41" i="40"/>
  <c r="F18" i="35"/>
  <c r="J18" i="35" s="1"/>
  <c r="E51" i="33"/>
  <c r="F16" i="33"/>
  <c r="J16" i="33" s="1"/>
  <c r="E52" i="35"/>
  <c r="E43" i="27"/>
  <c r="F25" i="40"/>
  <c r="F17" i="40"/>
  <c r="J17" i="40" s="1"/>
  <c r="J13" i="35"/>
  <c r="C43" i="35"/>
  <c r="C43" i="33"/>
  <c r="C43" i="37"/>
  <c r="C43" i="27"/>
  <c r="C67" i="33"/>
  <c r="C67" i="27"/>
  <c r="C67" i="37"/>
  <c r="C67" i="35"/>
  <c r="C43" i="40"/>
  <c r="C67" i="40"/>
  <c r="D43" i="35"/>
  <c r="F43" i="35" s="1"/>
  <c r="G43" i="35" s="1"/>
  <c r="D43" i="27"/>
  <c r="D31" i="40"/>
  <c r="F31" i="40" s="1"/>
  <c r="D54" i="40"/>
  <c r="F54" i="40" s="1"/>
  <c r="D67" i="40"/>
  <c r="F67" i="40" s="1"/>
  <c r="D55" i="40"/>
  <c r="D30" i="37"/>
  <c r="D42" i="40"/>
  <c r="D66" i="40"/>
  <c r="F66" i="40" s="1"/>
  <c r="D54" i="37"/>
  <c r="D42" i="37"/>
  <c r="D30" i="40"/>
  <c r="D42" i="27"/>
  <c r="D66" i="37"/>
  <c r="D42" i="35"/>
  <c r="F42" i="35" s="1"/>
  <c r="J42" i="35" s="1"/>
  <c r="D66" i="27"/>
  <c r="D43" i="40"/>
  <c r="D43" i="37"/>
  <c r="F43" i="37" s="1"/>
  <c r="J43" i="37" s="1"/>
  <c r="D54" i="27"/>
  <c r="D67" i="27"/>
  <c r="D31" i="37"/>
  <c r="F31" i="37" s="1"/>
  <c r="D67" i="37"/>
  <c r="F67" i="37" s="1"/>
  <c r="J67" i="37" s="1"/>
  <c r="D31" i="27"/>
  <c r="D55" i="27"/>
  <c r="D65" i="40"/>
  <c r="F65" i="40" s="1"/>
  <c r="D62" i="27"/>
  <c r="D40" i="33"/>
  <c r="D26" i="37"/>
  <c r="D41" i="40"/>
  <c r="D64" i="40"/>
  <c r="D53" i="40"/>
  <c r="D62" i="40"/>
  <c r="D41" i="37"/>
  <c r="D29" i="27"/>
  <c r="D29" i="37"/>
  <c r="D50" i="40"/>
  <c r="F50" i="40" s="1"/>
  <c r="D27" i="40"/>
  <c r="D65" i="27"/>
  <c r="D50" i="27"/>
  <c r="D51" i="40"/>
  <c r="D41" i="27"/>
  <c r="D41" i="35"/>
  <c r="D40" i="40"/>
  <c r="F40" i="40" s="1"/>
  <c r="D40" i="27"/>
  <c r="F40" i="27" s="1"/>
  <c r="J40" i="27" s="1"/>
  <c r="D51" i="37"/>
  <c r="F51" i="37" s="1"/>
  <c r="G51" i="37" s="1"/>
  <c r="D62" i="37"/>
  <c r="D40" i="37"/>
  <c r="D53" i="27"/>
  <c r="D28" i="37"/>
  <c r="D53" i="37"/>
  <c r="D26" i="40"/>
  <c r="D63" i="40"/>
  <c r="F63" i="40" s="1"/>
  <c r="J63" i="40" s="1"/>
  <c r="D26" i="27"/>
  <c r="D39" i="40"/>
  <c r="D27" i="37"/>
  <c r="D39" i="37"/>
  <c r="D63" i="37"/>
  <c r="F63" i="37" s="1"/>
  <c r="J63" i="37" s="1"/>
  <c r="D63" i="27"/>
  <c r="D52" i="27"/>
  <c r="D64" i="27"/>
  <c r="D52" i="37"/>
  <c r="F52" i="37" s="1"/>
  <c r="G52" i="37" s="1"/>
  <c r="D52" i="40"/>
  <c r="F52" i="40" s="1"/>
  <c r="D28" i="27"/>
  <c r="D64" i="37"/>
  <c r="F64" i="37" s="1"/>
  <c r="J64" i="37" s="1"/>
  <c r="D51" i="27"/>
  <c r="D29" i="40"/>
  <c r="D38" i="33"/>
  <c r="D38" i="37"/>
  <c r="D38" i="27"/>
  <c r="D38" i="35"/>
  <c r="D39" i="27"/>
  <c r="D39" i="35"/>
  <c r="F39" i="35" s="1"/>
  <c r="J39" i="35" s="1"/>
  <c r="F44" i="37"/>
  <c r="J44" i="37" s="1"/>
  <c r="J37" i="37"/>
  <c r="F68" i="40"/>
  <c r="J68" i="40" s="1"/>
  <c r="J61" i="40"/>
  <c r="G61" i="40"/>
  <c r="J49" i="40"/>
  <c r="G49" i="40"/>
  <c r="F32" i="40"/>
  <c r="F56" i="40"/>
  <c r="G37" i="40"/>
  <c r="J37" i="40"/>
  <c r="J25" i="40"/>
  <c r="G25" i="40"/>
  <c r="F44" i="40"/>
  <c r="F68" i="37"/>
  <c r="G68" i="37" s="1"/>
  <c r="F30" i="37"/>
  <c r="G30" i="37" s="1"/>
  <c r="J25" i="37"/>
  <c r="G25" i="37"/>
  <c r="J61" i="37"/>
  <c r="G61" i="37"/>
  <c r="F50" i="37"/>
  <c r="G49" i="37"/>
  <c r="J49" i="37"/>
  <c r="G37" i="35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F42" i="33"/>
  <c r="G42" i="33" s="1"/>
  <c r="F43" i="27"/>
  <c r="J43" i="27" s="1"/>
  <c r="F44" i="33"/>
  <c r="J37" i="33"/>
  <c r="G37" i="33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J15" i="27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37" i="27"/>
  <c r="F44" i="27"/>
  <c r="G44" i="27" s="1"/>
  <c r="J14" i="27"/>
  <c r="J19" i="27"/>
  <c r="J18" i="27"/>
  <c r="G17" i="27"/>
  <c r="J17" i="27"/>
  <c r="J20" i="27"/>
  <c r="G37" i="27"/>
  <c r="G19" i="27"/>
  <c r="J13" i="27"/>
  <c r="G20" i="27"/>
  <c r="G13" i="27"/>
  <c r="G18" i="27"/>
  <c r="G16" i="27"/>
  <c r="J16" i="27"/>
  <c r="G14" i="27"/>
  <c r="G15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14" i="35" l="1"/>
  <c r="G18" i="35"/>
  <c r="F39" i="37"/>
  <c r="J39" i="37" s="1"/>
  <c r="F41" i="37"/>
  <c r="J41" i="37" s="1"/>
  <c r="G14" i="33"/>
  <c r="F39" i="40"/>
  <c r="F62" i="40"/>
  <c r="J62" i="40" s="1"/>
  <c r="F30" i="40"/>
  <c r="G17" i="33"/>
  <c r="G16" i="33"/>
  <c r="F39" i="27"/>
  <c r="J39" i="27" s="1"/>
  <c r="F26" i="40"/>
  <c r="G26" i="40" s="1"/>
  <c r="F53" i="40"/>
  <c r="J53" i="40" s="1"/>
  <c r="G20" i="33"/>
  <c r="G16" i="40"/>
  <c r="F43" i="40"/>
  <c r="J43" i="40" s="1"/>
  <c r="F29" i="37"/>
  <c r="J29" i="37" s="1"/>
  <c r="F66" i="37"/>
  <c r="G66" i="37" s="1"/>
  <c r="F38" i="35"/>
  <c r="G38" i="35" s="1"/>
  <c r="F53" i="37"/>
  <c r="G53" i="37" s="1"/>
  <c r="F64" i="40"/>
  <c r="G64" i="40" s="1"/>
  <c r="F54" i="37"/>
  <c r="J54" i="37" s="1"/>
  <c r="F41" i="27"/>
  <c r="G41" i="27" s="1"/>
  <c r="G19" i="35"/>
  <c r="F38" i="27"/>
  <c r="J38" i="27" s="1"/>
  <c r="F28" i="37"/>
  <c r="J28" i="37" s="1"/>
  <c r="F41" i="40"/>
  <c r="G41" i="40" s="1"/>
  <c r="G18" i="33"/>
  <c r="G15" i="37"/>
  <c r="G20" i="37"/>
  <c r="J20" i="37"/>
  <c r="F51" i="40"/>
  <c r="J51" i="40" s="1"/>
  <c r="F27" i="37"/>
  <c r="G27" i="37" s="1"/>
  <c r="F38" i="37"/>
  <c r="J38" i="37" s="1"/>
  <c r="F26" i="37"/>
  <c r="J26" i="37" s="1"/>
  <c r="G15" i="40"/>
  <c r="F41" i="35"/>
  <c r="J41" i="35" s="1"/>
  <c r="F27" i="40"/>
  <c r="F38" i="33"/>
  <c r="J38" i="33" s="1"/>
  <c r="F40" i="37"/>
  <c r="G40" i="37" s="1"/>
  <c r="F40" i="33"/>
  <c r="F29" i="40"/>
  <c r="F62" i="37"/>
  <c r="G62" i="37" s="1"/>
  <c r="G63" i="40"/>
  <c r="J38" i="40"/>
  <c r="G68" i="40"/>
  <c r="G42" i="37"/>
  <c r="G44" i="37"/>
  <c r="G43" i="37"/>
  <c r="G41" i="37"/>
  <c r="J41" i="40"/>
  <c r="J64" i="40"/>
  <c r="G39" i="37"/>
  <c r="G62" i="40"/>
  <c r="G38" i="37"/>
  <c r="J54" i="40"/>
  <c r="G54" i="40"/>
  <c r="J65" i="40"/>
  <c r="G65" i="40"/>
  <c r="J42" i="40"/>
  <c r="G42" i="40"/>
  <c r="J52" i="40"/>
  <c r="G52" i="40"/>
  <c r="J39" i="40"/>
  <c r="G39" i="40"/>
  <c r="J55" i="40"/>
  <c r="G55" i="40"/>
  <c r="J32" i="40"/>
  <c r="G32" i="40"/>
  <c r="J28" i="40"/>
  <c r="G28" i="40"/>
  <c r="J67" i="40"/>
  <c r="G67" i="40"/>
  <c r="J66" i="40"/>
  <c r="G66" i="40"/>
  <c r="J56" i="40"/>
  <c r="G56" i="40"/>
  <c r="J40" i="40"/>
  <c r="G40" i="40"/>
  <c r="J30" i="40"/>
  <c r="G30" i="40"/>
  <c r="J31" i="40"/>
  <c r="G31" i="40"/>
  <c r="J44" i="40"/>
  <c r="G44" i="40"/>
  <c r="J29" i="40"/>
  <c r="G29" i="40"/>
  <c r="J50" i="40"/>
  <c r="G50" i="40"/>
  <c r="J27" i="40"/>
  <c r="G27" i="40"/>
  <c r="G56" i="37"/>
  <c r="G32" i="37"/>
  <c r="J68" i="37"/>
  <c r="J65" i="37"/>
  <c r="G54" i="37"/>
  <c r="J30" i="37"/>
  <c r="G55" i="37"/>
  <c r="J52" i="37"/>
  <c r="G64" i="37"/>
  <c r="G28" i="37"/>
  <c r="J62" i="37"/>
  <c r="G63" i="37"/>
  <c r="G67" i="37"/>
  <c r="J51" i="37"/>
  <c r="G31" i="37"/>
  <c r="J31" i="37"/>
  <c r="J50" i="37"/>
  <c r="G50" i="37"/>
  <c r="J43" i="35"/>
  <c r="G42" i="35"/>
  <c r="G40" i="35"/>
  <c r="G39" i="35"/>
  <c r="G44" i="35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J42" i="33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G43" i="27"/>
  <c r="F65" i="33"/>
  <c r="J65" i="33" s="1"/>
  <c r="F66" i="33"/>
  <c r="J66" i="33" s="1"/>
  <c r="F51" i="33"/>
  <c r="G51" i="33" s="1"/>
  <c r="F53" i="33"/>
  <c r="J53" i="33" s="1"/>
  <c r="F25" i="33"/>
  <c r="F29" i="33" s="1"/>
  <c r="J40" i="33"/>
  <c r="G40" i="33"/>
  <c r="F63" i="33"/>
  <c r="J61" i="33"/>
  <c r="G61" i="33"/>
  <c r="J39" i="33"/>
  <c r="G39" i="33"/>
  <c r="J41" i="33"/>
  <c r="G41" i="33"/>
  <c r="F68" i="33"/>
  <c r="J43" i="33"/>
  <c r="G43" i="33"/>
  <c r="F62" i="33"/>
  <c r="J49" i="33"/>
  <c r="G49" i="33"/>
  <c r="J44" i="33"/>
  <c r="G44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7"/>
  <c r="G39" i="24"/>
  <c r="J41" i="27"/>
  <c r="G38" i="27"/>
  <c r="G42" i="26"/>
  <c r="G52" i="26"/>
  <c r="G39" i="26"/>
  <c r="J44" i="27"/>
  <c r="G44" i="26"/>
  <c r="J42" i="27"/>
  <c r="G40" i="27"/>
  <c r="J32" i="24"/>
  <c r="J50" i="24"/>
  <c r="G50" i="24"/>
  <c r="G26" i="24"/>
  <c r="J26" i="24"/>
  <c r="J38" i="24"/>
  <c r="G38" i="24"/>
  <c r="J66" i="24"/>
  <c r="G66" i="24"/>
  <c r="J42" i="24"/>
  <c r="G42" i="24"/>
  <c r="G38" i="33" l="1"/>
  <c r="J27" i="37"/>
  <c r="G53" i="40"/>
  <c r="G43" i="40"/>
  <c r="G51" i="40"/>
  <c r="J53" i="37"/>
  <c r="J66" i="37"/>
  <c r="J40" i="37"/>
  <c r="J38" i="35"/>
  <c r="G29" i="37"/>
  <c r="J26" i="40"/>
  <c r="G41" i="35"/>
  <c r="G26" i="37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C28" i="20"/>
  <c r="AC49" i="20"/>
  <c r="AC43" i="20"/>
  <c r="AC68" i="20"/>
  <c r="AC40" i="20"/>
  <c r="AC60" i="20"/>
  <c r="AC63" i="20"/>
  <c r="AC13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M15" i="20"/>
  <c r="AC89" i="20"/>
  <c r="AM101" i="20"/>
  <c r="AM93" i="20"/>
  <c r="AM61" i="20"/>
  <c r="AN28" i="20"/>
  <c r="AN12" i="20"/>
  <c r="AC79" i="20"/>
  <c r="P26" i="20"/>
  <c r="O26" i="20"/>
  <c r="C26" i="20"/>
  <c r="D26" i="20"/>
  <c r="E6" i="20"/>
  <c r="AC10" i="20" l="1"/>
  <c r="AC51" i="20"/>
  <c r="AC71" i="20"/>
  <c r="AC32" i="20"/>
  <c r="AC46" i="20"/>
  <c r="AC27" i="20"/>
  <c r="AC15" i="20"/>
  <c r="AD32" i="20"/>
  <c r="AM28" i="20"/>
  <c r="AC50" i="20"/>
  <c r="AC11" i="20"/>
  <c r="AC31" i="20"/>
  <c r="AC59" i="20"/>
  <c r="AC61" i="20"/>
  <c r="AC67" i="20"/>
  <c r="AC42" i="20"/>
  <c r="H13" i="33"/>
  <c r="I17" i="33"/>
  <c r="I16" i="33"/>
  <c r="I14" i="33"/>
  <c r="I15" i="33"/>
  <c r="I20" i="33"/>
  <c r="I18" i="33"/>
  <c r="I19" i="33"/>
  <c r="H13" i="35"/>
  <c r="I16" i="35"/>
  <c r="I20" i="35"/>
  <c r="I17" i="35"/>
  <c r="I18" i="35"/>
  <c r="I19" i="35"/>
  <c r="I14" i="35"/>
  <c r="I15" i="35"/>
  <c r="H13" i="37"/>
  <c r="I16" i="37"/>
  <c r="I15" i="37"/>
  <c r="I20" i="37"/>
  <c r="I19" i="37"/>
  <c r="I18" i="37"/>
  <c r="I14" i="37"/>
  <c r="I17" i="37"/>
  <c r="H13" i="40"/>
  <c r="I15" i="40"/>
  <c r="I16" i="40"/>
  <c r="I20" i="40"/>
  <c r="I17" i="40"/>
  <c r="I14" i="40"/>
  <c r="I18" i="40"/>
  <c r="I19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6" i="20"/>
  <c r="AN6" i="20"/>
  <c r="AM31" i="20"/>
  <c r="AD42" i="20"/>
  <c r="AN42" i="20"/>
  <c r="AM42" i="20"/>
  <c r="AC85" i="20"/>
  <c r="AM51" i="20"/>
  <c r="J26" i="20"/>
  <c r="E7" i="20"/>
  <c r="AC16" i="20" l="1"/>
  <c r="AC66" i="20"/>
  <c r="AC52" i="20"/>
  <c r="AC72" i="20"/>
  <c r="AC33" i="20"/>
  <c r="AC23" i="20"/>
  <c r="AC6" i="20"/>
  <c r="AD16" i="20"/>
  <c r="AM16" i="20"/>
  <c r="AN48" i="20"/>
  <c r="AD48" i="20"/>
  <c r="AN16" i="20"/>
  <c r="AM33" i="20"/>
  <c r="AD6" i="20"/>
  <c r="H25" i="35" a="1"/>
  <c r="I13" i="35"/>
  <c r="H25" i="40" a="1"/>
  <c r="I13" i="40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W77" i="20" s="1"/>
  <c r="AC53" i="20" l="1"/>
  <c r="AC17" i="20"/>
  <c r="AC7" i="20"/>
  <c r="AC73" i="20"/>
  <c r="AC34" i="20"/>
  <c r="AC45" i="20"/>
  <c r="AC22" i="20"/>
  <c r="AC65" i="20"/>
  <c r="AC82" i="20"/>
  <c r="AN82" i="20"/>
  <c r="AM79" i="20"/>
  <c r="AD82" i="20"/>
  <c r="AM82" i="20"/>
  <c r="AD22" i="20"/>
  <c r="AN22" i="20"/>
  <c r="BG53" i="20"/>
  <c r="AM17" i="20"/>
  <c r="AM53" i="20"/>
  <c r="AM22" i="20"/>
  <c r="BG73" i="20"/>
  <c r="H25" i="37"/>
  <c r="I32" i="37"/>
  <c r="I26" i="37"/>
  <c r="I28" i="37"/>
  <c r="I27" i="37"/>
  <c r="I29" i="37"/>
  <c r="I31" i="37"/>
  <c r="I30" i="37"/>
  <c r="H25" i="33"/>
  <c r="I31" i="33"/>
  <c r="I32" i="33"/>
  <c r="I26" i="33"/>
  <c r="I29" i="33"/>
  <c r="I27" i="33"/>
  <c r="I28" i="33"/>
  <c r="I30" i="33"/>
  <c r="H25" i="40"/>
  <c r="I27" i="40"/>
  <c r="I26" i="40"/>
  <c r="I28" i="40"/>
  <c r="I32" i="40"/>
  <c r="I30" i="40"/>
  <c r="I29" i="40"/>
  <c r="I31" i="40"/>
  <c r="H25" i="35"/>
  <c r="I30" i="35"/>
  <c r="I27" i="35"/>
  <c r="I26" i="35"/>
  <c r="I29" i="35"/>
  <c r="I28" i="35"/>
  <c r="I32" i="35"/>
  <c r="I31" i="35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9" i="20" l="1"/>
  <c r="AC54" i="20"/>
  <c r="AC35" i="20"/>
  <c r="AC18" i="20"/>
  <c r="AC44" i="20"/>
  <c r="AC26" i="20"/>
  <c r="AC74" i="20"/>
  <c r="AC64" i="20"/>
  <c r="AD44" i="20"/>
  <c r="AN44" i="20"/>
  <c r="AM64" i="20"/>
  <c r="AD64" i="20"/>
  <c r="AN64" i="20"/>
  <c r="AM44" i="20"/>
  <c r="AM85" i="20"/>
  <c r="AN74" i="20"/>
  <c r="AD74" i="20"/>
  <c r="AM35" i="20"/>
  <c r="BH18" i="20"/>
  <c r="AW15" i="20"/>
  <c r="BG44" i="20"/>
  <c r="AX18" i="20"/>
  <c r="AD18" i="20"/>
  <c r="AN18" i="20"/>
  <c r="BH44" i="20"/>
  <c r="AW44" i="20"/>
  <c r="AX44" i="20"/>
  <c r="H37" i="33" a="1"/>
  <c r="I25" i="33"/>
  <c r="H37" i="35" a="1"/>
  <c r="I25" i="35"/>
  <c r="H37" i="40" a="1"/>
  <c r="I25" i="40"/>
  <c r="H37" i="37" a="1"/>
  <c r="I25" i="37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W40" i="20" s="1"/>
  <c r="AW59" i="20" l="1"/>
  <c r="AC36" i="20"/>
  <c r="AC25" i="20"/>
  <c r="AC19" i="20"/>
  <c r="AC55" i="20"/>
  <c r="AC8" i="20"/>
  <c r="AC75" i="20"/>
  <c r="AM8" i="20"/>
  <c r="AN8" i="20"/>
  <c r="AD8" i="20"/>
  <c r="AM75" i="20"/>
  <c r="AM19" i="20"/>
  <c r="BG81" i="20"/>
  <c r="BG36" i="20"/>
  <c r="AM36" i="20"/>
  <c r="AN36" i="20"/>
  <c r="AD36" i="20"/>
  <c r="AW36" i="20"/>
  <c r="BH36" i="20"/>
  <c r="AX36" i="20"/>
  <c r="AW19" i="20"/>
  <c r="AW75" i="20"/>
  <c r="BG75" i="20"/>
  <c r="BG25" i="20"/>
  <c r="BH8" i="20"/>
  <c r="AW25" i="20"/>
  <c r="BG8" i="20"/>
  <c r="AM25" i="20"/>
  <c r="AX8" i="20"/>
  <c r="BG19" i="20"/>
  <c r="AW8" i="20"/>
  <c r="H37" i="37"/>
  <c r="I38" i="37"/>
  <c r="I44" i="37"/>
  <c r="I39" i="37"/>
  <c r="I43" i="37"/>
  <c r="I41" i="37"/>
  <c r="I42" i="37"/>
  <c r="I40" i="37"/>
  <c r="H37" i="40"/>
  <c r="I43" i="40"/>
  <c r="I44" i="40"/>
  <c r="I38" i="40"/>
  <c r="I41" i="40"/>
  <c r="I42" i="40"/>
  <c r="I39" i="40"/>
  <c r="I40" i="40"/>
  <c r="H37" i="35"/>
  <c r="I40" i="35"/>
  <c r="I44" i="35"/>
  <c r="I42" i="35"/>
  <c r="I39" i="35"/>
  <c r="I41" i="35"/>
  <c r="I38" i="35"/>
  <c r="I43" i="35"/>
  <c r="H37" i="33"/>
  <c r="I38" i="33"/>
  <c r="I44" i="33"/>
  <c r="I39" i="33"/>
  <c r="I42" i="33"/>
  <c r="I40" i="33"/>
  <c r="I41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37" i="20"/>
  <c r="BG17" i="20"/>
  <c r="BH64" i="20"/>
  <c r="BH52" i="20"/>
  <c r="BH48" i="20"/>
  <c r="BH20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20" i="20"/>
  <c r="AM52" i="20"/>
  <c r="AW64" i="20"/>
  <c r="AN20" i="20"/>
  <c r="AN52" i="20"/>
  <c r="AM37" i="20"/>
  <c r="AM45" i="20"/>
  <c r="AW20" i="20"/>
  <c r="AW52" i="20"/>
  <c r="AX20" i="20"/>
  <c r="AX52" i="20"/>
  <c r="AM14" i="20"/>
  <c r="AW45" i="20"/>
  <c r="AN14" i="20"/>
  <c r="AW14" i="20"/>
  <c r="AD26" i="20"/>
  <c r="AX14" i="20"/>
  <c r="AD34" i="20"/>
  <c r="AW31" i="20"/>
  <c r="AX48" i="20"/>
  <c r="AX64" i="20"/>
  <c r="AD20" i="20"/>
  <c r="AD52" i="20"/>
  <c r="AN26" i="20"/>
  <c r="AM26" i="20"/>
  <c r="AM34" i="20"/>
  <c r="AW17" i="20"/>
  <c r="AN34" i="20"/>
  <c r="AM67" i="20"/>
  <c r="AW26" i="20"/>
  <c r="AW34" i="20"/>
  <c r="E11" i="20"/>
  <c r="AC56" i="20" l="1"/>
  <c r="AC37" i="20"/>
  <c r="AC24" i="20"/>
  <c r="AC5" i="20"/>
  <c r="AC20" i="20"/>
  <c r="AX24" i="20"/>
  <c r="AM5" i="20"/>
  <c r="AN24" i="20"/>
  <c r="AD24" i="20"/>
  <c r="AM24" i="20"/>
  <c r="BG5" i="20"/>
  <c r="BH80" i="20"/>
  <c r="AM80" i="20"/>
  <c r="BG80" i="20"/>
  <c r="AC80" i="20"/>
  <c r="AD80" i="20"/>
  <c r="AX80" i="20"/>
  <c r="AN80" i="20"/>
  <c r="AW80" i="20"/>
  <c r="AW37" i="20"/>
  <c r="AW5" i="20"/>
  <c r="BG20" i="20"/>
  <c r="H49" i="33" a="1"/>
  <c r="I37" i="33"/>
  <c r="H49" i="40" a="1"/>
  <c r="I37" i="40"/>
  <c r="H49" i="37" a="1"/>
  <c r="I37" i="37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BH4" i="20" s="1"/>
  <c r="AC57" i="20" l="1"/>
  <c r="AC4" i="20"/>
  <c r="AC39" i="20"/>
  <c r="AC21" i="20"/>
  <c r="AM57" i="20"/>
  <c r="BG57" i="20"/>
  <c r="AW57" i="20"/>
  <c r="H49" i="35"/>
  <c r="I53" i="35"/>
  <c r="I54" i="35"/>
  <c r="I55" i="35"/>
  <c r="I52" i="35"/>
  <c r="I51" i="35"/>
  <c r="I56" i="35"/>
  <c r="I50" i="35"/>
  <c r="H49" i="37"/>
  <c r="I56" i="37"/>
  <c r="I55" i="37"/>
  <c r="I54" i="37"/>
  <c r="I51" i="37"/>
  <c r="I50" i="37"/>
  <c r="I52" i="37"/>
  <c r="I53" i="37"/>
  <c r="H49" i="40"/>
  <c r="I50" i="40"/>
  <c r="I56" i="40"/>
  <c r="I54" i="40"/>
  <c r="I55" i="40"/>
  <c r="I52" i="40"/>
  <c r="I51" i="40"/>
  <c r="I53" i="40"/>
  <c r="H49" i="33"/>
  <c r="I54" i="33"/>
  <c r="I56" i="33"/>
  <c r="I52" i="33"/>
  <c r="I53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38" i="20" l="1"/>
  <c r="AC58" i="20"/>
  <c r="AC3" i="20"/>
  <c r="AM3" i="20"/>
  <c r="AM38" i="20"/>
  <c r="AD38" i="20"/>
  <c r="AN38" i="20"/>
  <c r="BG3" i="20"/>
  <c r="AW3" i="20"/>
  <c r="BH58" i="20"/>
  <c r="AX38" i="20"/>
  <c r="AN58" i="20"/>
  <c r="BH38" i="20"/>
  <c r="AW58" i="20"/>
  <c r="AD58" i="20"/>
  <c r="AM58" i="20"/>
  <c r="BG58" i="20"/>
  <c r="AX58" i="20"/>
  <c r="H61" i="33" a="1"/>
  <c r="I49" i="33"/>
  <c r="H61" i="37" a="1"/>
  <c r="I49" i="37"/>
  <c r="H61" i="40" a="1"/>
  <c r="I49" i="40"/>
  <c r="H61" i="35" a="1"/>
  <c r="I49" i="35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12" i="20" l="1"/>
  <c r="AC69" i="20"/>
  <c r="AC48" i="20"/>
  <c r="AC29" i="20"/>
  <c r="AM12" i="20"/>
  <c r="AM69" i="20"/>
  <c r="AM48" i="20"/>
  <c r="AM29" i="20"/>
  <c r="AW48" i="20"/>
  <c r="BG48" i="20"/>
  <c r="AW69" i="20"/>
  <c r="BG69" i="20"/>
  <c r="AW12" i="20"/>
  <c r="BG12" i="20"/>
  <c r="H61" i="40"/>
  <c r="I61" i="40" s="1"/>
  <c r="I68" i="40"/>
  <c r="I62" i="40"/>
  <c r="I63" i="40"/>
  <c r="I64" i="40"/>
  <c r="I67" i="40"/>
  <c r="I65" i="40"/>
  <c r="I66" i="40"/>
  <c r="H61" i="35"/>
  <c r="I61" i="35" s="1"/>
  <c r="I68" i="35"/>
  <c r="I64" i="35"/>
  <c r="I67" i="35"/>
  <c r="I66" i="35"/>
  <c r="I65" i="35"/>
  <c r="I62" i="35"/>
  <c r="I63" i="35"/>
  <c r="H61" i="37"/>
  <c r="I61" i="37" s="1"/>
  <c r="I67" i="37"/>
  <c r="I63" i="37"/>
  <c r="I64" i="37"/>
  <c r="I68" i="37"/>
  <c r="I62" i="37"/>
  <c r="I66" i="37"/>
  <c r="I65" i="37"/>
  <c r="H61" i="33"/>
  <c r="I61" i="33" s="1"/>
  <c r="I66" i="33"/>
  <c r="I64" i="33"/>
  <c r="I65" i="33"/>
  <c r="I63" i="33"/>
  <c r="I62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3" l="1"/>
  <c r="I2" i="33" s="1"/>
  <c r="I1" i="35"/>
  <c r="I2" i="35" s="1"/>
  <c r="I1" i="37"/>
  <c r="I1" i="40"/>
  <c r="I1" i="27"/>
  <c r="I1" i="26"/>
  <c r="I1" i="24"/>
  <c r="AD57" i="20"/>
  <c r="E16" i="20"/>
  <c r="BH47" i="20" s="1"/>
  <c r="AD83" i="20" l="1"/>
  <c r="M23" i="40"/>
  <c r="M21" i="40"/>
  <c r="M22" i="40"/>
  <c r="M25" i="40"/>
  <c r="M24" i="40"/>
  <c r="M23" i="37"/>
  <c r="M24" i="37"/>
  <c r="M22" i="37"/>
  <c r="M25" i="37"/>
  <c r="M21" i="37"/>
  <c r="O21" i="37" s="1" a="1"/>
  <c r="O21" i="37" s="1"/>
  <c r="I2" i="37" s="1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61" i="20"/>
  <c r="AD93" i="20"/>
  <c r="AD69" i="20"/>
  <c r="E17" i="20"/>
  <c r="AD67" i="20" s="1"/>
  <c r="AN61" i="20" l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BH33" i="20"/>
  <c r="AN51" i="20"/>
  <c r="AD31" i="20"/>
  <c r="AN13" i="20"/>
  <c r="AN29" i="20"/>
  <c r="AN31" i="20"/>
  <c r="AD13" i="20"/>
  <c r="AD29" i="20"/>
  <c r="AD85" i="20"/>
  <c r="AD51" i="20"/>
  <c r="E19" i="20"/>
  <c r="AX62" i="20" l="1"/>
  <c r="AX47" i="20"/>
  <c r="AX70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BH7" i="20"/>
  <c r="AN27" i="20"/>
  <c r="AX7" i="20"/>
  <c r="AD27" i="20"/>
  <c r="AX23" i="20"/>
  <c r="AX87" i="20"/>
  <c r="AX27" i="20"/>
  <c r="AX67" i="20"/>
  <c r="AD7" i="20"/>
  <c r="AD23" i="20"/>
  <c r="AD87" i="20"/>
  <c r="AN77" i="20"/>
  <c r="AX29" i="20"/>
  <c r="AX77" i="20"/>
  <c r="AX93" i="20"/>
  <c r="AD49" i="20"/>
  <c r="AN7" i="20"/>
  <c r="AN23" i="20"/>
  <c r="AN87" i="20"/>
  <c r="AN49" i="20"/>
  <c r="AN57" i="20"/>
  <c r="AX57" i="20"/>
  <c r="AD77" i="20"/>
  <c r="AX33" i="20"/>
  <c r="AX49" i="20"/>
  <c r="E20" i="20"/>
  <c r="AX42" i="20" l="1"/>
  <c r="AD53" i="20"/>
  <c r="AN79" i="20"/>
  <c r="AN17" i="20"/>
  <c r="AN53" i="20"/>
  <c r="BH73" i="20"/>
  <c r="BH53" i="20"/>
  <c r="AD1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D35" i="20" l="1"/>
  <c r="AN85" i="20"/>
  <c r="AN3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D81" i="20"/>
  <c r="AN81" i="20"/>
  <c r="AN19" i="20"/>
  <c r="BH81" i="20"/>
  <c r="AX19" i="20"/>
  <c r="AX81" i="20"/>
  <c r="BH19" i="20"/>
  <c r="BH45" i="20"/>
  <c r="BH37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AD37" i="20"/>
  <c r="E23" i="20"/>
  <c r="AD5" i="20" l="1"/>
  <c r="AN5" i="20"/>
  <c r="BH5" i="20"/>
  <c r="AX5" i="20"/>
  <c r="AX37" i="20"/>
  <c r="BH69" i="20"/>
  <c r="BH13" i="20"/>
  <c r="BH46" i="20"/>
  <c r="BH43" i="20"/>
  <c r="AN43" i="20"/>
  <c r="AD46" i="20"/>
  <c r="AX43" i="20"/>
  <c r="AN46" i="20"/>
  <c r="AX13" i="20"/>
  <c r="AX69" i="20"/>
  <c r="AD43" i="20"/>
  <c r="AX46" i="20"/>
  <c r="AD21" i="20"/>
  <c r="E24" i="20"/>
  <c r="AN21" i="20" s="1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BH3" i="20"/>
  <c r="AX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<sst xmlns="http://schemas.openxmlformats.org/spreadsheetml/2006/main" count="12308" uniqueCount="296">
  <si>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</si>
  <si>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</si>
  <si>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</si>
  <si>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</si>
  <si>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</si>
  <si>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</si>
  <si>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</si>
  <si>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</si>
  <si>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</si>
  <si>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</si>
  <si>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</si>
  <si>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</si>
  <si>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</si>
  <si>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</si>
  <si>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</si>
  <si>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</si>
  <si>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</si>
  <si>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</si>
  <si>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</si>
  <si>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</si>
  <si>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</si>
  <si>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</si>
  <si>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</si>
  <si>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</si>
  <si>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</si>
  <si>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</si>
  <si>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</si>
  <si>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</si>
  <si>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</si>
  <si>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</si>
  <si>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</si>
  <si>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</si>
  <si>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</si>
  <si>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</si>
  <si>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</si>
  <si>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</si>
  <si>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</si>
  <si>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</si>
  <si>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</si>
  <si>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</si>
  <si>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</si>
  <si>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</si>
  <si>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</si>
  <si>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</si>
  <si>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</si>
  <si>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</si>
  <si>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</si>
  <si>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</si>
  <si>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</si>
  <si>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</si>
  <si>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</si>
  <si>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</si>
  <si>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</si>
  <si>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</si>
  <si>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</si>
  <si>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</si>
  <si>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</si>
  <si>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</si>
  <si>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</si>
  <si>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</si>
  <si>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</si>
  <si>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</si>
  <si>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</si>
  <si>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</si>
  <si>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</si>
  <si>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</si>
  <si>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</si>
  <si>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</si>
  <si>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</si>
  <si>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</si>
  <si>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</si>
  <si>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</si>
  <si>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</si>
  <si>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</si>
  <si>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</si>
  <si>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</si>
  <si>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</si>
  <si>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</si>
  <si>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</si>
  <si>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</si>
  <si>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</si>
  <si>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</si>
  <si>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</si>
  <si>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</si>
  <si>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</si>
  <si>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</si>
  <si>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</si>
  <si>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</si>
  <si>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</si>
  <si>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</si>
  <si>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</si>
  <si>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</si>
  <si>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</si>
  <si>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</si>
  <si>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</si>
  <si>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</si>
  <si>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</si>
  <si>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</si>
  <si>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</si>
  <si>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</si>
  <si>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</si>
  <si>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</si>
  <si>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</si>
  <si>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</si>
  <si>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</si>
  <si>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</si>
  <si>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</si>
  <si>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</si>
  <si>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</si>
  <si>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</si>
  <si>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</si>
  <si>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</si>
  <si>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</si>
  <si>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</si>
  <si>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</si>
  <si>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</si>
  <si>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</si>
  <si>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</si>
  <si>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</si>
  <si>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</si>
  <si>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</si>
  <si>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</si>
  <si>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</si>
  <si>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</si>
  <si>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</si>
  <si>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</si>
  <si>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</si>
  <si>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</si>
  <si>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</si>
  <si>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</si>
  <si>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</si>
  <si>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</si>
  <si>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</si>
  <si>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</si>
  <si>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</si>
  <si>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</si>
  <si>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</si>
  <si>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</si>
  <si>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</si>
  <si>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</si>
  <si>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</si>
  <si>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</si>
  <si>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</si>
  <si>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</si>
  <si>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</si>
  <si>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</si>
  <si>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</si>
  <si>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</si>
  <si>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</si>
  <si>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</si>
  <si>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</si>
  <si>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</si>
  <si>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</si>
  <si>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</si>
  <si>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</si>
  <si>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</si>
  <si>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</si>
  <si>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</si>
  <si>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</si>
  <si>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</si>
  <si>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</si>
  <si>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</si>
  <si>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</si>
  <si>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</si>
  <si>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</si>
  <si>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</si>
  <si>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</si>
  <si>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</si>
  <si>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</si>
  <si>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</si>
  <si>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</si>
  <si>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</si>
  <si>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</si>
  <si>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</si>
  <si>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</si>
  <si>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</si>
  <si>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</si>
  <si>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</si>
  <si>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</si>
  <si>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</si>
  <si>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</si>
  <si>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</si>
  <si>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</si>
  <si>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</si>
  <si>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</si>
  <si>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</si>
  <si>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</si>
  <si>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</si>
  <si>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</si>
  <si>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</si>
  <si>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</si>
  <si>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</si>
  <si>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</si>
  <si>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</si>
  <si>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</si>
  <si>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</si>
  <si>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</si>
  <si>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</si>
  <si>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</si>
  <si>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</si>
  <si>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</si>
  <si>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</si>
  <si>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</si>
  <si>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</si>
  <si>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</si>
  <si>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</si>
  <si>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</si>
  <si>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</si>
  <si>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</si>
  <si>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</si>
  <si>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</si>
  <si>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</si>
  <si>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</si>
  <si>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</si>
  <si>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</si>
  <si>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</si>
  <si>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</si>
  <si>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</si>
  <si>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</si>
  <si>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</si>
  <si>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</si>
  <si>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</si>
  <si>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</si>
  <si>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</si>
  <si>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</si>
  <si>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</si>
  <si>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</si>
  <si>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</si>
  <si>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</si>
  <si>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</si>
  <si>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</si>
  <si>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</si>
  <si>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</si>
  <si>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</si>
  <si>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</si>
  <si>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</si>
  <si>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</si>
  <si>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</si>
  <si>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</si>
  <si>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</si>
  <si>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</si>
  <si>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</si>
  <si>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</si>
  <si>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</si>
  <si>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</si>
  <si>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</si>
  <si>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</si>
  <si>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</si>
  <si>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</si>
  <si>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</si>
  <si>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</si>
  <si>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</si>
  <si>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</si>
  <si>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</si>
  <si>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</si>
  <si>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</si>
  <si>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</si>
  <si>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</si>
  <si>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</si>
  <si>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</si>
  <si>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</si>
  <si>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</si>
  <si>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</si>
  <si>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</si>
  <si>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</si>
  <si>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</si>
  <si>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</si>
  <si>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</si>
  <si>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</si>
  <si>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</si>
  <si>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</si>
  <si>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</si>
  <si>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</si>
  <si>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</si>
  <si>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</si>
  <si>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</si>
  <si>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</si>
  <si>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</si>
  <si>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</si>
  <si>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</si>
  <si>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</si>
  <si>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</si>
  <si>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</si>
  <si>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</si>
  <si>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</si>
  <si>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</si>
  <si>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</si>
  <si>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</si>
  <si>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</si>
  <si>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</si>
  <si>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</si>
  <si>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</si>
  <si>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</si>
  <si>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</si>
  <si>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</si>
  <si>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2.0.0.0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</si>
</sst>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3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8.8207839911792166E-2</c:v>
                      </c:pt>
                      <c:pt idx="19">
                        <c:v>6.9412739930587261E-2</c:v>
                      </c:pt>
                      <c:pt idx="20">
                        <c:v>6.0012412939987589E-2</c:v>
                      </c:pt>
                      <c:pt idx="21">
                        <c:v>7.2878368927121628E-2</c:v>
                      </c:pt>
                      <c:pt idx="22">
                        <c:v>0.13479056186520944</c:v>
                      </c:pt>
                      <c:pt idx="23">
                        <c:v>0.14919468685080531</c:v>
                      </c:pt>
                      <c:pt idx="24">
                        <c:v>7.8715805921284188E-2</c:v>
                      </c:pt>
                      <c:pt idx="25">
                        <c:v>3.5953469964046532E-2</c:v>
                      </c:pt>
                      <c:pt idx="26">
                        <c:v>2.0525979979474019E-2</c:v>
                      </c:pt>
                      <c:pt idx="27">
                        <c:v>3.0144930969855068E-2</c:v>
                      </c:pt>
                      <c:pt idx="28">
                        <c:v>1.2794864987205135E-2</c:v>
                      </c:pt>
                      <c:pt idx="29">
                        <c:v>7.4369484925630516E-2</c:v>
                      </c:pt>
                      <c:pt idx="30">
                        <c:v>1.1193290988806708E-2</c:v>
                      </c:pt>
                      <c:pt idx="31">
                        <c:v>1.2838710987161288E-2</c:v>
                      </c:pt>
                      <c:pt idx="32">
                        <c:v>1.0011757989988242E-2</c:v>
                      </c:pt>
                      <c:pt idx="33">
                        <c:v>1.2468322987531677E-2</c:v>
                      </c:pt>
                      <c:pt idx="34">
                        <c:v>3.5974915964025085E-2</c:v>
                      </c:pt>
                      <c:pt idx="35">
                        <c:v>1.8963065981036933E-2</c:v>
                      </c:pt>
                      <c:pt idx="36">
                        <c:v>1.2536904987463095E-2</c:v>
                      </c:pt>
                      <c:pt idx="37">
                        <c:v>5.9075869940924128E-3</c:v>
                      </c:pt>
                      <c:pt idx="38">
                        <c:v>5.0001979949998018E-3</c:v>
                      </c:pt>
                      <c:pt idx="39">
                        <c:v>8.2299779917700214E-3</c:v>
                      </c:pt>
                      <c:pt idx="40">
                        <c:v>4.6198689953801308E-3</c:v>
                      </c:pt>
                      <c:pt idx="41">
                        <c:v>4.493001995506998E-3</c:v>
                      </c:pt>
                      <c:pt idx="42">
                        <c:v>3.4545029965454971E-3</c:v>
                      </c:pt>
                      <c:pt idx="43">
                        <c:v>6.3100629936899367E-3</c:v>
                      </c:pt>
                      <c:pt idx="44">
                        <c:v>1.5747711984252288E-2</c:v>
                      </c:pt>
                      <c:pt idx="45">
                        <c:v>1.642984998357015E-3</c:v>
                      </c:pt>
                      <c:pt idx="46">
                        <c:v>1.333437998666562E-3</c:v>
                      </c:pt>
                      <c:pt idx="47">
                        <c:v>1.062897998937102E-3</c:v>
                      </c:pt>
                      <c:pt idx="48">
                        <c:v>3.5340899964659102E-4</c:v>
                      </c:pt>
                      <c:pt idx="49">
                        <c:v>3.3456899966543099E-4</c:v>
                      </c:pt>
                      <c:pt idx="50">
                        <c:v>3.1232399968767599E-4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0.14919468685080531</c:v>
                      </c:pt>
                      <c:pt idx="1">
                        <c:v>7.8715805921284188E-2</c:v>
                      </c:pt>
                      <c:pt idx="2">
                        <c:v>3.5953469964046532E-2</c:v>
                      </c:pt>
                      <c:pt idx="3">
                        <c:v>2.0525979979474019E-2</c:v>
                      </c:pt>
                      <c:pt idx="4">
                        <c:v>3.0144930969855068E-2</c:v>
                      </c:pt>
                      <c:pt idx="5">
                        <c:v>1.2794864987205135E-2</c:v>
                      </c:pt>
                      <c:pt idx="6">
                        <c:v>7.4369484925630516E-2</c:v>
                      </c:pt>
                      <c:pt idx="7">
                        <c:v>1.1193290988806708E-2</c:v>
                      </c:pt>
                      <c:pt idx="8">
                        <c:v>1.2838710987161288E-2</c:v>
                      </c:pt>
                      <c:pt idx="9">
                        <c:v>1.0011757989988242E-2</c:v>
                      </c:pt>
                      <c:pt idx="10">
                        <c:v>1.2468322987531677E-2</c:v>
                      </c:pt>
                      <c:pt idx="11">
                        <c:v>3.5974915964025085E-2</c:v>
                      </c:pt>
                      <c:pt idx="12">
                        <c:v>1.5747711984252288E-2</c:v>
                      </c:pt>
                      <c:pt idx="13">
                        <c:v>1.642984998357015E-3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5.6868241979797819E-3</c:v>
                </c:pt>
                <c:pt idx="1">
                  <c:v>9.2383286483157124E-3</c:v>
                </c:pt>
                <c:pt idx="2">
                  <c:v>6.5222312150391747E-3</c:v>
                </c:pt>
                <c:pt idx="3">
                  <c:v>8.5853752466104535E-3</c:v>
                </c:pt>
                <c:pt idx="4">
                  <c:v>5.873162084302783E-3</c:v>
                </c:pt>
                <c:pt idx="5">
                  <c:v>5.8426747488564993E-3</c:v>
                </c:pt>
                <c:pt idx="6">
                  <c:v>1.471910484637508E-3</c:v>
                </c:pt>
                <c:pt idx="7">
                  <c:v>1.532755679831113E-2</c:v>
                </c:pt>
                <c:pt idx="8">
                  <c:v>3.342666668268812E-3</c:v>
                </c:pt>
                <c:pt idx="9">
                  <c:v>4.1557973447477617E-3</c:v>
                </c:pt>
                <c:pt idx="10">
                  <c:v>2.0853863731372463E-2</c:v>
                </c:pt>
                <c:pt idx="11">
                  <c:v>5.2383259656537482E-3</c:v>
                </c:pt>
                <c:pt idx="12">
                  <c:v>7.2421021290713806E-3</c:v>
                </c:pt>
                <c:pt idx="13">
                  <c:v>2.5208452848019666E-3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1.0223660069836115E-2</c:v>
                </c:pt>
                <c:pt idx="1">
                  <c:v>1.660848452944284E-2</c:v>
                </c:pt>
                <c:pt idx="2">
                  <c:v>1.1725538282530843E-2</c:v>
                </c:pt>
                <c:pt idx="3">
                  <c:v>1.2800505026016198E-2</c:v>
                </c:pt>
                <c:pt idx="4">
                  <c:v>8.7566862998931013E-3</c:v>
                </c:pt>
                <c:pt idx="5">
                  <c:v>8.7112310647333366E-3</c:v>
                </c:pt>
                <c:pt idx="6">
                  <c:v>2.1945681700663616E-3</c:v>
                </c:pt>
                <c:pt idx="7">
                  <c:v>9.1411492711490662E-3</c:v>
                </c:pt>
                <c:pt idx="8">
                  <c:v>3.9870440589686957E-3</c:v>
                </c:pt>
                <c:pt idx="9">
                  <c:v>4.9569223646838854E-3</c:v>
                </c:pt>
                <c:pt idx="10">
                  <c:v>7.4981335915328233E-3</c:v>
                </c:pt>
                <c:pt idx="11">
                  <c:v>1.8834717636203719E-2</c:v>
                </c:pt>
                <c:pt idx="12">
                  <c:v>2.6039424321503794E-3</c:v>
                </c:pt>
                <c:pt idx="13">
                  <c:v>1.8127711557207385E-3</c:v>
                </c:pt>
                <c:pt idx="14">
                  <c:v>8.9677548978296384E-3</c:v>
                </c:pt>
                <c:pt idx="15">
                  <c:v>1.5758409336982227E-3</c:v>
                </c:pt>
                <c:pt idx="16">
                  <c:v>2.7664494192558677E-3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3.3078382757739958E-2</c:v>
                      </c:pt>
                      <c:pt idx="8">
                        <c:v>0</c:v>
                      </c:pt>
                      <c:pt idx="9">
                        <c:v>4.9882997468668035E-3</c:v>
                      </c:pt>
                      <c:pt idx="10">
                        <c:v>3.9847286494331582E-3</c:v>
                      </c:pt>
                      <c:pt idx="11">
                        <c:v>1.3699237821987151E-2</c:v>
                      </c:pt>
                      <c:pt idx="12">
                        <c:v>8.6358768438296075E-3</c:v>
                      </c:pt>
                      <c:pt idx="13">
                        <c:v>6.8542836043006747E-3</c:v>
                      </c:pt>
                      <c:pt idx="14">
                        <c:v>4.5885971683208328E-3</c:v>
                      </c:pt>
                      <c:pt idx="15">
                        <c:v>3.218227462748878E-3</c:v>
                      </c:pt>
                      <c:pt idx="16">
                        <c:v>3.4194256536782359E-3</c:v>
                      </c:pt>
                      <c:pt idx="17">
                        <c:v>2.3322614258740465E-3</c:v>
                      </c:pt>
                      <c:pt idx="18">
                        <c:v>2.4227488664178886E-3</c:v>
                      </c:pt>
                      <c:pt idx="19">
                        <c:v>6.6338787479437191E-4</c:v>
                      </c:pt>
                      <c:pt idx="20">
                        <c:v>3.0996027139304373E-3</c:v>
                      </c:pt>
                      <c:pt idx="21">
                        <c:v>1.456668814637449E-2</c:v>
                      </c:pt>
                      <c:pt idx="22">
                        <c:v>2.5162801525128553E-3</c:v>
                      </c:pt>
                      <c:pt idx="23">
                        <c:v>2.0175917166443025E-3</c:v>
                      </c:pt>
                      <c:pt idx="24">
                        <c:v>7.2963412936905491E-4</c:v>
                      </c:pt>
                      <c:pt idx="25">
                        <c:v>2.3793192780944381E-3</c:v>
                      </c:pt>
                      <c:pt idx="26">
                        <c:v>6.6788059082783227E-3</c:v>
                      </c:pt>
                      <c:pt idx="27">
                        <c:v>2.3942402089860526E-3</c:v>
                      </c:pt>
                      <c:pt idx="28">
                        <c:v>6.6575081209571015E-3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2.0175917166443025E-3</c:v>
                      </c:pt>
                      <c:pt idx="1">
                        <c:v>7.2963412936905491E-4</c:v>
                      </c:pt>
                      <c:pt idx="2">
                        <c:v>2.3793192780944381E-3</c:v>
                      </c:pt>
                      <c:pt idx="3">
                        <c:v>6.6788059082783227E-3</c:v>
                      </c:pt>
                      <c:pt idx="4">
                        <c:v>2.3942402089860526E-3</c:v>
                      </c:pt>
                      <c:pt idx="5">
                        <c:v>6.6575081209571015E-3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D16" sqref="D16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H020192-2.0.0.0</v>
      </c>
      <c r="C1" s="11" t="s">
        <v>270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0.11403223896527781</v>
      </c>
      <c r="H5" s="188">
        <f>SUM('Multiplier Weight'!$N$12:$N$61)-I5-J5</f>
        <v>1.770460505420822E-2</v>
      </c>
      <c r="I5" s="188">
        <f>SUM('Multiplier Weight'!$N$15:$N$61)-J5</f>
        <v>2.036284941927391E-2</v>
      </c>
      <c r="J5" s="189">
        <f>SUM('Multiplier Weight'!$N$19:$N$61)</f>
        <v>3.7195305874717834E-3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0.11535026581859442</v>
      </c>
      <c r="H6" s="188">
        <f>SUM('Multiplier Weight'!N79:N126)-I6-J6</f>
        <v>2.297388522511979E-2</v>
      </c>
      <c r="I6" s="188">
        <f>SUM('Multiplier Weight'!N81:N126)-J6</f>
        <v>2.11631805526422E-2</v>
      </c>
      <c r="J6" s="189">
        <f>SUM('Multiplier Weight'!N87:N126)</f>
        <v>3.6851889674443233E-3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0.1458620989462498</v>
      </c>
      <c r="H7" s="188">
        <f>SUM('Multiplier Weight'!N153:N191)-I7-J7</f>
        <v>5.4962515913748559E-3</v>
      </c>
      <c r="I7" s="188">
        <f>SUM('Multiplier Weight'!N156:N191)-J7</f>
        <v>2.3092958057299023E-2</v>
      </c>
      <c r="J7" s="189">
        <f>SUM('Multiplier Weight'!N164:N191)</f>
        <v>4.1767056991204414E-3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2.8068527462091269E-3</v>
      </c>
      <c r="D8" s="141">
        <f ca="1">'Pay Combo Super Feature Buy'!$I$2</f>
        <v>1.5594818347434138</v>
      </c>
      <c r="E8" s="142">
        <f ca="1">SUM('Pay Combo Super Feature Buy'!$J$23:$J$32)</f>
        <v>7.1900065171722025E-2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08" t="s">
        <v>293</v>
      </c>
      <c r="B18" s="309"/>
      <c r="C18" s="309"/>
      <c r="D18" s="309"/>
      <c r="E18" s="309"/>
      <c r="F18" s="310"/>
    </row>
    <row r="19" spans="1:6" ht="31.8" customHeight="1">
      <c r="A19" s="311"/>
      <c r="B19" s="312"/>
      <c r="C19" s="312"/>
      <c r="D19" s="312"/>
      <c r="E19" s="312"/>
      <c r="F19" s="313"/>
    </row>
    <row r="20" spans="1:6" ht="31.8" customHeight="1">
      <c r="A20" s="311"/>
      <c r="B20" s="312"/>
      <c r="C20" s="312"/>
      <c r="D20" s="312"/>
      <c r="E20" s="312"/>
      <c r="F20" s="313"/>
    </row>
    <row r="21" spans="1:6" ht="31.8" customHeight="1">
      <c r="A21" s="311"/>
      <c r="B21" s="312"/>
      <c r="C21" s="312"/>
      <c r="D21" s="312"/>
      <c r="E21" s="312"/>
      <c r="F21" s="313"/>
    </row>
    <row r="22" spans="1:6" ht="31.8" customHeight="1" thickBot="1">
      <c r="A22" s="314"/>
      <c r="B22" s="315"/>
      <c r="C22" s="315"/>
      <c r="D22" s="315"/>
      <c r="E22" s="315"/>
      <c r="F22" s="316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</v>
      </c>
      <c r="S3" s="100">
        <v>1</v>
      </c>
      <c r="T3" s="100">
        <v>1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1</v>
      </c>
      <c r="S4" s="101">
        <v>1</v>
      </c>
      <c r="T4" s="101">
        <v>1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1</v>
      </c>
      <c r="S5" s="101">
        <v>1</v>
      </c>
      <c r="T5" s="101">
        <v>1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1</v>
      </c>
      <c r="S6" s="101">
        <v>1</v>
      </c>
      <c r="T6" s="101">
        <v>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1</v>
      </c>
      <c r="S7" s="101">
        <v>1</v>
      </c>
      <c r="T7" s="101">
        <v>1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1</v>
      </c>
      <c r="S8" s="101">
        <v>1</v>
      </c>
      <c r="T8" s="101">
        <v>1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</v>
      </c>
      <c r="S9" s="101">
        <v>1</v>
      </c>
      <c r="T9" s="101">
        <v>1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</v>
      </c>
      <c r="S10" s="101">
        <v>1</v>
      </c>
      <c r="T10" s="101">
        <v>1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</v>
      </c>
      <c r="S11" s="101">
        <v>1</v>
      </c>
      <c r="T11" s="101">
        <v>1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</v>
      </c>
      <c r="S12" s="101">
        <v>1</v>
      </c>
      <c r="T12" s="101">
        <v>1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</v>
      </c>
      <c r="S13" s="101">
        <v>1</v>
      </c>
      <c r="T13" s="101">
        <v>1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</v>
      </c>
      <c r="S14" s="101">
        <v>1</v>
      </c>
      <c r="T14" s="101">
        <v>1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</v>
      </c>
      <c r="S15" s="101">
        <v>1</v>
      </c>
      <c r="T15" s="101">
        <v>1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</v>
      </c>
      <c r="S16" s="101">
        <v>1</v>
      </c>
      <c r="T16" s="101">
        <v>1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</v>
      </c>
      <c r="S17" s="101">
        <v>1</v>
      </c>
      <c r="T17" s="101">
        <v>1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</v>
      </c>
      <c r="S18" s="101">
        <v>1</v>
      </c>
      <c r="T18" s="101">
        <v>1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</v>
      </c>
      <c r="S19" s="101">
        <v>1</v>
      </c>
      <c r="T19" s="101">
        <v>1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</v>
      </c>
      <c r="S20" s="101">
        <v>1</v>
      </c>
      <c r="T20" s="101">
        <v>1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</v>
      </c>
      <c r="S21" s="101">
        <v>1</v>
      </c>
      <c r="T21" s="101">
        <v>1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</v>
      </c>
      <c r="S22" s="101">
        <v>1</v>
      </c>
      <c r="T22" s="101">
        <v>1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</v>
      </c>
      <c r="S23" s="101">
        <v>1</v>
      </c>
      <c r="T23" s="101">
        <v>1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</v>
      </c>
      <c r="S24" s="101">
        <v>1</v>
      </c>
      <c r="T24" s="101">
        <v>1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</v>
      </c>
      <c r="S25" s="101">
        <v>1</v>
      </c>
      <c r="T25" s="101">
        <v>1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</v>
      </c>
      <c r="S26" s="101">
        <v>1</v>
      </c>
      <c r="T26" s="101">
        <v>1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</v>
      </c>
      <c r="S27" s="101">
        <v>1</v>
      </c>
      <c r="T27" s="101">
        <v>1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</v>
      </c>
      <c r="S28" s="101">
        <v>1</v>
      </c>
      <c r="T28" s="101">
        <v>1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</v>
      </c>
      <c r="S29" s="101">
        <v>1</v>
      </c>
      <c r="T29" s="101">
        <v>1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</v>
      </c>
      <c r="S30" s="101">
        <v>1</v>
      </c>
      <c r="T30" s="101">
        <v>1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</v>
      </c>
      <c r="S31" s="101">
        <v>1</v>
      </c>
      <c r="T31" s="101">
        <v>1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</v>
      </c>
      <c r="S32" s="101">
        <v>1</v>
      </c>
      <c r="T32" s="101">
        <v>1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</v>
      </c>
      <c r="S33" s="101">
        <v>1</v>
      </c>
      <c r="T33" s="101">
        <v>1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</v>
      </c>
      <c r="S34" s="101">
        <v>1</v>
      </c>
      <c r="T34" s="101">
        <v>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</v>
      </c>
      <c r="S35" s="101">
        <v>1</v>
      </c>
      <c r="T35" s="101">
        <v>1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</v>
      </c>
      <c r="S36" s="101">
        <v>1</v>
      </c>
      <c r="T36" s="101">
        <v>1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</v>
      </c>
      <c r="S37" s="101">
        <v>1</v>
      </c>
      <c r="T37" s="101">
        <v>1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</v>
      </c>
      <c r="S38" s="101">
        <v>1</v>
      </c>
      <c r="T38" s="101">
        <v>1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</v>
      </c>
      <c r="S39" s="101">
        <v>1</v>
      </c>
      <c r="T39" s="101">
        <v>1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</v>
      </c>
      <c r="S40" s="101">
        <v>1</v>
      </c>
      <c r="T40" s="101">
        <v>1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</v>
      </c>
      <c r="S41" s="101">
        <v>1</v>
      </c>
      <c r="T41" s="101">
        <v>1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</v>
      </c>
      <c r="S42" s="101">
        <v>1</v>
      </c>
      <c r="T42" s="101">
        <v>1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</v>
      </c>
      <c r="S43" s="101">
        <v>1</v>
      </c>
      <c r="T43" s="101">
        <v>1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</v>
      </c>
      <c r="S44" s="101">
        <v>1</v>
      </c>
      <c r="T44" s="101">
        <v>1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</v>
      </c>
      <c r="S45" s="101">
        <v>1</v>
      </c>
      <c r="T45" s="101">
        <v>1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</v>
      </c>
      <c r="S46" s="101">
        <v>1</v>
      </c>
      <c r="T46" s="101">
        <v>1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</v>
      </c>
      <c r="S47" s="101">
        <v>1</v>
      </c>
      <c r="T47" s="101">
        <v>1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</v>
      </c>
      <c r="S48" s="101">
        <v>1</v>
      </c>
      <c r="T48" s="101">
        <v>1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</v>
      </c>
      <c r="S49" s="101">
        <v>1</v>
      </c>
      <c r="T49" s="101">
        <v>1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</v>
      </c>
      <c r="S50" s="101">
        <v>1</v>
      </c>
      <c r="T50" s="101">
        <v>1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1</v>
      </c>
      <c r="S51" s="101">
        <v>1</v>
      </c>
      <c r="T51" s="101">
        <v>1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1</v>
      </c>
      <c r="S52" s="101">
        <v>1</v>
      </c>
      <c r="T52" s="101">
        <v>1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1</v>
      </c>
      <c r="S53" s="101">
        <v>1</v>
      </c>
      <c r="T53" s="101">
        <v>1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1</v>
      </c>
      <c r="S54" s="101">
        <v>1</v>
      </c>
      <c r="T54" s="101">
        <v>1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1</v>
      </c>
      <c r="S55" s="101">
        <v>1</v>
      </c>
      <c r="T55" s="101">
        <v>1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</v>
      </c>
      <c r="S56" s="101">
        <v>1</v>
      </c>
      <c r="T56" s="101">
        <v>1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</v>
      </c>
      <c r="S57" s="101">
        <v>1</v>
      </c>
      <c r="T57" s="101">
        <v>1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</v>
      </c>
      <c r="S58" s="101">
        <v>1</v>
      </c>
      <c r="T58" s="101">
        <v>1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</v>
      </c>
      <c r="S59" s="101">
        <v>1</v>
      </c>
      <c r="T59" s="101">
        <v>1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</v>
      </c>
      <c r="S60" s="101">
        <v>1</v>
      </c>
      <c r="T60" s="101">
        <v>1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</v>
      </c>
      <c r="S61" s="101">
        <v>1</v>
      </c>
      <c r="T61" s="101">
        <v>1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</v>
      </c>
      <c r="S62" s="101">
        <v>1</v>
      </c>
      <c r="T62" s="101">
        <v>1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</v>
      </c>
      <c r="S63" s="101">
        <v>1</v>
      </c>
      <c r="T63" s="101">
        <v>1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</v>
      </c>
      <c r="S64" s="101">
        <v>1</v>
      </c>
      <c r="T64" s="101">
        <v>1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</v>
      </c>
      <c r="S65" s="101">
        <v>1</v>
      </c>
      <c r="T65" s="101">
        <v>1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</v>
      </c>
      <c r="S66" s="101">
        <v>1</v>
      </c>
      <c r="T66" s="101">
        <v>1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</v>
      </c>
      <c r="S67" s="101">
        <v>1</v>
      </c>
      <c r="T67" s="101">
        <v>1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</v>
      </c>
      <c r="S68" s="101">
        <v>1</v>
      </c>
      <c r="T68" s="101">
        <v>1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</v>
      </c>
      <c r="S69" s="101">
        <v>1</v>
      </c>
      <c r="T69" s="101">
        <v>1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</v>
      </c>
      <c r="S70" s="101">
        <v>1</v>
      </c>
      <c r="T70" s="101">
        <v>1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</v>
      </c>
      <c r="S71" s="101">
        <v>1</v>
      </c>
      <c r="T71" s="101">
        <v>1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</v>
      </c>
      <c r="S72" s="101">
        <v>1</v>
      </c>
      <c r="T72" s="101">
        <v>1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</v>
      </c>
      <c r="S73" s="101">
        <v>1</v>
      </c>
      <c r="T73" s="101">
        <v>1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</v>
      </c>
      <c r="S74" s="101">
        <v>1</v>
      </c>
      <c r="T74" s="101">
        <v>1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</v>
      </c>
      <c r="S75" s="101">
        <v>1</v>
      </c>
      <c r="T75" s="101">
        <v>1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</v>
      </c>
      <c r="S76" s="101">
        <v>1</v>
      </c>
      <c r="T76" s="101">
        <v>1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</v>
      </c>
      <c r="S77" s="101">
        <v>1</v>
      </c>
      <c r="T77" s="101">
        <v>1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</v>
      </c>
      <c r="S78" s="101">
        <v>1</v>
      </c>
      <c r="T78" s="101">
        <v>1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</v>
      </c>
      <c r="S79" s="101">
        <v>1</v>
      </c>
      <c r="T79" s="101">
        <v>1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</v>
      </c>
      <c r="S80" s="101">
        <v>1</v>
      </c>
      <c r="T80" s="101">
        <v>1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</v>
      </c>
      <c r="S81" s="101">
        <v>1</v>
      </c>
      <c r="T81" s="101">
        <v>1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</v>
      </c>
      <c r="S82" s="101">
        <v>1</v>
      </c>
      <c r="T82" s="101">
        <v>1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</v>
      </c>
      <c r="S83" s="101">
        <v>1</v>
      </c>
      <c r="T83" s="101">
        <v>1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</v>
      </c>
      <c r="S84" s="101">
        <v>1</v>
      </c>
      <c r="T84" s="101">
        <v>1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</v>
      </c>
      <c r="S85" s="101">
        <v>1</v>
      </c>
      <c r="T85" s="101">
        <v>1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</v>
      </c>
      <c r="S86" s="101">
        <v>1</v>
      </c>
      <c r="T86" s="101">
        <v>1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</v>
      </c>
      <c r="S87" s="101">
        <v>1</v>
      </c>
      <c r="T87" s="101">
        <v>1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</v>
      </c>
      <c r="S88" s="101">
        <v>1</v>
      </c>
      <c r="T88" s="101">
        <v>1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</v>
      </c>
      <c r="S89" s="101">
        <v>1</v>
      </c>
      <c r="T89" s="101">
        <v>1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</v>
      </c>
      <c r="S90" s="101">
        <v>1</v>
      </c>
      <c r="T90" s="101">
        <v>1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</v>
      </c>
      <c r="S91" s="101">
        <v>1</v>
      </c>
      <c r="T91" s="101">
        <v>1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</v>
      </c>
      <c r="S92" s="101">
        <v>1</v>
      </c>
      <c r="T92" s="101">
        <v>1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</v>
      </c>
      <c r="S93" s="101">
        <v>1</v>
      </c>
      <c r="T93" s="101">
        <v>1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</v>
      </c>
      <c r="S94" s="101">
        <v>1</v>
      </c>
      <c r="T94" s="101">
        <v>1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</v>
      </c>
      <c r="S95" s="101">
        <v>1</v>
      </c>
      <c r="T95" s="101">
        <v>1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</v>
      </c>
      <c r="S96" s="101">
        <v>1</v>
      </c>
      <c r="T96" s="101">
        <v>1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</v>
      </c>
      <c r="S97" s="101">
        <v>1</v>
      </c>
      <c r="T97" s="101">
        <v>1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</v>
      </c>
      <c r="S98" s="101">
        <v>1</v>
      </c>
      <c r="T98" s="101">
        <v>1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</v>
      </c>
      <c r="S99" s="101">
        <v>1</v>
      </c>
      <c r="T99" s="101">
        <v>1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</v>
      </c>
      <c r="S100" s="101">
        <v>1</v>
      </c>
      <c r="T100" s="101">
        <v>1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</v>
      </c>
      <c r="S101" s="101">
        <v>1</v>
      </c>
      <c r="T101" s="101">
        <v>1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</v>
      </c>
      <c r="S102" s="101">
        <v>1</v>
      </c>
      <c r="T102" s="101">
        <v>1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</v>
      </c>
      <c r="S103" s="101">
        <v>1</v>
      </c>
      <c r="T103" s="101">
        <v>1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</v>
      </c>
      <c r="S104" s="101">
        <v>1</v>
      </c>
      <c r="T104" s="101">
        <v>1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</v>
      </c>
      <c r="S105" s="101">
        <v>1</v>
      </c>
      <c r="T105" s="101">
        <v>1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</v>
      </c>
      <c r="S106" s="101">
        <v>1</v>
      </c>
      <c r="T106" s="101">
        <v>1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</v>
      </c>
      <c r="S107" s="101">
        <v>1</v>
      </c>
      <c r="T107" s="101">
        <v>1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</v>
      </c>
      <c r="S108" s="101">
        <v>1</v>
      </c>
      <c r="T108" s="101">
        <v>1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</v>
      </c>
      <c r="S109" s="101">
        <v>1</v>
      </c>
      <c r="T109" s="101">
        <v>1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</v>
      </c>
      <c r="S110" s="101">
        <v>1</v>
      </c>
      <c r="T110" s="101">
        <v>1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</v>
      </c>
      <c r="S111" s="101">
        <v>1</v>
      </c>
      <c r="T111" s="101">
        <v>1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</v>
      </c>
      <c r="S112" s="101">
        <v>1</v>
      </c>
      <c r="T112" s="101">
        <v>1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</v>
      </c>
      <c r="S113" s="101">
        <v>1</v>
      </c>
      <c r="T113" s="101">
        <v>1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</v>
      </c>
      <c r="S114" s="101">
        <v>1</v>
      </c>
      <c r="T114" s="101">
        <v>1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</v>
      </c>
      <c r="S115" s="101">
        <v>1</v>
      </c>
      <c r="T115" s="101">
        <v>1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</v>
      </c>
      <c r="S116" s="101">
        <v>1</v>
      </c>
      <c r="T116" s="101">
        <v>1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</v>
      </c>
      <c r="S117" s="101">
        <v>1</v>
      </c>
      <c r="T117" s="101">
        <v>1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</v>
      </c>
      <c r="S118" s="101">
        <v>1</v>
      </c>
      <c r="T118" s="101">
        <v>1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</v>
      </c>
      <c r="S119" s="101">
        <v>1</v>
      </c>
      <c r="T119" s="101">
        <v>1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1</v>
      </c>
      <c r="S120" s="101">
        <v>1</v>
      </c>
      <c r="T120" s="101">
        <v>1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1</v>
      </c>
      <c r="S121" s="101">
        <v>1</v>
      </c>
      <c r="T121" s="101">
        <v>1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1</v>
      </c>
      <c r="S122" s="101">
        <v>1</v>
      </c>
      <c r="T122" s="101">
        <v>1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1</v>
      </c>
      <c r="S123" s="101">
        <v>1</v>
      </c>
      <c r="T123" s="101">
        <v>1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1</v>
      </c>
      <c r="S124" s="101">
        <v>1</v>
      </c>
      <c r="T124" s="101">
        <v>1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</v>
      </c>
      <c r="S125" s="101">
        <v>1</v>
      </c>
      <c r="T125" s="101">
        <v>1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</v>
      </c>
      <c r="T126" s="101">
        <v>1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</v>
      </c>
      <c r="T127" s="101">
        <v>1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</v>
      </c>
      <c r="T128" s="101">
        <v>1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</v>
      </c>
      <c r="T129" s="101">
        <v>1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</v>
      </c>
      <c r="T130" s="101">
        <v>1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</v>
      </c>
      <c r="T131" s="101">
        <v>1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</v>
      </c>
      <c r="T132" s="101">
        <v>1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</v>
      </c>
      <c r="T133" s="101">
        <v>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</v>
      </c>
      <c r="T134" s="101">
        <v>1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</v>
      </c>
      <c r="T135" s="101">
        <v>1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</v>
      </c>
      <c r="T136" s="101">
        <v>1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</v>
      </c>
      <c r="T137" s="101">
        <v>1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</v>
      </c>
      <c r="T138" s="101">
        <v>1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</v>
      </c>
      <c r="T139" s="101">
        <v>1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</v>
      </c>
      <c r="T140" s="101">
        <v>1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</v>
      </c>
      <c r="T141" s="101">
        <v>1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1</v>
      </c>
      <c r="T142" s="101">
        <v>1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1</v>
      </c>
      <c r="T143" s="101">
        <v>1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1</v>
      </c>
      <c r="T144" s="101">
        <v>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1</v>
      </c>
      <c r="T145" s="101">
        <v>1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4.1176470588235294E-2</v>
      </c>
      <c r="AJ145" s="103">
        <v>7000000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1</v>
      </c>
      <c r="T146" s="101">
        <v>1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5.8823529411764705E-2</v>
      </c>
      <c r="AJ146" s="103">
        <v>10000000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</v>
      </c>
      <c r="T147" s="101">
        <v>1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8.8235294117647065E-2</v>
      </c>
      <c r="AJ147" s="103">
        <v>15000000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</v>
      </c>
      <c r="T148" s="101">
        <v>1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8.8235294117647065E-2</v>
      </c>
      <c r="AJ148" s="103">
        <v>15000000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</v>
      </c>
      <c r="T149" s="101">
        <v>1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8.8235294117647065E-2</v>
      </c>
      <c r="AJ149" s="103">
        <v>15000000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</v>
      </c>
      <c r="T150" s="101">
        <v>1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8.8235294117647065E-2</v>
      </c>
      <c r="AJ150" s="103">
        <v>15000000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</v>
      </c>
      <c r="T151" s="101">
        <v>1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2.9411764705882353E-2</v>
      </c>
      <c r="AJ151" s="103">
        <v>5000000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</v>
      </c>
      <c r="T152" s="101">
        <v>1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2.9411764705882353E-2</v>
      </c>
      <c r="AJ152" s="103">
        <v>5000000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</v>
      </c>
      <c r="T153" s="101">
        <v>1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2.9411764705882353E-2</v>
      </c>
      <c r="AJ153" s="103">
        <v>5000000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</v>
      </c>
      <c r="T154" s="101">
        <v>1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2.9411764705882353E-2</v>
      </c>
      <c r="AJ154" s="103">
        <v>5000000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</v>
      </c>
      <c r="T155" s="101">
        <v>1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</v>
      </c>
      <c r="T156" s="101">
        <v>1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</v>
      </c>
      <c r="T157" s="101">
        <v>1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</v>
      </c>
      <c r="T158" s="101">
        <v>1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</v>
      </c>
      <c r="T159" s="101">
        <v>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</v>
      </c>
      <c r="T160" s="101">
        <v>1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</v>
      </c>
      <c r="T161" s="101">
        <v>1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</v>
      </c>
      <c r="T162" s="101">
        <v>1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</v>
      </c>
      <c r="T163" s="101">
        <v>1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</v>
      </c>
      <c r="T164" s="101">
        <v>1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</v>
      </c>
      <c r="T165" s="101">
        <v>1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</v>
      </c>
      <c r="T166" s="101">
        <v>1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</v>
      </c>
      <c r="T167" s="101">
        <v>1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</v>
      </c>
      <c r="T168" s="101">
        <v>1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</v>
      </c>
      <c r="T169" s="101">
        <v>1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</v>
      </c>
      <c r="T170" s="101">
        <v>1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</v>
      </c>
      <c r="T171" s="101">
        <v>1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</v>
      </c>
      <c r="T172" s="101">
        <v>1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</v>
      </c>
      <c r="T173" s="101">
        <v>1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</v>
      </c>
      <c r="T174" s="101">
        <v>1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</v>
      </c>
      <c r="T175" s="101">
        <v>1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</v>
      </c>
      <c r="T176" s="101">
        <v>1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</v>
      </c>
      <c r="T177" s="101">
        <v>1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50000000</v>
      </c>
      <c r="AK177" s="103">
        <v>50000000</v>
      </c>
      <c r="AL177" s="103">
        <v>50000000</v>
      </c>
      <c r="AM177" s="103">
        <v>50000000</v>
      </c>
      <c r="AN177" s="103">
        <v>50000000</v>
      </c>
      <c r="AO177" s="103">
        <v>50000000</v>
      </c>
      <c r="AP177" s="103">
        <v>50000000</v>
      </c>
      <c r="AQ177" s="103">
        <v>50000000</v>
      </c>
      <c r="AR177" s="103">
        <v>50000000</v>
      </c>
      <c r="AS177" s="103">
        <v>50000000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</v>
      </c>
      <c r="T178" s="101">
        <v>1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120000000</v>
      </c>
      <c r="AK178" s="103">
        <v>120000000</v>
      </c>
      <c r="AL178" s="103">
        <v>120000000</v>
      </c>
      <c r="AM178" s="103">
        <v>120000000</v>
      </c>
      <c r="AN178" s="103">
        <v>120000000</v>
      </c>
      <c r="AO178" s="103">
        <v>120000000</v>
      </c>
      <c r="AP178" s="103">
        <v>120000000</v>
      </c>
      <c r="AQ178" s="103">
        <v>120000000</v>
      </c>
      <c r="AR178" s="103">
        <v>120000000</v>
      </c>
      <c r="AS178" s="103">
        <v>120000000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</v>
      </c>
      <c r="T179" s="101">
        <v>1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120000000</v>
      </c>
      <c r="AJ179" s="103">
        <v>120000000</v>
      </c>
      <c r="AK179" s="103">
        <v>120000000</v>
      </c>
      <c r="AL179" s="103">
        <v>90000000</v>
      </c>
      <c r="AM179" s="103">
        <v>90000000</v>
      </c>
      <c r="AN179" s="103">
        <v>90000000</v>
      </c>
      <c r="AO179" s="103">
        <v>90000000</v>
      </c>
      <c r="AP179" s="103">
        <v>90000000</v>
      </c>
      <c r="AQ179" s="103">
        <v>90000000</v>
      </c>
      <c r="AR179" s="103">
        <v>90000000</v>
      </c>
      <c r="AS179" s="103">
        <v>90000000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</v>
      </c>
      <c r="T180" s="101">
        <v>1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90000000</v>
      </c>
      <c r="AJ180" s="103">
        <v>90000000</v>
      </c>
      <c r="AK180" s="103">
        <v>90000000</v>
      </c>
      <c r="AL180" s="103">
        <v>50000000</v>
      </c>
      <c r="AM180" s="103">
        <v>50000000</v>
      </c>
      <c r="AN180" s="103">
        <v>50000000</v>
      </c>
      <c r="AO180" s="103">
        <v>50000000</v>
      </c>
      <c r="AP180" s="103">
        <v>50000000</v>
      </c>
      <c r="AQ180" s="103">
        <v>50000000</v>
      </c>
      <c r="AR180" s="103">
        <v>50000000</v>
      </c>
      <c r="AS180" s="103">
        <v>50000000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1</v>
      </c>
      <c r="T181" s="101">
        <v>1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21000000</v>
      </c>
      <c r="AJ181" s="103">
        <v>21000000</v>
      </c>
      <c r="AK181" s="103">
        <v>21000000</v>
      </c>
      <c r="AL181" s="103">
        <v>30000000</v>
      </c>
      <c r="AM181" s="103">
        <v>30000000</v>
      </c>
      <c r="AN181" s="103">
        <v>30000000</v>
      </c>
      <c r="AO181" s="103">
        <v>30000000</v>
      </c>
      <c r="AP181" s="103">
        <v>30000000</v>
      </c>
      <c r="AQ181" s="103">
        <v>30000000</v>
      </c>
      <c r="AR181" s="103">
        <v>30000000</v>
      </c>
      <c r="AS181" s="103">
        <v>30000000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1</v>
      </c>
      <c r="T182" s="101">
        <v>1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13500000</v>
      </c>
      <c r="AJ182" s="103">
        <v>13500000</v>
      </c>
      <c r="AK182" s="103">
        <v>13500000</v>
      </c>
      <c r="AL182" s="103">
        <v>13500000</v>
      </c>
      <c r="AM182" s="103">
        <v>13500000</v>
      </c>
      <c r="AN182" s="103">
        <v>13500000</v>
      </c>
      <c r="AO182" s="103">
        <v>13500000</v>
      </c>
      <c r="AP182" s="103">
        <v>13500000</v>
      </c>
      <c r="AQ182" s="103">
        <v>13500000</v>
      </c>
      <c r="AR182" s="103">
        <v>13500000</v>
      </c>
      <c r="AS182" s="103">
        <v>13500000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1</v>
      </c>
      <c r="T183" s="101">
        <v>1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13500000</v>
      </c>
      <c r="AJ183" s="103">
        <v>13500000</v>
      </c>
      <c r="AK183" s="103">
        <v>13500000</v>
      </c>
      <c r="AL183" s="103">
        <v>13500000</v>
      </c>
      <c r="AM183" s="103">
        <v>13500000</v>
      </c>
      <c r="AN183" s="103">
        <v>13500000</v>
      </c>
      <c r="AO183" s="103">
        <v>13500000</v>
      </c>
      <c r="AP183" s="103">
        <v>13500000</v>
      </c>
      <c r="AQ183" s="103">
        <v>13500000</v>
      </c>
      <c r="AR183" s="103">
        <v>13500000</v>
      </c>
      <c r="AS183" s="103">
        <v>13500000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1</v>
      </c>
      <c r="T184" s="101">
        <v>1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8500000</v>
      </c>
      <c r="AJ184" s="103">
        <v>8500000</v>
      </c>
      <c r="AK184" s="103">
        <v>8500000</v>
      </c>
      <c r="AL184" s="103">
        <v>8500000</v>
      </c>
      <c r="AM184" s="103">
        <v>8500000</v>
      </c>
      <c r="AN184" s="103">
        <v>8500000</v>
      </c>
      <c r="AO184" s="103">
        <v>8500000</v>
      </c>
      <c r="AP184" s="103">
        <v>8500000</v>
      </c>
      <c r="AQ184" s="103">
        <v>8500000</v>
      </c>
      <c r="AR184" s="103">
        <v>8500000</v>
      </c>
      <c r="AS184" s="103">
        <v>8500000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1</v>
      </c>
      <c r="T185" s="101">
        <v>1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3500000</v>
      </c>
      <c r="AJ185" s="103">
        <v>3500000</v>
      </c>
      <c r="AK185" s="103">
        <v>3500000</v>
      </c>
      <c r="AL185" s="103">
        <v>3500000</v>
      </c>
      <c r="AM185" s="103">
        <v>3500000</v>
      </c>
      <c r="AN185" s="103">
        <v>3500000</v>
      </c>
      <c r="AO185" s="103">
        <v>3500000</v>
      </c>
      <c r="AP185" s="103">
        <v>3500000</v>
      </c>
      <c r="AQ185" s="103">
        <v>3500000</v>
      </c>
      <c r="AR185" s="103">
        <v>3500000</v>
      </c>
      <c r="AS185" s="103">
        <v>3500000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</v>
      </c>
      <c r="T186" s="101">
        <v>1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</v>
      </c>
      <c r="T187" s="101">
        <v>1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</v>
      </c>
      <c r="T188" s="101">
        <v>1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</v>
      </c>
      <c r="T189" s="101">
        <v>1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</v>
      </c>
      <c r="T190" s="101">
        <v>1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</v>
      </c>
      <c r="T191" s="101">
        <v>1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</v>
      </c>
      <c r="T192" s="101">
        <v>1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</v>
      </c>
      <c r="T193" s="101">
        <v>1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</v>
      </c>
      <c r="T194" s="101">
        <v>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</v>
      </c>
      <c r="T195" s="101">
        <v>1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</v>
      </c>
      <c r="T196" s="101">
        <v>1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</v>
      </c>
      <c r="T197" s="101">
        <v>1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</v>
      </c>
      <c r="T198" s="101">
        <v>1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</v>
      </c>
      <c r="T199" s="101">
        <v>1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</v>
      </c>
      <c r="T200" s="101">
        <v>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1</v>
      </c>
      <c r="T201" s="101">
        <v>1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1</v>
      </c>
      <c r="T202" s="101">
        <v>1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1</v>
      </c>
      <c r="T203" s="101">
        <v>1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1</v>
      </c>
      <c r="T204" s="101">
        <v>1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1</v>
      </c>
      <c r="T205" s="101">
        <v>1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1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99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885913313</v>
      </c>
      <c r="D3" s="100">
        <v>884641100</v>
      </c>
      <c r="E3" s="100">
        <v>110431432</v>
      </c>
      <c r="F3" s="100">
        <v>0</v>
      </c>
      <c r="G3" s="261">
        <v>192832585</v>
      </c>
      <c r="H3" s="261">
        <v>1035276061</v>
      </c>
      <c r="I3" s="261">
        <v>286175779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>
      <c r="A4" s="8">
        <v>0</v>
      </c>
      <c r="B4" s="8">
        <v>1</v>
      </c>
      <c r="C4" s="101">
        <v>11764624</v>
      </c>
      <c r="D4" s="101">
        <v>4036131</v>
      </c>
      <c r="E4" s="101">
        <v>0</v>
      </c>
      <c r="F4" s="101">
        <v>0</v>
      </c>
      <c r="G4" s="262">
        <v>1221030</v>
      </c>
      <c r="H4" s="262">
        <v>12210300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16365756</v>
      </c>
      <c r="D5" s="101">
        <v>11713167</v>
      </c>
      <c r="E5" s="101">
        <v>0</v>
      </c>
      <c r="F5" s="101">
        <v>0</v>
      </c>
      <c r="G5" s="262">
        <v>1983581</v>
      </c>
      <c r="H5" s="262">
        <v>19835810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>
      <c r="A6" s="8">
        <v>2</v>
      </c>
      <c r="B6" s="8">
        <v>3</v>
      </c>
      <c r="C6" s="101">
        <v>11623926</v>
      </c>
      <c r="D6" s="101">
        <v>6004218</v>
      </c>
      <c r="E6" s="101">
        <v>0</v>
      </c>
      <c r="F6" s="101">
        <v>0</v>
      </c>
      <c r="G6" s="262">
        <v>1400402</v>
      </c>
      <c r="H6" s="262">
        <v>14004020</v>
      </c>
      <c r="I6" s="262">
        <v>0</v>
      </c>
      <c r="J6" s="262"/>
    </row>
    <row r="7" spans="1:16">
      <c r="A7" s="8">
        <v>3</v>
      </c>
      <c r="B7" s="8">
        <v>4</v>
      </c>
      <c r="C7" s="101">
        <v>12367038</v>
      </c>
      <c r="D7" s="101">
        <v>11078967</v>
      </c>
      <c r="E7" s="101">
        <v>0</v>
      </c>
      <c r="F7" s="101">
        <v>0</v>
      </c>
      <c r="G7" s="262">
        <v>1843384</v>
      </c>
      <c r="H7" s="262">
        <v>15287872</v>
      </c>
      <c r="I7" s="262">
        <v>0</v>
      </c>
      <c r="J7" s="262"/>
    </row>
    <row r="8" spans="1:16">
      <c r="A8" s="8">
        <v>4</v>
      </c>
      <c r="B8" s="8">
        <v>5</v>
      </c>
      <c r="C8" s="101">
        <v>10095520</v>
      </c>
      <c r="D8" s="101">
        <v>10345960</v>
      </c>
      <c r="E8" s="101">
        <v>0</v>
      </c>
      <c r="F8" s="101">
        <v>0</v>
      </c>
      <c r="G8" s="262">
        <v>1261039</v>
      </c>
      <c r="H8" s="262">
        <v>10458267</v>
      </c>
      <c r="I8" s="262">
        <v>0</v>
      </c>
      <c r="J8" s="262"/>
    </row>
    <row r="9" spans="1:16">
      <c r="A9" s="8">
        <v>5</v>
      </c>
      <c r="B9" s="8">
        <v>6</v>
      </c>
      <c r="C9" s="101">
        <v>8063906</v>
      </c>
      <c r="D9" s="101">
        <v>9145346</v>
      </c>
      <c r="E9" s="101">
        <v>0</v>
      </c>
      <c r="F9" s="101">
        <v>0</v>
      </c>
      <c r="G9" s="262">
        <v>1254493</v>
      </c>
      <c r="H9" s="262">
        <v>10403979</v>
      </c>
      <c r="I9" s="262">
        <v>0</v>
      </c>
      <c r="J9" s="262"/>
    </row>
    <row r="10" spans="1:16">
      <c r="A10" s="8">
        <v>6</v>
      </c>
      <c r="B10" s="8">
        <v>7</v>
      </c>
      <c r="C10" s="101">
        <v>1960044</v>
      </c>
      <c r="D10" s="101">
        <v>2087574</v>
      </c>
      <c r="E10" s="101">
        <v>0</v>
      </c>
      <c r="F10" s="101">
        <v>0</v>
      </c>
      <c r="G10" s="262">
        <v>316037</v>
      </c>
      <c r="H10" s="262">
        <v>2621012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8419726</v>
      </c>
      <c r="D11" s="101">
        <v>9519892</v>
      </c>
      <c r="E11" s="101">
        <v>4346920</v>
      </c>
      <c r="F11" s="101">
        <v>0</v>
      </c>
      <c r="G11" s="262">
        <v>3291012</v>
      </c>
      <c r="H11" s="262">
        <v>10917438</v>
      </c>
      <c r="I11" s="262">
        <v>10867300</v>
      </c>
      <c r="J11" s="262"/>
    </row>
    <row r="12" spans="1:16">
      <c r="A12" s="8">
        <v>8</v>
      </c>
      <c r="B12" s="8">
        <v>9</v>
      </c>
      <c r="C12" s="101">
        <v>3082035</v>
      </c>
      <c r="D12" s="101">
        <v>3596097</v>
      </c>
      <c r="E12" s="101">
        <v>0</v>
      </c>
      <c r="F12" s="101">
        <v>0</v>
      </c>
      <c r="G12" s="262">
        <v>717711</v>
      </c>
      <c r="H12" s="262">
        <v>4761798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6201756</v>
      </c>
      <c r="D13" s="101">
        <v>8367532</v>
      </c>
      <c r="E13" s="101">
        <v>3277630</v>
      </c>
      <c r="F13" s="101">
        <v>0</v>
      </c>
      <c r="G13" s="262">
        <v>892300</v>
      </c>
      <c r="H13" s="262">
        <v>5920141</v>
      </c>
      <c r="I13" s="262">
        <v>1638815</v>
      </c>
      <c r="J13" s="262"/>
    </row>
    <row r="14" spans="1:16">
      <c r="A14" s="8">
        <v>10</v>
      </c>
      <c r="B14" s="8">
        <v>15</v>
      </c>
      <c r="C14" s="101">
        <v>9885740</v>
      </c>
      <c r="D14" s="101">
        <v>14606129</v>
      </c>
      <c r="E14" s="101">
        <v>523644</v>
      </c>
      <c r="F14" s="101">
        <v>0</v>
      </c>
      <c r="G14" s="262">
        <v>4477577</v>
      </c>
      <c r="H14" s="262">
        <v>8955155</v>
      </c>
      <c r="I14" s="262">
        <v>1309110</v>
      </c>
      <c r="J14" s="262"/>
    </row>
    <row r="15" spans="1:16">
      <c r="A15" s="8">
        <v>15</v>
      </c>
      <c r="B15" s="8">
        <v>20</v>
      </c>
      <c r="C15" s="101">
        <v>5874476</v>
      </c>
      <c r="D15" s="101">
        <v>9202792</v>
      </c>
      <c r="E15" s="101">
        <v>1800254</v>
      </c>
      <c r="F15" s="101">
        <v>0</v>
      </c>
      <c r="G15" s="262">
        <v>1124732</v>
      </c>
      <c r="H15" s="262">
        <v>22494640</v>
      </c>
      <c r="I15" s="262">
        <v>4500635</v>
      </c>
      <c r="J15" s="262"/>
    </row>
    <row r="16" spans="1:16">
      <c r="A16" s="8">
        <v>20</v>
      </c>
      <c r="B16" s="8">
        <v>25</v>
      </c>
      <c r="C16" s="101">
        <v>2464217</v>
      </c>
      <c r="D16" s="101">
        <v>5141385</v>
      </c>
      <c r="E16" s="101">
        <v>1134864</v>
      </c>
      <c r="F16" s="101">
        <v>0</v>
      </c>
      <c r="G16" s="262">
        <v>1554967</v>
      </c>
      <c r="H16" s="262">
        <v>3109935</v>
      </c>
      <c r="I16" s="262">
        <v>2837160</v>
      </c>
      <c r="J16" s="262"/>
    </row>
    <row r="17" spans="1:10">
      <c r="A17" s="8">
        <v>25</v>
      </c>
      <c r="B17" s="8">
        <v>30</v>
      </c>
      <c r="C17" s="101">
        <v>2137165</v>
      </c>
      <c r="D17" s="101">
        <v>3428356</v>
      </c>
      <c r="E17" s="101">
        <v>900740</v>
      </c>
      <c r="F17" s="101">
        <v>0</v>
      </c>
      <c r="G17" s="262">
        <v>541256</v>
      </c>
      <c r="H17" s="262">
        <v>2165025</v>
      </c>
      <c r="I17" s="262">
        <v>2251850</v>
      </c>
      <c r="J17" s="262"/>
    </row>
    <row r="18" spans="1:10">
      <c r="A18" s="8">
        <v>30</v>
      </c>
      <c r="B18" s="8">
        <v>35</v>
      </c>
      <c r="C18" s="101">
        <v>408530</v>
      </c>
      <c r="D18" s="101">
        <v>615817</v>
      </c>
      <c r="E18" s="101">
        <v>603000</v>
      </c>
      <c r="F18" s="101">
        <v>0</v>
      </c>
      <c r="G18" s="262">
        <v>0</v>
      </c>
      <c r="H18" s="262">
        <v>10710350</v>
      </c>
      <c r="I18" s="262">
        <v>1507500</v>
      </c>
      <c r="J18" s="262"/>
    </row>
    <row r="19" spans="1:10">
      <c r="A19" s="8">
        <v>35</v>
      </c>
      <c r="B19" s="8">
        <v>40</v>
      </c>
      <c r="C19" s="101">
        <v>953627</v>
      </c>
      <c r="D19" s="101">
        <v>2068043</v>
      </c>
      <c r="E19" s="101">
        <v>528645</v>
      </c>
      <c r="F19" s="101">
        <v>0</v>
      </c>
      <c r="G19" s="262">
        <v>0</v>
      </c>
      <c r="H19" s="262">
        <v>1882055</v>
      </c>
      <c r="I19" s="262">
        <v>1057290</v>
      </c>
      <c r="J19" s="262"/>
    </row>
    <row r="20" spans="1:10">
      <c r="A20" s="8">
        <v>40</v>
      </c>
      <c r="B20" s="8">
        <v>45</v>
      </c>
      <c r="C20" s="101">
        <v>221560</v>
      </c>
      <c r="D20" s="101">
        <v>706581</v>
      </c>
      <c r="E20" s="101">
        <v>1123390</v>
      </c>
      <c r="F20" s="101">
        <v>0</v>
      </c>
      <c r="G20" s="262">
        <v>0</v>
      </c>
      <c r="H20" s="262">
        <v>3304020</v>
      </c>
      <c r="I20" s="262">
        <v>1123390</v>
      </c>
      <c r="J20" s="262"/>
    </row>
    <row r="21" spans="1:10">
      <c r="A21" s="8">
        <v>45</v>
      </c>
      <c r="B21" s="8">
        <v>50</v>
      </c>
      <c r="C21" s="101">
        <v>1108012</v>
      </c>
      <c r="D21" s="101">
        <v>1031723</v>
      </c>
      <c r="E21" s="101">
        <v>383111</v>
      </c>
      <c r="F21" s="101">
        <v>0</v>
      </c>
      <c r="G21" s="262">
        <v>0</v>
      </c>
      <c r="H21" s="262">
        <v>0</v>
      </c>
      <c r="I21" s="262">
        <v>766222</v>
      </c>
      <c r="J21" s="262"/>
    </row>
    <row r="22" spans="1:10">
      <c r="A22" s="8">
        <v>50</v>
      </c>
      <c r="B22" s="8">
        <v>60</v>
      </c>
      <c r="C22" s="101">
        <v>432204</v>
      </c>
      <c r="D22" s="101">
        <v>996107</v>
      </c>
      <c r="E22" s="101">
        <v>397975</v>
      </c>
      <c r="F22" s="101">
        <v>88207840</v>
      </c>
      <c r="G22" s="262">
        <v>0</v>
      </c>
      <c r="H22" s="262">
        <v>0</v>
      </c>
      <c r="I22" s="262">
        <v>795950</v>
      </c>
      <c r="J22" s="262"/>
    </row>
    <row r="23" spans="1:10">
      <c r="A23" s="8">
        <v>60</v>
      </c>
      <c r="B23" s="8">
        <v>70</v>
      </c>
      <c r="C23" s="101">
        <v>44452</v>
      </c>
      <c r="D23" s="101">
        <v>114891</v>
      </c>
      <c r="E23" s="101">
        <v>108972</v>
      </c>
      <c r="F23" s="101">
        <v>69412740</v>
      </c>
      <c r="G23" s="262">
        <v>0</v>
      </c>
      <c r="H23" s="262">
        <v>0</v>
      </c>
      <c r="I23" s="262">
        <v>217944</v>
      </c>
      <c r="J23" s="262"/>
    </row>
    <row r="24" spans="1:10">
      <c r="A24" s="8">
        <v>70</v>
      </c>
      <c r="B24" s="8">
        <v>80</v>
      </c>
      <c r="C24" s="101">
        <v>190628</v>
      </c>
      <c r="D24" s="101">
        <v>380366</v>
      </c>
      <c r="E24" s="101">
        <v>203663</v>
      </c>
      <c r="F24" s="101">
        <v>60012413</v>
      </c>
      <c r="G24" s="262">
        <v>0</v>
      </c>
      <c r="H24" s="262">
        <v>0</v>
      </c>
      <c r="I24" s="262">
        <v>1018318</v>
      </c>
      <c r="J24" s="262"/>
    </row>
    <row r="25" spans="1:10">
      <c r="A25" s="8">
        <v>80</v>
      </c>
      <c r="B25" s="8">
        <v>90</v>
      </c>
      <c r="C25" s="101">
        <v>73375</v>
      </c>
      <c r="D25" s="101">
        <v>221740</v>
      </c>
      <c r="E25" s="101">
        <v>1914248</v>
      </c>
      <c r="F25" s="101">
        <v>72878369</v>
      </c>
      <c r="G25" s="262">
        <v>0</v>
      </c>
      <c r="H25" s="262">
        <v>0</v>
      </c>
      <c r="I25" s="262">
        <v>4785620</v>
      </c>
      <c r="J25" s="262"/>
    </row>
    <row r="26" spans="1:10">
      <c r="A26" s="8">
        <v>90</v>
      </c>
      <c r="B26" s="8">
        <v>100</v>
      </c>
      <c r="C26" s="101">
        <v>138440</v>
      </c>
      <c r="D26" s="101">
        <v>372247</v>
      </c>
      <c r="E26" s="101">
        <v>288392</v>
      </c>
      <c r="F26" s="101">
        <v>134790562</v>
      </c>
      <c r="G26" s="262">
        <v>0</v>
      </c>
      <c r="H26" s="262">
        <v>0</v>
      </c>
      <c r="I26" s="262">
        <v>826678</v>
      </c>
      <c r="J26" s="262"/>
    </row>
    <row r="27" spans="1:10">
      <c r="A27" s="8">
        <v>100</v>
      </c>
      <c r="B27" s="8">
        <v>120</v>
      </c>
      <c r="C27" s="101">
        <v>87332</v>
      </c>
      <c r="D27" s="101">
        <v>190719</v>
      </c>
      <c r="E27" s="101">
        <v>79209</v>
      </c>
      <c r="F27" s="101">
        <v>149194687</v>
      </c>
      <c r="G27" s="262">
        <v>0</v>
      </c>
      <c r="H27" s="262">
        <v>0</v>
      </c>
      <c r="I27" s="262">
        <v>662843</v>
      </c>
      <c r="J27" s="262"/>
    </row>
    <row r="28" spans="1:10">
      <c r="A28" s="8">
        <v>120</v>
      </c>
      <c r="B28" s="8">
        <v>140</v>
      </c>
      <c r="C28" s="101">
        <v>21172</v>
      </c>
      <c r="D28" s="101">
        <v>43658</v>
      </c>
      <c r="E28" s="101">
        <v>11245</v>
      </c>
      <c r="F28" s="101">
        <v>78715806</v>
      </c>
      <c r="G28" s="262">
        <v>0</v>
      </c>
      <c r="H28" s="262">
        <v>0</v>
      </c>
      <c r="I28" s="262">
        <v>239708</v>
      </c>
      <c r="J28" s="262"/>
    </row>
    <row r="29" spans="1:10">
      <c r="A29" s="8">
        <v>140</v>
      </c>
      <c r="B29" s="8">
        <v>160</v>
      </c>
      <c r="C29" s="101">
        <v>14257</v>
      </c>
      <c r="D29" s="101">
        <v>141316</v>
      </c>
      <c r="E29" s="101">
        <v>19777</v>
      </c>
      <c r="F29" s="101">
        <v>35953470</v>
      </c>
      <c r="G29" s="262">
        <v>0</v>
      </c>
      <c r="H29" s="262">
        <v>0</v>
      </c>
      <c r="I29" s="262">
        <v>781682</v>
      </c>
      <c r="J29" s="262"/>
    </row>
    <row r="30" spans="1:10">
      <c r="A30" s="8">
        <v>160</v>
      </c>
      <c r="B30" s="8">
        <v>180</v>
      </c>
      <c r="C30" s="101">
        <v>12709</v>
      </c>
      <c r="D30" s="101">
        <v>34467</v>
      </c>
      <c r="E30" s="101">
        <v>658260</v>
      </c>
      <c r="F30" s="101">
        <v>20525980</v>
      </c>
      <c r="G30" s="262">
        <v>0</v>
      </c>
      <c r="H30" s="262">
        <v>0</v>
      </c>
      <c r="I30" s="262">
        <v>2194200</v>
      </c>
      <c r="J30" s="262"/>
    </row>
    <row r="31" spans="1:10">
      <c r="A31" s="8">
        <v>180</v>
      </c>
      <c r="B31" s="8">
        <v>200</v>
      </c>
      <c r="C31" s="101">
        <v>5645</v>
      </c>
      <c r="D31" s="101">
        <v>42509</v>
      </c>
      <c r="E31" s="101">
        <v>10495</v>
      </c>
      <c r="F31" s="101">
        <v>30144931</v>
      </c>
      <c r="G31" s="262">
        <v>0</v>
      </c>
      <c r="H31" s="262">
        <v>0</v>
      </c>
      <c r="I31" s="262">
        <v>786584</v>
      </c>
      <c r="J31" s="262"/>
    </row>
    <row r="32" spans="1:10">
      <c r="A32" s="8">
        <v>200</v>
      </c>
      <c r="B32" s="8">
        <v>250</v>
      </c>
      <c r="C32" s="101">
        <v>6007</v>
      </c>
      <c r="D32" s="101">
        <v>58594</v>
      </c>
      <c r="E32" s="101">
        <v>4061</v>
      </c>
      <c r="F32" s="101">
        <v>12794865</v>
      </c>
      <c r="G32" s="262">
        <v>0</v>
      </c>
      <c r="H32" s="262">
        <v>0</v>
      </c>
      <c r="I32" s="262">
        <v>2187203</v>
      </c>
      <c r="J32" s="262"/>
    </row>
    <row r="33" spans="1:10">
      <c r="A33" s="8">
        <v>250</v>
      </c>
      <c r="B33" s="8">
        <v>300</v>
      </c>
      <c r="C33" s="101">
        <v>707</v>
      </c>
      <c r="D33" s="101">
        <v>22978</v>
      </c>
      <c r="E33" s="101">
        <v>281925</v>
      </c>
      <c r="F33" s="101">
        <v>74369485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355</v>
      </c>
      <c r="D34" s="101">
        <v>2297</v>
      </c>
      <c r="E34" s="101">
        <v>84539</v>
      </c>
      <c r="F34" s="101">
        <v>11193291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1148</v>
      </c>
      <c r="E35" s="101">
        <v>0</v>
      </c>
      <c r="F35" s="101">
        <v>12838711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5744</v>
      </c>
      <c r="E36" s="101">
        <v>109804</v>
      </c>
      <c r="F36" s="101">
        <v>10011758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16084</v>
      </c>
      <c r="E37" s="101">
        <v>0</v>
      </c>
      <c r="F37" s="101">
        <v>12468323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68</v>
      </c>
      <c r="D38" s="101">
        <v>4595</v>
      </c>
      <c r="E38" s="101">
        <v>0</v>
      </c>
      <c r="F38" s="101">
        <v>35974916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18963066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2537</v>
      </c>
      <c r="E40" s="101">
        <v>0</v>
      </c>
      <c r="F40" s="101">
        <v>12536905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5907587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5000198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8229978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101">
        <v>37704</v>
      </c>
      <c r="F44" s="101">
        <v>4619869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4493002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3454503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6310063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222</v>
      </c>
      <c r="D48" s="101">
        <v>990</v>
      </c>
      <c r="E48" s="101">
        <v>0</v>
      </c>
      <c r="F48" s="101">
        <v>15747712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443</v>
      </c>
      <c r="E49" s="101">
        <v>12723</v>
      </c>
      <c r="F49" s="101">
        <v>1642985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1333438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101">
        <v>7990</v>
      </c>
      <c r="F51" s="101">
        <v>1062898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353409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334569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312324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101">
        <v>4547</v>
      </c>
      <c r="F55" s="101">
        <v>0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0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101">
        <v>774</v>
      </c>
      <c r="F57" s="101">
        <v>209348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20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0.92500000315716557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3182584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0.3182584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12570</v>
      </c>
      <c r="D200" s="30">
        <v>10056.000000000091</v>
      </c>
      <c r="E200" s="187">
        <f t="shared" ref="E200:E256" si="6">IFERROR((D200/$E$196)/(C200),0)</f>
        <v>3.2000000000000292E-3</v>
      </c>
      <c r="F200" s="188">
        <v>1.2570000000000001E-3</v>
      </c>
      <c r="G200" s="189">
        <v>4.0224000000000371E-6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64895</v>
      </c>
      <c r="D201" s="30">
        <v>113185.59999999836</v>
      </c>
      <c r="E201" s="187">
        <f t="shared" si="6"/>
        <v>6.9765374836272967E-3</v>
      </c>
      <c r="F201" s="188">
        <v>6.4894999999999996E-3</v>
      </c>
      <c r="G201" s="189">
        <v>4.527423999999934E-5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29943</v>
      </c>
      <c r="D202" s="30">
        <v>84129.000000000568</v>
      </c>
      <c r="E202" s="187">
        <f t="shared" si="6"/>
        <v>1.1238553251177313E-2</v>
      </c>
      <c r="F202" s="188">
        <v>2.9943000000000001E-3</v>
      </c>
      <c r="G202" s="189">
        <v>3.3651600000000232E-5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76196</v>
      </c>
      <c r="D203" s="30">
        <v>290166.80000000313</v>
      </c>
      <c r="E203" s="187">
        <f t="shared" si="6"/>
        <v>1.5232652632684297E-2</v>
      </c>
      <c r="F203" s="188">
        <v>7.6195999999999998E-3</v>
      </c>
      <c r="G203" s="189">
        <v>1.1606672000000127E-4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68207</v>
      </c>
      <c r="D204" s="30">
        <v>333384.59999999177</v>
      </c>
      <c r="E204" s="187">
        <f t="shared" si="6"/>
        <v>1.9551342237599766E-2</v>
      </c>
      <c r="F204" s="188">
        <v>6.8206999999999999E-3</v>
      </c>
      <c r="G204" s="189">
        <v>1.3335383999999671E-4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74831</v>
      </c>
      <c r="D205" s="30">
        <v>447898.80000000045</v>
      </c>
      <c r="E205" s="187">
        <f t="shared" si="6"/>
        <v>2.3941885047640707E-2</v>
      </c>
      <c r="F205" s="188">
        <v>7.4831000000000003E-3</v>
      </c>
      <c r="G205" s="189">
        <v>1.7915952000000017E-4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8601</v>
      </c>
      <c r="D206" s="30">
        <v>55850.000000000269</v>
      </c>
      <c r="E206" s="187">
        <f t="shared" si="6"/>
        <v>2.5973723985583199E-2</v>
      </c>
      <c r="F206" s="188">
        <v>8.6010000000000004E-4</v>
      </c>
      <c r="G206" s="189">
        <v>2.2340000000000111E-5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116517</v>
      </c>
      <c r="D207" s="30">
        <v>914600.60000000033</v>
      </c>
      <c r="E207" s="187">
        <f t="shared" si="6"/>
        <v>3.1398014023704707E-2</v>
      </c>
      <c r="F207" s="188">
        <v>1.1651699999999999E-2</v>
      </c>
      <c r="G207" s="189">
        <v>3.6584024000000011E-4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25948</v>
      </c>
      <c r="D208" s="30">
        <v>231679.39999999962</v>
      </c>
      <c r="E208" s="187">
        <f t="shared" si="6"/>
        <v>3.5714413442269097E-2</v>
      </c>
      <c r="F208" s="188">
        <v>2.5948E-3</v>
      </c>
      <c r="G208" s="189">
        <v>9.2671759999999858E-5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101682</v>
      </c>
      <c r="D209" s="30">
        <v>1008426.9999999868</v>
      </c>
      <c r="E209" s="187">
        <f t="shared" si="6"/>
        <v>3.9669833402174892E-2</v>
      </c>
      <c r="F209" s="188">
        <v>1.0168200000000001E-2</v>
      </c>
      <c r="G209" s="189">
        <v>4.0337079999999475E-4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196064</v>
      </c>
      <c r="D210" s="30">
        <v>2602686.7999999644</v>
      </c>
      <c r="E210" s="187">
        <f t="shared" si="6"/>
        <v>5.3098718785701902E-2</v>
      </c>
      <c r="F210" s="188">
        <v>1.96064E-2</v>
      </c>
      <c r="G210" s="189">
        <v>1.0410747199999858E-3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255829</v>
      </c>
      <c r="D211" s="30">
        <v>4705024.2000000216</v>
      </c>
      <c r="E211" s="187">
        <f t="shared" si="6"/>
        <v>7.3565142341173548E-2</v>
      </c>
      <c r="F211" s="188">
        <v>2.5582899999999999E-2</v>
      </c>
      <c r="G211" s="189">
        <v>1.8820096800000086E-3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157231</v>
      </c>
      <c r="D212" s="30">
        <v>3721017.199999996</v>
      </c>
      <c r="E212" s="187">
        <f t="shared" si="6"/>
        <v>9.4663703722548259E-2</v>
      </c>
      <c r="F212" s="188">
        <v>1.57231E-2</v>
      </c>
      <c r="G212" s="189">
        <v>1.4884068799999985E-3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3.8051460117236866</v>
      </c>
      <c r="S212" s="182"/>
    </row>
    <row r="213" spans="1:24" ht="15.6">
      <c r="A213" s="257">
        <v>25</v>
      </c>
      <c r="B213" s="258">
        <v>30</v>
      </c>
      <c r="C213" s="160">
        <v>150485</v>
      </c>
      <c r="D213" s="30">
        <v>4375967.8000000045</v>
      </c>
      <c r="E213" s="187">
        <f t="shared" si="6"/>
        <v>0.1163163850217631</v>
      </c>
      <c r="F213" s="188">
        <v>1.5048499999999999E-2</v>
      </c>
      <c r="G213" s="189">
        <v>1.7503871200000019E-3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3.8367624662580608</v>
      </c>
      <c r="S213" s="182"/>
    </row>
    <row r="214" spans="1:24" ht="15.6">
      <c r="A214" s="257">
        <v>30</v>
      </c>
      <c r="B214" s="258">
        <v>35</v>
      </c>
      <c r="C214" s="160">
        <v>105064</v>
      </c>
      <c r="D214" s="30">
        <v>3415153.1999999876</v>
      </c>
      <c r="E214" s="187">
        <f t="shared" si="6"/>
        <v>0.13002182288890532</v>
      </c>
      <c r="F214" s="188">
        <v>1.0506400000000001E-2</v>
      </c>
      <c r="G214" s="189">
        <v>1.366061279999995E-3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3.7777777026405452</v>
      </c>
    </row>
    <row r="215" spans="1:24" ht="15.6">
      <c r="A215" s="257">
        <v>35</v>
      </c>
      <c r="B215" s="258">
        <v>40</v>
      </c>
      <c r="C215" s="160">
        <v>207825</v>
      </c>
      <c r="D215" s="30">
        <v>8051033.6000000285</v>
      </c>
      <c r="E215" s="187">
        <f t="shared" si="6"/>
        <v>0.15495794249969982</v>
      </c>
      <c r="F215" s="188">
        <v>2.0782499999999999E-2</v>
      </c>
      <c r="G215" s="189">
        <v>3.2204134400000113E-3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7.014830635687491</v>
      </c>
    </row>
    <row r="216" spans="1:24" ht="15.6">
      <c r="A216" s="257">
        <v>40</v>
      </c>
      <c r="B216" s="258">
        <v>45</v>
      </c>
      <c r="C216" s="160">
        <v>87370</v>
      </c>
      <c r="D216" s="30">
        <v>3832949.7999999947</v>
      </c>
      <c r="E216" s="187">
        <f t="shared" si="6"/>
        <v>0.17548127732631313</v>
      </c>
      <c r="F216" s="188">
        <v>8.737E-3</v>
      </c>
      <c r="G216" s="189">
        <v>1.5331799199999978E-3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5.6143435373131547</v>
      </c>
    </row>
    <row r="217" spans="1:24" ht="15.6">
      <c r="A217" s="257">
        <v>45</v>
      </c>
      <c r="B217" s="258">
        <v>50</v>
      </c>
      <c r="C217" s="160">
        <v>141467</v>
      </c>
      <c r="D217" s="30">
        <v>6846692.4000000209</v>
      </c>
      <c r="E217" s="187">
        <f t="shared" si="6"/>
        <v>0.19359122339485593</v>
      </c>
      <c r="F217" s="188">
        <v>1.41467E-2</v>
      </c>
      <c r="G217" s="189">
        <v>2.7386769600000085E-3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6.8939528811012085</v>
      </c>
    </row>
    <row r="218" spans="1:24" ht="15.6">
      <c r="A218" s="257">
        <v>50</v>
      </c>
      <c r="B218" s="258">
        <v>60</v>
      </c>
      <c r="C218" s="160">
        <v>216556</v>
      </c>
      <c r="D218" s="30">
        <v>12483999.800000053</v>
      </c>
      <c r="E218" s="187">
        <f t="shared" si="6"/>
        <v>0.2305916215667089</v>
      </c>
      <c r="F218" s="188">
        <v>2.1655600000000001E-2</v>
      </c>
      <c r="G218" s="189">
        <v>4.9935999200000211E-3</v>
      </c>
      <c r="H218" s="232">
        <v>0.2</v>
      </c>
      <c r="I218" s="274" t="str">
        <f t="shared" si="7"/>
        <v>(50, 60]</v>
      </c>
      <c r="J218" s="160">
        <v>1</v>
      </c>
      <c r="K218" s="234">
        <v>4.073211571140952</v>
      </c>
      <c r="L218" s="188">
        <v>8.8207840500000009E-2</v>
      </c>
      <c r="M218" s="233">
        <v>88207840</v>
      </c>
      <c r="N218" s="195">
        <v>8.8207839911792166E-2</v>
      </c>
      <c r="O218" s="211">
        <v>2.0339988840156819E-2</v>
      </c>
      <c r="Q218" s="1">
        <v>0.11195442178961326</v>
      </c>
      <c r="R218" s="1">
        <v>5.169767717801089</v>
      </c>
    </row>
    <row r="219" spans="1:24" ht="15.6">
      <c r="A219" s="257">
        <v>60</v>
      </c>
      <c r="B219" s="258">
        <v>70</v>
      </c>
      <c r="C219" s="160">
        <v>126925</v>
      </c>
      <c r="D219" s="30">
        <v>8338295.2000000039</v>
      </c>
      <c r="E219" s="187">
        <f t="shared" si="6"/>
        <v>0.26277865511128634</v>
      </c>
      <c r="F219" s="188">
        <v>1.2692500000000001E-2</v>
      </c>
      <c r="G219" s="189">
        <v>3.3353180800000022E-3</v>
      </c>
      <c r="H219" s="232">
        <v>0.24</v>
      </c>
      <c r="I219" s="274" t="str">
        <f t="shared" si="7"/>
        <v>(60, 70]</v>
      </c>
      <c r="J219" s="160">
        <v>1</v>
      </c>
      <c r="K219" s="234">
        <v>5.468799724246602</v>
      </c>
      <c r="L219" s="188">
        <v>6.94127405E-2</v>
      </c>
      <c r="M219" s="233">
        <v>69412740</v>
      </c>
      <c r="N219" s="195">
        <v>6.9412739930587261E-2</v>
      </c>
      <c r="O219" s="211">
        <v>1.8240186446549202E-2</v>
      </c>
      <c r="Q219" s="1">
        <v>4.2150854631160924E-2</v>
      </c>
      <c r="R219" s="1">
        <v>3.3209261084231572</v>
      </c>
    </row>
    <row r="220" spans="1:24" ht="15.6">
      <c r="A220" s="257">
        <v>70</v>
      </c>
      <c r="B220" s="258">
        <v>80</v>
      </c>
      <c r="C220" s="160">
        <v>215354</v>
      </c>
      <c r="D220" s="30">
        <v>16540226.400000023</v>
      </c>
      <c r="E220" s="187">
        <f t="shared" si="6"/>
        <v>0.30721930217223775</v>
      </c>
      <c r="F220" s="188">
        <v>2.15354E-2</v>
      </c>
      <c r="G220" s="189">
        <v>6.6160905600000089E-3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2.7866867344001038</v>
      </c>
      <c r="L220" s="188">
        <v>6.0012413499999993E-2</v>
      </c>
      <c r="M220" s="233">
        <v>60012413</v>
      </c>
      <c r="N220" s="195">
        <v>6.0012412939987589E-2</v>
      </c>
      <c r="O220" s="211">
        <v>1.843697162509516E-2</v>
      </c>
      <c r="Q220" s="1">
        <v>3.6385840192037056E-2</v>
      </c>
      <c r="R220" s="1">
        <v>1.6895827424629706</v>
      </c>
    </row>
    <row r="221" spans="1:24" thickBot="1">
      <c r="A221" s="257">
        <v>80</v>
      </c>
      <c r="B221" s="258">
        <v>90</v>
      </c>
      <c r="C221" s="160">
        <v>122246</v>
      </c>
      <c r="D221" s="30">
        <v>10590749.599999985</v>
      </c>
      <c r="E221" s="187">
        <f t="shared" si="6"/>
        <v>0.34653893297122146</v>
      </c>
      <c r="F221" s="188">
        <v>1.22246E-2</v>
      </c>
      <c r="G221" s="189">
        <v>4.2362998399999938E-3</v>
      </c>
      <c r="H221" s="232">
        <v>0.32</v>
      </c>
      <c r="I221" s="274" t="str">
        <f t="shared" si="7"/>
        <v>(80, 90]</v>
      </c>
      <c r="J221" s="160">
        <v>1</v>
      </c>
      <c r="K221" s="276">
        <v>5.9616158810922242</v>
      </c>
      <c r="L221" s="188">
        <v>7.2878369500000012E-2</v>
      </c>
      <c r="M221" s="233">
        <v>72878369</v>
      </c>
      <c r="N221" s="195">
        <v>7.2878368927121628E-2</v>
      </c>
      <c r="O221" s="211">
        <v>2.5255192204687752E-2</v>
      </c>
      <c r="Q221" s="1">
        <v>4.4133565457011449E-2</v>
      </c>
      <c r="R221" s="1">
        <v>3.6102257298407676</v>
      </c>
    </row>
    <row r="222" spans="1:24" ht="16.8" thickBot="1">
      <c r="A222" s="257">
        <v>90</v>
      </c>
      <c r="B222" s="258">
        <v>100</v>
      </c>
      <c r="C222" s="160">
        <v>156531</v>
      </c>
      <c r="D222" s="30">
        <v>15175208.000000015</v>
      </c>
      <c r="E222" s="187">
        <f t="shared" si="6"/>
        <v>0.3877879269920978</v>
      </c>
      <c r="F222" s="188">
        <v>1.56531E-2</v>
      </c>
      <c r="G222" s="189">
        <v>6.0700832000000057E-3</v>
      </c>
      <c r="H222" s="232">
        <v>0.36</v>
      </c>
      <c r="I222" s="274" t="str">
        <f t="shared" si="7"/>
        <v>(90, 100]</v>
      </c>
      <c r="J222" s="160">
        <v>1</v>
      </c>
      <c r="K222" s="276">
        <v>8.6111097801713399</v>
      </c>
      <c r="L222" s="188">
        <v>0.13479056249999999</v>
      </c>
      <c r="M222" s="233">
        <v>134790562</v>
      </c>
      <c r="N222" s="195">
        <v>0.13479056186520944</v>
      </c>
      <c r="O222" s="211">
        <v>5.227015256380968E-2</v>
      </c>
      <c r="Q222" s="1">
        <v>8.1534868779438843E-2</v>
      </c>
      <c r="R222" s="1">
        <v>5.2088639809008344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>
      <c r="A223" s="257">
        <v>100</v>
      </c>
      <c r="B223" s="258">
        <v>120</v>
      </c>
      <c r="C223" s="160">
        <v>243426</v>
      </c>
      <c r="D223" s="30">
        <v>27425294.000000052</v>
      </c>
      <c r="E223" s="187">
        <f t="shared" si="6"/>
        <v>0.45065513133354784</v>
      </c>
      <c r="F223" s="188">
        <v>2.4342599999999999E-2</v>
      </c>
      <c r="G223" s="189">
        <v>1.0970117600000022E-2</v>
      </c>
      <c r="H223" s="232">
        <v>0.4</v>
      </c>
      <c r="I223" s="274" t="str">
        <f t="shared" si="7"/>
        <v>(100, 120]</v>
      </c>
      <c r="J223" s="160">
        <v>1</v>
      </c>
      <c r="K223" s="276">
        <v>6.128954487195287</v>
      </c>
      <c r="L223" s="188">
        <v>0.14919468749999998</v>
      </c>
      <c r="M223" s="233">
        <v>149194687</v>
      </c>
      <c r="N223" s="195">
        <v>0.14919468685080531</v>
      </c>
      <c r="O223" s="211">
        <v>6.7235351197017207E-2</v>
      </c>
      <c r="Q223" s="1">
        <v>9.0112979805137619E-2</v>
      </c>
      <c r="R223" s="1">
        <v>3.7018633919604982</v>
      </c>
      <c r="U223" s="128" t="s">
        <v>271</v>
      </c>
      <c r="V223" s="185">
        <f>SUM(N199:N228)</f>
        <v>0.75263166224736844</v>
      </c>
      <c r="W223" s="296" cm="1">
        <f t="array" ref="W223:W228">1/V223:V228</f>
        <v>1.3286711816162322</v>
      </c>
      <c r="X223" s="302"/>
    </row>
    <row r="224" spans="1:24" ht="15.6">
      <c r="A224" s="257">
        <v>120</v>
      </c>
      <c r="B224" s="258">
        <v>140</v>
      </c>
      <c r="C224" s="160">
        <v>177174</v>
      </c>
      <c r="D224" s="30">
        <v>23279159.599999972</v>
      </c>
      <c r="E224" s="187">
        <f t="shared" si="6"/>
        <v>0.52556604467924117</v>
      </c>
      <c r="F224" s="188">
        <v>1.7717400000000001E-2</v>
      </c>
      <c r="G224" s="189">
        <v>9.3116638399999875E-3</v>
      </c>
      <c r="H224" s="232">
        <v>0.48</v>
      </c>
      <c r="I224" s="274" t="str">
        <f t="shared" si="7"/>
        <v>(120, 140]</v>
      </c>
      <c r="J224" s="160">
        <v>1</v>
      </c>
      <c r="K224" s="276">
        <v>4.4428531556548929</v>
      </c>
      <c r="L224" s="188">
        <v>7.8715806499999999E-2</v>
      </c>
      <c r="M224" s="233">
        <v>78715806</v>
      </c>
      <c r="N224" s="195">
        <v>7.8715805921284188E-2</v>
      </c>
      <c r="O224" s="211">
        <v>4.1370354771788125E-2</v>
      </c>
      <c r="Q224" s="1">
        <v>4.747126106777233E-2</v>
      </c>
      <c r="R224" s="272">
        <v>2.6793582053671718</v>
      </c>
      <c r="U224" s="124" t="s">
        <v>275</v>
      </c>
      <c r="V224" s="188">
        <f>SUM(N229:N256)</f>
        <v>0.24736833775263173</v>
      </c>
      <c r="W224" s="297">
        <v>4.0425545527981024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209770</v>
      </c>
      <c r="D225" s="30">
        <v>31893981.200000092</v>
      </c>
      <c r="E225" s="187">
        <f t="shared" si="6"/>
        <v>0.60817049530438272</v>
      </c>
      <c r="F225" s="188">
        <v>2.0976999999999999E-2</v>
      </c>
      <c r="G225" s="189">
        <v>1.2757592480000036E-2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1.7139472040806598</v>
      </c>
      <c r="L225" s="188">
        <v>3.5953470500000001E-2</v>
      </c>
      <c r="M225" s="233">
        <v>35953470</v>
      </c>
      <c r="N225" s="195">
        <v>3.5953469964046532E-2</v>
      </c>
      <c r="O225" s="211">
        <v>2.1865839635945426E-2</v>
      </c>
      <c r="Q225" s="1">
        <v>2.1651011757170088E-2</v>
      </c>
      <c r="R225" s="272">
        <v>1.0321309890437187</v>
      </c>
      <c r="U225" s="124" t="s">
        <v>272</v>
      </c>
      <c r="V225" s="188">
        <f>SUM(N234:N256)</f>
        <v>0.12648676987351323</v>
      </c>
      <c r="W225" s="297">
        <v>7.905965193039556</v>
      </c>
      <c r="X225" s="303">
        <v>5000</v>
      </c>
    </row>
    <row r="226" spans="1:24" ht="15.6">
      <c r="A226" s="257">
        <v>160</v>
      </c>
      <c r="B226" s="258">
        <v>180</v>
      </c>
      <c r="C226" s="160">
        <v>157019</v>
      </c>
      <c r="D226" s="30">
        <v>26978600.399999939</v>
      </c>
      <c r="E226" s="187">
        <f t="shared" si="6"/>
        <v>0.6872697036664337</v>
      </c>
      <c r="F226" s="188">
        <v>1.5701900000000001E-2</v>
      </c>
      <c r="G226" s="189">
        <v>1.0791440159999976E-2</v>
      </c>
      <c r="H226" s="232">
        <v>0.64</v>
      </c>
      <c r="I226" s="124" t="str">
        <f t="shared" si="7"/>
        <v>(160, 180]</v>
      </c>
      <c r="J226" s="160">
        <v>1</v>
      </c>
      <c r="K226" s="276">
        <v>1.3072290932944419</v>
      </c>
      <c r="L226" s="188">
        <v>2.0525980499999999E-2</v>
      </c>
      <c r="M226" s="233">
        <v>20525980</v>
      </c>
      <c r="N226" s="195">
        <v>2.0525979979474019E-2</v>
      </c>
      <c r="O226" s="211">
        <v>1.4106884177956259E-2</v>
      </c>
      <c r="Q226" s="1">
        <v>1.2345605360363113E-2</v>
      </c>
      <c r="R226" s="272">
        <v>0.78624913929926399</v>
      </c>
      <c r="U226" s="124" t="s">
        <v>287</v>
      </c>
      <c r="V226" s="188">
        <f>SUM(N245:N256)</f>
        <v>5.2489709947510284E-3</v>
      </c>
      <c r="W226" s="297">
        <v>190.51353131880518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174414</v>
      </c>
      <c r="D227" s="30">
        <v>33705727.199999958</v>
      </c>
      <c r="E227" s="187">
        <f t="shared" si="6"/>
        <v>0.77300508445422866</v>
      </c>
      <c r="F227" s="188">
        <v>1.7441399999999999E-2</v>
      </c>
      <c r="G227" s="189">
        <v>1.3482290879999984E-2</v>
      </c>
      <c r="H227" s="232">
        <v>0.72</v>
      </c>
      <c r="I227" s="124" t="str">
        <f t="shared" si="7"/>
        <v>(180, 200]</v>
      </c>
      <c r="J227" s="160">
        <v>1</v>
      </c>
      <c r="K227" s="276">
        <v>1.7283550345729126</v>
      </c>
      <c r="L227" s="188">
        <v>3.0144931499999996E-2</v>
      </c>
      <c r="M227" s="233">
        <v>30144931</v>
      </c>
      <c r="N227" s="195">
        <v>3.0144930969855068E-2</v>
      </c>
      <c r="O227" s="211">
        <v>2.3302184910219709E-2</v>
      </c>
      <c r="Q227" s="1">
        <v>1.8109825476012021E-2</v>
      </c>
      <c r="R227" s="272">
        <v>1.0383240723802001</v>
      </c>
      <c r="U227" s="124" t="s">
        <v>288</v>
      </c>
      <c r="V227" s="188">
        <f>SUM(N246:N256)</f>
        <v>3.6059859963940145E-3</v>
      </c>
      <c r="W227" s="297">
        <v>277.31666207245394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318841</v>
      </c>
      <c r="D228" s="30">
        <v>72108676.600000188</v>
      </c>
      <c r="E228" s="187">
        <f t="shared" si="6"/>
        <v>0.90463493214486446</v>
      </c>
      <c r="F228" s="188">
        <v>3.1884099999999999E-2</v>
      </c>
      <c r="G228" s="189">
        <v>2.884347064000007E-2</v>
      </c>
      <c r="H228" s="232">
        <v>0.8</v>
      </c>
      <c r="I228" s="124" t="str">
        <f t="shared" si="7"/>
        <v>(200, 250]</v>
      </c>
      <c r="J228" s="160">
        <v>1</v>
      </c>
      <c r="K228" s="276">
        <v>0.40129297988652651</v>
      </c>
      <c r="L228" s="188">
        <v>1.2794865499999999E-2</v>
      </c>
      <c r="M228" s="233">
        <v>12794865</v>
      </c>
      <c r="N228" s="195">
        <v>1.2794864987205135E-2</v>
      </c>
      <c r="O228" s="211">
        <v>1.1574681819503019E-2</v>
      </c>
      <c r="Q228" s="1">
        <v>7.674595432961279E-3</v>
      </c>
      <c r="R228" s="272">
        <v>0.2407029031072315</v>
      </c>
      <c r="U228" s="125" t="s">
        <v>273</v>
      </c>
      <c r="V228" s="191">
        <f>SUM(N253)</f>
        <v>2.0934799979065199E-4</v>
      </c>
      <c r="W228" s="298">
        <v>4776.7353927431841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270861</v>
      </c>
      <c r="D229" s="30">
        <v>74947570.600000098</v>
      </c>
      <c r="E229" s="187">
        <f t="shared" si="6"/>
        <v>1.1068049014069961</v>
      </c>
      <c r="F229" s="188">
        <v>2.7086099999999998E-2</v>
      </c>
      <c r="G229" s="189">
        <v>2.9979028240000035E-2</v>
      </c>
      <c r="H229" s="232">
        <v>1</v>
      </c>
      <c r="I229" s="275" t="str">
        <f t="shared" si="7"/>
        <v>(250, 300]</v>
      </c>
      <c r="J229" s="160">
        <v>1</v>
      </c>
      <c r="K229" s="276">
        <v>2.7456697531206045</v>
      </c>
      <c r="L229" s="188">
        <v>7.4369485499999999E-2</v>
      </c>
      <c r="M229" s="233">
        <v>74369485</v>
      </c>
      <c r="N229" s="195">
        <v>7.4369484925630516E-2</v>
      </c>
      <c r="O229" s="211">
        <v>8.2312510430801566E-2</v>
      </c>
      <c r="P229" s="1" cm="1">
        <f t="array" ref="P229:P256">2*K229:K256</f>
        <v>5.4913395062412089</v>
      </c>
      <c r="Q229" s="1">
        <v>1.1129664251999793E-2</v>
      </c>
      <c r="R229" s="272">
        <v>0.41089947434292107</v>
      </c>
    </row>
    <row r="230" spans="1:24" ht="15.6">
      <c r="A230" s="257">
        <v>300</v>
      </c>
      <c r="B230" s="258">
        <v>350</v>
      </c>
      <c r="C230" s="160">
        <v>210686</v>
      </c>
      <c r="D230" s="30">
        <v>68510199.400000021</v>
      </c>
      <c r="E230" s="187">
        <f t="shared" si="6"/>
        <v>1.3007072021871415</v>
      </c>
      <c r="F230" s="188">
        <v>2.10686E-2</v>
      </c>
      <c r="G230" s="189">
        <v>2.7404079760000009E-2</v>
      </c>
      <c r="H230" s="232">
        <v>1.2</v>
      </c>
      <c r="I230" s="124" t="str">
        <f t="shared" si="7"/>
        <v>(300, 350]</v>
      </c>
      <c r="J230" s="160">
        <v>1</v>
      </c>
      <c r="K230" s="276">
        <v>0.53127837160513747</v>
      </c>
      <c r="L230" s="188">
        <v>1.1193291499999999E-2</v>
      </c>
      <c r="M230" s="233">
        <v>11193291</v>
      </c>
      <c r="N230" s="195">
        <v>1.1193290988806708E-2</v>
      </c>
      <c r="O230" s="211">
        <v>1.4559194205317316E-2</v>
      </c>
      <c r="P230" s="1">
        <v>1.0625567432102749</v>
      </c>
      <c r="Q230" s="1">
        <v>1.6724255706989108E-3</v>
      </c>
      <c r="R230" s="272">
        <v>7.9380004874500962E-2</v>
      </c>
    </row>
    <row r="231" spans="1:24" ht="15.6">
      <c r="A231" s="257">
        <v>350</v>
      </c>
      <c r="B231" s="258">
        <v>400</v>
      </c>
      <c r="C231" s="160">
        <v>204818</v>
      </c>
      <c r="D231" s="30">
        <v>77321055.999999925</v>
      </c>
      <c r="E231" s="187">
        <f t="shared" si="6"/>
        <v>1.510044156275326</v>
      </c>
      <c r="F231" s="188">
        <v>2.0481800000000001E-2</v>
      </c>
      <c r="G231" s="189">
        <v>3.0928422399999975E-2</v>
      </c>
      <c r="H231" s="232">
        <v>1.4</v>
      </c>
      <c r="I231" s="124" t="str">
        <f t="shared" si="7"/>
        <v>(350, 400]</v>
      </c>
      <c r="J231" s="160">
        <v>1</v>
      </c>
      <c r="K231" s="276">
        <v>0.62683511703072969</v>
      </c>
      <c r="L231" s="188">
        <v>1.2838711500000001E-2</v>
      </c>
      <c r="M231" s="233">
        <v>12838711</v>
      </c>
      <c r="N231" s="195">
        <v>1.2838710987161288E-2</v>
      </c>
      <c r="O231" s="211">
        <v>1.9387020500270725E-2</v>
      </c>
      <c r="P231" s="1">
        <v>1.2536702340614594</v>
      </c>
      <c r="Q231" s="1">
        <v>1.915424125577387E-3</v>
      </c>
      <c r="R231" s="272">
        <v>9.3518349245544183E-2</v>
      </c>
    </row>
    <row r="232" spans="1:24" ht="15.6">
      <c r="A232" s="257">
        <v>400</v>
      </c>
      <c r="B232" s="258">
        <v>450</v>
      </c>
      <c r="C232" s="160">
        <v>156355</v>
      </c>
      <c r="D232" s="30">
        <v>66587933.199999914</v>
      </c>
      <c r="E232" s="187">
        <f t="shared" si="6"/>
        <v>1.7035063336637757</v>
      </c>
      <c r="F232" s="188">
        <v>1.56355E-2</v>
      </c>
      <c r="G232" s="189">
        <v>2.6635173279999966E-2</v>
      </c>
      <c r="H232" s="232">
        <v>1.6</v>
      </c>
      <c r="I232" s="124" t="str">
        <f t="shared" si="7"/>
        <v>(400, 450]</v>
      </c>
      <c r="J232" s="160">
        <v>1</v>
      </c>
      <c r="K232" s="276">
        <v>0.64032224744971378</v>
      </c>
      <c r="L232" s="188">
        <v>1.0011758500000001E-2</v>
      </c>
      <c r="M232" s="233">
        <v>10011758</v>
      </c>
      <c r="N232" s="195">
        <v>1.0011757989988242E-2</v>
      </c>
      <c r="O232" s="211">
        <v>1.7055093147053883E-2</v>
      </c>
      <c r="P232" s="1">
        <v>1.2806444948994276</v>
      </c>
      <c r="Q232" s="1">
        <v>1.4918749622586027E-3</v>
      </c>
      <c r="R232" s="272">
        <v>9.5415878114457661E-2</v>
      </c>
    </row>
    <row r="233" spans="1:24" ht="15.6">
      <c r="A233" s="257">
        <v>450</v>
      </c>
      <c r="B233" s="258">
        <v>500</v>
      </c>
      <c r="C233" s="160">
        <v>152394</v>
      </c>
      <c r="D233" s="30">
        <v>72762172.599999964</v>
      </c>
      <c r="E233" s="187">
        <f t="shared" si="6"/>
        <v>1.9098435004002772</v>
      </c>
      <c r="F233" s="188">
        <v>1.52394E-2</v>
      </c>
      <c r="G233" s="189">
        <v>2.9104869039999984E-2</v>
      </c>
      <c r="H233" s="232">
        <v>1.8</v>
      </c>
      <c r="I233" s="124" t="str">
        <f t="shared" si="7"/>
        <v>(450, 500]</v>
      </c>
      <c r="J233" s="160">
        <v>1</v>
      </c>
      <c r="K233" s="276">
        <v>0.81816367442287752</v>
      </c>
      <c r="L233" s="188">
        <v>1.24683235E-2</v>
      </c>
      <c r="M233" s="233">
        <v>12468323</v>
      </c>
      <c r="N233" s="195">
        <v>1.2468322987531677E-2</v>
      </c>
      <c r="O233" s="211">
        <v>2.3812545618628739E-2</v>
      </c>
      <c r="P233" s="1">
        <v>1.636327348845755</v>
      </c>
      <c r="Q233" s="1">
        <v>1.8558185333071217E-3</v>
      </c>
      <c r="R233" s="272">
        <v>0.1217776640357968</v>
      </c>
    </row>
    <row r="234" spans="1:24" ht="15.6">
      <c r="A234" s="257">
        <v>500</v>
      </c>
      <c r="B234" s="258">
        <v>550</v>
      </c>
      <c r="C234" s="160">
        <v>121554</v>
      </c>
      <c r="D234" s="30">
        <v>63862920.999999955</v>
      </c>
      <c r="E234" s="187">
        <f t="shared" si="6"/>
        <v>2.1015489741184976</v>
      </c>
      <c r="F234" s="188">
        <v>1.21554E-2</v>
      </c>
      <c r="G234" s="189">
        <v>2.5545168399999988E-2</v>
      </c>
      <c r="H234" s="232">
        <v>2</v>
      </c>
      <c r="I234" s="275" t="str">
        <f t="shared" si="7"/>
        <v>(500, 550]</v>
      </c>
      <c r="J234" s="160">
        <v>1</v>
      </c>
      <c r="K234" s="276">
        <v>2.9595831070964347</v>
      </c>
      <c r="L234" s="188">
        <v>3.5974916500000002E-2</v>
      </c>
      <c r="M234" s="233">
        <v>35974916</v>
      </c>
      <c r="N234" s="195">
        <v>3.5974915964025085E-2</v>
      </c>
      <c r="O234" s="211">
        <v>7.560304773819608E-2</v>
      </c>
      <c r="P234" s="1">
        <v>5.9191662141928694</v>
      </c>
      <c r="Q234" s="1">
        <v>5.3495038293716922E-3</v>
      </c>
      <c r="R234" s="272">
        <v>0.44009278422525727</v>
      </c>
    </row>
    <row r="235" spans="1:24" ht="15.6">
      <c r="A235" s="257">
        <v>550</v>
      </c>
      <c r="B235" s="258">
        <v>600</v>
      </c>
      <c r="C235" s="160">
        <v>120601</v>
      </c>
      <c r="D235" s="30">
        <v>69582214.600000024</v>
      </c>
      <c r="E235" s="187">
        <f t="shared" si="6"/>
        <v>2.30784867787166</v>
      </c>
      <c r="F235" s="188">
        <v>1.2060100000000001E-2</v>
      </c>
      <c r="G235" s="189">
        <v>2.7832885840000009E-2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1.5723805358164527</v>
      </c>
      <c r="L235" s="188">
        <v>1.89630665E-2</v>
      </c>
      <c r="M235" s="233">
        <v>18963066</v>
      </c>
      <c r="N235" s="195">
        <v>1.8963065981036933E-2</v>
      </c>
      <c r="O235" s="211">
        <v>4.3763886752729138E-2</v>
      </c>
      <c r="P235" s="1">
        <v>3.1447610716329053</v>
      </c>
      <c r="Q235" s="1">
        <v>2.8171970608689904E-3</v>
      </c>
      <c r="R235" s="272">
        <v>0.23359649263845161</v>
      </c>
    </row>
    <row r="236" spans="1:24" ht="15.6">
      <c r="A236" s="257">
        <v>600</v>
      </c>
      <c r="B236" s="258">
        <v>650</v>
      </c>
      <c r="C236" s="160">
        <v>94758</v>
      </c>
      <c r="D236" s="30">
        <v>59323339.599999979</v>
      </c>
      <c r="E236" s="187">
        <f t="shared" si="6"/>
        <v>2.5042039553388622</v>
      </c>
      <c r="F236" s="188">
        <v>9.4757999999999995E-3</v>
      </c>
      <c r="G236" s="189">
        <v>2.372933583999999E-2</v>
      </c>
      <c r="H236" s="232">
        <v>2.4</v>
      </c>
      <c r="I236" s="124" t="str">
        <f t="shared" si="7"/>
        <v>(600, 650]</v>
      </c>
      <c r="J236" s="160">
        <v>1</v>
      </c>
      <c r="K236" s="276">
        <v>1.3230445450516051</v>
      </c>
      <c r="L236" s="188">
        <v>1.2536905499999999E-2</v>
      </c>
      <c r="M236" s="233">
        <v>12536905</v>
      </c>
      <c r="N236" s="195">
        <v>1.2536904987463095E-2</v>
      </c>
      <c r="O236" s="211">
        <v>3.1394967057312595E-2</v>
      </c>
      <c r="P236" s="1">
        <v>2.6460890901032101</v>
      </c>
      <c r="Q236" s="1">
        <v>1.8609975223638686E-3</v>
      </c>
      <c r="R236" s="272">
        <v>0.19639476586292121</v>
      </c>
    </row>
    <row r="237" spans="1:24" ht="15.6">
      <c r="A237" s="257">
        <v>650</v>
      </c>
      <c r="B237" s="258">
        <v>700</v>
      </c>
      <c r="C237" s="160">
        <v>85396</v>
      </c>
      <c r="D237" s="30">
        <v>57678881.799999967</v>
      </c>
      <c r="E237" s="187">
        <f t="shared" si="6"/>
        <v>2.701713513513512</v>
      </c>
      <c r="F237" s="188">
        <v>8.5395999999999996E-3</v>
      </c>
      <c r="G237" s="189">
        <v>2.3071552719999985E-2</v>
      </c>
      <c r="H237" s="232">
        <v>2.6</v>
      </c>
      <c r="I237" s="124" t="str">
        <f t="shared" si="7"/>
        <v>(650, 700]</v>
      </c>
      <c r="J237" s="160">
        <v>1</v>
      </c>
      <c r="K237" s="276">
        <v>0.69178737879994379</v>
      </c>
      <c r="L237" s="188">
        <v>5.9075874999999995E-3</v>
      </c>
      <c r="M237" s="233">
        <v>5907587</v>
      </c>
      <c r="N237" s="195">
        <v>5.9075869940924128E-3</v>
      </c>
      <c r="O237" s="211">
        <v>1.596060761419614E-2</v>
      </c>
      <c r="P237" s="1">
        <v>1.3835747575998876</v>
      </c>
      <c r="Q237" s="1">
        <v>8.762685323830589E-4</v>
      </c>
      <c r="R237" s="272">
        <v>0.10261236268479307</v>
      </c>
    </row>
    <row r="238" spans="1:24" ht="15.6">
      <c r="A238" s="257">
        <v>700</v>
      </c>
      <c r="B238" s="258">
        <v>750</v>
      </c>
      <c r="C238" s="160">
        <v>76808</v>
      </c>
      <c r="D238" s="30">
        <v>55699140.799999975</v>
      </c>
      <c r="E238" s="187">
        <f t="shared" si="6"/>
        <v>2.9006947609623981</v>
      </c>
      <c r="F238" s="188">
        <v>7.6807999999999998E-3</v>
      </c>
      <c r="G238" s="189">
        <v>2.2279656319999987E-2</v>
      </c>
      <c r="H238" s="232">
        <v>2.8</v>
      </c>
      <c r="I238" s="124" t="str">
        <f t="shared" si="7"/>
        <v>(700, 750]</v>
      </c>
      <c r="J238" s="160">
        <v>1</v>
      </c>
      <c r="K238" s="276">
        <v>0.65099970055202583</v>
      </c>
      <c r="L238" s="188">
        <v>5.0001984999999997E-3</v>
      </c>
      <c r="M238" s="233">
        <v>5000198</v>
      </c>
      <c r="N238" s="195">
        <v>5.0001979949998018E-3</v>
      </c>
      <c r="O238" s="211">
        <v>1.4504048127870612E-2</v>
      </c>
      <c r="P238" s="1">
        <v>1.3019994011040517</v>
      </c>
      <c r="Q238" s="1">
        <v>7.4115146154725073E-4</v>
      </c>
      <c r="R238" s="272">
        <v>9.6494045092601136E-2</v>
      </c>
    </row>
    <row r="239" spans="1:24" ht="15.6">
      <c r="A239" s="257">
        <v>750</v>
      </c>
      <c r="B239" s="258">
        <v>800</v>
      </c>
      <c r="C239" s="160">
        <v>84010</v>
      </c>
      <c r="D239" s="30">
        <v>65537446.399999969</v>
      </c>
      <c r="E239" s="187">
        <f t="shared" si="6"/>
        <v>3.1204592977026531</v>
      </c>
      <c r="F239" s="188">
        <v>8.4010000000000005E-3</v>
      </c>
      <c r="G239" s="189">
        <v>2.6214978559999991E-2</v>
      </c>
      <c r="H239" s="232">
        <v>3</v>
      </c>
      <c r="I239" s="124" t="str">
        <f t="shared" si="7"/>
        <v>(750, 800]</v>
      </c>
      <c r="J239" s="160">
        <v>1</v>
      </c>
      <c r="K239" s="276">
        <v>0.97964272110463035</v>
      </c>
      <c r="L239" s="188">
        <v>8.2299785000000004E-3</v>
      </c>
      <c r="M239" s="233">
        <v>8229978</v>
      </c>
      <c r="N239" s="195">
        <v>8.2299779917700214E-3</v>
      </c>
      <c r="O239" s="211">
        <v>2.5681311344306974E-2</v>
      </c>
      <c r="P239" s="1">
        <v>1.9592854422092607</v>
      </c>
      <c r="Q239" s="1">
        <v>1.2189966059970045E-3</v>
      </c>
      <c r="R239" s="272">
        <v>0.1451013695985007</v>
      </c>
    </row>
    <row r="240" spans="1:24" ht="15.6">
      <c r="A240" s="257">
        <v>800</v>
      </c>
      <c r="B240" s="258">
        <v>850</v>
      </c>
      <c r="C240" s="160">
        <v>63120</v>
      </c>
      <c r="D240" s="30">
        <v>52122811.199999981</v>
      </c>
      <c r="E240" s="187">
        <f t="shared" si="6"/>
        <v>3.3030932319391622</v>
      </c>
      <c r="F240" s="188">
        <v>6.3119999999999999E-3</v>
      </c>
      <c r="G240" s="189">
        <v>2.0849124479999991E-2</v>
      </c>
      <c r="H240" s="232">
        <v>3.2</v>
      </c>
      <c r="I240" s="124" t="str">
        <f t="shared" si="7"/>
        <v>(800, 850]</v>
      </c>
      <c r="J240" s="160">
        <v>1</v>
      </c>
      <c r="K240" s="276">
        <v>0.73191848859315589</v>
      </c>
      <c r="L240" s="188">
        <v>4.6198695000000001E-3</v>
      </c>
      <c r="M240" s="233">
        <v>4619869</v>
      </c>
      <c r="N240" s="195">
        <v>4.6198689953801308E-3</v>
      </c>
      <c r="O240" s="211">
        <v>1.5259858011085687E-2</v>
      </c>
      <c r="P240" s="1">
        <v>1.4638369771863118</v>
      </c>
      <c r="Q240" s="1">
        <v>6.8389177127303735E-4</v>
      </c>
      <c r="R240" s="272">
        <v>0.10834787250840262</v>
      </c>
    </row>
    <row r="241" spans="1:19" ht="15.6">
      <c r="A241" s="257">
        <v>850</v>
      </c>
      <c r="B241" s="258">
        <v>900</v>
      </c>
      <c r="C241" s="160">
        <v>60332</v>
      </c>
      <c r="D241" s="30">
        <v>52859319.199999996</v>
      </c>
      <c r="E241" s="187">
        <f t="shared" si="6"/>
        <v>3.5045626997281705</v>
      </c>
      <c r="F241" s="188">
        <v>6.0331999999999998E-3</v>
      </c>
      <c r="G241" s="189">
        <v>2.1143727679999998E-2</v>
      </c>
      <c r="H241" s="232">
        <v>3.4</v>
      </c>
      <c r="I241" s="124" t="str">
        <f t="shared" si="7"/>
        <v>(850, 900]</v>
      </c>
      <c r="J241" s="160">
        <v>1</v>
      </c>
      <c r="K241" s="276">
        <v>0.7447130047072863</v>
      </c>
      <c r="L241" s="188">
        <v>4.4930024999999991E-3</v>
      </c>
      <c r="M241" s="233">
        <v>4493002</v>
      </c>
      <c r="N241" s="195">
        <v>4.493001995506998E-3</v>
      </c>
      <c r="O241" s="211">
        <v>1.5746007203258063E-2</v>
      </c>
      <c r="P241" s="1">
        <v>1.4894260094145726</v>
      </c>
      <c r="Q241" s="1">
        <v>6.6471945033239174E-4</v>
      </c>
      <c r="R241" s="272">
        <v>0.11017692937949873</v>
      </c>
    </row>
    <row r="242" spans="1:19" ht="15.6">
      <c r="A242" s="257">
        <v>900</v>
      </c>
      <c r="B242" s="258">
        <v>950</v>
      </c>
      <c r="C242" s="160">
        <v>52733</v>
      </c>
      <c r="D242" s="30">
        <v>48781414.00000003</v>
      </c>
      <c r="E242" s="187">
        <f t="shared" si="6"/>
        <v>3.7002570686287548</v>
      </c>
      <c r="F242" s="188">
        <v>5.2732999999999999E-3</v>
      </c>
      <c r="G242" s="189">
        <v>1.9512565600000011E-2</v>
      </c>
      <c r="H242" s="232">
        <v>3.6</v>
      </c>
      <c r="I242" s="124" t="str">
        <f t="shared" si="7"/>
        <v>(900, 950]</v>
      </c>
      <c r="J242" s="160">
        <v>1</v>
      </c>
      <c r="K242" s="276">
        <v>0.65509330021049439</v>
      </c>
      <c r="L242" s="188">
        <v>3.4545035E-3</v>
      </c>
      <c r="M242" s="233">
        <v>3454503</v>
      </c>
      <c r="N242" s="195">
        <v>3.4545029965454971E-3</v>
      </c>
      <c r="O242" s="211">
        <v>1.2782549131566691E-2</v>
      </c>
      <c r="P242" s="1">
        <v>1.3101866004209888</v>
      </c>
      <c r="Q242" s="1">
        <v>5.1080162542589203E-4</v>
      </c>
      <c r="R242" s="272">
        <v>9.6865648725824829E-2</v>
      </c>
    </row>
    <row r="243" spans="1:19" ht="15.6">
      <c r="A243" s="257">
        <v>950</v>
      </c>
      <c r="B243" s="258">
        <v>1000</v>
      </c>
      <c r="C243" s="160">
        <v>62371</v>
      </c>
      <c r="D243" s="30">
        <v>61160234.79999996</v>
      </c>
      <c r="E243" s="187">
        <f t="shared" si="6"/>
        <v>3.922350759166918</v>
      </c>
      <c r="F243" s="188">
        <v>6.2370999999999998E-3</v>
      </c>
      <c r="G243" s="189">
        <v>2.4464093919999982E-2</v>
      </c>
      <c r="H243" s="232">
        <v>3.8</v>
      </c>
      <c r="I243" s="124" t="str">
        <f t="shared" si="7"/>
        <v>(950, 1000]</v>
      </c>
      <c r="J243" s="160">
        <v>1</v>
      </c>
      <c r="K243" s="276">
        <v>1.0116983053021436</v>
      </c>
      <c r="L243" s="188">
        <v>6.3100634999999992E-3</v>
      </c>
      <c r="M243" s="233">
        <v>6310063</v>
      </c>
      <c r="N243" s="195">
        <v>6.3100629936899367E-3</v>
      </c>
      <c r="O243" s="211">
        <v>2.47502803736908E-2</v>
      </c>
      <c r="P243" s="1">
        <v>2.0233966106042871</v>
      </c>
      <c r="Q243" s="1">
        <v>9.3249869117555866E-4</v>
      </c>
      <c r="R243" s="272">
        <v>0.14950837587589724</v>
      </c>
    </row>
    <row r="244" spans="1:19" ht="15.6">
      <c r="A244" s="257">
        <v>1000</v>
      </c>
      <c r="B244" s="258">
        <v>2000</v>
      </c>
      <c r="C244" s="160">
        <v>546269</v>
      </c>
      <c r="D244" s="30">
        <v>768844007.19999468</v>
      </c>
      <c r="E244" s="187">
        <f t="shared" si="6"/>
        <v>5.6297831815460491</v>
      </c>
      <c r="F244" s="188">
        <v>5.4626899999999999E-2</v>
      </c>
      <c r="G244" s="189">
        <v>0.30753760287999787</v>
      </c>
      <c r="H244" s="232">
        <v>4</v>
      </c>
      <c r="I244" s="275" t="str">
        <f t="shared" si="7"/>
        <v>(1000, 2000]</v>
      </c>
      <c r="J244" s="160">
        <v>1</v>
      </c>
      <c r="K244" s="276">
        <v>0.28827761597308288</v>
      </c>
      <c r="L244" s="188">
        <v>1.57477125E-2</v>
      </c>
      <c r="M244" s="233">
        <v>15747712</v>
      </c>
      <c r="N244" s="195">
        <v>1.5747711984252288E-2</v>
      </c>
      <c r="O244" s="211">
        <v>8.86562040767747E-2</v>
      </c>
      <c r="P244" s="1">
        <v>0.57655523194616576</v>
      </c>
      <c r="Q244" s="1">
        <v>2.3188292455711568E-3</v>
      </c>
      <c r="R244" s="272">
        <v>4.2448486836543113E-2</v>
      </c>
    </row>
    <row r="245" spans="1:19" ht="15.6">
      <c r="A245" s="257">
        <v>2000</v>
      </c>
      <c r="B245" s="258">
        <v>3000</v>
      </c>
      <c r="C245" s="160">
        <v>197322</v>
      </c>
      <c r="D245" s="30">
        <v>482021930.7999993</v>
      </c>
      <c r="E245" s="187">
        <f t="shared" si="6"/>
        <v>9.7712760016622422</v>
      </c>
      <c r="F245" s="188">
        <v>1.9732199999999998E-2</v>
      </c>
      <c r="G245" s="189">
        <v>0.19280877231999968</v>
      </c>
      <c r="H245" s="232">
        <v>8</v>
      </c>
      <c r="I245" s="124" t="str">
        <f t="shared" si="7"/>
        <v>(2000, 3000]</v>
      </c>
      <c r="J245" s="160">
        <v>1</v>
      </c>
      <c r="K245" s="276">
        <v>8.3264182402367701E-2</v>
      </c>
      <c r="L245" s="188">
        <v>1.6429854999999998E-3</v>
      </c>
      <c r="M245" s="233">
        <v>1642985</v>
      </c>
      <c r="N245" s="195">
        <v>1.642984998357015E-3</v>
      </c>
      <c r="O245" s="211">
        <v>1.605405988553698E-2</v>
      </c>
      <c r="P245" s="1">
        <v>0.1665283648047354</v>
      </c>
      <c r="Q245" s="1">
        <v>2.4060234572901006E-4</v>
      </c>
      <c r="R245" s="272">
        <v>1.2193386734829876E-2</v>
      </c>
    </row>
    <row r="246" spans="1:19" ht="15.6">
      <c r="A246" s="257">
        <v>3000</v>
      </c>
      <c r="B246" s="258">
        <v>4000</v>
      </c>
      <c r="C246" s="160">
        <v>97210</v>
      </c>
      <c r="D246" s="30">
        <v>336858485.00000012</v>
      </c>
      <c r="E246" s="187">
        <f t="shared" si="6"/>
        <v>13.861063059356038</v>
      </c>
      <c r="F246" s="188">
        <v>9.7210000000000005E-3</v>
      </c>
      <c r="G246" s="189">
        <v>0.13474339400000004</v>
      </c>
      <c r="H246" s="232">
        <v>12</v>
      </c>
      <c r="I246" s="124" t="str">
        <f t="shared" si="7"/>
        <v>(3000, 4000]</v>
      </c>
      <c r="J246" s="160">
        <v>1</v>
      </c>
      <c r="K246" s="276">
        <v>0.1371709186297706</v>
      </c>
      <c r="L246" s="188">
        <v>1.3334385000000001E-3</v>
      </c>
      <c r="M246" s="233">
        <v>1333438</v>
      </c>
      <c r="N246" s="195">
        <v>1.333437998666562E-3</v>
      </c>
      <c r="O246" s="211">
        <v>1.8482868185258728E-2</v>
      </c>
      <c r="P246" s="1">
        <v>0.2743418372595412</v>
      </c>
      <c r="Q246" s="1">
        <v>1.9459292360516313E-4</v>
      </c>
      <c r="R246" s="272">
        <v>2.0017788664248855E-2</v>
      </c>
    </row>
    <row r="247" spans="1:19" ht="15.6">
      <c r="A247" s="257">
        <v>4000</v>
      </c>
      <c r="B247" s="258">
        <v>5000</v>
      </c>
      <c r="C247" s="160">
        <v>57317</v>
      </c>
      <c r="D247" s="30">
        <v>255946276.19999993</v>
      </c>
      <c r="E247" s="187">
        <f t="shared" si="6"/>
        <v>17.861805481794228</v>
      </c>
      <c r="F247" s="188">
        <v>5.7317000000000002E-3</v>
      </c>
      <c r="G247" s="189">
        <v>0.10237851047999998</v>
      </c>
      <c r="H247" s="232">
        <v>16</v>
      </c>
      <c r="I247" s="124" t="str">
        <f t="shared" si="7"/>
        <v>(4000, 5000]</v>
      </c>
      <c r="J247" s="160">
        <v>1</v>
      </c>
      <c r="K247" s="276">
        <v>0.185442102692046</v>
      </c>
      <c r="L247" s="188">
        <v>1.0628985E-3</v>
      </c>
      <c r="M247" s="233">
        <v>1062898</v>
      </c>
      <c r="N247" s="195">
        <v>1.062897998937102E-3</v>
      </c>
      <c r="O247" s="211">
        <v>1.8985277304002846E-2</v>
      </c>
      <c r="P247" s="1">
        <v>0.370884205384092</v>
      </c>
      <c r="Q247" s="1">
        <v>1.5472097419784935E-4</v>
      </c>
      <c r="R247" s="272">
        <v>2.6993906554399105E-2</v>
      </c>
    </row>
    <row r="248" spans="1:19" ht="15.6">
      <c r="A248" s="257">
        <v>5000</v>
      </c>
      <c r="B248" s="258">
        <v>6000</v>
      </c>
      <c r="C248" s="160">
        <v>35366</v>
      </c>
      <c r="D248" s="30">
        <v>193603703.4000001</v>
      </c>
      <c r="E248" s="187">
        <f t="shared" si="6"/>
        <v>21.897155844596515</v>
      </c>
      <c r="F248" s="188">
        <v>3.5366E-3</v>
      </c>
      <c r="G248" s="189">
        <v>7.7441481360000036E-2</v>
      </c>
      <c r="H248" s="232">
        <v>20</v>
      </c>
      <c r="I248" s="124" t="str">
        <f t="shared" si="7"/>
        <v>(5000, 6000]</v>
      </c>
      <c r="J248" s="160">
        <v>1</v>
      </c>
      <c r="K248" s="276">
        <v>9.9929169258609965E-2</v>
      </c>
      <c r="L248" s="188">
        <v>3.5340950000000001E-4</v>
      </c>
      <c r="M248" s="233">
        <v>353409</v>
      </c>
      <c r="N248" s="195">
        <v>3.5340899964659102E-4</v>
      </c>
      <c r="O248" s="211">
        <v>7.7386519421443582E-3</v>
      </c>
      <c r="P248" s="1">
        <v>0.19985833851721993</v>
      </c>
      <c r="Q248" s="1">
        <v>5.1339773931655664E-5</v>
      </c>
      <c r="R248" s="272">
        <v>1.4516703594315349E-2</v>
      </c>
    </row>
    <row r="249" spans="1:19" ht="15.6">
      <c r="A249" s="257">
        <v>6000</v>
      </c>
      <c r="B249" s="258">
        <v>7000</v>
      </c>
      <c r="C249" s="160">
        <v>22632</v>
      </c>
      <c r="D249" s="30">
        <v>146259233.40000004</v>
      </c>
      <c r="E249" s="187">
        <f t="shared" si="6"/>
        <v>25.849988229056208</v>
      </c>
      <c r="F249" s="188">
        <v>2.2631999999999999E-3</v>
      </c>
      <c r="G249" s="189">
        <v>5.8503693360000011E-2</v>
      </c>
      <c r="H249" s="232">
        <v>24</v>
      </c>
      <c r="I249" s="124" t="str">
        <f t="shared" si="7"/>
        <v>(6000, 7000]</v>
      </c>
      <c r="J249" s="160">
        <v>1</v>
      </c>
      <c r="K249" s="276">
        <v>0.14783028455284553</v>
      </c>
      <c r="L249" s="188">
        <v>3.3456950000000001E-4</v>
      </c>
      <c r="M249" s="233">
        <v>334569</v>
      </c>
      <c r="N249" s="195">
        <v>3.3456899966543099E-4</v>
      </c>
      <c r="O249" s="211">
        <v>8.6486047031585009E-3</v>
      </c>
      <c r="P249" s="1">
        <v>0.29566056910569105</v>
      </c>
      <c r="Q249" s="1">
        <v>4.8522573340460124E-5</v>
      </c>
      <c r="R249" s="272">
        <v>2.1439807944706665E-2</v>
      </c>
    </row>
    <row r="250" spans="1:19" ht="15.6">
      <c r="A250" s="257">
        <v>7000</v>
      </c>
      <c r="B250" s="258">
        <v>8000</v>
      </c>
      <c r="C250" s="160">
        <v>14788</v>
      </c>
      <c r="D250" s="30">
        <v>110544752.80000003</v>
      </c>
      <c r="E250" s="187">
        <f t="shared" si="6"/>
        <v>29.901204436029222</v>
      </c>
      <c r="F250" s="188">
        <v>1.4787999999999999E-3</v>
      </c>
      <c r="G250" s="189">
        <v>4.4217901120000014E-2</v>
      </c>
      <c r="H250" s="232">
        <v>28</v>
      </c>
      <c r="I250" s="124" t="str">
        <f t="shared" si="7"/>
        <v>(7000, 8000]</v>
      </c>
      <c r="J250" s="160">
        <v>1</v>
      </c>
      <c r="K250" s="276">
        <v>0.21120131187449284</v>
      </c>
      <c r="L250" s="188">
        <v>3.1232450000000001E-4</v>
      </c>
      <c r="M250" s="233">
        <v>312324</v>
      </c>
      <c r="N250" s="195">
        <v>3.1232399968767599E-4</v>
      </c>
      <c r="O250" s="211">
        <v>9.338863764939526E-3</v>
      </c>
      <c r="P250" s="1">
        <v>0.42240262374898568</v>
      </c>
      <c r="Q250" s="1">
        <v>4.5230985118384998E-5</v>
      </c>
      <c r="R250" s="272">
        <v>3.058627611467744E-2</v>
      </c>
    </row>
    <row r="251" spans="1:19" ht="15.6">
      <c r="A251" s="257">
        <v>8000</v>
      </c>
      <c r="B251" s="258">
        <v>9000</v>
      </c>
      <c r="C251" s="160">
        <v>9602</v>
      </c>
      <c r="D251" s="30">
        <v>81309852.400000021</v>
      </c>
      <c r="E251" s="187">
        <f t="shared" si="6"/>
        <v>33.872048489897942</v>
      </c>
      <c r="F251" s="188">
        <v>9.6020000000000003E-4</v>
      </c>
      <c r="G251" s="189">
        <v>3.2523940960000004E-2</v>
      </c>
      <c r="H251" s="232">
        <v>32</v>
      </c>
      <c r="I251" s="124" t="str">
        <f t="shared" si="7"/>
        <v>(8000, 9000]</v>
      </c>
      <c r="J251" s="160">
        <v>1</v>
      </c>
      <c r="K251" s="276">
        <v>0</v>
      </c>
      <c r="L251" s="188">
        <v>0</v>
      </c>
      <c r="M251" s="233">
        <v>0</v>
      </c>
      <c r="N251" s="195">
        <v>0</v>
      </c>
      <c r="O251" s="211">
        <v>0</v>
      </c>
      <c r="P251" s="198">
        <v>0</v>
      </c>
      <c r="Q251" s="198">
        <v>3.6435176505648529E-5</v>
      </c>
      <c r="R251" s="272">
        <v>3.7945403567640625E-2</v>
      </c>
      <c r="S251" s="182"/>
    </row>
    <row r="252" spans="1:19" ht="15.6">
      <c r="A252" s="257">
        <v>9000</v>
      </c>
      <c r="B252" s="258">
        <v>10000</v>
      </c>
      <c r="C252" s="160">
        <v>6515</v>
      </c>
      <c r="D252" s="30">
        <v>61714662.799999997</v>
      </c>
      <c r="E252" s="187">
        <f t="shared" si="6"/>
        <v>37.890813691481199</v>
      </c>
      <c r="F252" s="188">
        <v>6.5149999999999995E-4</v>
      </c>
      <c r="G252" s="189">
        <v>2.4685865120000001E-2</v>
      </c>
      <c r="H252" s="232">
        <v>36</v>
      </c>
      <c r="I252" s="124" t="str">
        <f t="shared" si="7"/>
        <v>(9000, 10000]</v>
      </c>
      <c r="J252" s="160">
        <v>1</v>
      </c>
      <c r="K252" s="276">
        <v>0</v>
      </c>
      <c r="L252" s="188">
        <v>0</v>
      </c>
      <c r="M252" s="233">
        <v>0</v>
      </c>
      <c r="N252" s="195">
        <v>0</v>
      </c>
      <c r="O252" s="211">
        <v>0</v>
      </c>
      <c r="P252" s="198">
        <v>0</v>
      </c>
      <c r="Q252" s="198">
        <v>1.1525633621686288E-5</v>
      </c>
      <c r="R252" s="272">
        <v>1.7690918836049563E-2</v>
      </c>
      <c r="S252" s="182"/>
    </row>
    <row r="253" spans="1:19" ht="15.6">
      <c r="A253" s="257">
        <v>10000</v>
      </c>
      <c r="B253" s="258">
        <v>20000</v>
      </c>
      <c r="C253" s="160">
        <v>13944</v>
      </c>
      <c r="D253" s="30">
        <v>175255105.80000001</v>
      </c>
      <c r="E253" s="187">
        <f t="shared" si="6"/>
        <v>50.273983304647167</v>
      </c>
      <c r="F253" s="188">
        <v>1.3944000000000001E-3</v>
      </c>
      <c r="G253" s="189">
        <v>7.0102042320000016E-2</v>
      </c>
      <c r="H253" s="232">
        <v>40</v>
      </c>
      <c r="I253" s="275" t="str">
        <f t="shared" si="7"/>
        <v>(10000, 20000]</v>
      </c>
      <c r="J253" s="160">
        <v>1</v>
      </c>
      <c r="K253" s="276">
        <v>0.1501351835915089</v>
      </c>
      <c r="L253" s="188">
        <v>2.0934850000000002E-4</v>
      </c>
      <c r="M253" s="233">
        <v>209348</v>
      </c>
      <c r="N253" s="195">
        <v>2.0934799979065199E-4</v>
      </c>
      <c r="O253" s="211">
        <v>1.0524757846336517E-2</v>
      </c>
      <c r="P253" s="198">
        <v>0.30027036718301781</v>
      </c>
      <c r="Q253" s="198">
        <v>3.0161344925913713E-5</v>
      </c>
      <c r="R253" s="272">
        <v>2.163033916086755E-2</v>
      </c>
      <c r="S253" s="182"/>
    </row>
    <row r="254" spans="1:19" ht="15.6">
      <c r="A254" s="257">
        <v>20000</v>
      </c>
      <c r="B254" s="258">
        <v>30000</v>
      </c>
      <c r="C254" s="160">
        <v>589</v>
      </c>
      <c r="D254" s="30">
        <v>13534603.000000002</v>
      </c>
      <c r="E254" s="187">
        <f t="shared" si="6"/>
        <v>91.915809847198645</v>
      </c>
      <c r="F254" s="188">
        <v>5.8900000000000002E-5</v>
      </c>
      <c r="G254" s="189">
        <v>5.4138412E-3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84</v>
      </c>
      <c r="D255" s="30">
        <v>3029209</v>
      </c>
      <c r="E255" s="187">
        <f t="shared" si="6"/>
        <v>144.24804761904761</v>
      </c>
      <c r="F255" s="188">
        <v>8.3999999999999992E-6</v>
      </c>
      <c r="G255" s="189">
        <v>1.2116835999999998E-3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 t="e">
        <f>1/N251</f>
        <v>#DIV/0!</v>
      </c>
      <c r="O257" s="10">
        <f>SUM(O240:O250)</f>
        <v>0.23644322458141689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47.626570396857446</v>
      </c>
      <c r="O259" s="220" cm="1">
        <f t="array" ref="O259:O260">N261/N259:N260</f>
        <v>293.95356170604646</v>
      </c>
    </row>
    <row r="260" spans="13:15" ht="16.8" thickBot="1">
      <c r="M260" s="124" t="s">
        <v>179</v>
      </c>
      <c r="N260" s="218" t="e">
        <f>1/SUM(N257)</f>
        <v>#DIV/0!</v>
      </c>
      <c r="O260" s="220" t="e">
        <v>#DIV/0!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2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8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196"/>
  <sheetViews>
    <sheetView topLeftCell="G1" zoomScale="70" zoomScaleNormal="70" workbookViewId="0">
      <selection activeCell="L27" sqref="L27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0.92999982272206894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 cm="1">
        <f t="array" ref="H4:H18">18*(K4:K18/SUM(K4:K18))</f>
        <v>2.0136394797498487</v>
      </c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0.24247270000000001</v>
      </c>
      <c r="L4" s="185" cm="1">
        <f t="array" ref="L4:L61">K4:K61*_xlfn.ANCHORARRAY(J4)*_xlfn.ANCHORARRAY(F4)</f>
        <v>0.19283258560521502</v>
      </c>
      <c r="M4" s="240" cm="1">
        <f t="array" ref="M4:M61">INT(_xlfn.ANCHORARRAY(L4)*$M$2)</f>
        <v>192832585</v>
      </c>
      <c r="N4" s="194" cm="1">
        <f t="array" ref="N4:N61">_xlfn.ANCHORARRAY(M4)/SUM(_xlfn.ANCHORARRAY(M4))</f>
        <v>0.89809833545203077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>
        <v>0.83046028676624162</v>
      </c>
      <c r="I5" s="124" t="str">
        <f t="shared" ref="I5:I61" si="1">"("&amp;$A5&amp;", "&amp;$B5&amp;"]"</f>
        <v>(0, 1]</v>
      </c>
      <c r="J5" s="160">
        <v>1</v>
      </c>
      <c r="K5" s="234">
        <v>0.1</v>
      </c>
      <c r="L5" s="188">
        <v>1.2210300000000001E-3</v>
      </c>
      <c r="M5" s="233">
        <v>1221030</v>
      </c>
      <c r="N5" s="195">
        <v>5.6868241979797819E-3</v>
      </c>
      <c r="O5" s="211">
        <v>4.2690298981092386E-3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>
        <v>0.83046028676624162</v>
      </c>
      <c r="I6" s="214" t="str">
        <f t="shared" si="1"/>
        <v>(1, 2]</v>
      </c>
      <c r="J6" s="160">
        <v>1</v>
      </c>
      <c r="K6" s="234">
        <v>0.1</v>
      </c>
      <c r="L6" s="188">
        <v>1.9835809999999999E-3</v>
      </c>
      <c r="M6" s="233">
        <v>1983581</v>
      </c>
      <c r="N6" s="195">
        <v>9.2383286483157124E-3</v>
      </c>
      <c r="O6" s="211">
        <v>1.5862748791630781E-2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>
        <v>0.83046028676624162</v>
      </c>
      <c r="I7" s="124" t="str">
        <f t="shared" si="1"/>
        <v>(2, 3]</v>
      </c>
      <c r="J7" s="160">
        <v>1</v>
      </c>
      <c r="K7" s="234">
        <v>0.1</v>
      </c>
      <c r="L7" s="188">
        <v>1.4004020000000002E-3</v>
      </c>
      <c r="M7" s="233">
        <v>1400402</v>
      </c>
      <c r="N7" s="195">
        <v>6.5222312150391747E-3</v>
      </c>
      <c r="O7" s="211">
        <v>1.7935528050756485E-2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>
        <v>0.83046028676624162</v>
      </c>
      <c r="I8" s="124" t="str">
        <f t="shared" si="1"/>
        <v>(3, 4]</v>
      </c>
      <c r="J8" s="160">
        <v>1</v>
      </c>
      <c r="K8" s="234">
        <v>0.1</v>
      </c>
      <c r="L8" s="188">
        <v>1.843384E-3</v>
      </c>
      <c r="M8" s="233">
        <v>1843384</v>
      </c>
      <c r="N8" s="195">
        <v>8.5853752466104535E-3</v>
      </c>
      <c r="O8" s="211">
        <v>3.1751198975245483E-2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>
        <v>0.83046028676624162</v>
      </c>
      <c r="I9" s="124" t="str">
        <f t="shared" si="1"/>
        <v>(4, 5]</v>
      </c>
      <c r="J9" s="160">
        <v>1</v>
      </c>
      <c r="K9" s="234">
        <v>0.1</v>
      </c>
      <c r="L9" s="188">
        <v>1.2610390000000003E-3</v>
      </c>
      <c r="M9" s="233">
        <v>1261039</v>
      </c>
      <c r="N9" s="195">
        <v>5.873162084302783E-3</v>
      </c>
      <c r="O9" s="211">
        <v>2.8222784047397871E-2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>
        <v>0.83046028676624162</v>
      </c>
      <c r="I10" s="124" t="str">
        <f t="shared" si="1"/>
        <v>(5, 6]</v>
      </c>
      <c r="J10" s="160">
        <v>1</v>
      </c>
      <c r="K10" s="234">
        <v>0.1</v>
      </c>
      <c r="L10" s="188">
        <v>1.254493E-3</v>
      </c>
      <c r="M10" s="233">
        <v>1254493</v>
      </c>
      <c r="N10" s="195">
        <v>5.8426747488564993E-3</v>
      </c>
      <c r="O10" s="211">
        <v>3.4775715906768666E-2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>
        <v>0.83046028676624162</v>
      </c>
      <c r="I11" s="124" t="str">
        <f t="shared" si="1"/>
        <v>(6, 7]</v>
      </c>
      <c r="J11" s="160">
        <v>1</v>
      </c>
      <c r="K11" s="234">
        <v>0.1</v>
      </c>
      <c r="L11" s="188">
        <v>3.1603700000000002E-4</v>
      </c>
      <c r="M11" s="233">
        <v>316037</v>
      </c>
      <c r="N11" s="195">
        <v>1.471910484637508E-3</v>
      </c>
      <c r="O11" s="211">
        <v>9.6087521026876777E-3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>
        <v>2.0761507169156039</v>
      </c>
      <c r="I12" s="214" t="str">
        <f t="shared" si="1"/>
        <v>(7, 8]</v>
      </c>
      <c r="J12" s="160">
        <v>1</v>
      </c>
      <c r="K12" s="234">
        <v>0.25</v>
      </c>
      <c r="L12" s="188">
        <v>3.2910125E-3</v>
      </c>
      <c r="M12" s="233">
        <v>3291012</v>
      </c>
      <c r="N12" s="195">
        <v>1.532755679831113E-2</v>
      </c>
      <c r="O12" s="211">
        <v>0.11823301962825722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>
        <v>1.038075358457802</v>
      </c>
      <c r="I13" s="124" t="str">
        <f t="shared" si="1"/>
        <v>(8, 9]</v>
      </c>
      <c r="J13" s="160">
        <v>1</v>
      </c>
      <c r="K13" s="234">
        <v>0.125</v>
      </c>
      <c r="L13" s="188">
        <v>7.1771124999999998E-4</v>
      </c>
      <c r="M13" s="233">
        <v>717711</v>
      </c>
      <c r="N13" s="195">
        <v>3.342666668268812E-3</v>
      </c>
      <c r="O13" s="211">
        <v>2.9819470308694803E-2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>
        <v>1.038075358457802</v>
      </c>
      <c r="I14" s="124" t="str">
        <f t="shared" si="1"/>
        <v>(9, 10]</v>
      </c>
      <c r="J14" s="160">
        <v>1</v>
      </c>
      <c r="K14" s="234">
        <v>0.125</v>
      </c>
      <c r="L14" s="188">
        <v>8.9229999999999995E-4</v>
      </c>
      <c r="M14" s="233">
        <v>892300</v>
      </c>
      <c r="N14" s="195">
        <v>4.1557973447477617E-3</v>
      </c>
      <c r="O14" s="211">
        <v>4.0520151201907537E-2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>
        <v>2.0761507169156039</v>
      </c>
      <c r="I15" s="214" t="str">
        <f t="shared" si="1"/>
        <v>(10, 15]</v>
      </c>
      <c r="J15" s="160">
        <v>1</v>
      </c>
      <c r="K15" s="234">
        <v>0.25</v>
      </c>
      <c r="L15" s="188">
        <v>4.4775774999999997E-3</v>
      </c>
      <c r="M15" s="233">
        <v>4477577</v>
      </c>
      <c r="N15" s="195">
        <v>2.0853863731372463E-2</v>
      </c>
      <c r="O15" s="211">
        <v>0.2654882982450637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>
        <v>0.83046028676624162</v>
      </c>
      <c r="I16" s="124" t="str">
        <f t="shared" si="1"/>
        <v>(15, 20]</v>
      </c>
      <c r="J16" s="160">
        <v>1</v>
      </c>
      <c r="K16" s="234">
        <v>0.1</v>
      </c>
      <c r="L16" s="188">
        <v>1.124732E-3</v>
      </c>
      <c r="M16" s="233">
        <v>1124732</v>
      </c>
      <c r="N16" s="195">
        <v>5.2383259656537482E-3</v>
      </c>
      <c r="O16" s="211">
        <v>9.3492542986840232E-2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>
        <v>2.0761507169156039</v>
      </c>
      <c r="I17" s="124" t="str">
        <f t="shared" si="1"/>
        <v>(20, 25]</v>
      </c>
      <c r="J17" s="160">
        <v>1</v>
      </c>
      <c r="K17" s="234">
        <v>0.25</v>
      </c>
      <c r="L17" s="188">
        <v>1.5549674999999999E-3</v>
      </c>
      <c r="M17" s="233">
        <v>1554967</v>
      </c>
      <c r="N17" s="195">
        <v>7.2421021290713806E-3</v>
      </c>
      <c r="O17" s="211">
        <v>0.1683374125996536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>
        <v>1.038075358457802</v>
      </c>
      <c r="I18" s="124" t="str">
        <f t="shared" si="1"/>
        <v>(25, 30]</v>
      </c>
      <c r="J18" s="160">
        <v>1</v>
      </c>
      <c r="K18" s="234">
        <v>0.125</v>
      </c>
      <c r="L18" s="188">
        <v>5.4125625000000003E-4</v>
      </c>
      <c r="M18" s="233">
        <v>541256</v>
      </c>
      <c r="N18" s="195">
        <v>2.5208452848019666E-3</v>
      </c>
      <c r="O18" s="211">
        <v>7.1683169979055564E-2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0.92999953614086428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79527545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232" cm="1">
        <f t="array" ref="H69:H126">A69:A126/1.5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1.3017829999999999</v>
      </c>
      <c r="L69" s="185" cm="1">
        <f t="array" ref="L69:L126">K69:K126*_xlfn.ANCHORARRAY(J69)*_xlfn.ANCHORARRAY(F69)</f>
        <v>1.0352760611273499</v>
      </c>
      <c r="M69" s="207" cm="1">
        <f t="array" ref="M69:M126">INT(_xlfn.ANCHORARRAY(L69)*$M$2)</f>
        <v>1035276061</v>
      </c>
      <c r="N69" s="194" cm="1">
        <f t="array" ref="N69:N126">_xlfn.ANCHORARRAY(M69)/SUM(_xlfn.ANCHORARRAY(M69))</f>
        <v>0.86683460079628816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232">
        <v>0</v>
      </c>
      <c r="I70" s="124" t="str">
        <f t="shared" ref="I70:I126" si="3">"("&amp;$A70&amp;", "&amp;$B70&amp;"]"</f>
        <v>(0, 1]</v>
      </c>
      <c r="J70" s="160">
        <v>1</v>
      </c>
      <c r="K70" s="205">
        <v>1</v>
      </c>
      <c r="L70" s="188">
        <v>1.22103E-2</v>
      </c>
      <c r="M70" s="208">
        <v>12210300</v>
      </c>
      <c r="N70" s="195">
        <v>1.0223660069836115E-2</v>
      </c>
      <c r="O70" s="211">
        <v>5.1165183456571631E-3</v>
      </c>
      <c r="Q70" s="183"/>
      <c r="S70" s="182"/>
    </row>
    <row r="71" spans="1:20" ht="15.6">
      <c r="A71" s="201">
        <v>1</v>
      </c>
      <c r="B71" s="202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232">
        <v>0.66666666666666663</v>
      </c>
      <c r="I71" s="214" t="str">
        <f t="shared" si="3"/>
        <v>(1, 2]</v>
      </c>
      <c r="J71" s="160">
        <v>1</v>
      </c>
      <c r="K71" s="205">
        <v>1</v>
      </c>
      <c r="L71" s="188">
        <v>1.9835809999999999E-2</v>
      </c>
      <c r="M71" s="208">
        <v>19835810</v>
      </c>
      <c r="N71" s="195">
        <v>1.660848452944284E-2</v>
      </c>
      <c r="O71" s="211">
        <v>1.9011824030765564E-2</v>
      </c>
      <c r="Q71" s="183"/>
    </row>
    <row r="72" spans="1:20" ht="15.6">
      <c r="A72" s="201">
        <v>2</v>
      </c>
      <c r="B72" s="202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232">
        <v>1.3333333333333333</v>
      </c>
      <c r="I72" s="124" t="str">
        <f t="shared" si="3"/>
        <v>(2, 3]</v>
      </c>
      <c r="J72" s="160">
        <v>1</v>
      </c>
      <c r="K72" s="205">
        <v>1</v>
      </c>
      <c r="L72" s="188">
        <v>1.4004020000000001E-2</v>
      </c>
      <c r="M72" s="208">
        <v>14004020</v>
      </c>
      <c r="N72" s="195">
        <v>1.1725538282530843E-2</v>
      </c>
      <c r="O72" s="211">
        <v>2.149609173535847E-2</v>
      </c>
      <c r="Q72" s="183"/>
    </row>
    <row r="73" spans="1:20" ht="15.6">
      <c r="A73" s="201">
        <v>3</v>
      </c>
      <c r="B73" s="202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232">
        <v>2</v>
      </c>
      <c r="I73" s="124" t="str">
        <f t="shared" si="3"/>
        <v>(3, 4]</v>
      </c>
      <c r="J73" s="160">
        <v>1</v>
      </c>
      <c r="K73" s="205">
        <v>0.8293373861515585</v>
      </c>
      <c r="L73" s="188">
        <v>1.5287872682336045E-2</v>
      </c>
      <c r="M73" s="208">
        <v>15287872</v>
      </c>
      <c r="N73" s="195">
        <v>1.2800505026016198E-2</v>
      </c>
      <c r="O73" s="211">
        <v>3.1559978093765227E-2</v>
      </c>
      <c r="Q73" s="183"/>
    </row>
    <row r="74" spans="1:20" ht="15.6">
      <c r="A74" s="201">
        <v>4</v>
      </c>
      <c r="B74" s="202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232">
        <v>2.6666666666666665</v>
      </c>
      <c r="I74" s="124" t="str">
        <f t="shared" si="3"/>
        <v>(4, 5]</v>
      </c>
      <c r="J74" s="160">
        <v>1</v>
      </c>
      <c r="K74" s="205">
        <v>0.8293373861515585</v>
      </c>
      <c r="L74" s="188">
        <v>1.0458267880951753E-2</v>
      </c>
      <c r="M74" s="208">
        <v>10458267</v>
      </c>
      <c r="N74" s="195">
        <v>8.7566862998931013E-3</v>
      </c>
      <c r="O74" s="211">
        <v>2.8052811854476948E-2</v>
      </c>
      <c r="Q74" s="183"/>
    </row>
    <row r="75" spans="1:20" ht="15.6">
      <c r="A75" s="201">
        <v>5</v>
      </c>
      <c r="B75" s="202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232">
        <v>3.3333333333333335</v>
      </c>
      <c r="I75" s="124" t="str">
        <f t="shared" si="3"/>
        <v>(5, 6]</v>
      </c>
      <c r="J75" s="160">
        <v>1</v>
      </c>
      <c r="K75" s="205">
        <v>0.8293373861515585</v>
      </c>
      <c r="L75" s="188">
        <v>1.040397945565427E-2</v>
      </c>
      <c r="M75" s="208">
        <v>10403979</v>
      </c>
      <c r="N75" s="195">
        <v>8.7112310647333366E-3</v>
      </c>
      <c r="O75" s="211">
        <v>3.456627996902438E-2</v>
      </c>
      <c r="Q75" s="183"/>
    </row>
    <row r="76" spans="1:20" ht="15.6">
      <c r="A76" s="201">
        <v>6</v>
      </c>
      <c r="B76" s="202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232">
        <v>4</v>
      </c>
      <c r="I76" s="124" t="str">
        <f t="shared" si="3"/>
        <v>(6, 7]</v>
      </c>
      <c r="J76" s="160">
        <v>1</v>
      </c>
      <c r="K76" s="205">
        <v>0.8293373861515585</v>
      </c>
      <c r="L76" s="188">
        <v>2.6210129950718008E-3</v>
      </c>
      <c r="M76" s="208">
        <v>2621012</v>
      </c>
      <c r="N76" s="195">
        <v>2.1945681700663616E-3</v>
      </c>
      <c r="O76" s="211">
        <v>9.5508804096012586E-3</v>
      </c>
      <c r="Q76" s="183"/>
    </row>
    <row r="77" spans="1:20" ht="15.6">
      <c r="A77" s="201">
        <v>7</v>
      </c>
      <c r="B77" s="202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232">
        <v>4.666666666666667</v>
      </c>
      <c r="I77" s="214" t="str">
        <f t="shared" si="3"/>
        <v>(7, 8]</v>
      </c>
      <c r="J77" s="160">
        <v>1</v>
      </c>
      <c r="K77" s="205">
        <v>0.8293373861515585</v>
      </c>
      <c r="L77" s="188">
        <v>1.0917438818168423E-2</v>
      </c>
      <c r="M77" s="208">
        <v>10917438</v>
      </c>
      <c r="N77" s="195">
        <v>9.1411492711490662E-3</v>
      </c>
      <c r="O77" s="211">
        <v>4.7008391288196408E-2</v>
      </c>
      <c r="Q77" s="183"/>
    </row>
    <row r="78" spans="1:20" ht="15.6">
      <c r="A78" s="201">
        <v>8</v>
      </c>
      <c r="B78" s="202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232">
        <v>5.333333333333333</v>
      </c>
      <c r="I78" s="124" t="str">
        <f t="shared" si="3"/>
        <v>(8, 9]</v>
      </c>
      <c r="J78" s="160">
        <v>1</v>
      </c>
      <c r="K78" s="205">
        <v>0.8293373861515585</v>
      </c>
      <c r="L78" s="188">
        <v>4.7617981766925419E-3</v>
      </c>
      <c r="M78" s="208">
        <v>4761798</v>
      </c>
      <c r="N78" s="195">
        <v>3.9870440589686957E-3</v>
      </c>
      <c r="O78" s="211">
        <v>2.3711915013739558E-2</v>
      </c>
      <c r="Q78" s="183"/>
    </row>
    <row r="79" spans="1:20" ht="15.6">
      <c r="A79" s="201">
        <v>9</v>
      </c>
      <c r="B79" s="202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232">
        <v>6</v>
      </c>
      <c r="I79" s="124" t="str">
        <f t="shared" si="3"/>
        <v>(9, 10]</v>
      </c>
      <c r="J79" s="160">
        <v>1</v>
      </c>
      <c r="K79" s="205">
        <v>0.8293373861515585</v>
      </c>
      <c r="L79" s="188">
        <v>5.9201419973042846E-3</v>
      </c>
      <c r="M79" s="208">
        <v>5920141</v>
      </c>
      <c r="N79" s="195">
        <v>4.9569223646838854E-3</v>
      </c>
      <c r="O79" s="211">
        <v>3.2220891612525462E-2</v>
      </c>
      <c r="Q79" s="183"/>
    </row>
    <row r="80" spans="1:20" ht="15.6">
      <c r="A80" s="201">
        <v>10</v>
      </c>
      <c r="B80" s="202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232">
        <v>6.666666666666667</v>
      </c>
      <c r="I80" s="214" t="str">
        <f t="shared" si="3"/>
        <v>(10, 15]</v>
      </c>
      <c r="J80" s="160">
        <v>1</v>
      </c>
      <c r="K80" s="205">
        <v>0.5</v>
      </c>
      <c r="L80" s="188">
        <v>8.9551549999999994E-3</v>
      </c>
      <c r="M80" s="208">
        <v>8955155</v>
      </c>
      <c r="N80" s="195">
        <v>7.4981335915328233E-3</v>
      </c>
      <c r="O80" s="211">
        <v>6.3638622011819218E-2</v>
      </c>
      <c r="Q80" s="183"/>
    </row>
    <row r="81" spans="1:17" ht="15.6">
      <c r="A81" s="201">
        <v>15</v>
      </c>
      <c r="B81" s="202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232">
        <v>10</v>
      </c>
      <c r="I81" s="124" t="str">
        <f t="shared" si="3"/>
        <v>(15, 20]</v>
      </c>
      <c r="J81" s="160">
        <v>1</v>
      </c>
      <c r="K81" s="205">
        <v>2</v>
      </c>
      <c r="L81" s="188">
        <v>2.249464E-2</v>
      </c>
      <c r="M81" s="208">
        <v>22494640</v>
      </c>
      <c r="N81" s="195">
        <v>1.8834717636203719E-2</v>
      </c>
      <c r="O81" s="211">
        <v>0.22410539293068621</v>
      </c>
      <c r="Q81" s="183"/>
    </row>
    <row r="82" spans="1:17" ht="15.6">
      <c r="A82" s="201">
        <v>20</v>
      </c>
      <c r="B82" s="202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232">
        <v>13.333333333333334</v>
      </c>
      <c r="I82" s="124" t="str">
        <f t="shared" si="3"/>
        <v>(20, 25]</v>
      </c>
      <c r="J82" s="160">
        <v>1</v>
      </c>
      <c r="K82" s="205">
        <v>0.5</v>
      </c>
      <c r="L82" s="188">
        <v>3.1099349999999999E-3</v>
      </c>
      <c r="M82" s="208">
        <v>3109935</v>
      </c>
      <c r="N82" s="195">
        <v>2.6039424321503794E-3</v>
      </c>
      <c r="O82" s="211">
        <v>4.0351169110328489E-2</v>
      </c>
      <c r="Q82" s="183"/>
    </row>
    <row r="83" spans="1:17" ht="15.6">
      <c r="A83" s="201">
        <v>25</v>
      </c>
      <c r="B83" s="202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232">
        <v>16.666666666666668</v>
      </c>
      <c r="I83" s="124" t="str">
        <f t="shared" si="3"/>
        <v>(25, 30]</v>
      </c>
      <c r="J83" s="160">
        <v>1</v>
      </c>
      <c r="K83" s="205">
        <v>0.5</v>
      </c>
      <c r="L83" s="188">
        <v>2.1650250000000001E-3</v>
      </c>
      <c r="M83" s="208">
        <v>2165025</v>
      </c>
      <c r="N83" s="195">
        <v>1.8127711557207385E-3</v>
      </c>
      <c r="O83" s="211">
        <v>3.4365505272402307E-2</v>
      </c>
      <c r="Q83" s="183"/>
    </row>
    <row r="84" spans="1:17" ht="15.6">
      <c r="A84" s="201">
        <v>30</v>
      </c>
      <c r="B84" s="202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232">
        <v>20</v>
      </c>
      <c r="I84" s="124" t="str">
        <f t="shared" si="3"/>
        <v>(30, 35]</v>
      </c>
      <c r="J84" s="160">
        <v>1</v>
      </c>
      <c r="K84" s="205">
        <v>5</v>
      </c>
      <c r="L84" s="188">
        <v>1.0710349999999999E-2</v>
      </c>
      <c r="M84" s="208">
        <v>10710350</v>
      </c>
      <c r="N84" s="195">
        <v>8.9677548978296384E-3</v>
      </c>
      <c r="O84" s="211">
        <v>0.19476524434421413</v>
      </c>
      <c r="Q84" s="183"/>
    </row>
    <row r="85" spans="1:17" ht="15.6">
      <c r="A85" s="201">
        <v>35</v>
      </c>
      <c r="B85" s="202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232">
        <v>23.333333333333332</v>
      </c>
      <c r="I85" s="214" t="str">
        <f t="shared" si="3"/>
        <v>(35, 40]</v>
      </c>
      <c r="J85" s="160">
        <v>1</v>
      </c>
      <c r="K85" s="205">
        <v>0.5</v>
      </c>
      <c r="L85" s="188">
        <v>1.8820550000000001E-3</v>
      </c>
      <c r="M85" s="208">
        <v>1882055</v>
      </c>
      <c r="N85" s="195">
        <v>1.5758409336982227E-3</v>
      </c>
      <c r="O85" s="211">
        <v>4.0210319953026784E-2</v>
      </c>
      <c r="Q85" s="183"/>
    </row>
    <row r="86" spans="1:17" ht="15.6">
      <c r="A86" s="201">
        <v>40</v>
      </c>
      <c r="B86" s="202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232">
        <v>26.666666666666668</v>
      </c>
      <c r="I86" s="124" t="str">
        <f t="shared" si="3"/>
        <v>(40, 45]</v>
      </c>
      <c r="J86" s="160">
        <v>1</v>
      </c>
      <c r="K86" s="205">
        <v>2</v>
      </c>
      <c r="L86" s="188">
        <v>3.30402E-3</v>
      </c>
      <c r="M86" s="208">
        <v>3304020</v>
      </c>
      <c r="N86" s="195">
        <v>2.7664494192558677E-3</v>
      </c>
      <c r="O86" s="211">
        <v>8.0267700165276554E-2</v>
      </c>
      <c r="Q86" s="183"/>
    </row>
    <row r="87" spans="1:17" ht="15.6">
      <c r="A87" s="201">
        <v>45</v>
      </c>
      <c r="B87" s="202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232">
        <v>30</v>
      </c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232">
        <v>33.333333333333336</v>
      </c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232">
        <v>40</v>
      </c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232">
        <v>46.666666666666664</v>
      </c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232">
        <v>53.333333333333336</v>
      </c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232">
        <v>60</v>
      </c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232">
        <v>66.666666666666671</v>
      </c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232">
        <v>80</v>
      </c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232">
        <v>93.333333333333329</v>
      </c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232">
        <v>106.66666666666667</v>
      </c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232">
        <v>120</v>
      </c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232">
        <v>133.33333333333334</v>
      </c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232">
        <v>166.66666666666666</v>
      </c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232">
        <v>200</v>
      </c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232">
        <v>233.33333333333334</v>
      </c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232">
        <v>266.66666666666669</v>
      </c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232">
        <v>300</v>
      </c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232">
        <v>333.33333333333331</v>
      </c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232">
        <v>366.66666666666669</v>
      </c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232">
        <v>400</v>
      </c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232">
        <v>433.33333333333331</v>
      </c>
      <c r="I107" s="124" t="str">
        <f t="shared" si="3"/>
        <v>(650, 700]</v>
      </c>
      <c r="J107" s="160">
        <v>0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232">
        <v>466.66666666666669</v>
      </c>
      <c r="I108" s="124" t="str">
        <f t="shared" si="3"/>
        <v>(700, 750]</v>
      </c>
      <c r="J108" s="160">
        <v>0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232">
        <v>500</v>
      </c>
      <c r="I109" s="124" t="str">
        <f t="shared" si="3"/>
        <v>(750, 800]</v>
      </c>
      <c r="J109" s="160">
        <v>0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232">
        <v>533.33333333333337</v>
      </c>
      <c r="I110" s="124" t="str">
        <f t="shared" si="3"/>
        <v>(800, 850]</v>
      </c>
      <c r="J110" s="160">
        <v>0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232">
        <v>566.66666666666663</v>
      </c>
      <c r="I111" s="124" t="str">
        <f t="shared" si="3"/>
        <v>(850, 900]</v>
      </c>
      <c r="J111" s="160">
        <v>0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232">
        <v>600</v>
      </c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232">
        <v>633.33333333333337</v>
      </c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232">
        <v>666.66666666666663</v>
      </c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232">
        <v>1333.3333333333333</v>
      </c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232">
        <v>2000</v>
      </c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232">
        <v>2666.6666666666665</v>
      </c>
      <c r="I117" s="124" t="str">
        <f t="shared" si="3"/>
        <v>(4000, 5000]</v>
      </c>
      <c r="J117" s="160">
        <v>0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232">
        <v>3333.3333333333335</v>
      </c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232">
        <v>4000</v>
      </c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16379</v>
      </c>
      <c r="D120" s="167">
        <v>15875619560</v>
      </c>
      <c r="E120" s="190">
        <f t="shared" si="2"/>
        <v>6461.7781142519898</v>
      </c>
      <c r="F120" s="191">
        <v>1.6379E-4</v>
      </c>
      <c r="G120" s="192">
        <v>1.0583746373333334</v>
      </c>
      <c r="H120" s="232">
        <v>4666.666666666667</v>
      </c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>
        <v>5333.333333333333</v>
      </c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>
        <v>6000</v>
      </c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>
        <v>6666.666666666667</v>
      </c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>
        <v>13333.333333333334</v>
      </c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>
        <v>20000</v>
      </c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>
        <v>66666.666666666672</v>
      </c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0.92999953200974794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79518011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93" cm="1">
        <f t="array" ref="H134:H168">A134:A168/8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0.35988799999999999</v>
      </c>
      <c r="L134" s="185" cm="1">
        <f t="array" ref="L134:L191">K134:K191*_xlfn.ANCHORARRAY(J134)*_xlfn.ANCHORARRAY(F134)</f>
        <v>0.28617577942767997</v>
      </c>
      <c r="M134" s="207" cm="1">
        <f t="array" ref="M134:M191">INT(_xlfn.ANCHORARRAY(L134)*$M$2)</f>
        <v>286175779</v>
      </c>
      <c r="N134" s="194" cm="1">
        <f t="array" ref="N134:N191">_xlfn.ANCHORARRAY(M134)/SUM(_xlfn.ANCHORARRAY(M134))</f>
        <v>0.87107487174886133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>
        <v>0</v>
      </c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>
        <v>0.125</v>
      </c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>
        <v>0.25</v>
      </c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93">
        <v>0.375</v>
      </c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>
        <v>0.5</v>
      </c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93">
        <v>0.625</v>
      </c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>
        <v>0.75</v>
      </c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93">
        <v>0.875</v>
      </c>
      <c r="I142" s="214" t="str">
        <f t="shared" si="5"/>
        <v>(7, 8]</v>
      </c>
      <c r="J142" s="160">
        <v>1</v>
      </c>
      <c r="K142" s="205">
        <v>5</v>
      </c>
      <c r="L142" s="188">
        <v>1.08673E-2</v>
      </c>
      <c r="M142" s="208">
        <v>10867300</v>
      </c>
      <c r="N142" s="195">
        <v>3.3078382757739958E-2</v>
      </c>
      <c r="O142" s="211">
        <v>3.3078382757739958E-2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>
        <v>1</v>
      </c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93">
        <v>1.125</v>
      </c>
      <c r="I144" s="124" t="str">
        <f t="shared" si="5"/>
        <v>(9, 10]</v>
      </c>
      <c r="J144" s="160">
        <v>1</v>
      </c>
      <c r="K144" s="205">
        <v>0.5</v>
      </c>
      <c r="L144" s="188">
        <v>1.6388150000000001E-3</v>
      </c>
      <c r="M144" s="208">
        <v>1638815</v>
      </c>
      <c r="N144" s="195">
        <v>4.9882997468668035E-3</v>
      </c>
      <c r="O144" s="211">
        <v>6.2353746835835042E-3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93">
        <v>1.25</v>
      </c>
      <c r="I145" s="214" t="str">
        <f t="shared" si="5"/>
        <v>(10, 15]</v>
      </c>
      <c r="J145" s="160">
        <v>1</v>
      </c>
      <c r="K145" s="205">
        <v>0.5</v>
      </c>
      <c r="L145" s="188">
        <v>1.30911E-3</v>
      </c>
      <c r="M145" s="208">
        <v>1309110</v>
      </c>
      <c r="N145" s="195">
        <v>3.9847286494331582E-3</v>
      </c>
      <c r="O145" s="211">
        <v>6.962680651586642E-3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93">
        <v>1.875</v>
      </c>
      <c r="I146" s="124" t="str">
        <f t="shared" si="5"/>
        <v>(15, 20]</v>
      </c>
      <c r="J146" s="160">
        <v>1</v>
      </c>
      <c r="K146" s="205">
        <v>0.5</v>
      </c>
      <c r="L146" s="188">
        <v>4.5006350000000002E-3</v>
      </c>
      <c r="M146" s="208">
        <v>4500635</v>
      </c>
      <c r="N146" s="195">
        <v>1.3699237821987151E-2</v>
      </c>
      <c r="O146" s="211">
        <v>3.2139714057070175E-2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93">
        <v>2.5</v>
      </c>
      <c r="I147" s="124" t="str">
        <f t="shared" si="5"/>
        <v>(20, 25]</v>
      </c>
      <c r="J147" s="160">
        <v>1</v>
      </c>
      <c r="K147" s="205">
        <v>0.5</v>
      </c>
      <c r="L147" s="188">
        <v>2.83716E-3</v>
      </c>
      <c r="M147" s="208">
        <v>2837160</v>
      </c>
      <c r="N147" s="195">
        <v>8.6358768438296075E-3</v>
      </c>
      <c r="O147" s="211">
        <v>2.6230877417000944E-2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93">
        <v>3.125</v>
      </c>
      <c r="I148" s="124" t="str">
        <f t="shared" si="5"/>
        <v>(25, 30]</v>
      </c>
      <c r="J148" s="160">
        <v>1</v>
      </c>
      <c r="K148" s="205">
        <v>0.5</v>
      </c>
      <c r="L148" s="188">
        <v>2.2518500000000001E-3</v>
      </c>
      <c r="M148" s="208">
        <v>2251850</v>
      </c>
      <c r="N148" s="195">
        <v>6.8542836043006747E-3</v>
      </c>
      <c r="O148" s="211">
        <v>2.5606575182447876E-2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93">
        <v>3.75</v>
      </c>
      <c r="I149" s="124" t="str">
        <f t="shared" si="5"/>
        <v>(30, 35]</v>
      </c>
      <c r="J149" s="160">
        <v>1</v>
      </c>
      <c r="K149" s="205">
        <v>0.5</v>
      </c>
      <c r="L149" s="188">
        <v>1.5074999999999999E-3</v>
      </c>
      <c r="M149" s="208">
        <v>1507500</v>
      </c>
      <c r="N149" s="195">
        <v>4.5885971683208328E-3</v>
      </c>
      <c r="O149" s="211">
        <v>1.8440742571568747E-2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93">
        <v>4.375</v>
      </c>
      <c r="I150" s="214" t="str">
        <f t="shared" si="5"/>
        <v>(35, 40]</v>
      </c>
      <c r="J150" s="160">
        <v>1</v>
      </c>
      <c r="K150" s="205">
        <v>0.1</v>
      </c>
      <c r="L150" s="188">
        <v>1.05729E-3</v>
      </c>
      <c r="M150" s="208">
        <v>1057290</v>
      </c>
      <c r="N150" s="195">
        <v>3.218227462748878E-3</v>
      </c>
      <c r="O150" s="211">
        <v>1.5811791051654759E-2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93">
        <v>5</v>
      </c>
      <c r="I151" s="124" t="str">
        <f t="shared" si="5"/>
        <v>(40, 45]</v>
      </c>
      <c r="J151" s="160">
        <v>1</v>
      </c>
      <c r="K151" s="205">
        <v>0.5</v>
      </c>
      <c r="L151" s="188">
        <v>1.1233899999999999E-3</v>
      </c>
      <c r="M151" s="208">
        <v>1123390</v>
      </c>
      <c r="N151" s="195">
        <v>3.4194256536782359E-3</v>
      </c>
      <c r="O151" s="211">
        <v>1.9078121927570836E-2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93">
        <v>5.625</v>
      </c>
      <c r="I152" s="124" t="str">
        <f t="shared" si="5"/>
        <v>(45, 50]</v>
      </c>
      <c r="J152" s="160">
        <v>1</v>
      </c>
      <c r="K152" s="205">
        <v>0.1</v>
      </c>
      <c r="L152" s="188">
        <v>7.66222E-4</v>
      </c>
      <c r="M152" s="208">
        <v>766222</v>
      </c>
      <c r="N152" s="195">
        <v>2.3322614258740465E-3</v>
      </c>
      <c r="O152" s="211">
        <v>1.4307879851660378E-2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93">
        <v>6.25</v>
      </c>
      <c r="I153" s="214" t="str">
        <f t="shared" si="5"/>
        <v>(50, 60]</v>
      </c>
      <c r="J153" s="160">
        <v>1</v>
      </c>
      <c r="K153" s="205">
        <v>0.1</v>
      </c>
      <c r="L153" s="188">
        <v>7.9595000000000002E-4</v>
      </c>
      <c r="M153" s="208">
        <v>795950</v>
      </c>
      <c r="N153" s="195">
        <v>2.4227488664178886E-3</v>
      </c>
      <c r="O153" s="211">
        <v>1.7941822803438309E-2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93">
        <v>7.5</v>
      </c>
      <c r="I154" s="124" t="str">
        <f t="shared" si="5"/>
        <v>(60, 70]</v>
      </c>
      <c r="J154" s="160">
        <v>1</v>
      </c>
      <c r="K154" s="205">
        <v>0.1</v>
      </c>
      <c r="L154" s="188">
        <v>2.17944E-4</v>
      </c>
      <c r="M154" s="208">
        <v>217944</v>
      </c>
      <c r="N154" s="195">
        <v>6.6338787479437191E-4</v>
      </c>
      <c r="O154" s="211">
        <v>5.4564530851278588E-3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93">
        <v>8.75</v>
      </c>
      <c r="I155" s="214" t="str">
        <f t="shared" si="5"/>
        <v>(70, 80]</v>
      </c>
      <c r="J155" s="160">
        <v>1</v>
      </c>
      <c r="K155" s="205">
        <v>0.1</v>
      </c>
      <c r="L155" s="188">
        <v>1.018318E-3</v>
      </c>
      <c r="M155" s="208">
        <v>1018318</v>
      </c>
      <c r="N155" s="195">
        <v>3.0996027139304373E-3</v>
      </c>
      <c r="O155" s="211">
        <v>3.0152406701256098E-2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93">
        <v>10</v>
      </c>
      <c r="I156" s="124" t="str">
        <f t="shared" si="5"/>
        <v>(80, 90]</v>
      </c>
      <c r="J156" s="160">
        <v>1</v>
      </c>
      <c r="K156" s="205">
        <v>2</v>
      </c>
      <c r="L156" s="188">
        <v>4.78562E-3</v>
      </c>
      <c r="M156" s="208">
        <v>4785620</v>
      </c>
      <c r="N156" s="195">
        <v>1.456668814637449E-2</v>
      </c>
      <c r="O156" s="211">
        <v>0.15997622007838566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93">
        <v>11.25</v>
      </c>
      <c r="I157" s="124" t="str">
        <f t="shared" si="5"/>
        <v>(90, 100]</v>
      </c>
      <c r="J157" s="160">
        <v>1</v>
      </c>
      <c r="K157" s="205">
        <v>0.1</v>
      </c>
      <c r="L157" s="188">
        <v>8.2667799999999996E-4</v>
      </c>
      <c r="M157" s="208">
        <v>826678</v>
      </c>
      <c r="N157" s="195">
        <v>2.5162801525128553E-3</v>
      </c>
      <c r="O157" s="211">
        <v>3.1173744725171655E-2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93">
        <v>12.5</v>
      </c>
      <c r="I158" s="124" t="str">
        <f t="shared" si="5"/>
        <v>(100, 120]</v>
      </c>
      <c r="J158" s="160">
        <v>1</v>
      </c>
      <c r="K158" s="205">
        <v>0.1</v>
      </c>
      <c r="L158" s="188">
        <v>6.6284300000000009E-4</v>
      </c>
      <c r="M158" s="208">
        <v>662843</v>
      </c>
      <c r="N158" s="195">
        <v>2.0175917166443025E-3</v>
      </c>
      <c r="O158" s="211">
        <v>2.9458748543417176E-2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93">
        <v>15</v>
      </c>
      <c r="I159" s="124" t="str">
        <f t="shared" si="5"/>
        <v>(120, 140]</v>
      </c>
      <c r="J159" s="160">
        <v>1</v>
      </c>
      <c r="K159" s="205">
        <v>0.1</v>
      </c>
      <c r="L159" s="188">
        <v>2.3970799999999999E-4</v>
      </c>
      <c r="M159" s="208">
        <v>239708</v>
      </c>
      <c r="N159" s="195">
        <v>7.2963412936905491E-4</v>
      </c>
      <c r="O159" s="211">
        <v>1.2078324623333777E-2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93">
        <v>17.5</v>
      </c>
      <c r="I160" s="124" t="str">
        <f t="shared" si="5"/>
        <v>(140, 160]</v>
      </c>
      <c r="J160" s="160">
        <v>1</v>
      </c>
      <c r="K160" s="205">
        <v>0.1</v>
      </c>
      <c r="L160" s="188">
        <v>7.8168200000000012E-4</v>
      </c>
      <c r="M160" s="208">
        <v>781682</v>
      </c>
      <c r="N160" s="195">
        <v>2.3793192780944381E-3</v>
      </c>
      <c r="O160" s="211">
        <v>4.6012088857850866E-2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93">
        <v>20</v>
      </c>
      <c r="I161" s="124" t="str">
        <f t="shared" si="5"/>
        <v>(160, 180]</v>
      </c>
      <c r="J161" s="160">
        <v>1</v>
      </c>
      <c r="K161" s="205">
        <v>1</v>
      </c>
      <c r="L161" s="188">
        <v>2.1941999999999999E-3</v>
      </c>
      <c r="M161" s="208">
        <v>2194200</v>
      </c>
      <c r="N161" s="195">
        <v>6.6788059082783227E-3</v>
      </c>
      <c r="O161" s="211">
        <v>0.1458575517538743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93">
        <v>22.5</v>
      </c>
      <c r="I162" s="124" t="str">
        <f t="shared" si="5"/>
        <v>(180, 200]</v>
      </c>
      <c r="J162" s="160">
        <v>1</v>
      </c>
      <c r="K162" s="205">
        <v>0.1</v>
      </c>
      <c r="L162" s="188">
        <v>7.8658400000000011E-4</v>
      </c>
      <c r="M162" s="208">
        <v>786584</v>
      </c>
      <c r="N162" s="195">
        <v>2.3942402089860526E-3</v>
      </c>
      <c r="O162" s="211">
        <v>5.9505886890133169E-2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93">
        <v>25</v>
      </c>
      <c r="I163" s="124" t="str">
        <f t="shared" si="5"/>
        <v>(200, 250]</v>
      </c>
      <c r="J163" s="160">
        <v>1</v>
      </c>
      <c r="K163" s="205">
        <v>0.342665</v>
      </c>
      <c r="L163" s="188">
        <v>2.1872032818E-3</v>
      </c>
      <c r="M163" s="208">
        <v>2187203</v>
      </c>
      <c r="N163" s="195">
        <v>6.6575081209571015E-3</v>
      </c>
      <c r="O163" s="211">
        <v>0.19449414379587535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93">
        <v>31.25</v>
      </c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93">
        <v>37.5</v>
      </c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93">
        <v>43.75</v>
      </c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93">
        <v>50</v>
      </c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93">
        <v>56.25</v>
      </c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80422</v>
      </c>
      <c r="D185" s="167">
        <v>60431077900</v>
      </c>
      <c r="E185" s="190">
        <f t="shared" si="4"/>
        <v>939.28088551640099</v>
      </c>
      <c r="F185" s="191">
        <v>8.0422000000000002E-4</v>
      </c>
      <c r="G185" s="192">
        <v>0.75538847375000007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3:15" ht="16.8" thickBot="1">
      <c r="M193" s="114"/>
      <c r="N193" s="164" t="s">
        <v>181</v>
      </c>
      <c r="O193" s="219" t="s">
        <v>180</v>
      </c>
    </row>
    <row r="194" spans="13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3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3:15" ht="16.8" thickBot="1">
      <c r="M196" s="114" t="s">
        <v>177</v>
      </c>
      <c r="N196" s="184">
        <f>N131</f>
        <v>3500000</v>
      </c>
      <c r="O196" s="165"/>
    </row>
  </sheetData>
  <phoneticPr fontId="2" type="noConversion"/>
  <conditionalFormatting sqref="J4:O61 C4:G61">
    <cfRule type="cellIs" dxfId="87" priority="21" operator="equal">
      <formula>0</formula>
    </cfRule>
  </conditionalFormatting>
  <conditionalFormatting sqref="J135:O185 J134:L134 N134:O134 C135:G185 D134:G134">
    <cfRule type="cellIs" dxfId="86" priority="19" operator="equal">
      <formula>0</formula>
    </cfRule>
  </conditionalFormatting>
  <conditionalFormatting sqref="C70:D120 J70:O120 K69:L69 N69:O69 F69:G120 D69">
    <cfRule type="cellIs" dxfId="85" priority="20" operator="equal">
      <formula>0</formula>
    </cfRule>
  </conditionalFormatting>
  <conditionalFormatting sqref="M134">
    <cfRule type="cellIs" dxfId="84" priority="17" operator="equal">
      <formula>0</formula>
    </cfRule>
  </conditionalFormatting>
  <conditionalFormatting sqref="E69:E120">
    <cfRule type="cellIs" dxfId="83" priority="15" operator="equal">
      <formula>0</formula>
    </cfRule>
  </conditionalFormatting>
  <conditionalFormatting sqref="M69">
    <cfRule type="cellIs" dxfId="82" priority="14" operator="equal">
      <formula>0</formula>
    </cfRule>
  </conditionalFormatting>
  <conditionalFormatting sqref="J69">
    <cfRule type="cellIs" dxfId="81" priority="13" operator="equal">
      <formula>0</formula>
    </cfRule>
  </conditionalFormatting>
  <conditionalFormatting sqref="O4:O6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0" priority="10" operator="equal">
      <formula>0</formula>
    </cfRule>
  </conditionalFormatting>
  <conditionalFormatting sqref="O121:O1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79" priority="7" operator="equal">
      <formula>0</formula>
    </cfRule>
  </conditionalFormatting>
  <conditionalFormatting sqref="O186:O1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8" priority="3" operator="equal">
      <formula>0</formula>
    </cfRule>
  </conditionalFormatting>
  <conditionalFormatting sqref="C134">
    <cfRule type="cellIs" dxfId="77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19" t="s">
        <v>138</v>
      </c>
      <c r="B1" s="319"/>
      <c r="C1" s="319"/>
      <c r="D1" s="319"/>
      <c r="E1" s="319"/>
      <c r="F1" s="319"/>
      <c r="G1" s="1"/>
      <c r="H1" s="319" t="s">
        <v>139</v>
      </c>
      <c r="I1" s="319"/>
      <c r="J1" s="319"/>
      <c r="K1" s="319"/>
      <c r="L1" s="319"/>
      <c r="M1" s="319"/>
      <c r="N1" s="1"/>
      <c r="O1" s="319" t="s">
        <v>140</v>
      </c>
      <c r="P1" s="319"/>
      <c r="Q1" s="319"/>
      <c r="R1" s="319"/>
      <c r="S1" s="319"/>
      <c r="T1" s="319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</v>
      </c>
      <c r="BL3" s="29">
        <v>1</v>
      </c>
      <c r="BM3" s="29">
        <v>1</v>
      </c>
      <c r="BN3" s="65"/>
      <c r="BO3" s="29">
        <f ca="1">OFFSET(BK$2,COUNTA(BK$3:BK$211),0)</f>
        <v>1</v>
      </c>
      <c r="BP3" s="29">
        <f t="shared" ref="BP3" ca="1" si="11">OFFSET(BL$2,COUNTA(BL$3:BL$211),0)</f>
        <v>1</v>
      </c>
      <c r="BQ3" s="29">
        <f t="shared" ref="BQ3" ca="1" si="12">OFFSET(BM$2,COUNTA(BM$3:BM$211),0)</f>
        <v>1</v>
      </c>
      <c r="BR3" s="65"/>
      <c r="BS3" s="29">
        <f ca="1">OFFSET(BK$2,COUNTA(BK$3:BK$211)-1,0)</f>
        <v>1</v>
      </c>
      <c r="BT3" s="29">
        <f t="shared" ref="BT3" ca="1" si="13">OFFSET(BL$2,COUNTA(BL$3:BL$211)-1,0)</f>
        <v>1</v>
      </c>
      <c r="BU3" s="29">
        <f t="shared" ref="BU3" ca="1" si="14">OFFSET(BM$2,COUNTA(BM$3:BM$211)-1,0)</f>
        <v>1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1</v>
      </c>
      <c r="BL4" s="29">
        <v>1</v>
      </c>
      <c r="BM4" s="29">
        <v>1</v>
      </c>
      <c r="BN4" s="65"/>
      <c r="BO4" s="29">
        <f>IF(BK3="","",BK3)</f>
        <v>1</v>
      </c>
      <c r="BP4" s="29">
        <f t="shared" ref="BP4:BP67" si="37">IF(BL3="","",BL3)</f>
        <v>1</v>
      </c>
      <c r="BQ4" s="29">
        <f t="shared" ref="BQ4:BQ67" si="38">IF(BM3="","",BM3)</f>
        <v>1</v>
      </c>
      <c r="BR4" s="65"/>
      <c r="BS4" s="29">
        <f ca="1">OFFSET(BK$2,COUNTA(BK$3:BK$211),0)</f>
        <v>1</v>
      </c>
      <c r="BT4" s="29">
        <f t="shared" ref="BT4" ca="1" si="39">OFFSET(BL$2,COUNTA(BL$3:BL$211),0)</f>
        <v>1</v>
      </c>
      <c r="BU4" s="29">
        <f t="shared" ref="BU4" ca="1" si="40">OFFSET(BM$2,COUNTA(BM$3:BM$211),0)</f>
        <v>1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1</v>
      </c>
      <c r="BL5" s="29">
        <v>1</v>
      </c>
      <c r="BM5" s="29">
        <v>1</v>
      </c>
      <c r="BN5" s="65"/>
      <c r="BO5" s="29">
        <f t="shared" ref="BO5:BO68" si="51">IF(BK4="","",BK4)</f>
        <v>1</v>
      </c>
      <c r="BP5" s="29">
        <f t="shared" si="37"/>
        <v>1</v>
      </c>
      <c r="BQ5" s="29">
        <f t="shared" si="38"/>
        <v>1</v>
      </c>
      <c r="BR5" s="65"/>
      <c r="BS5" s="29">
        <f>IF(BK3="","",BK3)</f>
        <v>1</v>
      </c>
      <c r="BT5" s="29">
        <f t="shared" ref="BT5:BT68" si="52">IF(BL3="","",BL3)</f>
        <v>1</v>
      </c>
      <c r="BU5" s="29">
        <f t="shared" ref="BU5:BU68" si="53">IF(BM3="","",BM3)</f>
        <v>1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1</v>
      </c>
      <c r="BL6" s="29">
        <v>1</v>
      </c>
      <c r="BM6" s="29">
        <v>1</v>
      </c>
      <c r="BN6" s="65"/>
      <c r="BO6" s="29">
        <f t="shared" si="51"/>
        <v>1</v>
      </c>
      <c r="BP6" s="29">
        <f t="shared" si="37"/>
        <v>1</v>
      </c>
      <c r="BQ6" s="29">
        <f t="shared" si="38"/>
        <v>1</v>
      </c>
      <c r="BR6" s="65"/>
      <c r="BS6" s="29">
        <f t="shared" ref="BS6:BS69" si="59">IF(BK4="","",BK4)</f>
        <v>1</v>
      </c>
      <c r="BT6" s="29">
        <f t="shared" si="52"/>
        <v>1</v>
      </c>
      <c r="BU6" s="29">
        <f t="shared" si="53"/>
        <v>1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1</v>
      </c>
      <c r="BL7" s="29">
        <v>1</v>
      </c>
      <c r="BM7" s="29">
        <v>1</v>
      </c>
      <c r="BN7" s="65"/>
      <c r="BO7" s="29">
        <f t="shared" si="51"/>
        <v>1</v>
      </c>
      <c r="BP7" s="29">
        <f t="shared" si="37"/>
        <v>1</v>
      </c>
      <c r="BQ7" s="29">
        <f t="shared" si="38"/>
        <v>1</v>
      </c>
      <c r="BR7" s="65"/>
      <c r="BS7" s="29">
        <f t="shared" si="59"/>
        <v>1</v>
      </c>
      <c r="BT7" s="29">
        <f t="shared" si="52"/>
        <v>1</v>
      </c>
      <c r="BU7" s="29">
        <f t="shared" si="53"/>
        <v>1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1</v>
      </c>
      <c r="BL8" s="29">
        <v>1</v>
      </c>
      <c r="BM8" s="29">
        <v>1</v>
      </c>
      <c r="BN8" s="65"/>
      <c r="BO8" s="29">
        <f t="shared" si="51"/>
        <v>1</v>
      </c>
      <c r="BP8" s="29">
        <f t="shared" si="37"/>
        <v>1</v>
      </c>
      <c r="BQ8" s="29">
        <f t="shared" si="38"/>
        <v>1</v>
      </c>
      <c r="BR8" s="65"/>
      <c r="BS8" s="29">
        <f t="shared" si="59"/>
        <v>1</v>
      </c>
      <c r="BT8" s="29">
        <f t="shared" si="52"/>
        <v>1</v>
      </c>
      <c r="BU8" s="29">
        <f t="shared" si="53"/>
        <v>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</v>
      </c>
      <c r="BL9" s="29">
        <v>1</v>
      </c>
      <c r="BM9" s="29">
        <v>1</v>
      </c>
      <c r="BN9" s="65"/>
      <c r="BO9" s="29">
        <f t="shared" si="51"/>
        <v>1</v>
      </c>
      <c r="BP9" s="29">
        <f t="shared" si="37"/>
        <v>1</v>
      </c>
      <c r="BQ9" s="29">
        <f t="shared" si="38"/>
        <v>1</v>
      </c>
      <c r="BR9" s="65"/>
      <c r="BS9" s="29">
        <f t="shared" si="59"/>
        <v>1</v>
      </c>
      <c r="BT9" s="29">
        <f t="shared" si="52"/>
        <v>1</v>
      </c>
      <c r="BU9" s="29">
        <f t="shared" si="53"/>
        <v>1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</v>
      </c>
      <c r="BL10" s="29">
        <v>1</v>
      </c>
      <c r="BM10" s="29">
        <v>1</v>
      </c>
      <c r="BN10" s="65"/>
      <c r="BO10" s="29">
        <f t="shared" si="51"/>
        <v>1</v>
      </c>
      <c r="BP10" s="29">
        <f t="shared" si="37"/>
        <v>1</v>
      </c>
      <c r="BQ10" s="29">
        <f t="shared" si="38"/>
        <v>1</v>
      </c>
      <c r="BR10" s="65"/>
      <c r="BS10" s="29">
        <f t="shared" si="59"/>
        <v>1</v>
      </c>
      <c r="BT10" s="29">
        <f t="shared" si="52"/>
        <v>1</v>
      </c>
      <c r="BU10" s="29">
        <f t="shared" si="53"/>
        <v>1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</v>
      </c>
      <c r="BL11" s="29">
        <v>1</v>
      </c>
      <c r="BM11" s="29">
        <v>1</v>
      </c>
      <c r="BN11" s="65"/>
      <c r="BO11" s="29">
        <f t="shared" si="51"/>
        <v>1</v>
      </c>
      <c r="BP11" s="29">
        <f t="shared" si="37"/>
        <v>1</v>
      </c>
      <c r="BQ11" s="29">
        <f t="shared" si="38"/>
        <v>1</v>
      </c>
      <c r="BR11" s="65"/>
      <c r="BS11" s="29">
        <f t="shared" si="59"/>
        <v>1</v>
      </c>
      <c r="BT11" s="29">
        <f t="shared" si="52"/>
        <v>1</v>
      </c>
      <c r="BU11" s="29">
        <f t="shared" si="53"/>
        <v>1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</v>
      </c>
      <c r="BL12" s="29">
        <v>1</v>
      </c>
      <c r="BM12" s="29">
        <v>1</v>
      </c>
      <c r="BN12" s="65"/>
      <c r="BO12" s="29">
        <f t="shared" si="51"/>
        <v>1</v>
      </c>
      <c r="BP12" s="29">
        <f t="shared" si="37"/>
        <v>1</v>
      </c>
      <c r="BQ12" s="29">
        <f t="shared" si="38"/>
        <v>1</v>
      </c>
      <c r="BR12" s="65"/>
      <c r="BS12" s="29">
        <f t="shared" si="59"/>
        <v>1</v>
      </c>
      <c r="BT12" s="29">
        <f t="shared" si="52"/>
        <v>1</v>
      </c>
      <c r="BU12" s="29">
        <f t="shared" si="53"/>
        <v>1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</v>
      </c>
      <c r="BL13" s="29">
        <v>1</v>
      </c>
      <c r="BM13" s="29">
        <v>1</v>
      </c>
      <c r="BN13" s="65"/>
      <c r="BO13" s="29">
        <f t="shared" si="51"/>
        <v>1</v>
      </c>
      <c r="BP13" s="29">
        <f t="shared" si="37"/>
        <v>1</v>
      </c>
      <c r="BQ13" s="29">
        <f t="shared" si="38"/>
        <v>1</v>
      </c>
      <c r="BR13" s="65"/>
      <c r="BS13" s="29">
        <f t="shared" si="59"/>
        <v>1</v>
      </c>
      <c r="BT13" s="29">
        <f t="shared" si="52"/>
        <v>1</v>
      </c>
      <c r="BU13" s="29">
        <f t="shared" si="53"/>
        <v>1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</v>
      </c>
      <c r="BL14" s="29">
        <v>1</v>
      </c>
      <c r="BM14" s="29">
        <v>1</v>
      </c>
      <c r="BN14" s="65"/>
      <c r="BO14" s="29">
        <f t="shared" si="51"/>
        <v>1</v>
      </c>
      <c r="BP14" s="29">
        <f t="shared" si="37"/>
        <v>1</v>
      </c>
      <c r="BQ14" s="29">
        <f t="shared" si="38"/>
        <v>1</v>
      </c>
      <c r="BR14" s="65"/>
      <c r="BS14" s="29">
        <f t="shared" si="59"/>
        <v>1</v>
      </c>
      <c r="BT14" s="29">
        <f t="shared" si="52"/>
        <v>1</v>
      </c>
      <c r="BU14" s="29">
        <f t="shared" si="53"/>
        <v>1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</v>
      </c>
      <c r="BL15" s="29">
        <v>1</v>
      </c>
      <c r="BM15" s="29">
        <v>1</v>
      </c>
      <c r="BN15" s="65"/>
      <c r="BO15" s="29">
        <f t="shared" si="51"/>
        <v>1</v>
      </c>
      <c r="BP15" s="29">
        <f t="shared" si="37"/>
        <v>1</v>
      </c>
      <c r="BQ15" s="29">
        <f t="shared" si="38"/>
        <v>1</v>
      </c>
      <c r="BR15" s="65"/>
      <c r="BS15" s="29">
        <f t="shared" si="59"/>
        <v>1</v>
      </c>
      <c r="BT15" s="29">
        <f t="shared" si="52"/>
        <v>1</v>
      </c>
      <c r="BU15" s="29">
        <f t="shared" si="53"/>
        <v>1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</v>
      </c>
      <c r="BL16" s="29">
        <v>1</v>
      </c>
      <c r="BM16" s="29">
        <v>1</v>
      </c>
      <c r="BN16" s="65"/>
      <c r="BO16" s="29">
        <f t="shared" si="51"/>
        <v>1</v>
      </c>
      <c r="BP16" s="29">
        <f t="shared" si="37"/>
        <v>1</v>
      </c>
      <c r="BQ16" s="29">
        <f t="shared" si="38"/>
        <v>1</v>
      </c>
      <c r="BR16" s="65"/>
      <c r="BS16" s="29">
        <f t="shared" si="59"/>
        <v>1</v>
      </c>
      <c r="BT16" s="29">
        <f t="shared" si="52"/>
        <v>1</v>
      </c>
      <c r="BU16" s="29">
        <f t="shared" si="53"/>
        <v>1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</v>
      </c>
      <c r="BL17" s="29">
        <v>1</v>
      </c>
      <c r="BM17" s="29">
        <v>1</v>
      </c>
      <c r="BN17" s="65"/>
      <c r="BO17" s="29">
        <f t="shared" si="51"/>
        <v>1</v>
      </c>
      <c r="BP17" s="29">
        <f t="shared" si="37"/>
        <v>1</v>
      </c>
      <c r="BQ17" s="29">
        <f t="shared" si="38"/>
        <v>1</v>
      </c>
      <c r="BR17" s="65"/>
      <c r="BS17" s="29">
        <f t="shared" si="59"/>
        <v>1</v>
      </c>
      <c r="BT17" s="29">
        <f t="shared" si="52"/>
        <v>1</v>
      </c>
      <c r="BU17" s="29">
        <f t="shared" si="53"/>
        <v>1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</v>
      </c>
      <c r="BL18" s="29">
        <v>1</v>
      </c>
      <c r="BM18" s="29">
        <v>1</v>
      </c>
      <c r="BN18" s="65"/>
      <c r="BO18" s="29">
        <f t="shared" si="51"/>
        <v>1</v>
      </c>
      <c r="BP18" s="29">
        <f t="shared" si="37"/>
        <v>1</v>
      </c>
      <c r="BQ18" s="29">
        <f t="shared" si="38"/>
        <v>1</v>
      </c>
      <c r="BR18" s="65"/>
      <c r="BS18" s="29">
        <f t="shared" si="59"/>
        <v>1</v>
      </c>
      <c r="BT18" s="29">
        <f t="shared" si="52"/>
        <v>1</v>
      </c>
      <c r="BU18" s="29">
        <f t="shared" si="53"/>
        <v>1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</v>
      </c>
      <c r="BL19" s="29">
        <v>1</v>
      </c>
      <c r="BM19" s="29">
        <v>1</v>
      </c>
      <c r="BN19" s="65"/>
      <c r="BO19" s="29">
        <f t="shared" si="51"/>
        <v>1</v>
      </c>
      <c r="BP19" s="29">
        <f t="shared" si="37"/>
        <v>1</v>
      </c>
      <c r="BQ19" s="29">
        <f t="shared" si="38"/>
        <v>1</v>
      </c>
      <c r="BR19" s="65"/>
      <c r="BS19" s="29">
        <f t="shared" si="59"/>
        <v>1</v>
      </c>
      <c r="BT19" s="29">
        <f t="shared" si="52"/>
        <v>1</v>
      </c>
      <c r="BU19" s="29">
        <f t="shared" si="53"/>
        <v>1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</v>
      </c>
      <c r="BL20" s="29">
        <v>1</v>
      </c>
      <c r="BM20" s="29">
        <v>1</v>
      </c>
      <c r="BN20" s="65"/>
      <c r="BO20" s="29">
        <f t="shared" si="51"/>
        <v>1</v>
      </c>
      <c r="BP20" s="29">
        <f t="shared" si="37"/>
        <v>1</v>
      </c>
      <c r="BQ20" s="29">
        <f t="shared" si="38"/>
        <v>1</v>
      </c>
      <c r="BR20" s="65"/>
      <c r="BS20" s="29">
        <f t="shared" si="59"/>
        <v>1</v>
      </c>
      <c r="BT20" s="29">
        <f t="shared" si="52"/>
        <v>1</v>
      </c>
      <c r="BU20" s="29">
        <f t="shared" si="53"/>
        <v>1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</v>
      </c>
      <c r="BL21" s="29">
        <v>1</v>
      </c>
      <c r="BM21" s="29">
        <v>1</v>
      </c>
      <c r="BN21" s="65"/>
      <c r="BO21" s="29">
        <f t="shared" si="51"/>
        <v>1</v>
      </c>
      <c r="BP21" s="29">
        <f t="shared" si="37"/>
        <v>1</v>
      </c>
      <c r="BQ21" s="29">
        <f t="shared" si="38"/>
        <v>1</v>
      </c>
      <c r="BR21" s="65"/>
      <c r="BS21" s="29">
        <f t="shared" si="59"/>
        <v>1</v>
      </c>
      <c r="BT21" s="29">
        <f t="shared" si="52"/>
        <v>1</v>
      </c>
      <c r="BU21" s="29">
        <f t="shared" si="53"/>
        <v>1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</v>
      </c>
      <c r="BL22" s="29">
        <v>1</v>
      </c>
      <c r="BM22" s="29">
        <v>1</v>
      </c>
      <c r="BN22" s="65"/>
      <c r="BO22" s="29">
        <f t="shared" si="51"/>
        <v>1</v>
      </c>
      <c r="BP22" s="29">
        <f t="shared" si="37"/>
        <v>1</v>
      </c>
      <c r="BQ22" s="29">
        <f t="shared" si="38"/>
        <v>1</v>
      </c>
      <c r="BR22" s="65"/>
      <c r="BS22" s="29">
        <f t="shared" si="59"/>
        <v>1</v>
      </c>
      <c r="BT22" s="29">
        <f t="shared" si="52"/>
        <v>1</v>
      </c>
      <c r="BU22" s="29">
        <f t="shared" si="53"/>
        <v>1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</v>
      </c>
      <c r="BL23" s="29">
        <v>1</v>
      </c>
      <c r="BM23" s="29">
        <v>1</v>
      </c>
      <c r="BN23" s="65"/>
      <c r="BO23" s="29">
        <f t="shared" si="51"/>
        <v>1</v>
      </c>
      <c r="BP23" s="29">
        <f t="shared" si="37"/>
        <v>1</v>
      </c>
      <c r="BQ23" s="29">
        <f t="shared" si="38"/>
        <v>1</v>
      </c>
      <c r="BR23" s="65"/>
      <c r="BS23" s="29">
        <f t="shared" si="59"/>
        <v>1</v>
      </c>
      <c r="BT23" s="29">
        <f t="shared" si="52"/>
        <v>1</v>
      </c>
      <c r="BU23" s="29">
        <f t="shared" si="53"/>
        <v>1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</v>
      </c>
      <c r="BL24" s="29">
        <v>1</v>
      </c>
      <c r="BM24" s="29">
        <v>1</v>
      </c>
      <c r="BN24" s="65"/>
      <c r="BO24" s="29">
        <f t="shared" si="51"/>
        <v>1</v>
      </c>
      <c r="BP24" s="29">
        <f t="shared" si="37"/>
        <v>1</v>
      </c>
      <c r="BQ24" s="29">
        <f t="shared" si="38"/>
        <v>1</v>
      </c>
      <c r="BR24" s="65"/>
      <c r="BS24" s="29">
        <f t="shared" si="59"/>
        <v>1</v>
      </c>
      <c r="BT24" s="29">
        <f t="shared" si="52"/>
        <v>1</v>
      </c>
      <c r="BU24" s="29">
        <f t="shared" si="53"/>
        <v>1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</v>
      </c>
      <c r="BL25" s="29">
        <v>1</v>
      </c>
      <c r="BM25" s="29">
        <v>1</v>
      </c>
      <c r="BN25" s="65"/>
      <c r="BO25" s="29">
        <f t="shared" si="51"/>
        <v>1</v>
      </c>
      <c r="BP25" s="29">
        <f t="shared" si="37"/>
        <v>1</v>
      </c>
      <c r="BQ25" s="29">
        <f t="shared" si="38"/>
        <v>1</v>
      </c>
      <c r="BR25" s="65"/>
      <c r="BS25" s="29">
        <f t="shared" si="59"/>
        <v>1</v>
      </c>
      <c r="BT25" s="29">
        <f t="shared" si="52"/>
        <v>1</v>
      </c>
      <c r="BU25" s="29">
        <f t="shared" si="53"/>
        <v>1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</v>
      </c>
      <c r="BL26" s="29">
        <v>1</v>
      </c>
      <c r="BM26" s="29">
        <v>1</v>
      </c>
      <c r="BN26" s="65"/>
      <c r="BO26" s="29">
        <f t="shared" si="51"/>
        <v>1</v>
      </c>
      <c r="BP26" s="29">
        <f t="shared" si="37"/>
        <v>1</v>
      </c>
      <c r="BQ26" s="29">
        <f t="shared" si="38"/>
        <v>1</v>
      </c>
      <c r="BR26" s="65"/>
      <c r="BS26" s="29">
        <f t="shared" si="59"/>
        <v>1</v>
      </c>
      <c r="BT26" s="29">
        <f t="shared" si="52"/>
        <v>1</v>
      </c>
      <c r="BU26" s="29">
        <f t="shared" si="53"/>
        <v>1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0" t="s">
        <v>145</v>
      </c>
      <c r="B27" s="320"/>
      <c r="C27" s="320"/>
      <c r="D27" s="320"/>
      <c r="E27" s="320"/>
      <c r="F27" s="320"/>
      <c r="H27" s="320" t="s">
        <v>146</v>
      </c>
      <c r="I27" s="320"/>
      <c r="J27" s="320"/>
      <c r="K27" s="320"/>
      <c r="L27" s="320"/>
      <c r="M27" s="320"/>
      <c r="O27" s="320" t="s">
        <v>147</v>
      </c>
      <c r="P27" s="320"/>
      <c r="Q27" s="320"/>
      <c r="R27" s="320"/>
      <c r="S27" s="320"/>
      <c r="T27" s="320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</v>
      </c>
      <c r="BL27" s="29">
        <v>1</v>
      </c>
      <c r="BM27" s="29">
        <v>1</v>
      </c>
      <c r="BN27" s="65"/>
      <c r="BO27" s="29">
        <f t="shared" si="51"/>
        <v>1</v>
      </c>
      <c r="BP27" s="29">
        <f t="shared" si="37"/>
        <v>1</v>
      </c>
      <c r="BQ27" s="29">
        <f t="shared" si="38"/>
        <v>1</v>
      </c>
      <c r="BR27" s="65"/>
      <c r="BS27" s="29">
        <f t="shared" si="59"/>
        <v>1</v>
      </c>
      <c r="BT27" s="29">
        <f t="shared" si="52"/>
        <v>1</v>
      </c>
      <c r="BU27" s="29">
        <f t="shared" si="53"/>
        <v>1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</v>
      </c>
      <c r="BL28" s="29">
        <v>1</v>
      </c>
      <c r="BM28" s="29">
        <v>1</v>
      </c>
      <c r="BN28" s="65"/>
      <c r="BO28" s="29">
        <f t="shared" si="51"/>
        <v>1</v>
      </c>
      <c r="BP28" s="29">
        <f t="shared" si="37"/>
        <v>1</v>
      </c>
      <c r="BQ28" s="29">
        <f t="shared" si="38"/>
        <v>1</v>
      </c>
      <c r="BR28" s="65"/>
      <c r="BS28" s="29">
        <f t="shared" si="59"/>
        <v>1</v>
      </c>
      <c r="BT28" s="29">
        <f t="shared" si="52"/>
        <v>1</v>
      </c>
      <c r="BU28" s="29">
        <f t="shared" si="53"/>
        <v>1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</v>
      </c>
      <c r="BL29" s="29">
        <v>1</v>
      </c>
      <c r="BM29" s="29">
        <v>1</v>
      </c>
      <c r="BN29" s="65"/>
      <c r="BO29" s="29">
        <f t="shared" si="51"/>
        <v>1</v>
      </c>
      <c r="BP29" s="29">
        <f t="shared" si="37"/>
        <v>1</v>
      </c>
      <c r="BQ29" s="29">
        <f t="shared" si="38"/>
        <v>1</v>
      </c>
      <c r="BR29" s="65"/>
      <c r="BS29" s="29">
        <f t="shared" si="59"/>
        <v>1</v>
      </c>
      <c r="BT29" s="29">
        <f t="shared" si="52"/>
        <v>1</v>
      </c>
      <c r="BU29" s="29">
        <f t="shared" si="53"/>
        <v>1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</v>
      </c>
      <c r="BL30" s="29">
        <v>1</v>
      </c>
      <c r="BM30" s="29">
        <v>1</v>
      </c>
      <c r="BN30" s="65"/>
      <c r="BO30" s="29">
        <f t="shared" si="51"/>
        <v>1</v>
      </c>
      <c r="BP30" s="29">
        <f t="shared" si="37"/>
        <v>1</v>
      </c>
      <c r="BQ30" s="29">
        <f t="shared" si="38"/>
        <v>1</v>
      </c>
      <c r="BR30" s="65"/>
      <c r="BS30" s="29">
        <f t="shared" si="59"/>
        <v>1</v>
      </c>
      <c r="BT30" s="29">
        <f t="shared" si="52"/>
        <v>1</v>
      </c>
      <c r="BU30" s="29">
        <f t="shared" si="53"/>
        <v>1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</v>
      </c>
      <c r="BL31" s="29">
        <v>1</v>
      </c>
      <c r="BM31" s="29">
        <v>1</v>
      </c>
      <c r="BN31" s="65"/>
      <c r="BO31" s="29">
        <f t="shared" si="51"/>
        <v>1</v>
      </c>
      <c r="BP31" s="29">
        <f t="shared" si="37"/>
        <v>1</v>
      </c>
      <c r="BQ31" s="29">
        <f t="shared" si="38"/>
        <v>1</v>
      </c>
      <c r="BR31" s="65"/>
      <c r="BS31" s="29">
        <f t="shared" si="59"/>
        <v>1</v>
      </c>
      <c r="BT31" s="29">
        <f t="shared" si="52"/>
        <v>1</v>
      </c>
      <c r="BU31" s="29">
        <f t="shared" si="53"/>
        <v>1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</v>
      </c>
      <c r="BL32" s="29">
        <v>1</v>
      </c>
      <c r="BM32" s="29">
        <v>1</v>
      </c>
      <c r="BN32" s="65"/>
      <c r="BO32" s="29">
        <f t="shared" si="51"/>
        <v>1</v>
      </c>
      <c r="BP32" s="29">
        <f t="shared" si="37"/>
        <v>1</v>
      </c>
      <c r="BQ32" s="29">
        <f t="shared" si="38"/>
        <v>1</v>
      </c>
      <c r="BR32" s="65"/>
      <c r="BS32" s="29">
        <f t="shared" si="59"/>
        <v>1</v>
      </c>
      <c r="BT32" s="29">
        <f t="shared" si="52"/>
        <v>1</v>
      </c>
      <c r="BU32" s="29">
        <f t="shared" si="53"/>
        <v>1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</v>
      </c>
      <c r="BL33" s="29">
        <v>1</v>
      </c>
      <c r="BM33" s="29">
        <v>1</v>
      </c>
      <c r="BN33" s="65"/>
      <c r="BO33" s="29">
        <f t="shared" si="51"/>
        <v>1</v>
      </c>
      <c r="BP33" s="29">
        <f t="shared" si="37"/>
        <v>1</v>
      </c>
      <c r="BQ33" s="29">
        <f t="shared" si="38"/>
        <v>1</v>
      </c>
      <c r="BR33" s="65"/>
      <c r="BS33" s="29">
        <f t="shared" si="59"/>
        <v>1</v>
      </c>
      <c r="BT33" s="29">
        <f t="shared" si="52"/>
        <v>1</v>
      </c>
      <c r="BU33" s="29">
        <f t="shared" si="53"/>
        <v>1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</v>
      </c>
      <c r="BL34" s="29">
        <v>1</v>
      </c>
      <c r="BM34" s="29">
        <v>1</v>
      </c>
      <c r="BN34" s="65"/>
      <c r="BO34" s="29">
        <f t="shared" si="51"/>
        <v>1</v>
      </c>
      <c r="BP34" s="29">
        <f t="shared" si="37"/>
        <v>1</v>
      </c>
      <c r="BQ34" s="29">
        <f t="shared" si="38"/>
        <v>1</v>
      </c>
      <c r="BR34" s="65"/>
      <c r="BS34" s="29">
        <f t="shared" si="59"/>
        <v>1</v>
      </c>
      <c r="BT34" s="29">
        <f t="shared" si="52"/>
        <v>1</v>
      </c>
      <c r="BU34" s="29">
        <f t="shared" si="53"/>
        <v>1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</v>
      </c>
      <c r="BL35" s="29">
        <v>1</v>
      </c>
      <c r="BM35" s="29">
        <v>1</v>
      </c>
      <c r="BN35" s="65"/>
      <c r="BO35" s="29">
        <f t="shared" si="51"/>
        <v>1</v>
      </c>
      <c r="BP35" s="29">
        <f t="shared" si="37"/>
        <v>1</v>
      </c>
      <c r="BQ35" s="29">
        <f t="shared" si="38"/>
        <v>1</v>
      </c>
      <c r="BR35" s="65"/>
      <c r="BS35" s="29">
        <f t="shared" si="59"/>
        <v>1</v>
      </c>
      <c r="BT35" s="29">
        <f t="shared" si="52"/>
        <v>1</v>
      </c>
      <c r="BU35" s="29">
        <f t="shared" si="53"/>
        <v>1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</v>
      </c>
      <c r="BL36" s="29">
        <v>1</v>
      </c>
      <c r="BM36" s="29">
        <v>1</v>
      </c>
      <c r="BN36" s="65"/>
      <c r="BO36" s="29">
        <f t="shared" si="51"/>
        <v>1</v>
      </c>
      <c r="BP36" s="29">
        <f t="shared" si="37"/>
        <v>1</v>
      </c>
      <c r="BQ36" s="29">
        <f t="shared" si="38"/>
        <v>1</v>
      </c>
      <c r="BR36" s="65"/>
      <c r="BS36" s="29">
        <f t="shared" si="59"/>
        <v>1</v>
      </c>
      <c r="BT36" s="29">
        <f t="shared" si="52"/>
        <v>1</v>
      </c>
      <c r="BU36" s="29">
        <f t="shared" si="53"/>
        <v>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</v>
      </c>
      <c r="BL37" s="29">
        <v>1</v>
      </c>
      <c r="BM37" s="29">
        <v>1</v>
      </c>
      <c r="BN37" s="65"/>
      <c r="BO37" s="29">
        <f t="shared" si="51"/>
        <v>1</v>
      </c>
      <c r="BP37" s="29">
        <f t="shared" si="37"/>
        <v>1</v>
      </c>
      <c r="BQ37" s="29">
        <f t="shared" si="38"/>
        <v>1</v>
      </c>
      <c r="BR37" s="65"/>
      <c r="BS37" s="29">
        <f t="shared" si="59"/>
        <v>1</v>
      </c>
      <c r="BT37" s="29">
        <f t="shared" si="52"/>
        <v>1</v>
      </c>
      <c r="BU37" s="29">
        <f t="shared" si="53"/>
        <v>1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</v>
      </c>
      <c r="BL38" s="29">
        <v>1</v>
      </c>
      <c r="BM38" s="29">
        <v>1</v>
      </c>
      <c r="BN38" s="65"/>
      <c r="BO38" s="29">
        <f t="shared" si="51"/>
        <v>1</v>
      </c>
      <c r="BP38" s="29">
        <f t="shared" si="37"/>
        <v>1</v>
      </c>
      <c r="BQ38" s="29">
        <f t="shared" si="38"/>
        <v>1</v>
      </c>
      <c r="BR38" s="65"/>
      <c r="BS38" s="29">
        <f t="shared" si="59"/>
        <v>1</v>
      </c>
      <c r="BT38" s="29">
        <f t="shared" si="52"/>
        <v>1</v>
      </c>
      <c r="BU38" s="29">
        <f t="shared" si="53"/>
        <v>1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</v>
      </c>
      <c r="BL39" s="29">
        <v>1</v>
      </c>
      <c r="BM39" s="29">
        <v>1</v>
      </c>
      <c r="BN39" s="65"/>
      <c r="BO39" s="29">
        <f t="shared" si="51"/>
        <v>1</v>
      </c>
      <c r="BP39" s="29">
        <f t="shared" si="37"/>
        <v>1</v>
      </c>
      <c r="BQ39" s="29">
        <f t="shared" si="38"/>
        <v>1</v>
      </c>
      <c r="BR39" s="65"/>
      <c r="BS39" s="29">
        <f t="shared" si="59"/>
        <v>1</v>
      </c>
      <c r="BT39" s="29">
        <f t="shared" si="52"/>
        <v>1</v>
      </c>
      <c r="BU39" s="29">
        <f t="shared" si="53"/>
        <v>1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</v>
      </c>
      <c r="BL40" s="29">
        <v>1</v>
      </c>
      <c r="BM40" s="29">
        <v>1</v>
      </c>
      <c r="BN40" s="65"/>
      <c r="BO40" s="29">
        <f t="shared" si="51"/>
        <v>1</v>
      </c>
      <c r="BP40" s="29">
        <f t="shared" si="37"/>
        <v>1</v>
      </c>
      <c r="BQ40" s="29">
        <f t="shared" si="38"/>
        <v>1</v>
      </c>
      <c r="BR40" s="65"/>
      <c r="BS40" s="29">
        <f t="shared" si="59"/>
        <v>1</v>
      </c>
      <c r="BT40" s="29">
        <f t="shared" si="52"/>
        <v>1</v>
      </c>
      <c r="BU40" s="29">
        <f t="shared" si="53"/>
        <v>1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</v>
      </c>
      <c r="BL41" s="29">
        <v>1</v>
      </c>
      <c r="BM41" s="29">
        <v>1</v>
      </c>
      <c r="BN41" s="65"/>
      <c r="BO41" s="29">
        <f t="shared" si="51"/>
        <v>1</v>
      </c>
      <c r="BP41" s="29">
        <f t="shared" si="37"/>
        <v>1</v>
      </c>
      <c r="BQ41" s="29">
        <f t="shared" si="38"/>
        <v>1</v>
      </c>
      <c r="BR41" s="65"/>
      <c r="BS41" s="29">
        <f t="shared" si="59"/>
        <v>1</v>
      </c>
      <c r="BT41" s="29">
        <f t="shared" si="52"/>
        <v>1</v>
      </c>
      <c r="BU41" s="29">
        <f t="shared" si="53"/>
        <v>1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</v>
      </c>
      <c r="BL42" s="29">
        <v>1</v>
      </c>
      <c r="BM42" s="29">
        <v>1</v>
      </c>
      <c r="BN42" s="65"/>
      <c r="BO42" s="29">
        <f t="shared" si="51"/>
        <v>1</v>
      </c>
      <c r="BP42" s="29">
        <f t="shared" si="37"/>
        <v>1</v>
      </c>
      <c r="BQ42" s="29">
        <f t="shared" si="38"/>
        <v>1</v>
      </c>
      <c r="BR42" s="65"/>
      <c r="BS42" s="29">
        <f t="shared" si="59"/>
        <v>1</v>
      </c>
      <c r="BT42" s="29">
        <f t="shared" si="52"/>
        <v>1</v>
      </c>
      <c r="BU42" s="29">
        <f t="shared" si="53"/>
        <v>1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</v>
      </c>
      <c r="BL43" s="29">
        <v>1</v>
      </c>
      <c r="BM43" s="29">
        <v>1</v>
      </c>
      <c r="BN43" s="65"/>
      <c r="BO43" s="29">
        <f t="shared" si="51"/>
        <v>1</v>
      </c>
      <c r="BP43" s="29">
        <f t="shared" si="37"/>
        <v>1</v>
      </c>
      <c r="BQ43" s="29">
        <f t="shared" si="38"/>
        <v>1</v>
      </c>
      <c r="BR43" s="65"/>
      <c r="BS43" s="29">
        <f t="shared" si="59"/>
        <v>1</v>
      </c>
      <c r="BT43" s="29">
        <f t="shared" si="52"/>
        <v>1</v>
      </c>
      <c r="BU43" s="29">
        <f t="shared" si="53"/>
        <v>1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</v>
      </c>
      <c r="BL44" s="29">
        <v>1</v>
      </c>
      <c r="BM44" s="29">
        <v>1</v>
      </c>
      <c r="BN44" s="65"/>
      <c r="BO44" s="29">
        <f t="shared" si="51"/>
        <v>1</v>
      </c>
      <c r="BP44" s="29">
        <f t="shared" si="37"/>
        <v>1</v>
      </c>
      <c r="BQ44" s="29">
        <f t="shared" si="38"/>
        <v>1</v>
      </c>
      <c r="BR44" s="65"/>
      <c r="BS44" s="29">
        <f t="shared" si="59"/>
        <v>1</v>
      </c>
      <c r="BT44" s="29">
        <f t="shared" si="52"/>
        <v>1</v>
      </c>
      <c r="BU44" s="29">
        <f t="shared" si="53"/>
        <v>1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</v>
      </c>
      <c r="BL45" s="29">
        <v>1</v>
      </c>
      <c r="BM45" s="29">
        <v>1</v>
      </c>
      <c r="BN45" s="65"/>
      <c r="BO45" s="29">
        <f t="shared" si="51"/>
        <v>1</v>
      </c>
      <c r="BP45" s="29">
        <f t="shared" si="37"/>
        <v>1</v>
      </c>
      <c r="BQ45" s="29">
        <f t="shared" si="38"/>
        <v>1</v>
      </c>
      <c r="BR45" s="65"/>
      <c r="BS45" s="29">
        <f t="shared" si="59"/>
        <v>1</v>
      </c>
      <c r="BT45" s="29">
        <f t="shared" si="52"/>
        <v>1</v>
      </c>
      <c r="BU45" s="29">
        <f t="shared" si="53"/>
        <v>1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</v>
      </c>
      <c r="BL46" s="29">
        <v>1</v>
      </c>
      <c r="BM46" s="29">
        <v>1</v>
      </c>
      <c r="BN46" s="65"/>
      <c r="BO46" s="29">
        <f t="shared" si="51"/>
        <v>1</v>
      </c>
      <c r="BP46" s="29">
        <f t="shared" si="37"/>
        <v>1</v>
      </c>
      <c r="BQ46" s="29">
        <f t="shared" si="38"/>
        <v>1</v>
      </c>
      <c r="BR46" s="65"/>
      <c r="BS46" s="29">
        <f t="shared" si="59"/>
        <v>1</v>
      </c>
      <c r="BT46" s="29">
        <f t="shared" si="52"/>
        <v>1</v>
      </c>
      <c r="BU46" s="29">
        <f t="shared" si="53"/>
        <v>1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</v>
      </c>
      <c r="BL47" s="29">
        <v>1</v>
      </c>
      <c r="BM47" s="29">
        <v>1</v>
      </c>
      <c r="BN47" s="65"/>
      <c r="BO47" s="29">
        <f t="shared" si="51"/>
        <v>1</v>
      </c>
      <c r="BP47" s="29">
        <f t="shared" si="37"/>
        <v>1</v>
      </c>
      <c r="BQ47" s="29">
        <f t="shared" si="38"/>
        <v>1</v>
      </c>
      <c r="BR47" s="65"/>
      <c r="BS47" s="29">
        <f t="shared" si="59"/>
        <v>1</v>
      </c>
      <c r="BT47" s="29">
        <f t="shared" si="52"/>
        <v>1</v>
      </c>
      <c r="BU47" s="29">
        <f t="shared" si="53"/>
        <v>1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</v>
      </c>
      <c r="BL48" s="29">
        <v>1</v>
      </c>
      <c r="BM48" s="29">
        <v>1</v>
      </c>
      <c r="BN48" s="65"/>
      <c r="BO48" s="29">
        <f t="shared" si="51"/>
        <v>1</v>
      </c>
      <c r="BP48" s="29">
        <f t="shared" si="37"/>
        <v>1</v>
      </c>
      <c r="BQ48" s="29">
        <f t="shared" si="38"/>
        <v>1</v>
      </c>
      <c r="BR48" s="65"/>
      <c r="BS48" s="29">
        <f t="shared" si="59"/>
        <v>1</v>
      </c>
      <c r="BT48" s="29">
        <f t="shared" si="52"/>
        <v>1</v>
      </c>
      <c r="BU48" s="29">
        <f t="shared" si="53"/>
        <v>1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</v>
      </c>
      <c r="BL49" s="29">
        <v>1</v>
      </c>
      <c r="BM49" s="29">
        <v>1</v>
      </c>
      <c r="BN49" s="65"/>
      <c r="BO49" s="29">
        <f t="shared" si="51"/>
        <v>1</v>
      </c>
      <c r="BP49" s="29">
        <f t="shared" si="37"/>
        <v>1</v>
      </c>
      <c r="BQ49" s="29">
        <f t="shared" si="38"/>
        <v>1</v>
      </c>
      <c r="BR49" s="65"/>
      <c r="BS49" s="29">
        <f t="shared" si="59"/>
        <v>1</v>
      </c>
      <c r="BT49" s="29">
        <f t="shared" si="52"/>
        <v>1</v>
      </c>
      <c r="BU49" s="29">
        <f t="shared" si="53"/>
        <v>1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</v>
      </c>
      <c r="BL50" s="29">
        <v>1</v>
      </c>
      <c r="BM50" s="29">
        <v>1</v>
      </c>
      <c r="BN50" s="65"/>
      <c r="BO50" s="29">
        <f t="shared" si="51"/>
        <v>1</v>
      </c>
      <c r="BP50" s="29">
        <f t="shared" si="37"/>
        <v>1</v>
      </c>
      <c r="BQ50" s="29">
        <f t="shared" si="38"/>
        <v>1</v>
      </c>
      <c r="BR50" s="65"/>
      <c r="BS50" s="29">
        <f t="shared" si="59"/>
        <v>1</v>
      </c>
      <c r="BT50" s="29">
        <f t="shared" si="52"/>
        <v>1</v>
      </c>
      <c r="BU50" s="29">
        <f t="shared" si="53"/>
        <v>1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1</v>
      </c>
      <c r="BL51" s="29">
        <v>1</v>
      </c>
      <c r="BM51" s="29">
        <v>1</v>
      </c>
      <c r="BN51" s="65"/>
      <c r="BO51" s="29">
        <f t="shared" si="51"/>
        <v>1</v>
      </c>
      <c r="BP51" s="29">
        <f t="shared" si="37"/>
        <v>1</v>
      </c>
      <c r="BQ51" s="29">
        <f t="shared" si="38"/>
        <v>1</v>
      </c>
      <c r="BR51" s="65"/>
      <c r="BS51" s="29">
        <f t="shared" si="59"/>
        <v>1</v>
      </c>
      <c r="BT51" s="29">
        <f t="shared" si="52"/>
        <v>1</v>
      </c>
      <c r="BU51" s="29">
        <f t="shared" si="53"/>
        <v>1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1</v>
      </c>
      <c r="BL52" s="29">
        <v>1</v>
      </c>
      <c r="BM52" s="29">
        <v>1</v>
      </c>
      <c r="BN52" s="65"/>
      <c r="BO52" s="29">
        <f t="shared" si="51"/>
        <v>1</v>
      </c>
      <c r="BP52" s="29">
        <f t="shared" si="37"/>
        <v>1</v>
      </c>
      <c r="BQ52" s="29">
        <f t="shared" si="38"/>
        <v>1</v>
      </c>
      <c r="BR52" s="65"/>
      <c r="BS52" s="29">
        <f t="shared" si="59"/>
        <v>1</v>
      </c>
      <c r="BT52" s="29">
        <f t="shared" si="52"/>
        <v>1</v>
      </c>
      <c r="BU52" s="29">
        <f t="shared" si="53"/>
        <v>1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17" t="s">
        <v>148</v>
      </c>
      <c r="B53" s="317"/>
      <c r="C53" s="317"/>
      <c r="D53" s="317"/>
      <c r="E53" s="317"/>
      <c r="F53" s="317"/>
      <c r="H53" s="317" t="s">
        <v>149</v>
      </c>
      <c r="I53" s="317"/>
      <c r="J53" s="317"/>
      <c r="K53" s="317"/>
      <c r="L53" s="317"/>
      <c r="M53" s="317"/>
      <c r="O53" s="317" t="s">
        <v>150</v>
      </c>
      <c r="P53" s="317"/>
      <c r="Q53" s="317"/>
      <c r="R53" s="317"/>
      <c r="S53" s="317"/>
      <c r="T53" s="317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1</v>
      </c>
      <c r="BL53" s="29">
        <v>1</v>
      </c>
      <c r="BM53" s="29">
        <v>1</v>
      </c>
      <c r="BN53" s="65"/>
      <c r="BO53" s="29">
        <f t="shared" si="51"/>
        <v>1</v>
      </c>
      <c r="BP53" s="29">
        <f t="shared" si="37"/>
        <v>1</v>
      </c>
      <c r="BQ53" s="29">
        <f t="shared" si="38"/>
        <v>1</v>
      </c>
      <c r="BR53" s="65"/>
      <c r="BS53" s="29">
        <f t="shared" si="59"/>
        <v>1</v>
      </c>
      <c r="BT53" s="29">
        <f t="shared" si="52"/>
        <v>1</v>
      </c>
      <c r="BU53" s="29">
        <f t="shared" si="53"/>
        <v>1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1</v>
      </c>
      <c r="BL54" s="29">
        <v>1</v>
      </c>
      <c r="BM54" s="29">
        <v>1</v>
      </c>
      <c r="BN54" s="65"/>
      <c r="BO54" s="29">
        <f t="shared" si="51"/>
        <v>1</v>
      </c>
      <c r="BP54" s="29">
        <f t="shared" si="37"/>
        <v>1</v>
      </c>
      <c r="BQ54" s="29">
        <f t="shared" si="38"/>
        <v>1</v>
      </c>
      <c r="BR54" s="65"/>
      <c r="BS54" s="29">
        <f t="shared" si="59"/>
        <v>1</v>
      </c>
      <c r="BT54" s="29">
        <f t="shared" si="52"/>
        <v>1</v>
      </c>
      <c r="BU54" s="29">
        <f t="shared" si="53"/>
        <v>1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1</v>
      </c>
      <c r="BL55" s="29">
        <v>1</v>
      </c>
      <c r="BM55" s="29">
        <v>1</v>
      </c>
      <c r="BN55" s="65"/>
      <c r="BO55" s="29">
        <f t="shared" si="51"/>
        <v>1</v>
      </c>
      <c r="BP55" s="29">
        <f t="shared" si="37"/>
        <v>1</v>
      </c>
      <c r="BQ55" s="29">
        <f t="shared" si="38"/>
        <v>1</v>
      </c>
      <c r="BR55" s="65"/>
      <c r="BS55" s="29">
        <f t="shared" si="59"/>
        <v>1</v>
      </c>
      <c r="BT55" s="29">
        <f t="shared" si="52"/>
        <v>1</v>
      </c>
      <c r="BU55" s="29">
        <f t="shared" si="53"/>
        <v>1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</v>
      </c>
      <c r="BL56" s="29">
        <v>1</v>
      </c>
      <c r="BM56" s="29">
        <v>1</v>
      </c>
      <c r="BN56" s="65"/>
      <c r="BO56" s="29">
        <f t="shared" si="51"/>
        <v>1</v>
      </c>
      <c r="BP56" s="29">
        <f t="shared" si="37"/>
        <v>1</v>
      </c>
      <c r="BQ56" s="29">
        <f t="shared" si="38"/>
        <v>1</v>
      </c>
      <c r="BR56" s="65"/>
      <c r="BS56" s="29">
        <f t="shared" si="59"/>
        <v>1</v>
      </c>
      <c r="BT56" s="29">
        <f t="shared" si="52"/>
        <v>1</v>
      </c>
      <c r="BU56" s="29">
        <f t="shared" si="53"/>
        <v>1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</v>
      </c>
      <c r="BL57" s="29">
        <v>1</v>
      </c>
      <c r="BM57" s="29">
        <v>1</v>
      </c>
      <c r="BN57" s="65"/>
      <c r="BO57" s="29">
        <f t="shared" si="51"/>
        <v>1</v>
      </c>
      <c r="BP57" s="29">
        <f t="shared" si="37"/>
        <v>1</v>
      </c>
      <c r="BQ57" s="29">
        <f t="shared" si="38"/>
        <v>1</v>
      </c>
      <c r="BR57" s="65"/>
      <c r="BS57" s="29">
        <f t="shared" si="59"/>
        <v>1</v>
      </c>
      <c r="BT57" s="29">
        <f t="shared" si="52"/>
        <v>1</v>
      </c>
      <c r="BU57" s="29">
        <f t="shared" si="53"/>
        <v>1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</v>
      </c>
      <c r="BL58" s="29">
        <v>1</v>
      </c>
      <c r="BM58" s="29">
        <v>1</v>
      </c>
      <c r="BN58" s="65"/>
      <c r="BO58" s="29">
        <f t="shared" si="51"/>
        <v>1</v>
      </c>
      <c r="BP58" s="29">
        <f t="shared" si="37"/>
        <v>1</v>
      </c>
      <c r="BQ58" s="29">
        <f t="shared" si="38"/>
        <v>1</v>
      </c>
      <c r="BR58" s="65"/>
      <c r="BS58" s="29">
        <f t="shared" si="59"/>
        <v>1</v>
      </c>
      <c r="BT58" s="29">
        <f t="shared" si="52"/>
        <v>1</v>
      </c>
      <c r="BU58" s="29">
        <f t="shared" si="53"/>
        <v>1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</v>
      </c>
      <c r="BL59" s="29">
        <v>1</v>
      </c>
      <c r="BM59" s="29">
        <v>1</v>
      </c>
      <c r="BN59" s="65"/>
      <c r="BO59" s="29">
        <f t="shared" si="51"/>
        <v>1</v>
      </c>
      <c r="BP59" s="29">
        <f t="shared" si="37"/>
        <v>1</v>
      </c>
      <c r="BQ59" s="29">
        <f t="shared" si="38"/>
        <v>1</v>
      </c>
      <c r="BR59" s="65"/>
      <c r="BS59" s="29">
        <f t="shared" si="59"/>
        <v>1</v>
      </c>
      <c r="BT59" s="29">
        <f t="shared" si="52"/>
        <v>1</v>
      </c>
      <c r="BU59" s="29">
        <f t="shared" si="53"/>
        <v>1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</v>
      </c>
      <c r="BL60" s="29">
        <v>1</v>
      </c>
      <c r="BM60" s="29">
        <v>1</v>
      </c>
      <c r="BN60" s="65"/>
      <c r="BO60" s="29">
        <f t="shared" si="51"/>
        <v>1</v>
      </c>
      <c r="BP60" s="29">
        <f t="shared" si="37"/>
        <v>1</v>
      </c>
      <c r="BQ60" s="29">
        <f t="shared" si="38"/>
        <v>1</v>
      </c>
      <c r="BR60" s="65"/>
      <c r="BS60" s="29">
        <f t="shared" si="59"/>
        <v>1</v>
      </c>
      <c r="BT60" s="29">
        <f t="shared" si="52"/>
        <v>1</v>
      </c>
      <c r="BU60" s="29">
        <f t="shared" si="53"/>
        <v>1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</v>
      </c>
      <c r="BL61" s="29">
        <v>1</v>
      </c>
      <c r="BM61" s="29">
        <v>1</v>
      </c>
      <c r="BN61" s="65"/>
      <c r="BO61" s="29">
        <f t="shared" si="51"/>
        <v>1</v>
      </c>
      <c r="BP61" s="29">
        <f t="shared" si="37"/>
        <v>1</v>
      </c>
      <c r="BQ61" s="29">
        <f t="shared" si="38"/>
        <v>1</v>
      </c>
      <c r="BR61" s="65"/>
      <c r="BS61" s="29">
        <f t="shared" si="59"/>
        <v>1</v>
      </c>
      <c r="BT61" s="29">
        <f t="shared" si="52"/>
        <v>1</v>
      </c>
      <c r="BU61" s="29">
        <f t="shared" si="53"/>
        <v>1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</v>
      </c>
      <c r="BL62" s="29">
        <v>1</v>
      </c>
      <c r="BM62" s="29">
        <v>1</v>
      </c>
      <c r="BN62" s="65"/>
      <c r="BO62" s="29">
        <f t="shared" si="51"/>
        <v>1</v>
      </c>
      <c r="BP62" s="29">
        <f t="shared" si="37"/>
        <v>1</v>
      </c>
      <c r="BQ62" s="29">
        <f t="shared" si="38"/>
        <v>1</v>
      </c>
      <c r="BR62" s="65"/>
      <c r="BS62" s="29">
        <f t="shared" si="59"/>
        <v>1</v>
      </c>
      <c r="BT62" s="29">
        <f t="shared" si="52"/>
        <v>1</v>
      </c>
      <c r="BU62" s="29">
        <f t="shared" si="53"/>
        <v>1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</v>
      </c>
      <c r="BL63" s="29">
        <v>1</v>
      </c>
      <c r="BM63" s="29">
        <v>1</v>
      </c>
      <c r="BN63" s="65"/>
      <c r="BO63" s="29">
        <f t="shared" si="51"/>
        <v>1</v>
      </c>
      <c r="BP63" s="29">
        <f t="shared" si="37"/>
        <v>1</v>
      </c>
      <c r="BQ63" s="29">
        <f t="shared" si="38"/>
        <v>1</v>
      </c>
      <c r="BR63" s="65"/>
      <c r="BS63" s="29">
        <f t="shared" si="59"/>
        <v>1</v>
      </c>
      <c r="BT63" s="29">
        <f t="shared" si="52"/>
        <v>1</v>
      </c>
      <c r="BU63" s="29">
        <f t="shared" si="53"/>
        <v>1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</v>
      </c>
      <c r="BL64" s="29">
        <v>1</v>
      </c>
      <c r="BM64" s="29">
        <v>1</v>
      </c>
      <c r="BN64" s="65"/>
      <c r="BO64" s="29">
        <f t="shared" si="51"/>
        <v>1</v>
      </c>
      <c r="BP64" s="29">
        <f t="shared" si="37"/>
        <v>1</v>
      </c>
      <c r="BQ64" s="29">
        <f t="shared" si="38"/>
        <v>1</v>
      </c>
      <c r="BR64" s="65"/>
      <c r="BS64" s="29">
        <f t="shared" si="59"/>
        <v>1</v>
      </c>
      <c r="BT64" s="29">
        <f t="shared" si="52"/>
        <v>1</v>
      </c>
      <c r="BU64" s="29">
        <f t="shared" si="53"/>
        <v>1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</v>
      </c>
      <c r="BL65" s="29">
        <v>1</v>
      </c>
      <c r="BM65" s="29">
        <v>1</v>
      </c>
      <c r="BN65" s="65"/>
      <c r="BO65" s="29">
        <f t="shared" si="51"/>
        <v>1</v>
      </c>
      <c r="BP65" s="29">
        <f t="shared" si="37"/>
        <v>1</v>
      </c>
      <c r="BQ65" s="29">
        <f t="shared" si="38"/>
        <v>1</v>
      </c>
      <c r="BR65" s="65"/>
      <c r="BS65" s="29">
        <f t="shared" si="59"/>
        <v>1</v>
      </c>
      <c r="BT65" s="29">
        <f t="shared" si="52"/>
        <v>1</v>
      </c>
      <c r="BU65" s="29">
        <f t="shared" si="53"/>
        <v>1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</v>
      </c>
      <c r="BL66" s="29">
        <v>1</v>
      </c>
      <c r="BM66" s="29">
        <v>1</v>
      </c>
      <c r="BO66" s="29">
        <f t="shared" si="51"/>
        <v>1</v>
      </c>
      <c r="BP66" s="29">
        <f t="shared" si="37"/>
        <v>1</v>
      </c>
      <c r="BQ66" s="29">
        <f t="shared" si="38"/>
        <v>1</v>
      </c>
      <c r="BR66" s="65"/>
      <c r="BS66" s="29">
        <f t="shared" si="59"/>
        <v>1</v>
      </c>
      <c r="BT66" s="29">
        <f t="shared" si="52"/>
        <v>1</v>
      </c>
      <c r="BU66" s="29">
        <f t="shared" si="53"/>
        <v>1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</v>
      </c>
      <c r="BL67" s="29">
        <v>1</v>
      </c>
      <c r="BM67" s="29">
        <v>1</v>
      </c>
      <c r="BO67" s="29">
        <f t="shared" si="51"/>
        <v>1</v>
      </c>
      <c r="BP67" s="29">
        <f t="shared" si="37"/>
        <v>1</v>
      </c>
      <c r="BQ67" s="29">
        <f t="shared" si="38"/>
        <v>1</v>
      </c>
      <c r="BR67" s="65"/>
      <c r="BS67" s="29">
        <f t="shared" si="59"/>
        <v>1</v>
      </c>
      <c r="BT67" s="29">
        <f t="shared" si="52"/>
        <v>1</v>
      </c>
      <c r="BU67" s="29">
        <f t="shared" si="53"/>
        <v>1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</v>
      </c>
      <c r="BL68" s="29">
        <v>1</v>
      </c>
      <c r="BM68" s="29">
        <v>1</v>
      </c>
      <c r="BO68" s="29">
        <f t="shared" si="51"/>
        <v>1</v>
      </c>
      <c r="BP68" s="29">
        <f t="shared" ref="BP68:BP131" si="86">IF(BL67="","",BL67)</f>
        <v>1</v>
      </c>
      <c r="BQ68" s="29">
        <f t="shared" ref="BQ68:BQ131" si="87">IF(BM67="","",BM67)</f>
        <v>1</v>
      </c>
      <c r="BR68" s="65"/>
      <c r="BS68" s="29">
        <f t="shared" si="59"/>
        <v>1</v>
      </c>
      <c r="BT68" s="29">
        <f t="shared" si="52"/>
        <v>1</v>
      </c>
      <c r="BU68" s="29">
        <f t="shared" si="53"/>
        <v>1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</v>
      </c>
      <c r="BL69" s="29">
        <v>1</v>
      </c>
      <c r="BM69" s="29">
        <v>1</v>
      </c>
      <c r="BO69" s="29">
        <f t="shared" ref="BO69:BO132" si="97">IF(BK68="","",BK68)</f>
        <v>1</v>
      </c>
      <c r="BP69" s="29">
        <f t="shared" si="86"/>
        <v>1</v>
      </c>
      <c r="BQ69" s="29">
        <f t="shared" si="87"/>
        <v>1</v>
      </c>
      <c r="BR69" s="65"/>
      <c r="BS69" s="29">
        <f t="shared" si="59"/>
        <v>1</v>
      </c>
      <c r="BT69" s="29">
        <f t="shared" ref="BT69:BT132" si="98">IF(BL67="","",BL67)</f>
        <v>1</v>
      </c>
      <c r="BU69" s="29">
        <f t="shared" ref="BU69:BU132" si="99">IF(BM67="","",BM67)</f>
        <v>1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</v>
      </c>
      <c r="BL70" s="29">
        <v>1</v>
      </c>
      <c r="BM70" s="29">
        <v>1</v>
      </c>
      <c r="BO70" s="29">
        <f t="shared" si="97"/>
        <v>1</v>
      </c>
      <c r="BP70" s="29">
        <f t="shared" si="86"/>
        <v>1</v>
      </c>
      <c r="BQ70" s="29">
        <f t="shared" si="87"/>
        <v>1</v>
      </c>
      <c r="BR70" s="65"/>
      <c r="BS70" s="29">
        <f t="shared" ref="BS70:BS133" si="105">IF(BK68="","",BK68)</f>
        <v>1</v>
      </c>
      <c r="BT70" s="29">
        <f t="shared" si="98"/>
        <v>1</v>
      </c>
      <c r="BU70" s="29">
        <f t="shared" si="99"/>
        <v>1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</v>
      </c>
      <c r="BL71" s="29">
        <v>1</v>
      </c>
      <c r="BM71" s="29">
        <v>1</v>
      </c>
      <c r="BO71" s="29">
        <f t="shared" si="97"/>
        <v>1</v>
      </c>
      <c r="BP71" s="29">
        <f t="shared" si="86"/>
        <v>1</v>
      </c>
      <c r="BQ71" s="29">
        <f t="shared" si="87"/>
        <v>1</v>
      </c>
      <c r="BR71" s="65"/>
      <c r="BS71" s="29">
        <f t="shared" si="105"/>
        <v>1</v>
      </c>
      <c r="BT71" s="29">
        <f t="shared" si="98"/>
        <v>1</v>
      </c>
      <c r="BU71" s="29">
        <f t="shared" si="99"/>
        <v>1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</v>
      </c>
      <c r="BL72" s="29">
        <v>1</v>
      </c>
      <c r="BM72" s="29">
        <v>1</v>
      </c>
      <c r="BO72" s="29">
        <f t="shared" si="97"/>
        <v>1</v>
      </c>
      <c r="BP72" s="29">
        <f t="shared" si="86"/>
        <v>1</v>
      </c>
      <c r="BQ72" s="29">
        <f t="shared" si="87"/>
        <v>1</v>
      </c>
      <c r="BR72" s="65"/>
      <c r="BS72" s="29">
        <f t="shared" si="105"/>
        <v>1</v>
      </c>
      <c r="BT72" s="29">
        <f t="shared" si="98"/>
        <v>1</v>
      </c>
      <c r="BU72" s="29">
        <f t="shared" si="99"/>
        <v>1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</v>
      </c>
      <c r="BL73" s="29">
        <v>1</v>
      </c>
      <c r="BM73" s="29">
        <v>1</v>
      </c>
      <c r="BO73" s="29">
        <f t="shared" si="97"/>
        <v>1</v>
      </c>
      <c r="BP73" s="29">
        <f t="shared" si="86"/>
        <v>1</v>
      </c>
      <c r="BQ73" s="29">
        <f t="shared" si="87"/>
        <v>1</v>
      </c>
      <c r="BR73" s="65"/>
      <c r="BS73" s="29">
        <f t="shared" si="105"/>
        <v>1</v>
      </c>
      <c r="BT73" s="29">
        <f t="shared" si="98"/>
        <v>1</v>
      </c>
      <c r="BU73" s="29">
        <f t="shared" si="99"/>
        <v>1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</v>
      </c>
      <c r="BL74" s="29">
        <v>1</v>
      </c>
      <c r="BM74" s="29">
        <v>1</v>
      </c>
      <c r="BO74" s="29">
        <f t="shared" si="97"/>
        <v>1</v>
      </c>
      <c r="BP74" s="29">
        <f t="shared" si="86"/>
        <v>1</v>
      </c>
      <c r="BQ74" s="29">
        <f t="shared" si="87"/>
        <v>1</v>
      </c>
      <c r="BR74" s="65"/>
      <c r="BS74" s="29">
        <f t="shared" si="105"/>
        <v>1</v>
      </c>
      <c r="BT74" s="29">
        <f t="shared" si="98"/>
        <v>1</v>
      </c>
      <c r="BU74" s="29">
        <f t="shared" si="99"/>
        <v>1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</v>
      </c>
      <c r="BL75" s="29">
        <v>1</v>
      </c>
      <c r="BM75" s="29">
        <v>1</v>
      </c>
      <c r="BO75" s="29">
        <f t="shared" si="97"/>
        <v>1</v>
      </c>
      <c r="BP75" s="29">
        <f t="shared" si="86"/>
        <v>1</v>
      </c>
      <c r="BQ75" s="29">
        <f t="shared" si="87"/>
        <v>1</v>
      </c>
      <c r="BR75" s="65"/>
      <c r="BS75" s="29">
        <f t="shared" si="105"/>
        <v>1</v>
      </c>
      <c r="BT75" s="29">
        <f t="shared" si="98"/>
        <v>1</v>
      </c>
      <c r="BU75" s="29">
        <f t="shared" si="99"/>
        <v>1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</v>
      </c>
      <c r="BL76" s="29">
        <v>1</v>
      </c>
      <c r="BM76" s="29">
        <v>1</v>
      </c>
      <c r="BO76" s="29">
        <f t="shared" si="97"/>
        <v>1</v>
      </c>
      <c r="BP76" s="29">
        <f t="shared" si="86"/>
        <v>1</v>
      </c>
      <c r="BQ76" s="29">
        <f t="shared" si="87"/>
        <v>1</v>
      </c>
      <c r="BR76" s="65"/>
      <c r="BS76" s="29">
        <f t="shared" si="105"/>
        <v>1</v>
      </c>
      <c r="BT76" s="29">
        <f t="shared" si="98"/>
        <v>1</v>
      </c>
      <c r="BU76" s="29">
        <f t="shared" si="99"/>
        <v>1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</v>
      </c>
      <c r="BL77" s="29">
        <v>1</v>
      </c>
      <c r="BM77" s="29">
        <v>1</v>
      </c>
      <c r="BO77" s="29">
        <f t="shared" si="97"/>
        <v>1</v>
      </c>
      <c r="BP77" s="29">
        <f t="shared" si="86"/>
        <v>1</v>
      </c>
      <c r="BQ77" s="29">
        <f t="shared" si="87"/>
        <v>1</v>
      </c>
      <c r="BR77" s="65"/>
      <c r="BS77" s="29">
        <f t="shared" si="105"/>
        <v>1</v>
      </c>
      <c r="BT77" s="29">
        <f t="shared" si="98"/>
        <v>1</v>
      </c>
      <c r="BU77" s="29">
        <f t="shared" si="99"/>
        <v>1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</v>
      </c>
      <c r="BL78" s="29">
        <v>1</v>
      </c>
      <c r="BM78" s="29">
        <v>1</v>
      </c>
      <c r="BO78" s="29">
        <f t="shared" si="97"/>
        <v>1</v>
      </c>
      <c r="BP78" s="29">
        <f t="shared" si="86"/>
        <v>1</v>
      </c>
      <c r="BQ78" s="29">
        <f t="shared" si="87"/>
        <v>1</v>
      </c>
      <c r="BR78" s="65"/>
      <c r="BS78" s="29">
        <f t="shared" si="105"/>
        <v>1</v>
      </c>
      <c r="BT78" s="29">
        <f t="shared" si="98"/>
        <v>1</v>
      </c>
      <c r="BU78" s="29">
        <f t="shared" si="99"/>
        <v>1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18" t="s">
        <v>151</v>
      </c>
      <c r="B79" s="318"/>
      <c r="C79" s="318"/>
      <c r="D79" s="318"/>
      <c r="E79" s="318"/>
      <c r="F79" s="318"/>
      <c r="H79" s="318" t="s">
        <v>152</v>
      </c>
      <c r="I79" s="318"/>
      <c r="J79" s="318"/>
      <c r="K79" s="318"/>
      <c r="L79" s="318"/>
      <c r="M79" s="318"/>
      <c r="O79" s="318" t="s">
        <v>153</v>
      </c>
      <c r="P79" s="318"/>
      <c r="Q79" s="318"/>
      <c r="R79" s="318"/>
      <c r="S79" s="318"/>
      <c r="T79" s="318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</v>
      </c>
      <c r="BL79" s="29">
        <v>1</v>
      </c>
      <c r="BM79" s="29">
        <v>1</v>
      </c>
      <c r="BO79" s="29">
        <f t="shared" si="97"/>
        <v>1</v>
      </c>
      <c r="BP79" s="29">
        <f t="shared" si="86"/>
        <v>1</v>
      </c>
      <c r="BQ79" s="29">
        <f t="shared" si="87"/>
        <v>1</v>
      </c>
      <c r="BR79" s="65"/>
      <c r="BS79" s="29">
        <f t="shared" si="105"/>
        <v>1</v>
      </c>
      <c r="BT79" s="29">
        <f t="shared" si="98"/>
        <v>1</v>
      </c>
      <c r="BU79" s="29">
        <f t="shared" si="99"/>
        <v>1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</v>
      </c>
      <c r="BL80" s="29">
        <v>1</v>
      </c>
      <c r="BM80" s="29">
        <v>1</v>
      </c>
      <c r="BO80" s="29">
        <f t="shared" si="97"/>
        <v>1</v>
      </c>
      <c r="BP80" s="29">
        <f t="shared" si="86"/>
        <v>1</v>
      </c>
      <c r="BQ80" s="29">
        <f t="shared" si="87"/>
        <v>1</v>
      </c>
      <c r="BR80" s="65"/>
      <c r="BS80" s="29">
        <f t="shared" si="105"/>
        <v>1</v>
      </c>
      <c r="BT80" s="29">
        <f t="shared" si="98"/>
        <v>1</v>
      </c>
      <c r="BU80" s="29">
        <f t="shared" si="99"/>
        <v>1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9</v>
      </c>
      <c r="D81" s="77">
        <f t="shared" ref="D81:E81" si="106">SUMIF(X$3:X$211, $A81, BL$3:BL$211)</f>
        <v>21</v>
      </c>
      <c r="E81" s="77">
        <f t="shared" si="106"/>
        <v>21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9</v>
      </c>
      <c r="K81" s="77">
        <f t="shared" ref="K81:L81" ca="1" si="107">SUMIF(X$3:X$211, $H81, BP$3:BP$211)</f>
        <v>21</v>
      </c>
      <c r="L81" s="77">
        <f t="shared" si="107"/>
        <v>21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9</v>
      </c>
      <c r="R81" s="77">
        <f t="shared" ref="R81:S81" ca="1" si="108">SUMIF(X$3:X$211, $H81, BT$3:BT$211)</f>
        <v>21</v>
      </c>
      <c r="S81" s="77">
        <f t="shared" si="108"/>
        <v>21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</v>
      </c>
      <c r="BL81" s="29">
        <v>1</v>
      </c>
      <c r="BM81" s="29">
        <v>1</v>
      </c>
      <c r="BO81" s="29">
        <f t="shared" si="97"/>
        <v>1</v>
      </c>
      <c r="BP81" s="29">
        <f t="shared" si="86"/>
        <v>1</v>
      </c>
      <c r="BQ81" s="29">
        <f t="shared" si="87"/>
        <v>1</v>
      </c>
      <c r="BR81" s="65"/>
      <c r="BS81" s="29">
        <f t="shared" si="105"/>
        <v>1</v>
      </c>
      <c r="BT81" s="29">
        <f t="shared" si="98"/>
        <v>1</v>
      </c>
      <c r="BU81" s="29">
        <f t="shared" si="99"/>
        <v>1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</v>
      </c>
      <c r="D82" s="70">
        <f t="shared" ref="D82:D88" si="110">SUMIF(X$3:X$211, $A82, BL$3:BL$211)</f>
        <v>24</v>
      </c>
      <c r="E82" s="70">
        <f t="shared" ref="E82:E88" si="111">SUMIF(Y$3:Y$211, $A82, BM$3:BM$211)</f>
        <v>23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</v>
      </c>
      <c r="K82" s="70">
        <f t="shared" ref="K82:K88" si="113">SUMIF(X$3:X$211, $H82, BP$3:BP$211)</f>
        <v>24</v>
      </c>
      <c r="L82" s="70">
        <f t="shared" ref="L82:L88" ca="1" si="114">SUMIF(Y$3:Y$211, $H82, BQ$3:BQ$211)</f>
        <v>23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</v>
      </c>
      <c r="R82" s="70">
        <f t="shared" ref="R82:R88" si="116">SUMIF(X$3:X$211, $H82, BT$3:BT$211)</f>
        <v>24</v>
      </c>
      <c r="S82" s="70">
        <f t="shared" ref="S82:S88" ca="1" si="117">SUMIF(Y$3:Y$211, $H82, BU$3:BU$211)</f>
        <v>23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</v>
      </c>
      <c r="BL82" s="29">
        <v>1</v>
      </c>
      <c r="BM82" s="29">
        <v>1</v>
      </c>
      <c r="BO82" s="29">
        <f t="shared" si="97"/>
        <v>1</v>
      </c>
      <c r="BP82" s="29">
        <f t="shared" si="86"/>
        <v>1</v>
      </c>
      <c r="BQ82" s="29">
        <f t="shared" si="87"/>
        <v>1</v>
      </c>
      <c r="BR82" s="65"/>
      <c r="BS82" s="29">
        <f t="shared" si="105"/>
        <v>1</v>
      </c>
      <c r="BT82" s="29">
        <f t="shared" si="98"/>
        <v>1</v>
      </c>
      <c r="BU82" s="29">
        <f t="shared" si="99"/>
        <v>1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</v>
      </c>
      <c r="D83" s="70">
        <f t="shared" si="110"/>
        <v>26</v>
      </c>
      <c r="E83" s="70">
        <f t="shared" si="111"/>
        <v>27</v>
      </c>
      <c r="F83" s="58">
        <v>2</v>
      </c>
      <c r="H83" s="78" t="str">
        <v>M2</v>
      </c>
      <c r="I83" s="58" t="str">
        <v>M2</v>
      </c>
      <c r="J83" s="79">
        <f t="shared" si="112"/>
        <v>13</v>
      </c>
      <c r="K83" s="70">
        <f t="shared" si="113"/>
        <v>26</v>
      </c>
      <c r="L83" s="70">
        <f t="shared" si="114"/>
        <v>27</v>
      </c>
      <c r="M83" s="58">
        <v>2</v>
      </c>
      <c r="O83" s="78" t="str">
        <v>M2</v>
      </c>
      <c r="P83" s="58" t="str">
        <v>M2</v>
      </c>
      <c r="Q83" s="79">
        <f t="shared" si="115"/>
        <v>13</v>
      </c>
      <c r="R83" s="70">
        <f t="shared" si="116"/>
        <v>26</v>
      </c>
      <c r="S83" s="70">
        <f t="shared" si="117"/>
        <v>27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</v>
      </c>
      <c r="BL83" s="29">
        <v>1</v>
      </c>
      <c r="BM83" s="29">
        <v>1</v>
      </c>
      <c r="BO83" s="29">
        <f t="shared" si="97"/>
        <v>1</v>
      </c>
      <c r="BP83" s="29">
        <f t="shared" si="86"/>
        <v>1</v>
      </c>
      <c r="BQ83" s="29">
        <f t="shared" si="87"/>
        <v>1</v>
      </c>
      <c r="BR83" s="65"/>
      <c r="BS83" s="29">
        <f t="shared" si="105"/>
        <v>1</v>
      </c>
      <c r="BT83" s="29">
        <f t="shared" si="98"/>
        <v>1</v>
      </c>
      <c r="BU83" s="29">
        <f t="shared" si="99"/>
        <v>1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</v>
      </c>
      <c r="D84" s="70">
        <f t="shared" si="110"/>
        <v>25</v>
      </c>
      <c r="E84" s="70">
        <f t="shared" si="111"/>
        <v>28</v>
      </c>
      <c r="F84" s="58">
        <v>3</v>
      </c>
      <c r="H84" s="78" t="str">
        <v>M3</v>
      </c>
      <c r="I84" s="58" t="str">
        <v>M3</v>
      </c>
      <c r="J84" s="79">
        <f t="shared" si="112"/>
        <v>14</v>
      </c>
      <c r="K84" s="70">
        <f t="shared" si="113"/>
        <v>25</v>
      </c>
      <c r="L84" s="70">
        <f t="shared" si="114"/>
        <v>28</v>
      </c>
      <c r="M84" s="58">
        <v>3</v>
      </c>
      <c r="O84" s="78" t="str">
        <v>M3</v>
      </c>
      <c r="P84" s="58" t="str">
        <v>M3</v>
      </c>
      <c r="Q84" s="79">
        <f t="shared" si="115"/>
        <v>14</v>
      </c>
      <c r="R84" s="70">
        <f t="shared" si="116"/>
        <v>25</v>
      </c>
      <c r="S84" s="70">
        <f t="shared" si="117"/>
        <v>28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</v>
      </c>
      <c r="BL84" s="29">
        <v>1</v>
      </c>
      <c r="BM84" s="29">
        <v>1</v>
      </c>
      <c r="BO84" s="29">
        <f t="shared" si="97"/>
        <v>1</v>
      </c>
      <c r="BP84" s="29">
        <f t="shared" si="86"/>
        <v>1</v>
      </c>
      <c r="BQ84" s="29">
        <f t="shared" si="87"/>
        <v>1</v>
      </c>
      <c r="BR84" s="65"/>
      <c r="BS84" s="29">
        <f t="shared" si="105"/>
        <v>1</v>
      </c>
      <c r="BT84" s="29">
        <f t="shared" si="98"/>
        <v>1</v>
      </c>
      <c r="BU84" s="29">
        <f t="shared" si="99"/>
        <v>1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</v>
      </c>
      <c r="D85" s="70">
        <f t="shared" si="110"/>
        <v>30</v>
      </c>
      <c r="E85" s="70">
        <f t="shared" si="111"/>
        <v>23</v>
      </c>
      <c r="F85" s="58">
        <v>4</v>
      </c>
      <c r="H85" s="78" t="str">
        <v>A</v>
      </c>
      <c r="I85" s="58" t="str">
        <v>A</v>
      </c>
      <c r="J85" s="79">
        <f t="shared" si="112"/>
        <v>18</v>
      </c>
      <c r="K85" s="70">
        <f t="shared" si="113"/>
        <v>30</v>
      </c>
      <c r="L85" s="70">
        <f t="shared" si="114"/>
        <v>23</v>
      </c>
      <c r="M85" s="58">
        <v>4</v>
      </c>
      <c r="O85" s="78" t="str">
        <v>A</v>
      </c>
      <c r="P85" s="58" t="str">
        <v>A</v>
      </c>
      <c r="Q85" s="79">
        <f t="shared" si="115"/>
        <v>18</v>
      </c>
      <c r="R85" s="70">
        <f t="shared" si="116"/>
        <v>30</v>
      </c>
      <c r="S85" s="70">
        <f t="shared" si="117"/>
        <v>23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</v>
      </c>
      <c r="BL85" s="29">
        <v>1</v>
      </c>
      <c r="BM85" s="29">
        <v>1</v>
      </c>
      <c r="BO85" s="29">
        <f t="shared" si="97"/>
        <v>1</v>
      </c>
      <c r="BP85" s="29">
        <f t="shared" si="86"/>
        <v>1</v>
      </c>
      <c r="BQ85" s="29">
        <f t="shared" si="87"/>
        <v>1</v>
      </c>
      <c r="BR85" s="65"/>
      <c r="BS85" s="29">
        <f t="shared" si="105"/>
        <v>1</v>
      </c>
      <c r="BT85" s="29">
        <f t="shared" si="98"/>
        <v>1</v>
      </c>
      <c r="BU85" s="29">
        <f t="shared" si="99"/>
        <v>1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19</v>
      </c>
      <c r="D86" s="70">
        <f t="shared" si="110"/>
        <v>28</v>
      </c>
      <c r="E86" s="70">
        <f t="shared" si="111"/>
        <v>27</v>
      </c>
      <c r="F86" s="58">
        <v>5</v>
      </c>
      <c r="H86" s="78" t="str">
        <v>K</v>
      </c>
      <c r="I86" s="58" t="str">
        <v>K</v>
      </c>
      <c r="J86" s="79">
        <f t="shared" si="112"/>
        <v>19</v>
      </c>
      <c r="K86" s="70">
        <f t="shared" si="113"/>
        <v>28</v>
      </c>
      <c r="L86" s="70">
        <f t="shared" si="114"/>
        <v>27</v>
      </c>
      <c r="M86" s="58">
        <v>5</v>
      </c>
      <c r="O86" s="78" t="str">
        <v>K</v>
      </c>
      <c r="P86" s="58" t="str">
        <v>K</v>
      </c>
      <c r="Q86" s="79">
        <f t="shared" ca="1" si="115"/>
        <v>19</v>
      </c>
      <c r="R86" s="70">
        <f t="shared" si="116"/>
        <v>28</v>
      </c>
      <c r="S86" s="70">
        <f t="shared" si="117"/>
        <v>27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</v>
      </c>
      <c r="BL86" s="29">
        <v>1</v>
      </c>
      <c r="BM86" s="29">
        <v>1</v>
      </c>
      <c r="BO86" s="29">
        <f t="shared" si="97"/>
        <v>1</v>
      </c>
      <c r="BP86" s="29">
        <f t="shared" si="86"/>
        <v>1</v>
      </c>
      <c r="BQ86" s="29">
        <f t="shared" si="87"/>
        <v>1</v>
      </c>
      <c r="BR86" s="65"/>
      <c r="BS86" s="29">
        <f t="shared" si="105"/>
        <v>1</v>
      </c>
      <c r="BT86" s="29">
        <f t="shared" si="98"/>
        <v>1</v>
      </c>
      <c r="BU86" s="29">
        <f t="shared" si="99"/>
        <v>1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17</v>
      </c>
      <c r="D87" s="70">
        <f t="shared" si="110"/>
        <v>29</v>
      </c>
      <c r="E87" s="70">
        <f t="shared" si="111"/>
        <v>27</v>
      </c>
      <c r="F87" s="58">
        <v>6</v>
      </c>
      <c r="H87" s="78" t="str">
        <v>Q</v>
      </c>
      <c r="I87" s="58" t="str">
        <v>Q</v>
      </c>
      <c r="J87" s="79">
        <f t="shared" si="112"/>
        <v>17</v>
      </c>
      <c r="K87" s="70">
        <f t="shared" si="113"/>
        <v>29</v>
      </c>
      <c r="L87" s="70">
        <f t="shared" si="114"/>
        <v>27</v>
      </c>
      <c r="M87" s="58">
        <v>6</v>
      </c>
      <c r="O87" s="78" t="str">
        <v>Q</v>
      </c>
      <c r="P87" s="58" t="str">
        <v>Q</v>
      </c>
      <c r="Q87" s="79">
        <f t="shared" si="115"/>
        <v>17</v>
      </c>
      <c r="R87" s="70">
        <f t="shared" si="116"/>
        <v>29</v>
      </c>
      <c r="S87" s="70">
        <f t="shared" si="117"/>
        <v>27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</v>
      </c>
      <c r="BL87" s="29">
        <v>1</v>
      </c>
      <c r="BM87" s="29">
        <v>1</v>
      </c>
      <c r="BO87" s="29">
        <f t="shared" si="97"/>
        <v>1</v>
      </c>
      <c r="BP87" s="29">
        <f t="shared" si="86"/>
        <v>1</v>
      </c>
      <c r="BQ87" s="29">
        <f t="shared" si="87"/>
        <v>1</v>
      </c>
      <c r="BR87" s="65"/>
      <c r="BS87" s="29">
        <f t="shared" si="105"/>
        <v>1</v>
      </c>
      <c r="BT87" s="29">
        <f t="shared" si="98"/>
        <v>1</v>
      </c>
      <c r="BU87" s="29">
        <f t="shared" si="99"/>
        <v>1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19</v>
      </c>
      <c r="D88" s="70">
        <f t="shared" si="110"/>
        <v>26</v>
      </c>
      <c r="E88" s="70">
        <f t="shared" si="111"/>
        <v>27</v>
      </c>
      <c r="F88" s="58">
        <v>7</v>
      </c>
      <c r="H88" s="78" t="str">
        <v>J</v>
      </c>
      <c r="I88" s="58" t="str">
        <v>J</v>
      </c>
      <c r="J88" s="79">
        <f t="shared" ca="1" si="112"/>
        <v>19</v>
      </c>
      <c r="K88" s="70">
        <f t="shared" si="113"/>
        <v>26</v>
      </c>
      <c r="L88" s="70">
        <f t="shared" si="114"/>
        <v>27</v>
      </c>
      <c r="M88" s="58">
        <v>7</v>
      </c>
      <c r="O88" s="78" t="str">
        <v>J</v>
      </c>
      <c r="P88" s="58" t="str">
        <v>J</v>
      </c>
      <c r="Q88" s="79">
        <f t="shared" ca="1" si="115"/>
        <v>19</v>
      </c>
      <c r="R88" s="70">
        <f t="shared" si="116"/>
        <v>26</v>
      </c>
      <c r="S88" s="70">
        <f t="shared" si="117"/>
        <v>27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</v>
      </c>
      <c r="BL88" s="29">
        <v>1</v>
      </c>
      <c r="BM88" s="29">
        <v>1</v>
      </c>
      <c r="BO88" s="29">
        <f t="shared" si="97"/>
        <v>1</v>
      </c>
      <c r="BP88" s="29">
        <f t="shared" si="86"/>
        <v>1</v>
      </c>
      <c r="BQ88" s="29">
        <f t="shared" si="87"/>
        <v>1</v>
      </c>
      <c r="BR88" s="65"/>
      <c r="BS88" s="29">
        <f t="shared" si="105"/>
        <v>1</v>
      </c>
      <c r="BT88" s="29">
        <f t="shared" si="98"/>
        <v>1</v>
      </c>
      <c r="BU88" s="29">
        <f t="shared" si="99"/>
        <v>1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</v>
      </c>
      <c r="BL89" s="29">
        <v>1</v>
      </c>
      <c r="BM89" s="29">
        <v>1</v>
      </c>
      <c r="BO89" s="29">
        <f t="shared" si="97"/>
        <v>1</v>
      </c>
      <c r="BP89" s="29">
        <f t="shared" si="86"/>
        <v>1</v>
      </c>
      <c r="BQ89" s="29">
        <f t="shared" si="87"/>
        <v>1</v>
      </c>
      <c r="BR89" s="65"/>
      <c r="BS89" s="29">
        <f t="shared" si="105"/>
        <v>1</v>
      </c>
      <c r="BT89" s="29">
        <f t="shared" si="98"/>
        <v>1</v>
      </c>
      <c r="BU89" s="29">
        <f t="shared" si="99"/>
        <v>1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</v>
      </c>
      <c r="BL90" s="29">
        <v>1</v>
      </c>
      <c r="BM90" s="29">
        <v>1</v>
      </c>
      <c r="BO90" s="29">
        <f t="shared" si="97"/>
        <v>1</v>
      </c>
      <c r="BP90" s="29">
        <f t="shared" si="86"/>
        <v>1</v>
      </c>
      <c r="BQ90" s="29">
        <f t="shared" si="87"/>
        <v>1</v>
      </c>
      <c r="BR90" s="65"/>
      <c r="BS90" s="29">
        <f t="shared" si="105"/>
        <v>1</v>
      </c>
      <c r="BT90" s="29">
        <f t="shared" si="98"/>
        <v>1</v>
      </c>
      <c r="BU90" s="29">
        <f t="shared" si="99"/>
        <v>1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</v>
      </c>
      <c r="BL91" s="29">
        <v>1</v>
      </c>
      <c r="BM91" s="29">
        <v>1</v>
      </c>
      <c r="BO91" s="29">
        <f t="shared" si="97"/>
        <v>1</v>
      </c>
      <c r="BP91" s="29">
        <f t="shared" si="86"/>
        <v>1</v>
      </c>
      <c r="BQ91" s="29">
        <f t="shared" si="87"/>
        <v>1</v>
      </c>
      <c r="BR91" s="65"/>
      <c r="BS91" s="29">
        <f t="shared" si="105"/>
        <v>1</v>
      </c>
      <c r="BT91" s="29">
        <f t="shared" si="98"/>
        <v>1</v>
      </c>
      <c r="BU91" s="29">
        <f t="shared" si="99"/>
        <v>1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123</v>
      </c>
      <c r="D92" s="155">
        <f>SUM(D81:D91)</f>
        <v>209</v>
      </c>
      <c r="E92" s="155">
        <f>SUM(E81:E91)</f>
        <v>203</v>
      </c>
      <c r="F92" s="155"/>
      <c r="H92" s="60" t="s">
        <v>10</v>
      </c>
      <c r="I92" s="155"/>
      <c r="J92" s="155">
        <f ca="1">SUM(J81:J91)</f>
        <v>123</v>
      </c>
      <c r="K92" s="155">
        <f ca="1">SUM(K81:K91)</f>
        <v>209</v>
      </c>
      <c r="L92" s="155">
        <f ca="1">SUM(L81:L91)</f>
        <v>203</v>
      </c>
      <c r="M92" s="155"/>
      <c r="O92" s="60" t="s">
        <v>10</v>
      </c>
      <c r="P92" s="155"/>
      <c r="Q92" s="155">
        <f ca="1">SUM(Q81:Q91)</f>
        <v>123</v>
      </c>
      <c r="R92" s="155">
        <f ca="1">SUM(R81:R91)</f>
        <v>209</v>
      </c>
      <c r="S92" s="155">
        <f ca="1">SUM(S81:S91)</f>
        <v>203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</v>
      </c>
      <c r="BL92" s="29">
        <v>1</v>
      </c>
      <c r="BM92" s="29">
        <v>1</v>
      </c>
      <c r="BO92" s="29">
        <f t="shared" si="97"/>
        <v>1</v>
      </c>
      <c r="BP92" s="29">
        <f t="shared" si="86"/>
        <v>1</v>
      </c>
      <c r="BQ92" s="29">
        <f t="shared" si="87"/>
        <v>1</v>
      </c>
      <c r="BR92" s="65"/>
      <c r="BS92" s="29">
        <f t="shared" si="105"/>
        <v>1</v>
      </c>
      <c r="BT92" s="29">
        <f t="shared" si="98"/>
        <v>1</v>
      </c>
      <c r="BU92" s="29">
        <f t="shared" si="99"/>
        <v>1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</v>
      </c>
      <c r="BL93" s="29">
        <v>1</v>
      </c>
      <c r="BM93" s="29">
        <v>1</v>
      </c>
      <c r="BO93" s="29">
        <f t="shared" si="97"/>
        <v>1</v>
      </c>
      <c r="BP93" s="29">
        <f t="shared" si="86"/>
        <v>1</v>
      </c>
      <c r="BQ93" s="29">
        <f t="shared" si="87"/>
        <v>1</v>
      </c>
      <c r="BR93" s="65"/>
      <c r="BS93" s="29">
        <f t="shared" si="105"/>
        <v>1</v>
      </c>
      <c r="BT93" s="29">
        <f t="shared" si="98"/>
        <v>1</v>
      </c>
      <c r="BU93" s="29">
        <f t="shared" si="99"/>
        <v>1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</v>
      </c>
      <c r="BL94" s="29">
        <v>1</v>
      </c>
      <c r="BM94" s="29">
        <v>1</v>
      </c>
      <c r="BO94" s="29">
        <f t="shared" si="97"/>
        <v>1</v>
      </c>
      <c r="BP94" s="29">
        <f t="shared" si="86"/>
        <v>1</v>
      </c>
      <c r="BQ94" s="29">
        <f t="shared" si="87"/>
        <v>1</v>
      </c>
      <c r="BR94" s="65"/>
      <c r="BS94" s="29">
        <f t="shared" si="105"/>
        <v>1</v>
      </c>
      <c r="BT94" s="29">
        <f t="shared" si="98"/>
        <v>1</v>
      </c>
      <c r="BU94" s="29">
        <f t="shared" si="99"/>
        <v>1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</v>
      </c>
      <c r="BL95" s="29">
        <v>1</v>
      </c>
      <c r="BM95" s="29">
        <v>1</v>
      </c>
      <c r="BO95" s="29">
        <f t="shared" si="97"/>
        <v>1</v>
      </c>
      <c r="BP95" s="29">
        <f t="shared" si="86"/>
        <v>1</v>
      </c>
      <c r="BQ95" s="29">
        <f t="shared" si="87"/>
        <v>1</v>
      </c>
      <c r="BR95" s="65"/>
      <c r="BS95" s="29">
        <f t="shared" si="105"/>
        <v>1</v>
      </c>
      <c r="BT95" s="29">
        <f t="shared" si="98"/>
        <v>1</v>
      </c>
      <c r="BU95" s="29">
        <f t="shared" si="99"/>
        <v>1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123</v>
      </c>
      <c r="D96" s="155">
        <f>SUM(D81:D91)</f>
        <v>209</v>
      </c>
      <c r="E96" s="84">
        <f>SUM(E81:E91)</f>
        <v>203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123</v>
      </c>
      <c r="K96" s="155">
        <f ca="1">SUM(K81:K91)</f>
        <v>209</v>
      </c>
      <c r="L96" s="84">
        <f ca="1">SUM(L81:L91)</f>
        <v>203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123</v>
      </c>
      <c r="R96" s="155">
        <f ca="1">SUM(R81:R91)</f>
        <v>209</v>
      </c>
      <c r="S96" s="84">
        <f ca="1">SUM(S81:S91)</f>
        <v>203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</v>
      </c>
      <c r="BL96" s="29">
        <v>1</v>
      </c>
      <c r="BM96" s="29">
        <v>1</v>
      </c>
      <c r="BO96" s="29">
        <f t="shared" si="97"/>
        <v>1</v>
      </c>
      <c r="BP96" s="29">
        <f t="shared" si="86"/>
        <v>1</v>
      </c>
      <c r="BQ96" s="29">
        <f t="shared" si="87"/>
        <v>1</v>
      </c>
      <c r="BR96" s="65"/>
      <c r="BS96" s="29">
        <f t="shared" si="105"/>
        <v>1</v>
      </c>
      <c r="BT96" s="29">
        <f t="shared" si="98"/>
        <v>1</v>
      </c>
      <c r="BU96" s="29">
        <f t="shared" si="99"/>
        <v>1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23</v>
      </c>
      <c r="D97" s="155">
        <f>D$81+D$82</f>
        <v>45</v>
      </c>
      <c r="E97" s="84">
        <f>E$81+E$82</f>
        <v>44</v>
      </c>
      <c r="F97" s="69"/>
      <c r="H97" s="78" t="str">
        <v>W1</v>
      </c>
      <c r="I97" s="48" t="str">
        <v>WW,M1</v>
      </c>
      <c r="J97" s="155">
        <f>J$81+J$82</f>
        <v>23</v>
      </c>
      <c r="K97" s="155">
        <f ca="1">K$81+K$82</f>
        <v>45</v>
      </c>
      <c r="L97" s="84">
        <f ca="1">L$81+L$82</f>
        <v>44</v>
      </c>
      <c r="M97" s="69"/>
      <c r="O97" s="78" t="str">
        <v>W1</v>
      </c>
      <c r="P97" s="48" t="str">
        <v>WW,M1</v>
      </c>
      <c r="Q97" s="155">
        <f>Q$81+Q$82</f>
        <v>23</v>
      </c>
      <c r="R97" s="155">
        <f ca="1">R$81+R$82</f>
        <v>45</v>
      </c>
      <c r="S97" s="84">
        <f ca="1">S$81+S$82</f>
        <v>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</v>
      </c>
      <c r="BL97" s="29">
        <v>1</v>
      </c>
      <c r="BM97" s="29">
        <v>1</v>
      </c>
      <c r="BO97" s="29">
        <f t="shared" si="97"/>
        <v>1</v>
      </c>
      <c r="BP97" s="29">
        <f t="shared" si="86"/>
        <v>1</v>
      </c>
      <c r="BQ97" s="29">
        <f t="shared" si="87"/>
        <v>1</v>
      </c>
      <c r="BR97" s="65"/>
      <c r="BS97" s="29">
        <f t="shared" si="105"/>
        <v>1</v>
      </c>
      <c r="BT97" s="29">
        <f t="shared" si="98"/>
        <v>1</v>
      </c>
      <c r="BU97" s="29">
        <f t="shared" si="99"/>
        <v>1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22</v>
      </c>
      <c r="D98" s="155">
        <f>D$81+D$83</f>
        <v>47</v>
      </c>
      <c r="E98" s="84">
        <f>E$81+E$83</f>
        <v>48</v>
      </c>
      <c r="F98" s="69"/>
      <c r="H98" s="78" t="str">
        <v>W2</v>
      </c>
      <c r="I98" s="48" t="str">
        <v>WW,M2</v>
      </c>
      <c r="J98" s="155">
        <f>J$81+J$83</f>
        <v>22</v>
      </c>
      <c r="K98" s="155">
        <f ca="1">K$81+K$83</f>
        <v>47</v>
      </c>
      <c r="L98" s="84">
        <f>L$81+L$83</f>
        <v>48</v>
      </c>
      <c r="M98" s="69"/>
      <c r="O98" s="78" t="str">
        <v>W2</v>
      </c>
      <c r="P98" s="48" t="str">
        <v>WW,M2</v>
      </c>
      <c r="Q98" s="155">
        <f>Q$81+Q$83</f>
        <v>22</v>
      </c>
      <c r="R98" s="155">
        <f ca="1">R$81+R$83</f>
        <v>47</v>
      </c>
      <c r="S98" s="84">
        <f>S$81+S$83</f>
        <v>48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</v>
      </c>
      <c r="BL98" s="29">
        <v>1</v>
      </c>
      <c r="BM98" s="29">
        <v>1</v>
      </c>
      <c r="BO98" s="29">
        <f t="shared" si="97"/>
        <v>1</v>
      </c>
      <c r="BP98" s="29">
        <f t="shared" si="86"/>
        <v>1</v>
      </c>
      <c r="BQ98" s="29">
        <f t="shared" si="87"/>
        <v>1</v>
      </c>
      <c r="BR98" s="65"/>
      <c r="BS98" s="29">
        <f t="shared" si="105"/>
        <v>1</v>
      </c>
      <c r="BT98" s="29">
        <f t="shared" si="98"/>
        <v>1</v>
      </c>
      <c r="BU98" s="29">
        <f t="shared" si="99"/>
        <v>1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23</v>
      </c>
      <c r="D99" s="155">
        <f>D$81+D$84</f>
        <v>46</v>
      </c>
      <c r="E99" s="84">
        <f>E$81+E$84</f>
        <v>49</v>
      </c>
      <c r="F99" s="69"/>
      <c r="H99" s="78" t="str">
        <v>W3</v>
      </c>
      <c r="I99" s="48" t="str">
        <v>WW,M3</v>
      </c>
      <c r="J99" s="155">
        <f>J$81+J$84</f>
        <v>23</v>
      </c>
      <c r="K99" s="155">
        <f ca="1">K$81+K$84</f>
        <v>46</v>
      </c>
      <c r="L99" s="84">
        <f>L$81+L$84</f>
        <v>49</v>
      </c>
      <c r="M99" s="69"/>
      <c r="O99" s="78" t="str">
        <v>W3</v>
      </c>
      <c r="P99" s="48" t="str">
        <v>WW,M3</v>
      </c>
      <c r="Q99" s="155">
        <f>Q$81+Q$84</f>
        <v>23</v>
      </c>
      <c r="R99" s="155">
        <f ca="1">R$81+R$84</f>
        <v>46</v>
      </c>
      <c r="S99" s="84">
        <f>S$81+S$84</f>
        <v>49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</v>
      </c>
      <c r="BL99" s="29">
        <v>1</v>
      </c>
      <c r="BM99" s="29">
        <v>1</v>
      </c>
      <c r="BO99" s="29">
        <f t="shared" si="97"/>
        <v>1</v>
      </c>
      <c r="BP99" s="29">
        <f t="shared" si="86"/>
        <v>1</v>
      </c>
      <c r="BQ99" s="29">
        <f t="shared" si="87"/>
        <v>1</v>
      </c>
      <c r="BR99" s="65"/>
      <c r="BS99" s="29">
        <f t="shared" si="105"/>
        <v>1</v>
      </c>
      <c r="BT99" s="29">
        <f t="shared" si="98"/>
        <v>1</v>
      </c>
      <c r="BU99" s="29">
        <f t="shared" si="99"/>
        <v>1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27</v>
      </c>
      <c r="D100" s="155">
        <f>D$81+D$85</f>
        <v>51</v>
      </c>
      <c r="E100" s="84">
        <f>E$81+E$85</f>
        <v>44</v>
      </c>
      <c r="F100" s="69"/>
      <c r="H100" s="78" t="str">
        <v>WA</v>
      </c>
      <c r="I100" s="48" t="str">
        <v>WW,A</v>
      </c>
      <c r="J100" s="155">
        <f>J$81+J$85</f>
        <v>27</v>
      </c>
      <c r="K100" s="155">
        <f ca="1">K$81+K$85</f>
        <v>51</v>
      </c>
      <c r="L100" s="84">
        <f>L$81+L$85</f>
        <v>44</v>
      </c>
      <c r="M100" s="69"/>
      <c r="O100" s="78" t="str">
        <v>WA</v>
      </c>
      <c r="P100" s="48" t="str">
        <v>WW,A</v>
      </c>
      <c r="Q100" s="155">
        <f>Q$81+Q$85</f>
        <v>27</v>
      </c>
      <c r="R100" s="155">
        <f ca="1">R$81+R$85</f>
        <v>51</v>
      </c>
      <c r="S100" s="84">
        <f>S$81+S$85</f>
        <v>44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</v>
      </c>
      <c r="BL100" s="29">
        <v>1</v>
      </c>
      <c r="BM100" s="29">
        <v>1</v>
      </c>
      <c r="BO100" s="29">
        <f t="shared" si="97"/>
        <v>1</v>
      </c>
      <c r="BP100" s="29">
        <f t="shared" si="86"/>
        <v>1</v>
      </c>
      <c r="BQ100" s="29">
        <f t="shared" si="87"/>
        <v>1</v>
      </c>
      <c r="BR100" s="65"/>
      <c r="BS100" s="29">
        <f t="shared" si="105"/>
        <v>1</v>
      </c>
      <c r="BT100" s="29">
        <f t="shared" si="98"/>
        <v>1</v>
      </c>
      <c r="BU100" s="29">
        <f t="shared" si="99"/>
        <v>1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28</v>
      </c>
      <c r="D101" s="155">
        <f>D$81+D$86</f>
        <v>49</v>
      </c>
      <c r="E101" s="84">
        <f>E$81+E$86</f>
        <v>48</v>
      </c>
      <c r="F101" s="69"/>
      <c r="H101" s="78" t="str">
        <v>WK</v>
      </c>
      <c r="I101" s="48" t="str">
        <v>WW,K</v>
      </c>
      <c r="J101" s="155">
        <f>J$81+J$86</f>
        <v>28</v>
      </c>
      <c r="K101" s="155">
        <f ca="1">K$81+K$86</f>
        <v>49</v>
      </c>
      <c r="L101" s="84">
        <f>L$81+L$86</f>
        <v>48</v>
      </c>
      <c r="M101" s="69"/>
      <c r="O101" s="78" t="str">
        <v>WK</v>
      </c>
      <c r="P101" s="48" t="str">
        <v>WW,K</v>
      </c>
      <c r="Q101" s="155">
        <f ca="1">Q$81+Q$86</f>
        <v>28</v>
      </c>
      <c r="R101" s="155">
        <f ca="1">R$81+R$86</f>
        <v>49</v>
      </c>
      <c r="S101" s="84">
        <f>S$81+S$86</f>
        <v>48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</v>
      </c>
      <c r="BL101" s="29">
        <v>1</v>
      </c>
      <c r="BM101" s="29">
        <v>1</v>
      </c>
      <c r="BO101" s="29">
        <f t="shared" si="97"/>
        <v>1</v>
      </c>
      <c r="BP101" s="29">
        <f t="shared" si="86"/>
        <v>1</v>
      </c>
      <c r="BQ101" s="29">
        <f t="shared" si="87"/>
        <v>1</v>
      </c>
      <c r="BR101" s="65"/>
      <c r="BS101" s="29">
        <f t="shared" si="105"/>
        <v>1</v>
      </c>
      <c r="BT101" s="29">
        <f t="shared" si="98"/>
        <v>1</v>
      </c>
      <c r="BU101" s="29">
        <f t="shared" si="99"/>
        <v>1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26</v>
      </c>
      <c r="D102" s="155">
        <f>D$81+D$87</f>
        <v>50</v>
      </c>
      <c r="E102" s="84">
        <f>E$81+E$87</f>
        <v>48</v>
      </c>
      <c r="F102" s="69"/>
      <c r="H102" s="78" t="str">
        <v>WQ</v>
      </c>
      <c r="I102" s="48" t="str">
        <v>WW,Q</v>
      </c>
      <c r="J102" s="155">
        <f>J$81+J$87</f>
        <v>26</v>
      </c>
      <c r="K102" s="155">
        <f ca="1">K$81+K$87</f>
        <v>50</v>
      </c>
      <c r="L102" s="84">
        <f>L$81+L$87</f>
        <v>48</v>
      </c>
      <c r="M102" s="69"/>
      <c r="O102" s="78" t="str">
        <v>WQ</v>
      </c>
      <c r="P102" s="48" t="str">
        <v>WW,Q</v>
      </c>
      <c r="Q102" s="155">
        <f>Q$81+Q$87</f>
        <v>26</v>
      </c>
      <c r="R102" s="155">
        <f ca="1">R$81+R$87</f>
        <v>50</v>
      </c>
      <c r="S102" s="84">
        <f>S$81+S$87</f>
        <v>48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</v>
      </c>
      <c r="BL102" s="29">
        <v>1</v>
      </c>
      <c r="BM102" s="29">
        <v>1</v>
      </c>
      <c r="BO102" s="29">
        <f t="shared" si="97"/>
        <v>1</v>
      </c>
      <c r="BP102" s="29">
        <f t="shared" si="86"/>
        <v>1</v>
      </c>
      <c r="BQ102" s="29">
        <f t="shared" si="87"/>
        <v>1</v>
      </c>
      <c r="BR102" s="65"/>
      <c r="BS102" s="29">
        <f t="shared" si="105"/>
        <v>1</v>
      </c>
      <c r="BT102" s="29">
        <f t="shared" si="98"/>
        <v>1</v>
      </c>
      <c r="BU102" s="29">
        <f t="shared" si="99"/>
        <v>1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28</v>
      </c>
      <c r="D103" s="154">
        <f>D$81+D$88</f>
        <v>47</v>
      </c>
      <c r="E103" s="17">
        <f>E$81+E$88</f>
        <v>48</v>
      </c>
      <c r="F103" s="69"/>
      <c r="H103" s="73" t="str">
        <v>WJ</v>
      </c>
      <c r="I103" s="53" t="str">
        <v>WW,J</v>
      </c>
      <c r="J103" s="154">
        <f ca="1">J$81+J$88</f>
        <v>28</v>
      </c>
      <c r="K103" s="154">
        <f ca="1">K$81+K$88</f>
        <v>47</v>
      </c>
      <c r="L103" s="17">
        <f>L$81+L$88</f>
        <v>48</v>
      </c>
      <c r="M103" s="69"/>
      <c r="O103" s="73" t="str">
        <v>WJ</v>
      </c>
      <c r="P103" s="53" t="str">
        <v>WW,J</v>
      </c>
      <c r="Q103" s="154">
        <f ca="1">Q$81+Q$88</f>
        <v>28</v>
      </c>
      <c r="R103" s="154">
        <f ca="1">R$81+R$88</f>
        <v>47</v>
      </c>
      <c r="S103" s="17">
        <f>S$81+S$88</f>
        <v>48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</v>
      </c>
      <c r="BL103" s="29">
        <v>1</v>
      </c>
      <c r="BM103" s="29">
        <v>1</v>
      </c>
      <c r="BO103" s="29">
        <f t="shared" si="97"/>
        <v>1</v>
      </c>
      <c r="BP103" s="29">
        <f t="shared" si="86"/>
        <v>1</v>
      </c>
      <c r="BQ103" s="29">
        <f t="shared" si="87"/>
        <v>1</v>
      </c>
      <c r="BR103" s="65"/>
      <c r="BS103" s="29">
        <f t="shared" si="105"/>
        <v>1</v>
      </c>
      <c r="BT103" s="29">
        <f t="shared" si="98"/>
        <v>1</v>
      </c>
      <c r="BU103" s="29">
        <f t="shared" si="99"/>
        <v>1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</v>
      </c>
      <c r="BL104" s="29">
        <v>1</v>
      </c>
      <c r="BM104" s="29">
        <v>1</v>
      </c>
      <c r="BO104" s="29">
        <f t="shared" si="97"/>
        <v>1</v>
      </c>
      <c r="BP104" s="29">
        <f t="shared" si="86"/>
        <v>1</v>
      </c>
      <c r="BQ104" s="29">
        <f t="shared" si="87"/>
        <v>1</v>
      </c>
      <c r="BR104" s="65"/>
      <c r="BS104" s="29">
        <f t="shared" si="105"/>
        <v>1</v>
      </c>
      <c r="BT104" s="29">
        <f t="shared" si="98"/>
        <v>1</v>
      </c>
      <c r="BU104" s="29">
        <f t="shared" si="99"/>
        <v>1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</v>
      </c>
      <c r="BL105" s="29">
        <v>1</v>
      </c>
      <c r="BM105" s="29">
        <v>1</v>
      </c>
      <c r="BO105" s="29">
        <f t="shared" si="97"/>
        <v>1</v>
      </c>
      <c r="BP105" s="29">
        <f t="shared" si="86"/>
        <v>1</v>
      </c>
      <c r="BQ105" s="29">
        <f t="shared" si="87"/>
        <v>1</v>
      </c>
      <c r="BR105" s="65"/>
      <c r="BS105" s="29">
        <f t="shared" si="105"/>
        <v>1</v>
      </c>
      <c r="BT105" s="29">
        <f t="shared" si="98"/>
        <v>1</v>
      </c>
      <c r="BU105" s="29">
        <f t="shared" si="99"/>
        <v>1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</v>
      </c>
      <c r="BL106" s="29">
        <v>1</v>
      </c>
      <c r="BM106" s="29">
        <v>1</v>
      </c>
      <c r="BO106" s="29">
        <f t="shared" si="97"/>
        <v>1</v>
      </c>
      <c r="BP106" s="29">
        <f t="shared" si="86"/>
        <v>1</v>
      </c>
      <c r="BQ106" s="29">
        <f t="shared" si="87"/>
        <v>1</v>
      </c>
      <c r="BR106" s="65"/>
      <c r="BS106" s="29">
        <f t="shared" si="105"/>
        <v>1</v>
      </c>
      <c r="BT106" s="29">
        <f t="shared" si="98"/>
        <v>1</v>
      </c>
      <c r="BU106" s="29">
        <f t="shared" si="99"/>
        <v>1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</v>
      </c>
      <c r="BL107" s="29">
        <v>1</v>
      </c>
      <c r="BM107" s="29">
        <v>1</v>
      </c>
      <c r="BO107" s="29">
        <f t="shared" si="97"/>
        <v>1</v>
      </c>
      <c r="BP107" s="29">
        <f t="shared" si="86"/>
        <v>1</v>
      </c>
      <c r="BQ107" s="29">
        <f t="shared" si="87"/>
        <v>1</v>
      </c>
      <c r="BR107" s="65"/>
      <c r="BS107" s="29">
        <f t="shared" si="105"/>
        <v>1</v>
      </c>
      <c r="BT107" s="29">
        <f t="shared" si="98"/>
        <v>1</v>
      </c>
      <c r="BU107" s="29">
        <f t="shared" si="99"/>
        <v>1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</v>
      </c>
      <c r="BL108" s="29">
        <v>1</v>
      </c>
      <c r="BM108" s="29">
        <v>1</v>
      </c>
      <c r="BO108" s="29">
        <f t="shared" si="97"/>
        <v>1</v>
      </c>
      <c r="BP108" s="29">
        <f t="shared" si="86"/>
        <v>1</v>
      </c>
      <c r="BQ108" s="29">
        <f t="shared" si="87"/>
        <v>1</v>
      </c>
      <c r="BR108" s="65"/>
      <c r="BS108" s="29">
        <f t="shared" si="105"/>
        <v>1</v>
      </c>
      <c r="BT108" s="29">
        <f t="shared" si="98"/>
        <v>1</v>
      </c>
      <c r="BU108" s="29">
        <f t="shared" si="99"/>
        <v>1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</v>
      </c>
      <c r="BL109" s="29">
        <v>1</v>
      </c>
      <c r="BM109" s="29">
        <v>1</v>
      </c>
      <c r="BO109" s="29">
        <f t="shared" si="97"/>
        <v>1</v>
      </c>
      <c r="BP109" s="29">
        <f t="shared" si="86"/>
        <v>1</v>
      </c>
      <c r="BQ109" s="29">
        <f t="shared" si="87"/>
        <v>1</v>
      </c>
      <c r="BR109" s="65"/>
      <c r="BS109" s="29">
        <f t="shared" si="105"/>
        <v>1</v>
      </c>
      <c r="BT109" s="29">
        <f t="shared" si="98"/>
        <v>1</v>
      </c>
      <c r="BU109" s="29">
        <f t="shared" si="99"/>
        <v>1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</v>
      </c>
      <c r="BL110" s="29">
        <v>1</v>
      </c>
      <c r="BM110" s="29">
        <v>1</v>
      </c>
      <c r="BO110" s="29">
        <f t="shared" si="97"/>
        <v>1</v>
      </c>
      <c r="BP110" s="29">
        <f t="shared" si="86"/>
        <v>1</v>
      </c>
      <c r="BQ110" s="29">
        <f t="shared" si="87"/>
        <v>1</v>
      </c>
      <c r="BR110" s="65"/>
      <c r="BS110" s="29">
        <f t="shared" si="105"/>
        <v>1</v>
      </c>
      <c r="BT110" s="29">
        <f t="shared" si="98"/>
        <v>1</v>
      </c>
      <c r="BU110" s="29">
        <f t="shared" si="99"/>
        <v>1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</v>
      </c>
      <c r="BL111" s="29">
        <v>1</v>
      </c>
      <c r="BM111" s="29">
        <v>1</v>
      </c>
      <c r="BO111" s="29">
        <f t="shared" si="97"/>
        <v>1</v>
      </c>
      <c r="BP111" s="29">
        <f t="shared" si="86"/>
        <v>1</v>
      </c>
      <c r="BQ111" s="29">
        <f t="shared" si="87"/>
        <v>1</v>
      </c>
      <c r="BR111" s="65"/>
      <c r="BS111" s="29">
        <f t="shared" si="105"/>
        <v>1</v>
      </c>
      <c r="BT111" s="29">
        <f t="shared" si="98"/>
        <v>1</v>
      </c>
      <c r="BU111" s="29">
        <f t="shared" si="99"/>
        <v>1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</v>
      </c>
      <c r="BL112" s="29">
        <v>1</v>
      </c>
      <c r="BM112" s="29">
        <v>1</v>
      </c>
      <c r="BO112" s="29">
        <f t="shared" si="97"/>
        <v>1</v>
      </c>
      <c r="BP112" s="29">
        <f t="shared" si="86"/>
        <v>1</v>
      </c>
      <c r="BQ112" s="29">
        <f t="shared" si="87"/>
        <v>1</v>
      </c>
      <c r="BR112" s="65"/>
      <c r="BS112" s="29">
        <f t="shared" si="105"/>
        <v>1</v>
      </c>
      <c r="BT112" s="29">
        <f t="shared" si="98"/>
        <v>1</v>
      </c>
      <c r="BU112" s="29">
        <f t="shared" si="99"/>
        <v>1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</v>
      </c>
      <c r="BL113" s="29">
        <v>1</v>
      </c>
      <c r="BM113" s="29">
        <v>1</v>
      </c>
      <c r="BO113" s="29">
        <f t="shared" si="97"/>
        <v>1</v>
      </c>
      <c r="BP113" s="29">
        <f t="shared" si="86"/>
        <v>1</v>
      </c>
      <c r="BQ113" s="29">
        <f t="shared" si="87"/>
        <v>1</v>
      </c>
      <c r="BR113" s="65"/>
      <c r="BS113" s="29">
        <f t="shared" si="105"/>
        <v>1</v>
      </c>
      <c r="BT113" s="29">
        <f t="shared" si="98"/>
        <v>1</v>
      </c>
      <c r="BU113" s="29">
        <f t="shared" si="99"/>
        <v>1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</v>
      </c>
      <c r="BL114" s="29">
        <v>1</v>
      </c>
      <c r="BM114" s="29">
        <v>1</v>
      </c>
      <c r="BO114" s="29">
        <f t="shared" si="97"/>
        <v>1</v>
      </c>
      <c r="BP114" s="29">
        <f t="shared" si="86"/>
        <v>1</v>
      </c>
      <c r="BQ114" s="29">
        <f t="shared" si="87"/>
        <v>1</v>
      </c>
      <c r="BR114" s="65"/>
      <c r="BS114" s="29">
        <f t="shared" si="105"/>
        <v>1</v>
      </c>
      <c r="BT114" s="29">
        <f t="shared" si="98"/>
        <v>1</v>
      </c>
      <c r="BU114" s="29">
        <f t="shared" si="99"/>
        <v>1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</v>
      </c>
      <c r="BL115" s="29">
        <v>1</v>
      </c>
      <c r="BM115" s="29">
        <v>1</v>
      </c>
      <c r="BO115" s="29">
        <f t="shared" si="97"/>
        <v>1</v>
      </c>
      <c r="BP115" s="29">
        <f t="shared" si="86"/>
        <v>1</v>
      </c>
      <c r="BQ115" s="29">
        <f t="shared" si="87"/>
        <v>1</v>
      </c>
      <c r="BR115" s="65"/>
      <c r="BS115" s="29">
        <f t="shared" si="105"/>
        <v>1</v>
      </c>
      <c r="BT115" s="29">
        <f t="shared" si="98"/>
        <v>1</v>
      </c>
      <c r="BU115" s="29">
        <f t="shared" si="99"/>
        <v>1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</v>
      </c>
      <c r="BL116" s="29">
        <v>1</v>
      </c>
      <c r="BM116" s="29">
        <v>1</v>
      </c>
      <c r="BO116" s="29">
        <f t="shared" si="97"/>
        <v>1</v>
      </c>
      <c r="BP116" s="29">
        <f t="shared" si="86"/>
        <v>1</v>
      </c>
      <c r="BQ116" s="29">
        <f t="shared" si="87"/>
        <v>1</v>
      </c>
      <c r="BR116" s="65"/>
      <c r="BS116" s="29">
        <f t="shared" si="105"/>
        <v>1</v>
      </c>
      <c r="BT116" s="29">
        <f t="shared" si="98"/>
        <v>1</v>
      </c>
      <c r="BU116" s="29">
        <f t="shared" si="99"/>
        <v>1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</v>
      </c>
      <c r="BL117" s="29">
        <v>1</v>
      </c>
      <c r="BM117" s="29">
        <v>1</v>
      </c>
      <c r="BO117" s="29">
        <f t="shared" si="97"/>
        <v>1</v>
      </c>
      <c r="BP117" s="29">
        <f t="shared" si="86"/>
        <v>1</v>
      </c>
      <c r="BQ117" s="29">
        <f t="shared" si="87"/>
        <v>1</v>
      </c>
      <c r="BR117" s="65"/>
      <c r="BS117" s="29">
        <f t="shared" si="105"/>
        <v>1</v>
      </c>
      <c r="BT117" s="29">
        <f t="shared" si="98"/>
        <v>1</v>
      </c>
      <c r="BU117" s="29">
        <f t="shared" si="99"/>
        <v>1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</v>
      </c>
      <c r="BL118" s="29">
        <v>1</v>
      </c>
      <c r="BM118" s="29">
        <v>1</v>
      </c>
      <c r="BO118" s="29">
        <f t="shared" si="97"/>
        <v>1</v>
      </c>
      <c r="BP118" s="29">
        <f t="shared" si="86"/>
        <v>1</v>
      </c>
      <c r="BQ118" s="29">
        <f t="shared" si="87"/>
        <v>1</v>
      </c>
      <c r="BR118" s="65"/>
      <c r="BS118" s="29">
        <f t="shared" si="105"/>
        <v>1</v>
      </c>
      <c r="BT118" s="29">
        <f t="shared" si="98"/>
        <v>1</v>
      </c>
      <c r="BU118" s="29">
        <f t="shared" si="99"/>
        <v>1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</v>
      </c>
      <c r="BL119" s="29">
        <v>1</v>
      </c>
      <c r="BM119" s="29">
        <v>1</v>
      </c>
      <c r="BO119" s="29">
        <f t="shared" si="97"/>
        <v>1</v>
      </c>
      <c r="BP119" s="29">
        <f t="shared" si="86"/>
        <v>1</v>
      </c>
      <c r="BQ119" s="29">
        <f t="shared" si="87"/>
        <v>1</v>
      </c>
      <c r="BR119" s="65"/>
      <c r="BS119" s="29">
        <f t="shared" si="105"/>
        <v>1</v>
      </c>
      <c r="BT119" s="29">
        <f t="shared" si="98"/>
        <v>1</v>
      </c>
      <c r="BU119" s="29">
        <f t="shared" si="99"/>
        <v>1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1</v>
      </c>
      <c r="BL120" s="29">
        <v>1</v>
      </c>
      <c r="BM120" s="29">
        <v>1</v>
      </c>
      <c r="BO120" s="29">
        <f t="shared" si="97"/>
        <v>1</v>
      </c>
      <c r="BP120" s="29">
        <f t="shared" si="86"/>
        <v>1</v>
      </c>
      <c r="BQ120" s="29">
        <f t="shared" si="87"/>
        <v>1</v>
      </c>
      <c r="BR120" s="65"/>
      <c r="BS120" s="29">
        <f t="shared" si="105"/>
        <v>1</v>
      </c>
      <c r="BT120" s="29">
        <f t="shared" si="98"/>
        <v>1</v>
      </c>
      <c r="BU120" s="29">
        <f t="shared" si="99"/>
        <v>1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1</v>
      </c>
      <c r="BL121" s="29">
        <v>1</v>
      </c>
      <c r="BM121" s="29">
        <v>1</v>
      </c>
      <c r="BO121" s="29">
        <f t="shared" si="97"/>
        <v>1</v>
      </c>
      <c r="BP121" s="29">
        <f t="shared" si="86"/>
        <v>1</v>
      </c>
      <c r="BQ121" s="29">
        <f t="shared" si="87"/>
        <v>1</v>
      </c>
      <c r="BR121" s="65"/>
      <c r="BS121" s="29">
        <f t="shared" si="105"/>
        <v>1</v>
      </c>
      <c r="BT121" s="29">
        <f t="shared" si="98"/>
        <v>1</v>
      </c>
      <c r="BU121" s="29">
        <f t="shared" si="99"/>
        <v>1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1</v>
      </c>
      <c r="BL122" s="29">
        <v>1</v>
      </c>
      <c r="BM122" s="29">
        <v>1</v>
      </c>
      <c r="BO122" s="29">
        <f t="shared" si="97"/>
        <v>1</v>
      </c>
      <c r="BP122" s="29">
        <f t="shared" si="86"/>
        <v>1</v>
      </c>
      <c r="BQ122" s="29">
        <f t="shared" si="87"/>
        <v>1</v>
      </c>
      <c r="BR122" s="65"/>
      <c r="BS122" s="29">
        <f t="shared" si="105"/>
        <v>1</v>
      </c>
      <c r="BT122" s="29">
        <f t="shared" si="98"/>
        <v>1</v>
      </c>
      <c r="BU122" s="29">
        <f t="shared" si="99"/>
        <v>1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1</v>
      </c>
      <c r="BL123" s="29">
        <v>1</v>
      </c>
      <c r="BM123" s="29">
        <v>1</v>
      </c>
      <c r="BO123" s="29">
        <f t="shared" si="97"/>
        <v>1</v>
      </c>
      <c r="BP123" s="29">
        <f t="shared" si="86"/>
        <v>1</v>
      </c>
      <c r="BQ123" s="29">
        <f t="shared" si="87"/>
        <v>1</v>
      </c>
      <c r="BR123" s="65"/>
      <c r="BS123" s="29">
        <f t="shared" si="105"/>
        <v>1</v>
      </c>
      <c r="BT123" s="29">
        <f t="shared" si="98"/>
        <v>1</v>
      </c>
      <c r="BU123" s="29">
        <f t="shared" si="99"/>
        <v>1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1</v>
      </c>
      <c r="BL124" s="29">
        <v>1</v>
      </c>
      <c r="BM124" s="29">
        <v>1</v>
      </c>
      <c r="BO124" s="29">
        <f t="shared" si="97"/>
        <v>1</v>
      </c>
      <c r="BP124" s="29">
        <f t="shared" si="86"/>
        <v>1</v>
      </c>
      <c r="BQ124" s="29">
        <f t="shared" si="87"/>
        <v>1</v>
      </c>
      <c r="BR124" s="65"/>
      <c r="BS124" s="29">
        <f t="shared" si="105"/>
        <v>1</v>
      </c>
      <c r="BT124" s="29">
        <f t="shared" si="98"/>
        <v>1</v>
      </c>
      <c r="BU124" s="29">
        <f t="shared" si="99"/>
        <v>1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</v>
      </c>
      <c r="BL125" s="29">
        <v>1</v>
      </c>
      <c r="BM125" s="29">
        <v>1</v>
      </c>
      <c r="BO125" s="29">
        <f t="shared" si="97"/>
        <v>1</v>
      </c>
      <c r="BP125" s="29">
        <f t="shared" si="86"/>
        <v>1</v>
      </c>
      <c r="BQ125" s="29">
        <f t="shared" si="87"/>
        <v>1</v>
      </c>
      <c r="BR125" s="65"/>
      <c r="BS125" s="29">
        <f t="shared" si="105"/>
        <v>1</v>
      </c>
      <c r="BT125" s="29">
        <f t="shared" si="98"/>
        <v>1</v>
      </c>
      <c r="BU125" s="29">
        <f t="shared" si="99"/>
        <v>1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</v>
      </c>
      <c r="BM126" s="29">
        <v>1</v>
      </c>
      <c r="BO126" s="29">
        <f t="shared" si="97"/>
        <v>1</v>
      </c>
      <c r="BP126" s="29">
        <f t="shared" si="86"/>
        <v>1</v>
      </c>
      <c r="BQ126" s="29">
        <f t="shared" si="87"/>
        <v>1</v>
      </c>
      <c r="BR126" s="65"/>
      <c r="BS126" s="29">
        <f t="shared" si="105"/>
        <v>1</v>
      </c>
      <c r="BT126" s="29">
        <f t="shared" si="98"/>
        <v>1</v>
      </c>
      <c r="BU126" s="29">
        <f t="shared" si="99"/>
        <v>1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</v>
      </c>
      <c r="BM127" s="29">
        <v>1</v>
      </c>
      <c r="BO127" s="29" t="str">
        <f t="shared" si="97"/>
        <v/>
      </c>
      <c r="BP127" s="29">
        <f t="shared" si="86"/>
        <v>1</v>
      </c>
      <c r="BQ127" s="29">
        <f t="shared" si="87"/>
        <v>1</v>
      </c>
      <c r="BR127" s="65"/>
      <c r="BS127" s="29">
        <f t="shared" si="105"/>
        <v>1</v>
      </c>
      <c r="BT127" s="29">
        <f t="shared" si="98"/>
        <v>1</v>
      </c>
      <c r="BU127" s="29">
        <f t="shared" si="99"/>
        <v>1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</v>
      </c>
      <c r="BM128" s="29">
        <v>1</v>
      </c>
      <c r="BO128" s="29" t="str">
        <f t="shared" si="97"/>
        <v/>
      </c>
      <c r="BP128" s="29">
        <f t="shared" si="86"/>
        <v>1</v>
      </c>
      <c r="BQ128" s="29">
        <f t="shared" si="87"/>
        <v>1</v>
      </c>
      <c r="BR128" s="65"/>
      <c r="BS128" s="29" t="str">
        <f t="shared" si="105"/>
        <v/>
      </c>
      <c r="BT128" s="29">
        <f t="shared" si="98"/>
        <v>1</v>
      </c>
      <c r="BU128" s="29">
        <f t="shared" si="99"/>
        <v>1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</v>
      </c>
      <c r="BM129" s="29">
        <v>1</v>
      </c>
      <c r="BO129" s="29" t="str">
        <f t="shared" si="97"/>
        <v/>
      </c>
      <c r="BP129" s="29">
        <f t="shared" si="86"/>
        <v>1</v>
      </c>
      <c r="BQ129" s="29">
        <f t="shared" si="87"/>
        <v>1</v>
      </c>
      <c r="BR129" s="65"/>
      <c r="BS129" s="29" t="str">
        <f t="shared" si="105"/>
        <v/>
      </c>
      <c r="BT129" s="29">
        <f t="shared" si="98"/>
        <v>1</v>
      </c>
      <c r="BU129" s="29">
        <f t="shared" si="99"/>
        <v>1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</v>
      </c>
      <c r="BM130" s="29">
        <v>1</v>
      </c>
      <c r="BO130" s="29" t="str">
        <f t="shared" si="97"/>
        <v/>
      </c>
      <c r="BP130" s="29">
        <f t="shared" si="86"/>
        <v>1</v>
      </c>
      <c r="BQ130" s="29">
        <f t="shared" si="87"/>
        <v>1</v>
      </c>
      <c r="BR130" s="65"/>
      <c r="BS130" s="29" t="str">
        <f t="shared" si="105"/>
        <v/>
      </c>
      <c r="BT130" s="29">
        <f t="shared" si="98"/>
        <v>1</v>
      </c>
      <c r="BU130" s="29">
        <f t="shared" si="99"/>
        <v>1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</v>
      </c>
      <c r="BM131" s="29">
        <v>1</v>
      </c>
      <c r="BO131" s="29" t="str">
        <f t="shared" si="97"/>
        <v/>
      </c>
      <c r="BP131" s="29">
        <f t="shared" si="86"/>
        <v>1</v>
      </c>
      <c r="BQ131" s="29">
        <f t="shared" si="87"/>
        <v>1</v>
      </c>
      <c r="BR131" s="65"/>
      <c r="BS131" s="29" t="str">
        <f t="shared" si="105"/>
        <v/>
      </c>
      <c r="BT131" s="29">
        <f t="shared" si="98"/>
        <v>1</v>
      </c>
      <c r="BU131" s="29">
        <f t="shared" si="99"/>
        <v>1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</v>
      </c>
      <c r="BM132" s="29">
        <v>1</v>
      </c>
      <c r="BO132" s="29" t="str">
        <f t="shared" si="97"/>
        <v/>
      </c>
      <c r="BP132" s="29">
        <f t="shared" ref="BP132:BP195" si="125">IF(BL131="","",BL131)</f>
        <v>1</v>
      </c>
      <c r="BQ132" s="29">
        <f t="shared" ref="BQ132:BQ195" si="126">IF(BM131="","",BM131)</f>
        <v>1</v>
      </c>
      <c r="BR132" s="65"/>
      <c r="BS132" s="29" t="str">
        <f t="shared" si="105"/>
        <v/>
      </c>
      <c r="BT132" s="29">
        <f t="shared" si="98"/>
        <v>1</v>
      </c>
      <c r="BU132" s="29">
        <f t="shared" si="99"/>
        <v>1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</v>
      </c>
      <c r="BM133" s="29">
        <v>1</v>
      </c>
      <c r="BO133" s="29" t="str">
        <f t="shared" ref="BO133:BO196" si="136">IF(BK132="","",BK132)</f>
        <v/>
      </c>
      <c r="BP133" s="29">
        <f t="shared" si="125"/>
        <v>1</v>
      </c>
      <c r="BQ133" s="29">
        <f t="shared" si="126"/>
        <v>1</v>
      </c>
      <c r="BR133" s="65"/>
      <c r="BS133" s="29" t="str">
        <f t="shared" si="105"/>
        <v/>
      </c>
      <c r="BT133" s="29">
        <f t="shared" ref="BT133:BT196" si="137">IF(BL131="","",BL131)</f>
        <v>1</v>
      </c>
      <c r="BU133" s="29">
        <f t="shared" ref="BU133:BU196" si="138">IF(BM131="","",BM131)</f>
        <v>1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</v>
      </c>
      <c r="BM134" s="29">
        <v>1</v>
      </c>
      <c r="BO134" s="29" t="str">
        <f t="shared" si="136"/>
        <v/>
      </c>
      <c r="BP134" s="29">
        <f t="shared" si="125"/>
        <v>1</v>
      </c>
      <c r="BQ134" s="29">
        <f t="shared" si="126"/>
        <v>1</v>
      </c>
      <c r="BR134" s="65"/>
      <c r="BS134" s="29" t="str">
        <f t="shared" ref="BS134:BS197" si="144">IF(BK132="","",BK132)</f>
        <v/>
      </c>
      <c r="BT134" s="29">
        <f t="shared" si="137"/>
        <v>1</v>
      </c>
      <c r="BU134" s="29">
        <f t="shared" si="138"/>
        <v>1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</v>
      </c>
      <c r="BM135" s="29">
        <v>1</v>
      </c>
      <c r="BO135" s="29" t="str">
        <f t="shared" si="136"/>
        <v/>
      </c>
      <c r="BP135" s="29">
        <f t="shared" si="125"/>
        <v>1</v>
      </c>
      <c r="BQ135" s="29">
        <f t="shared" si="126"/>
        <v>1</v>
      </c>
      <c r="BR135" s="65"/>
      <c r="BS135" s="29" t="str">
        <f t="shared" si="144"/>
        <v/>
      </c>
      <c r="BT135" s="29">
        <f t="shared" si="137"/>
        <v>1</v>
      </c>
      <c r="BU135" s="29">
        <f t="shared" si="138"/>
        <v>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</v>
      </c>
      <c r="BM136" s="29">
        <v>1</v>
      </c>
      <c r="BO136" s="29" t="str">
        <f t="shared" si="136"/>
        <v/>
      </c>
      <c r="BP136" s="29">
        <f t="shared" si="125"/>
        <v>1</v>
      </c>
      <c r="BQ136" s="29">
        <f t="shared" si="126"/>
        <v>1</v>
      </c>
      <c r="BR136" s="65"/>
      <c r="BS136" s="29" t="str">
        <f t="shared" si="144"/>
        <v/>
      </c>
      <c r="BT136" s="29">
        <f t="shared" si="137"/>
        <v>1</v>
      </c>
      <c r="BU136" s="29">
        <f t="shared" si="138"/>
        <v>1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</v>
      </c>
      <c r="BM137" s="29">
        <v>1</v>
      </c>
      <c r="BO137" s="29" t="str">
        <f t="shared" si="136"/>
        <v/>
      </c>
      <c r="BP137" s="29">
        <f t="shared" si="125"/>
        <v>1</v>
      </c>
      <c r="BQ137" s="29">
        <f t="shared" si="126"/>
        <v>1</v>
      </c>
      <c r="BR137" s="65"/>
      <c r="BS137" s="29" t="str">
        <f t="shared" si="144"/>
        <v/>
      </c>
      <c r="BT137" s="29">
        <f t="shared" si="137"/>
        <v>1</v>
      </c>
      <c r="BU137" s="29">
        <f t="shared" si="138"/>
        <v>1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</v>
      </c>
      <c r="BM138" s="29">
        <v>1</v>
      </c>
      <c r="BO138" s="29" t="str">
        <f t="shared" si="136"/>
        <v/>
      </c>
      <c r="BP138" s="29">
        <f t="shared" si="125"/>
        <v>1</v>
      </c>
      <c r="BQ138" s="29">
        <f t="shared" si="126"/>
        <v>1</v>
      </c>
      <c r="BR138" s="65"/>
      <c r="BS138" s="29" t="str">
        <f t="shared" si="144"/>
        <v/>
      </c>
      <c r="BT138" s="29">
        <f t="shared" si="137"/>
        <v>1</v>
      </c>
      <c r="BU138" s="29">
        <f t="shared" si="138"/>
        <v>1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</v>
      </c>
      <c r="BM139" s="29">
        <v>1</v>
      </c>
      <c r="BO139" s="29" t="str">
        <f t="shared" si="136"/>
        <v/>
      </c>
      <c r="BP139" s="29">
        <f t="shared" si="125"/>
        <v>1</v>
      </c>
      <c r="BQ139" s="29">
        <f t="shared" si="126"/>
        <v>1</v>
      </c>
      <c r="BR139" s="65"/>
      <c r="BS139" s="29" t="str">
        <f t="shared" si="144"/>
        <v/>
      </c>
      <c r="BT139" s="29">
        <f t="shared" si="137"/>
        <v>1</v>
      </c>
      <c r="BU139" s="29">
        <f t="shared" si="138"/>
        <v>1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</v>
      </c>
      <c r="BM140" s="29">
        <v>1</v>
      </c>
      <c r="BO140" s="29" t="str">
        <f t="shared" si="136"/>
        <v/>
      </c>
      <c r="BP140" s="29">
        <f t="shared" si="125"/>
        <v>1</v>
      </c>
      <c r="BQ140" s="29">
        <f t="shared" si="126"/>
        <v>1</v>
      </c>
      <c r="BR140" s="65"/>
      <c r="BS140" s="29" t="str">
        <f t="shared" si="144"/>
        <v/>
      </c>
      <c r="BT140" s="29">
        <f t="shared" si="137"/>
        <v>1</v>
      </c>
      <c r="BU140" s="29">
        <f t="shared" si="138"/>
        <v>1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</v>
      </c>
      <c r="BM141" s="29">
        <v>1</v>
      </c>
      <c r="BO141" s="29" t="str">
        <f t="shared" si="136"/>
        <v/>
      </c>
      <c r="BP141" s="29">
        <f t="shared" si="125"/>
        <v>1</v>
      </c>
      <c r="BQ141" s="29">
        <f t="shared" si="126"/>
        <v>1</v>
      </c>
      <c r="BR141" s="65"/>
      <c r="BS141" s="29" t="str">
        <f t="shared" si="144"/>
        <v/>
      </c>
      <c r="BT141" s="29">
        <f t="shared" si="137"/>
        <v>1</v>
      </c>
      <c r="BU141" s="29">
        <f t="shared" si="138"/>
        <v>1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1</v>
      </c>
      <c r="BM142" s="29">
        <v>1</v>
      </c>
      <c r="BO142" s="29" t="str">
        <f t="shared" si="136"/>
        <v/>
      </c>
      <c r="BP142" s="29">
        <f t="shared" si="125"/>
        <v>1</v>
      </c>
      <c r="BQ142" s="29">
        <f t="shared" si="126"/>
        <v>1</v>
      </c>
      <c r="BR142" s="65"/>
      <c r="BS142" s="29" t="str">
        <f t="shared" si="144"/>
        <v/>
      </c>
      <c r="BT142" s="29">
        <f t="shared" si="137"/>
        <v>1</v>
      </c>
      <c r="BU142" s="29">
        <f t="shared" si="138"/>
        <v>1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1</v>
      </c>
      <c r="BM143" s="29">
        <v>1</v>
      </c>
      <c r="BO143" s="29" t="str">
        <f t="shared" si="136"/>
        <v/>
      </c>
      <c r="BP143" s="29">
        <f t="shared" si="125"/>
        <v>1</v>
      </c>
      <c r="BQ143" s="29">
        <f t="shared" si="126"/>
        <v>1</v>
      </c>
      <c r="BR143" s="65"/>
      <c r="BS143" s="29" t="str">
        <f t="shared" si="144"/>
        <v/>
      </c>
      <c r="BT143" s="29">
        <f t="shared" si="137"/>
        <v>1</v>
      </c>
      <c r="BU143" s="29">
        <f t="shared" si="138"/>
        <v>1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1</v>
      </c>
      <c r="BM144" s="29">
        <v>1</v>
      </c>
      <c r="BO144" s="29" t="str">
        <f t="shared" si="136"/>
        <v/>
      </c>
      <c r="BP144" s="29">
        <f t="shared" si="125"/>
        <v>1</v>
      </c>
      <c r="BQ144" s="29">
        <f t="shared" si="126"/>
        <v>1</v>
      </c>
      <c r="BR144" s="65"/>
      <c r="BS144" s="29" t="str">
        <f t="shared" si="144"/>
        <v/>
      </c>
      <c r="BT144" s="29">
        <f t="shared" si="137"/>
        <v>1</v>
      </c>
      <c r="BU144" s="29">
        <f t="shared" si="138"/>
        <v>1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1</v>
      </c>
      <c r="BM145" s="29">
        <v>1</v>
      </c>
      <c r="BO145" s="29" t="str">
        <f t="shared" si="136"/>
        <v/>
      </c>
      <c r="BP145" s="29">
        <f t="shared" si="125"/>
        <v>1</v>
      </c>
      <c r="BQ145" s="29">
        <f t="shared" si="126"/>
        <v>1</v>
      </c>
      <c r="BR145" s="65"/>
      <c r="BS145" s="29" t="str">
        <f t="shared" si="144"/>
        <v/>
      </c>
      <c r="BT145" s="29">
        <f t="shared" si="137"/>
        <v>1</v>
      </c>
      <c r="BU145" s="29">
        <f t="shared" si="138"/>
        <v>1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1</v>
      </c>
      <c r="BM146" s="29">
        <v>1</v>
      </c>
      <c r="BO146" s="29" t="str">
        <f t="shared" si="136"/>
        <v/>
      </c>
      <c r="BP146" s="29">
        <f t="shared" si="125"/>
        <v>1</v>
      </c>
      <c r="BQ146" s="29">
        <f t="shared" si="126"/>
        <v>1</v>
      </c>
      <c r="BR146" s="65"/>
      <c r="BS146" s="29" t="str">
        <f t="shared" si="144"/>
        <v/>
      </c>
      <c r="BT146" s="29">
        <f t="shared" si="137"/>
        <v>1</v>
      </c>
      <c r="BU146" s="29">
        <f t="shared" si="138"/>
        <v>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</v>
      </c>
      <c r="BM147" s="29">
        <v>1</v>
      </c>
      <c r="BO147" s="29" t="str">
        <f t="shared" si="136"/>
        <v/>
      </c>
      <c r="BP147" s="29">
        <f t="shared" si="125"/>
        <v>1</v>
      </c>
      <c r="BQ147" s="29">
        <f t="shared" si="126"/>
        <v>1</v>
      </c>
      <c r="BR147" s="65"/>
      <c r="BS147" s="29" t="str">
        <f t="shared" si="144"/>
        <v/>
      </c>
      <c r="BT147" s="29">
        <f t="shared" si="137"/>
        <v>1</v>
      </c>
      <c r="BU147" s="29">
        <f t="shared" si="138"/>
        <v>1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</v>
      </c>
      <c r="BM148" s="29">
        <v>1</v>
      </c>
      <c r="BO148" s="29" t="str">
        <f t="shared" si="136"/>
        <v/>
      </c>
      <c r="BP148" s="29">
        <f t="shared" si="125"/>
        <v>1</v>
      </c>
      <c r="BQ148" s="29">
        <f t="shared" si="126"/>
        <v>1</v>
      </c>
      <c r="BR148" s="65"/>
      <c r="BS148" s="29" t="str">
        <f t="shared" si="144"/>
        <v/>
      </c>
      <c r="BT148" s="29">
        <f t="shared" si="137"/>
        <v>1</v>
      </c>
      <c r="BU148" s="29">
        <f t="shared" si="138"/>
        <v>1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</v>
      </c>
      <c r="BM149" s="29">
        <v>1</v>
      </c>
      <c r="BO149" s="29" t="str">
        <f t="shared" si="136"/>
        <v/>
      </c>
      <c r="BP149" s="29">
        <f t="shared" si="125"/>
        <v>1</v>
      </c>
      <c r="BQ149" s="29">
        <f t="shared" si="126"/>
        <v>1</v>
      </c>
      <c r="BR149" s="65"/>
      <c r="BS149" s="29" t="str">
        <f t="shared" si="144"/>
        <v/>
      </c>
      <c r="BT149" s="29">
        <f t="shared" si="137"/>
        <v>1</v>
      </c>
      <c r="BU149" s="29">
        <f t="shared" si="138"/>
        <v>1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</v>
      </c>
      <c r="BM150" s="29">
        <v>1</v>
      </c>
      <c r="BO150" s="29" t="str">
        <f t="shared" si="136"/>
        <v/>
      </c>
      <c r="BP150" s="29">
        <f t="shared" si="125"/>
        <v>1</v>
      </c>
      <c r="BQ150" s="29">
        <f t="shared" si="126"/>
        <v>1</v>
      </c>
      <c r="BR150" s="65"/>
      <c r="BS150" s="29" t="str">
        <f t="shared" si="144"/>
        <v/>
      </c>
      <c r="BT150" s="29">
        <f t="shared" si="137"/>
        <v>1</v>
      </c>
      <c r="BU150" s="29">
        <f t="shared" si="138"/>
        <v>1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</v>
      </c>
      <c r="BM151" s="29">
        <v>1</v>
      </c>
      <c r="BO151" s="29" t="str">
        <f t="shared" si="136"/>
        <v/>
      </c>
      <c r="BP151" s="29">
        <f t="shared" si="125"/>
        <v>1</v>
      </c>
      <c r="BQ151" s="29">
        <f t="shared" si="126"/>
        <v>1</v>
      </c>
      <c r="BR151" s="65"/>
      <c r="BS151" s="29" t="str">
        <f t="shared" si="144"/>
        <v/>
      </c>
      <c r="BT151" s="29">
        <f t="shared" si="137"/>
        <v>1</v>
      </c>
      <c r="BU151" s="29">
        <f t="shared" si="138"/>
        <v>1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</v>
      </c>
      <c r="BM152" s="29">
        <v>1</v>
      </c>
      <c r="BO152" s="29" t="str">
        <f t="shared" si="136"/>
        <v/>
      </c>
      <c r="BP152" s="29">
        <f t="shared" si="125"/>
        <v>1</v>
      </c>
      <c r="BQ152" s="29">
        <f t="shared" si="126"/>
        <v>1</v>
      </c>
      <c r="BR152" s="65"/>
      <c r="BS152" s="29" t="str">
        <f t="shared" si="144"/>
        <v/>
      </c>
      <c r="BT152" s="29">
        <f t="shared" si="137"/>
        <v>1</v>
      </c>
      <c r="BU152" s="29">
        <f t="shared" si="138"/>
        <v>1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</v>
      </c>
      <c r="BM153" s="29">
        <v>1</v>
      </c>
      <c r="BO153" s="29" t="str">
        <f t="shared" si="136"/>
        <v/>
      </c>
      <c r="BP153" s="29">
        <f t="shared" si="125"/>
        <v>1</v>
      </c>
      <c r="BQ153" s="29">
        <f t="shared" si="126"/>
        <v>1</v>
      </c>
      <c r="BR153" s="65"/>
      <c r="BS153" s="29" t="str">
        <f t="shared" si="144"/>
        <v/>
      </c>
      <c r="BT153" s="29">
        <f t="shared" si="137"/>
        <v>1</v>
      </c>
      <c r="BU153" s="29">
        <f t="shared" si="138"/>
        <v>1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</v>
      </c>
      <c r="BM154" s="29">
        <v>1</v>
      </c>
      <c r="BO154" s="29" t="str">
        <f t="shared" si="136"/>
        <v/>
      </c>
      <c r="BP154" s="29">
        <f t="shared" si="125"/>
        <v>1</v>
      </c>
      <c r="BQ154" s="29">
        <f t="shared" si="126"/>
        <v>1</v>
      </c>
      <c r="BR154" s="65"/>
      <c r="BS154" s="29" t="str">
        <f t="shared" si="144"/>
        <v/>
      </c>
      <c r="BT154" s="29">
        <f t="shared" si="137"/>
        <v>1</v>
      </c>
      <c r="BU154" s="29">
        <f t="shared" si="138"/>
        <v>1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</v>
      </c>
      <c r="BM155" s="29">
        <v>1</v>
      </c>
      <c r="BO155" s="29" t="str">
        <f t="shared" si="136"/>
        <v/>
      </c>
      <c r="BP155" s="29">
        <f t="shared" si="125"/>
        <v>1</v>
      </c>
      <c r="BQ155" s="29">
        <f t="shared" si="126"/>
        <v>1</v>
      </c>
      <c r="BR155" s="65"/>
      <c r="BS155" s="29" t="str">
        <f t="shared" si="144"/>
        <v/>
      </c>
      <c r="BT155" s="29">
        <f t="shared" si="137"/>
        <v>1</v>
      </c>
      <c r="BU155" s="29">
        <f t="shared" si="138"/>
        <v>1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</v>
      </c>
      <c r="BM156" s="29">
        <v>1</v>
      </c>
      <c r="BO156" s="29" t="str">
        <f t="shared" si="136"/>
        <v/>
      </c>
      <c r="BP156" s="29">
        <f t="shared" si="125"/>
        <v>1</v>
      </c>
      <c r="BQ156" s="29">
        <f t="shared" si="126"/>
        <v>1</v>
      </c>
      <c r="BR156" s="65"/>
      <c r="BS156" s="29" t="str">
        <f t="shared" si="144"/>
        <v/>
      </c>
      <c r="BT156" s="29">
        <f t="shared" si="137"/>
        <v>1</v>
      </c>
      <c r="BU156" s="29">
        <f t="shared" si="138"/>
        <v>1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</v>
      </c>
      <c r="BM157" s="29">
        <v>1</v>
      </c>
      <c r="BO157" s="29" t="str">
        <f t="shared" si="136"/>
        <v/>
      </c>
      <c r="BP157" s="29">
        <f t="shared" si="125"/>
        <v>1</v>
      </c>
      <c r="BQ157" s="29">
        <f t="shared" si="126"/>
        <v>1</v>
      </c>
      <c r="BR157" s="65"/>
      <c r="BS157" s="29" t="str">
        <f t="shared" si="144"/>
        <v/>
      </c>
      <c r="BT157" s="29">
        <f t="shared" si="137"/>
        <v>1</v>
      </c>
      <c r="BU157" s="29">
        <f t="shared" si="138"/>
        <v>1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</v>
      </c>
      <c r="BM158" s="29">
        <v>1</v>
      </c>
      <c r="BO158" s="29" t="str">
        <f t="shared" si="136"/>
        <v/>
      </c>
      <c r="BP158" s="29">
        <f t="shared" si="125"/>
        <v>1</v>
      </c>
      <c r="BQ158" s="29">
        <f t="shared" si="126"/>
        <v>1</v>
      </c>
      <c r="BR158" s="65"/>
      <c r="BS158" s="29" t="str">
        <f t="shared" si="144"/>
        <v/>
      </c>
      <c r="BT158" s="29">
        <f t="shared" si="137"/>
        <v>1</v>
      </c>
      <c r="BU158" s="29">
        <f t="shared" si="138"/>
        <v>1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</v>
      </c>
      <c r="BM159" s="29">
        <v>1</v>
      </c>
      <c r="BO159" s="29" t="str">
        <f t="shared" si="136"/>
        <v/>
      </c>
      <c r="BP159" s="29">
        <f t="shared" si="125"/>
        <v>1</v>
      </c>
      <c r="BQ159" s="29">
        <f t="shared" si="126"/>
        <v>1</v>
      </c>
      <c r="BR159" s="65"/>
      <c r="BS159" s="29" t="str">
        <f t="shared" si="144"/>
        <v/>
      </c>
      <c r="BT159" s="29">
        <f t="shared" si="137"/>
        <v>1</v>
      </c>
      <c r="BU159" s="29">
        <f t="shared" si="138"/>
        <v>1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</v>
      </c>
      <c r="BM160" s="29">
        <v>1</v>
      </c>
      <c r="BO160" s="29" t="str">
        <f t="shared" si="136"/>
        <v/>
      </c>
      <c r="BP160" s="29">
        <f t="shared" si="125"/>
        <v>1</v>
      </c>
      <c r="BQ160" s="29">
        <f t="shared" si="126"/>
        <v>1</v>
      </c>
      <c r="BR160" s="65"/>
      <c r="BS160" s="29" t="str">
        <f t="shared" si="144"/>
        <v/>
      </c>
      <c r="BT160" s="29">
        <f t="shared" si="137"/>
        <v>1</v>
      </c>
      <c r="BU160" s="29">
        <f t="shared" si="138"/>
        <v>1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</v>
      </c>
      <c r="BM161" s="29">
        <v>1</v>
      </c>
      <c r="BO161" s="29" t="str">
        <f t="shared" si="136"/>
        <v/>
      </c>
      <c r="BP161" s="29">
        <f t="shared" si="125"/>
        <v>1</v>
      </c>
      <c r="BQ161" s="29">
        <f t="shared" si="126"/>
        <v>1</v>
      </c>
      <c r="BR161" s="65"/>
      <c r="BS161" s="29" t="str">
        <f t="shared" si="144"/>
        <v/>
      </c>
      <c r="BT161" s="29">
        <f t="shared" si="137"/>
        <v>1</v>
      </c>
      <c r="BU161" s="29">
        <f t="shared" si="138"/>
        <v>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</v>
      </c>
      <c r="BM162" s="29">
        <v>1</v>
      </c>
      <c r="BO162" s="29" t="str">
        <f t="shared" si="136"/>
        <v/>
      </c>
      <c r="BP162" s="29">
        <f t="shared" si="125"/>
        <v>1</v>
      </c>
      <c r="BQ162" s="29">
        <f t="shared" si="126"/>
        <v>1</v>
      </c>
      <c r="BR162" s="65"/>
      <c r="BS162" s="29" t="str">
        <f t="shared" si="144"/>
        <v/>
      </c>
      <c r="BT162" s="29">
        <f t="shared" si="137"/>
        <v>1</v>
      </c>
      <c r="BU162" s="29">
        <f t="shared" si="138"/>
        <v>1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</v>
      </c>
      <c r="BM163" s="29">
        <v>1</v>
      </c>
      <c r="BO163" s="29" t="str">
        <f t="shared" si="136"/>
        <v/>
      </c>
      <c r="BP163" s="29">
        <f t="shared" si="125"/>
        <v>1</v>
      </c>
      <c r="BQ163" s="29">
        <f t="shared" si="126"/>
        <v>1</v>
      </c>
      <c r="BR163" s="65"/>
      <c r="BS163" s="29" t="str">
        <f t="shared" si="144"/>
        <v/>
      </c>
      <c r="BT163" s="29">
        <f t="shared" si="137"/>
        <v>1</v>
      </c>
      <c r="BU163" s="29">
        <f t="shared" si="138"/>
        <v>1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</v>
      </c>
      <c r="BM164" s="29">
        <v>1</v>
      </c>
      <c r="BO164" s="29" t="str">
        <f t="shared" si="136"/>
        <v/>
      </c>
      <c r="BP164" s="29">
        <f t="shared" si="125"/>
        <v>1</v>
      </c>
      <c r="BQ164" s="29">
        <f t="shared" si="126"/>
        <v>1</v>
      </c>
      <c r="BR164" s="65"/>
      <c r="BS164" s="29" t="str">
        <f t="shared" si="144"/>
        <v/>
      </c>
      <c r="BT164" s="29">
        <f t="shared" si="137"/>
        <v>1</v>
      </c>
      <c r="BU164" s="29">
        <f t="shared" si="138"/>
        <v>1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</v>
      </c>
      <c r="BM165" s="29">
        <v>1</v>
      </c>
      <c r="BO165" s="29" t="str">
        <f t="shared" si="136"/>
        <v/>
      </c>
      <c r="BP165" s="29">
        <f t="shared" si="125"/>
        <v>1</v>
      </c>
      <c r="BQ165" s="29">
        <f t="shared" si="126"/>
        <v>1</v>
      </c>
      <c r="BR165" s="65"/>
      <c r="BS165" s="29" t="str">
        <f t="shared" si="144"/>
        <v/>
      </c>
      <c r="BT165" s="29">
        <f t="shared" si="137"/>
        <v>1</v>
      </c>
      <c r="BU165" s="29">
        <f t="shared" si="138"/>
        <v>1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</v>
      </c>
      <c r="BM166" s="29">
        <v>1</v>
      </c>
      <c r="BO166" s="29" t="str">
        <f t="shared" si="136"/>
        <v/>
      </c>
      <c r="BP166" s="29">
        <f t="shared" si="125"/>
        <v>1</v>
      </c>
      <c r="BQ166" s="29">
        <f t="shared" si="126"/>
        <v>1</v>
      </c>
      <c r="BR166" s="65"/>
      <c r="BS166" s="29" t="str">
        <f t="shared" si="144"/>
        <v/>
      </c>
      <c r="BT166" s="29">
        <f t="shared" si="137"/>
        <v>1</v>
      </c>
      <c r="BU166" s="29">
        <f t="shared" si="138"/>
        <v>1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</v>
      </c>
      <c r="BM167" s="29">
        <v>1</v>
      </c>
      <c r="BO167" s="29" t="str">
        <f t="shared" si="136"/>
        <v/>
      </c>
      <c r="BP167" s="29">
        <f t="shared" si="125"/>
        <v>1</v>
      </c>
      <c r="BQ167" s="29">
        <f t="shared" si="126"/>
        <v>1</v>
      </c>
      <c r="BR167" s="65"/>
      <c r="BS167" s="29" t="str">
        <f t="shared" si="144"/>
        <v/>
      </c>
      <c r="BT167" s="29">
        <f t="shared" si="137"/>
        <v>1</v>
      </c>
      <c r="BU167" s="29">
        <f t="shared" si="138"/>
        <v>1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</v>
      </c>
      <c r="BM168" s="29">
        <v>1</v>
      </c>
      <c r="BO168" s="29" t="str">
        <f t="shared" si="136"/>
        <v/>
      </c>
      <c r="BP168" s="29">
        <f t="shared" si="125"/>
        <v>1</v>
      </c>
      <c r="BQ168" s="29">
        <f t="shared" si="126"/>
        <v>1</v>
      </c>
      <c r="BR168" s="65"/>
      <c r="BS168" s="29" t="str">
        <f t="shared" si="144"/>
        <v/>
      </c>
      <c r="BT168" s="29">
        <f t="shared" si="137"/>
        <v>1</v>
      </c>
      <c r="BU168" s="29">
        <f t="shared" si="138"/>
        <v>1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</v>
      </c>
      <c r="BM169" s="29">
        <v>1</v>
      </c>
      <c r="BO169" s="29" t="str">
        <f t="shared" si="136"/>
        <v/>
      </c>
      <c r="BP169" s="29">
        <f t="shared" si="125"/>
        <v>1</v>
      </c>
      <c r="BQ169" s="29">
        <f t="shared" si="126"/>
        <v>1</v>
      </c>
      <c r="BR169" s="65"/>
      <c r="BS169" s="29" t="str">
        <f t="shared" si="144"/>
        <v/>
      </c>
      <c r="BT169" s="29">
        <f t="shared" si="137"/>
        <v>1</v>
      </c>
      <c r="BU169" s="29">
        <f t="shared" si="138"/>
        <v>1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</v>
      </c>
      <c r="BM170" s="29">
        <v>1</v>
      </c>
      <c r="BO170" s="29" t="str">
        <f t="shared" si="136"/>
        <v/>
      </c>
      <c r="BP170" s="29">
        <f t="shared" si="125"/>
        <v>1</v>
      </c>
      <c r="BQ170" s="29">
        <f t="shared" si="126"/>
        <v>1</v>
      </c>
      <c r="BR170" s="65"/>
      <c r="BS170" s="29" t="str">
        <f t="shared" si="144"/>
        <v/>
      </c>
      <c r="BT170" s="29">
        <f t="shared" si="137"/>
        <v>1</v>
      </c>
      <c r="BU170" s="29">
        <f t="shared" si="138"/>
        <v>1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</v>
      </c>
      <c r="BM171" s="29">
        <v>1</v>
      </c>
      <c r="BO171" s="29" t="str">
        <f t="shared" si="136"/>
        <v/>
      </c>
      <c r="BP171" s="29">
        <f t="shared" si="125"/>
        <v>1</v>
      </c>
      <c r="BQ171" s="29">
        <f t="shared" si="126"/>
        <v>1</v>
      </c>
      <c r="BR171" s="65"/>
      <c r="BS171" s="29" t="str">
        <f t="shared" si="144"/>
        <v/>
      </c>
      <c r="BT171" s="29">
        <f t="shared" si="137"/>
        <v>1</v>
      </c>
      <c r="BU171" s="29">
        <f t="shared" si="138"/>
        <v>1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</v>
      </c>
      <c r="BM172" s="29">
        <v>1</v>
      </c>
      <c r="BO172" s="29" t="str">
        <f t="shared" si="136"/>
        <v/>
      </c>
      <c r="BP172" s="29">
        <f t="shared" si="125"/>
        <v>1</v>
      </c>
      <c r="BQ172" s="29">
        <f t="shared" si="126"/>
        <v>1</v>
      </c>
      <c r="BR172" s="65"/>
      <c r="BS172" s="29" t="str">
        <f t="shared" si="144"/>
        <v/>
      </c>
      <c r="BT172" s="29">
        <f t="shared" si="137"/>
        <v>1</v>
      </c>
      <c r="BU172" s="29">
        <f t="shared" si="138"/>
        <v>1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</v>
      </c>
      <c r="BM173" s="29">
        <v>1</v>
      </c>
      <c r="BO173" s="29" t="str">
        <f t="shared" si="136"/>
        <v/>
      </c>
      <c r="BP173" s="29">
        <f t="shared" si="125"/>
        <v>1</v>
      </c>
      <c r="BQ173" s="29">
        <f t="shared" si="126"/>
        <v>1</v>
      </c>
      <c r="BR173" s="65"/>
      <c r="BS173" s="29" t="str">
        <f t="shared" si="144"/>
        <v/>
      </c>
      <c r="BT173" s="29">
        <f t="shared" si="137"/>
        <v>1</v>
      </c>
      <c r="BU173" s="29">
        <f t="shared" si="138"/>
        <v>1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</v>
      </c>
      <c r="BM174" s="29">
        <v>1</v>
      </c>
      <c r="BO174" s="29" t="str">
        <f t="shared" si="136"/>
        <v/>
      </c>
      <c r="BP174" s="29">
        <f t="shared" si="125"/>
        <v>1</v>
      </c>
      <c r="BQ174" s="29">
        <f t="shared" si="126"/>
        <v>1</v>
      </c>
      <c r="BR174" s="65"/>
      <c r="BS174" s="29" t="str">
        <f t="shared" si="144"/>
        <v/>
      </c>
      <c r="BT174" s="29">
        <f t="shared" si="137"/>
        <v>1</v>
      </c>
      <c r="BU174" s="29">
        <f t="shared" si="138"/>
        <v>1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</v>
      </c>
      <c r="BM175" s="29">
        <v>1</v>
      </c>
      <c r="BO175" s="29" t="str">
        <f t="shared" si="136"/>
        <v/>
      </c>
      <c r="BP175" s="29">
        <f t="shared" si="125"/>
        <v>1</v>
      </c>
      <c r="BQ175" s="29">
        <f t="shared" si="126"/>
        <v>1</v>
      </c>
      <c r="BR175" s="65"/>
      <c r="BS175" s="29" t="str">
        <f t="shared" si="144"/>
        <v/>
      </c>
      <c r="BT175" s="29">
        <f t="shared" si="137"/>
        <v>1</v>
      </c>
      <c r="BU175" s="29">
        <f t="shared" si="138"/>
        <v>1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</v>
      </c>
      <c r="BM176" s="29">
        <v>1</v>
      </c>
      <c r="BO176" s="29" t="str">
        <f t="shared" si="136"/>
        <v/>
      </c>
      <c r="BP176" s="29">
        <f t="shared" si="125"/>
        <v>1</v>
      </c>
      <c r="BQ176" s="29">
        <f t="shared" si="126"/>
        <v>1</v>
      </c>
      <c r="BR176" s="65"/>
      <c r="BS176" s="29" t="str">
        <f t="shared" si="144"/>
        <v/>
      </c>
      <c r="BT176" s="29">
        <f t="shared" si="137"/>
        <v>1</v>
      </c>
      <c r="BU176" s="29">
        <f t="shared" si="138"/>
        <v>1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</v>
      </c>
      <c r="BM177" s="29">
        <v>1</v>
      </c>
      <c r="BO177" s="29" t="str">
        <f t="shared" si="136"/>
        <v/>
      </c>
      <c r="BP177" s="29">
        <f t="shared" si="125"/>
        <v>1</v>
      </c>
      <c r="BQ177" s="29">
        <f t="shared" si="126"/>
        <v>1</v>
      </c>
      <c r="BR177" s="65"/>
      <c r="BS177" s="29" t="str">
        <f t="shared" si="144"/>
        <v/>
      </c>
      <c r="BT177" s="29">
        <f t="shared" si="137"/>
        <v>1</v>
      </c>
      <c r="BU177" s="29">
        <f t="shared" si="138"/>
        <v>1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</v>
      </c>
      <c r="BM178" s="29">
        <v>1</v>
      </c>
      <c r="BO178" s="29" t="str">
        <f t="shared" si="136"/>
        <v/>
      </c>
      <c r="BP178" s="29">
        <f t="shared" si="125"/>
        <v>1</v>
      </c>
      <c r="BQ178" s="29">
        <f t="shared" si="126"/>
        <v>1</v>
      </c>
      <c r="BR178" s="65"/>
      <c r="BS178" s="29" t="str">
        <f t="shared" si="144"/>
        <v/>
      </c>
      <c r="BT178" s="29">
        <f t="shared" si="137"/>
        <v>1</v>
      </c>
      <c r="BU178" s="29">
        <f t="shared" si="138"/>
        <v>1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</v>
      </c>
      <c r="BM179" s="29">
        <v>1</v>
      </c>
      <c r="BO179" s="29" t="str">
        <f t="shared" si="136"/>
        <v/>
      </c>
      <c r="BP179" s="29">
        <f t="shared" si="125"/>
        <v>1</v>
      </c>
      <c r="BQ179" s="29">
        <f t="shared" si="126"/>
        <v>1</v>
      </c>
      <c r="BR179" s="65"/>
      <c r="BS179" s="29" t="str">
        <f t="shared" si="144"/>
        <v/>
      </c>
      <c r="BT179" s="29">
        <f t="shared" si="137"/>
        <v>1</v>
      </c>
      <c r="BU179" s="29">
        <f t="shared" si="138"/>
        <v>1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</v>
      </c>
      <c r="BM180" s="29">
        <v>1</v>
      </c>
      <c r="BO180" s="29" t="str">
        <f t="shared" si="136"/>
        <v/>
      </c>
      <c r="BP180" s="29">
        <f t="shared" si="125"/>
        <v>1</v>
      </c>
      <c r="BQ180" s="29">
        <f t="shared" si="126"/>
        <v>1</v>
      </c>
      <c r="BR180" s="65"/>
      <c r="BS180" s="29" t="str">
        <f t="shared" si="144"/>
        <v/>
      </c>
      <c r="BT180" s="29">
        <f t="shared" si="137"/>
        <v>1</v>
      </c>
      <c r="BU180" s="29">
        <f t="shared" si="138"/>
        <v>1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1</v>
      </c>
      <c r="BM181" s="29">
        <v>1</v>
      </c>
      <c r="BO181" s="29" t="str">
        <f t="shared" si="136"/>
        <v/>
      </c>
      <c r="BP181" s="29">
        <f t="shared" si="125"/>
        <v>1</v>
      </c>
      <c r="BQ181" s="29">
        <f t="shared" si="126"/>
        <v>1</v>
      </c>
      <c r="BR181" s="65"/>
      <c r="BS181" s="29" t="str">
        <f t="shared" si="144"/>
        <v/>
      </c>
      <c r="BT181" s="29">
        <f t="shared" si="137"/>
        <v>1</v>
      </c>
      <c r="BU181" s="29">
        <f t="shared" si="138"/>
        <v>1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1</v>
      </c>
      <c r="BM182" s="29">
        <v>1</v>
      </c>
      <c r="BO182" s="29" t="str">
        <f t="shared" si="136"/>
        <v/>
      </c>
      <c r="BP182" s="29">
        <f t="shared" si="125"/>
        <v>1</v>
      </c>
      <c r="BQ182" s="29">
        <f t="shared" si="126"/>
        <v>1</v>
      </c>
      <c r="BR182" s="65"/>
      <c r="BS182" s="29" t="str">
        <f t="shared" si="144"/>
        <v/>
      </c>
      <c r="BT182" s="29">
        <f t="shared" si="137"/>
        <v>1</v>
      </c>
      <c r="BU182" s="29">
        <f t="shared" si="138"/>
        <v>1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1</v>
      </c>
      <c r="BM183" s="29">
        <v>1</v>
      </c>
      <c r="BO183" s="29" t="str">
        <f t="shared" si="136"/>
        <v/>
      </c>
      <c r="BP183" s="29">
        <f t="shared" si="125"/>
        <v>1</v>
      </c>
      <c r="BQ183" s="29">
        <f t="shared" si="126"/>
        <v>1</v>
      </c>
      <c r="BR183" s="65"/>
      <c r="BS183" s="29" t="str">
        <f t="shared" si="144"/>
        <v/>
      </c>
      <c r="BT183" s="29">
        <f t="shared" si="137"/>
        <v>1</v>
      </c>
      <c r="BU183" s="29">
        <f t="shared" si="138"/>
        <v>1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1</v>
      </c>
      <c r="BM184" s="29">
        <v>1</v>
      </c>
      <c r="BO184" s="29" t="str">
        <f t="shared" si="136"/>
        <v/>
      </c>
      <c r="BP184" s="29">
        <f t="shared" si="125"/>
        <v>1</v>
      </c>
      <c r="BQ184" s="29">
        <f t="shared" si="126"/>
        <v>1</v>
      </c>
      <c r="BR184" s="65"/>
      <c r="BS184" s="29" t="str">
        <f t="shared" si="144"/>
        <v/>
      </c>
      <c r="BT184" s="29">
        <f t="shared" si="137"/>
        <v>1</v>
      </c>
      <c r="BU184" s="29">
        <f t="shared" si="138"/>
        <v>1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1</v>
      </c>
      <c r="BM185" s="29">
        <v>1</v>
      </c>
      <c r="BO185" s="29" t="str">
        <f t="shared" si="136"/>
        <v/>
      </c>
      <c r="BP185" s="29">
        <f t="shared" si="125"/>
        <v>1</v>
      </c>
      <c r="BQ185" s="29">
        <f t="shared" si="126"/>
        <v>1</v>
      </c>
      <c r="BR185" s="65"/>
      <c r="BS185" s="29" t="str">
        <f t="shared" si="144"/>
        <v/>
      </c>
      <c r="BT185" s="29">
        <f t="shared" si="137"/>
        <v>1</v>
      </c>
      <c r="BU185" s="29">
        <f t="shared" si="138"/>
        <v>1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</v>
      </c>
      <c r="BM186" s="29">
        <v>1</v>
      </c>
      <c r="BO186" s="29" t="str">
        <f t="shared" si="136"/>
        <v/>
      </c>
      <c r="BP186" s="29">
        <f t="shared" si="125"/>
        <v>1</v>
      </c>
      <c r="BQ186" s="29">
        <f t="shared" si="126"/>
        <v>1</v>
      </c>
      <c r="BR186" s="65"/>
      <c r="BS186" s="29" t="str">
        <f t="shared" si="144"/>
        <v/>
      </c>
      <c r="BT186" s="29">
        <f t="shared" si="137"/>
        <v>1</v>
      </c>
      <c r="BU186" s="29">
        <f t="shared" si="138"/>
        <v>1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</v>
      </c>
      <c r="BM187" s="29">
        <v>1</v>
      </c>
      <c r="BO187" s="29" t="str">
        <f t="shared" si="136"/>
        <v/>
      </c>
      <c r="BP187" s="29">
        <f t="shared" si="125"/>
        <v>1</v>
      </c>
      <c r="BQ187" s="29">
        <f t="shared" si="126"/>
        <v>1</v>
      </c>
      <c r="BR187" s="65"/>
      <c r="BS187" s="29" t="str">
        <f t="shared" si="144"/>
        <v/>
      </c>
      <c r="BT187" s="29">
        <f t="shared" si="137"/>
        <v>1</v>
      </c>
      <c r="BU187" s="29">
        <f t="shared" si="138"/>
        <v>1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</v>
      </c>
      <c r="BM188" s="29">
        <v>1</v>
      </c>
      <c r="BO188" s="29" t="str">
        <f t="shared" si="136"/>
        <v/>
      </c>
      <c r="BP188" s="29">
        <f t="shared" si="125"/>
        <v>1</v>
      </c>
      <c r="BQ188" s="29">
        <f t="shared" si="126"/>
        <v>1</v>
      </c>
      <c r="BR188" s="65"/>
      <c r="BS188" s="29" t="str">
        <f t="shared" si="144"/>
        <v/>
      </c>
      <c r="BT188" s="29">
        <f t="shared" si="137"/>
        <v>1</v>
      </c>
      <c r="BU188" s="29">
        <f t="shared" si="138"/>
        <v>1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</v>
      </c>
      <c r="BM189" s="29">
        <v>1</v>
      </c>
      <c r="BO189" s="29" t="str">
        <f t="shared" si="136"/>
        <v/>
      </c>
      <c r="BP189" s="29">
        <f t="shared" si="125"/>
        <v>1</v>
      </c>
      <c r="BQ189" s="29">
        <f t="shared" si="126"/>
        <v>1</v>
      </c>
      <c r="BR189" s="65"/>
      <c r="BS189" s="29" t="str">
        <f t="shared" si="144"/>
        <v/>
      </c>
      <c r="BT189" s="29">
        <f t="shared" si="137"/>
        <v>1</v>
      </c>
      <c r="BU189" s="29">
        <f t="shared" si="138"/>
        <v>1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</v>
      </c>
      <c r="BM190" s="29">
        <v>1</v>
      </c>
      <c r="BO190" s="29" t="str">
        <f t="shared" si="136"/>
        <v/>
      </c>
      <c r="BP190" s="29">
        <f t="shared" si="125"/>
        <v>1</v>
      </c>
      <c r="BQ190" s="29">
        <f t="shared" si="126"/>
        <v>1</v>
      </c>
      <c r="BR190" s="65"/>
      <c r="BS190" s="29" t="str">
        <f t="shared" si="144"/>
        <v/>
      </c>
      <c r="BT190" s="29">
        <f t="shared" si="137"/>
        <v>1</v>
      </c>
      <c r="BU190" s="29">
        <f t="shared" si="138"/>
        <v>1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</v>
      </c>
      <c r="BM191" s="29">
        <v>1</v>
      </c>
      <c r="BO191" s="29" t="str">
        <f t="shared" si="136"/>
        <v/>
      </c>
      <c r="BP191" s="29">
        <f t="shared" si="125"/>
        <v>1</v>
      </c>
      <c r="BQ191" s="29">
        <f t="shared" si="126"/>
        <v>1</v>
      </c>
      <c r="BR191" s="65"/>
      <c r="BS191" s="29" t="str">
        <f t="shared" si="144"/>
        <v/>
      </c>
      <c r="BT191" s="29">
        <f t="shared" si="137"/>
        <v>1</v>
      </c>
      <c r="BU191" s="29">
        <f t="shared" si="138"/>
        <v>1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</v>
      </c>
      <c r="BM192" s="29">
        <v>1</v>
      </c>
      <c r="BO192" s="29" t="str">
        <f t="shared" si="136"/>
        <v/>
      </c>
      <c r="BP192" s="29">
        <f t="shared" si="125"/>
        <v>1</v>
      </c>
      <c r="BQ192" s="29">
        <f t="shared" si="126"/>
        <v>1</v>
      </c>
      <c r="BR192" s="65"/>
      <c r="BS192" s="29" t="str">
        <f t="shared" si="144"/>
        <v/>
      </c>
      <c r="BT192" s="29">
        <f t="shared" si="137"/>
        <v>1</v>
      </c>
      <c r="BU192" s="29">
        <f t="shared" si="138"/>
        <v>1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</v>
      </c>
      <c r="BM193" s="29">
        <v>1</v>
      </c>
      <c r="BO193" s="29" t="str">
        <f t="shared" si="136"/>
        <v/>
      </c>
      <c r="BP193" s="29">
        <f t="shared" si="125"/>
        <v>1</v>
      </c>
      <c r="BQ193" s="29">
        <f t="shared" si="126"/>
        <v>1</v>
      </c>
      <c r="BR193" s="65"/>
      <c r="BS193" s="29" t="str">
        <f t="shared" si="144"/>
        <v/>
      </c>
      <c r="BT193" s="29">
        <f t="shared" si="137"/>
        <v>1</v>
      </c>
      <c r="BU193" s="29">
        <f t="shared" si="138"/>
        <v>1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</v>
      </c>
      <c r="BM194" s="29">
        <v>1</v>
      </c>
      <c r="BO194" s="29" t="str">
        <f t="shared" si="136"/>
        <v/>
      </c>
      <c r="BP194" s="29">
        <f t="shared" si="125"/>
        <v>1</v>
      </c>
      <c r="BQ194" s="29">
        <f t="shared" si="126"/>
        <v>1</v>
      </c>
      <c r="BR194" s="65"/>
      <c r="BS194" s="29" t="str">
        <f t="shared" si="144"/>
        <v/>
      </c>
      <c r="BT194" s="29">
        <f t="shared" si="137"/>
        <v>1</v>
      </c>
      <c r="BU194" s="29">
        <f t="shared" si="138"/>
        <v>1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</v>
      </c>
      <c r="BM195" s="29">
        <v>1</v>
      </c>
      <c r="BO195" s="29" t="str">
        <f t="shared" si="136"/>
        <v/>
      </c>
      <c r="BP195" s="29">
        <f t="shared" si="125"/>
        <v>1</v>
      </c>
      <c r="BQ195" s="29">
        <f t="shared" si="126"/>
        <v>1</v>
      </c>
      <c r="BR195" s="65"/>
      <c r="BS195" s="29" t="str">
        <f t="shared" si="144"/>
        <v/>
      </c>
      <c r="BT195" s="29">
        <f t="shared" si="137"/>
        <v>1</v>
      </c>
      <c r="BU195" s="29">
        <f t="shared" si="138"/>
        <v>1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</v>
      </c>
      <c r="BM196" s="29">
        <v>1</v>
      </c>
      <c r="BO196" s="29" t="str">
        <f t="shared" si="136"/>
        <v/>
      </c>
      <c r="BP196" s="29">
        <f t="shared" ref="BP196:BP211" si="152">IF(BL195="","",BL195)</f>
        <v>1</v>
      </c>
      <c r="BQ196" s="29">
        <f t="shared" ref="BQ196:BQ211" si="153">IF(BM195="","",BM195)</f>
        <v>1</v>
      </c>
      <c r="BR196" s="65"/>
      <c r="BS196" s="29" t="str">
        <f t="shared" si="144"/>
        <v/>
      </c>
      <c r="BT196" s="29">
        <f t="shared" si="137"/>
        <v>1</v>
      </c>
      <c r="BU196" s="29">
        <f t="shared" si="138"/>
        <v>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</v>
      </c>
      <c r="BM197" s="29">
        <v>1</v>
      </c>
      <c r="BO197" s="29" t="str">
        <f t="shared" ref="BO197:BO211" si="163">IF(BK196="","",BK196)</f>
        <v/>
      </c>
      <c r="BP197" s="29">
        <f t="shared" si="152"/>
        <v>1</v>
      </c>
      <c r="BQ197" s="29">
        <f t="shared" si="153"/>
        <v>1</v>
      </c>
      <c r="BR197" s="65"/>
      <c r="BS197" s="29" t="str">
        <f t="shared" si="144"/>
        <v/>
      </c>
      <c r="BT197" s="29">
        <f t="shared" ref="BT197:BT211" si="164">IF(BL195="","",BL195)</f>
        <v>1</v>
      </c>
      <c r="BU197" s="29">
        <f t="shared" ref="BU197:BU211" si="165">IF(BM195="","",BM195)</f>
        <v>1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</v>
      </c>
      <c r="BM198" s="29">
        <v>1</v>
      </c>
      <c r="BO198" s="29" t="str">
        <f t="shared" si="163"/>
        <v/>
      </c>
      <c r="BP198" s="29">
        <f t="shared" si="152"/>
        <v>1</v>
      </c>
      <c r="BQ198" s="29">
        <f t="shared" si="153"/>
        <v>1</v>
      </c>
      <c r="BR198" s="65"/>
      <c r="BS198" s="29" t="str">
        <f t="shared" ref="BS198:BS211" si="171">IF(BK196="","",BK196)</f>
        <v/>
      </c>
      <c r="BT198" s="29">
        <f t="shared" si="164"/>
        <v>1</v>
      </c>
      <c r="BU198" s="29">
        <f t="shared" si="165"/>
        <v>1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</v>
      </c>
      <c r="BM199" s="29">
        <v>1</v>
      </c>
      <c r="BO199" s="29" t="str">
        <f t="shared" si="163"/>
        <v/>
      </c>
      <c r="BP199" s="29">
        <f t="shared" si="152"/>
        <v>1</v>
      </c>
      <c r="BQ199" s="29">
        <f t="shared" si="153"/>
        <v>1</v>
      </c>
      <c r="BR199" s="65"/>
      <c r="BS199" s="29" t="str">
        <f t="shared" si="171"/>
        <v/>
      </c>
      <c r="BT199" s="29">
        <f t="shared" si="164"/>
        <v>1</v>
      </c>
      <c r="BU199" s="29">
        <f t="shared" si="165"/>
        <v>1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</v>
      </c>
      <c r="BM200" s="29">
        <v>1</v>
      </c>
      <c r="BO200" s="29" t="str">
        <f t="shared" si="163"/>
        <v/>
      </c>
      <c r="BP200" s="29">
        <f t="shared" si="152"/>
        <v>1</v>
      </c>
      <c r="BQ200" s="29">
        <f t="shared" si="153"/>
        <v>1</v>
      </c>
      <c r="BR200" s="65"/>
      <c r="BS200" s="29" t="str">
        <f t="shared" si="171"/>
        <v/>
      </c>
      <c r="BT200" s="29">
        <f t="shared" si="164"/>
        <v>1</v>
      </c>
      <c r="BU200" s="29">
        <f t="shared" si="165"/>
        <v>1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1</v>
      </c>
      <c r="BM201" s="29">
        <v>1</v>
      </c>
      <c r="BO201" s="29" t="str">
        <f t="shared" si="163"/>
        <v/>
      </c>
      <c r="BP201" s="29">
        <f t="shared" si="152"/>
        <v>1</v>
      </c>
      <c r="BQ201" s="29">
        <f t="shared" si="153"/>
        <v>1</v>
      </c>
      <c r="BR201" s="65"/>
      <c r="BS201" s="29" t="str">
        <f t="shared" si="171"/>
        <v/>
      </c>
      <c r="BT201" s="29">
        <f t="shared" si="164"/>
        <v>1</v>
      </c>
      <c r="BU201" s="29">
        <f t="shared" si="165"/>
        <v>1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1</v>
      </c>
      <c r="BM202" s="29">
        <v>1</v>
      </c>
      <c r="BO202" s="29" t="str">
        <f t="shared" si="163"/>
        <v/>
      </c>
      <c r="BP202" s="29">
        <f t="shared" si="152"/>
        <v>1</v>
      </c>
      <c r="BQ202" s="29">
        <f t="shared" si="153"/>
        <v>1</v>
      </c>
      <c r="BR202" s="65"/>
      <c r="BS202" s="29" t="str">
        <f t="shared" si="171"/>
        <v/>
      </c>
      <c r="BT202" s="29">
        <f t="shared" si="164"/>
        <v>1</v>
      </c>
      <c r="BU202" s="29">
        <f t="shared" si="165"/>
        <v>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1</v>
      </c>
      <c r="BM203" s="29">
        <v>1</v>
      </c>
      <c r="BO203" s="29" t="str">
        <f t="shared" si="163"/>
        <v/>
      </c>
      <c r="BP203" s="29">
        <f t="shared" si="152"/>
        <v>1</v>
      </c>
      <c r="BQ203" s="29">
        <f t="shared" si="153"/>
        <v>1</v>
      </c>
      <c r="BR203" s="65"/>
      <c r="BS203" s="29" t="str">
        <f t="shared" si="171"/>
        <v/>
      </c>
      <c r="BT203" s="29">
        <f t="shared" si="164"/>
        <v>1</v>
      </c>
      <c r="BU203" s="29">
        <f t="shared" si="165"/>
        <v>1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1</v>
      </c>
      <c r="BM204" s="29">
        <v>1</v>
      </c>
      <c r="BO204" s="29" t="str">
        <f t="shared" si="163"/>
        <v/>
      </c>
      <c r="BP204" s="29">
        <f t="shared" si="152"/>
        <v>1</v>
      </c>
      <c r="BQ204" s="29">
        <f t="shared" si="153"/>
        <v>1</v>
      </c>
      <c r="BR204" s="65"/>
      <c r="BS204" s="29" t="str">
        <f t="shared" si="171"/>
        <v/>
      </c>
      <c r="BT204" s="29">
        <f t="shared" si="164"/>
        <v>1</v>
      </c>
      <c r="BU204" s="29">
        <f t="shared" si="165"/>
        <v>1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1</v>
      </c>
      <c r="BM205" s="29">
        <v>1</v>
      </c>
      <c r="BO205" s="29" t="str">
        <f t="shared" si="163"/>
        <v/>
      </c>
      <c r="BP205" s="29">
        <f t="shared" si="152"/>
        <v>1</v>
      </c>
      <c r="BQ205" s="29">
        <f t="shared" si="153"/>
        <v>1</v>
      </c>
      <c r="BR205" s="65"/>
      <c r="BS205" s="29" t="str">
        <f t="shared" si="171"/>
        <v/>
      </c>
      <c r="BT205" s="29">
        <f t="shared" si="164"/>
        <v>1</v>
      </c>
      <c r="BU205" s="29">
        <f t="shared" si="165"/>
        <v>1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</v>
      </c>
      <c r="BM206" s="29"/>
      <c r="BO206" s="29" t="str">
        <f t="shared" si="163"/>
        <v/>
      </c>
      <c r="BP206" s="29">
        <f t="shared" si="152"/>
        <v>1</v>
      </c>
      <c r="BQ206" s="29">
        <f t="shared" si="153"/>
        <v>1</v>
      </c>
      <c r="BR206" s="65"/>
      <c r="BS206" s="29" t="str">
        <f t="shared" si="171"/>
        <v/>
      </c>
      <c r="BT206" s="29">
        <f t="shared" si="164"/>
        <v>1</v>
      </c>
      <c r="BU206" s="29">
        <f t="shared" si="165"/>
        <v>1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</v>
      </c>
      <c r="BM207" s="29"/>
      <c r="BO207" s="29" t="str">
        <f t="shared" si="163"/>
        <v/>
      </c>
      <c r="BP207" s="29">
        <f t="shared" si="152"/>
        <v>1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1</v>
      </c>
      <c r="BU207" s="29">
        <f t="shared" si="165"/>
        <v>1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</v>
      </c>
      <c r="BM208" s="29"/>
      <c r="BO208" s="29" t="str">
        <f t="shared" si="163"/>
        <v/>
      </c>
      <c r="BP208" s="29">
        <f t="shared" si="152"/>
        <v>1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</v>
      </c>
      <c r="BM209" s="29"/>
      <c r="BO209" s="29" t="str">
        <f t="shared" si="163"/>
        <v/>
      </c>
      <c r="BP209" s="29">
        <f t="shared" si="152"/>
        <v>1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1</v>
      </c>
      <c r="BM210" s="29"/>
      <c r="BO210" s="29" t="str">
        <f t="shared" si="163"/>
        <v/>
      </c>
      <c r="BP210" s="29">
        <f t="shared" si="152"/>
        <v>1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1</v>
      </c>
      <c r="BM211" s="29"/>
      <c r="BO211" s="29" t="str">
        <f t="shared" si="163"/>
        <v/>
      </c>
      <c r="BP211" s="29">
        <f t="shared" si="152"/>
        <v>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19" t="s">
        <v>113</v>
      </c>
      <c r="B1" s="319"/>
      <c r="C1" s="319"/>
      <c r="D1" s="319"/>
      <c r="E1" s="319"/>
      <c r="F1" s="1"/>
      <c r="G1" s="320" t="s">
        <v>114</v>
      </c>
      <c r="H1" s="320"/>
      <c r="I1" s="320"/>
      <c r="J1" s="320"/>
      <c r="K1" s="320"/>
      <c r="L1" s="1"/>
      <c r="M1" s="317" t="s">
        <v>115</v>
      </c>
      <c r="N1" s="317"/>
      <c r="O1" s="317"/>
      <c r="P1" s="317"/>
      <c r="Q1" s="317"/>
      <c r="R1" s="60"/>
      <c r="S1" s="318" t="s">
        <v>129</v>
      </c>
      <c r="T1" s="318"/>
      <c r="U1" s="318"/>
      <c r="V1" s="318"/>
      <c r="W1" s="318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1">
        <f>PRODUCT('Regular Symbol'!C18:E18)</f>
        <v>5218521</v>
      </c>
      <c r="D11" s="321"/>
      <c r="E11" s="321"/>
      <c r="F11" s="321"/>
      <c r="G11" s="321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1">
        <f>PRODUCT('Regular Symbol'!C18:E18)</f>
        <v>5218521</v>
      </c>
      <c r="D23" s="321"/>
      <c r="E23" s="321"/>
      <c r="F23" s="321"/>
      <c r="G23" s="321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1">
        <f>PRODUCT('Regular Symbol'!C18:E18)</f>
        <v>5218521</v>
      </c>
      <c r="D35" s="321"/>
      <c r="E35" s="321"/>
      <c r="F35" s="321"/>
      <c r="G35" s="321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1">
        <f>PRODUCT('Regular Symbol'!C18:E18)</f>
        <v>5218521</v>
      </c>
      <c r="D47" s="321"/>
      <c r="E47" s="321"/>
      <c r="F47" s="321"/>
      <c r="G47" s="321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1">
        <f>PRODUCT('Regular Symbol'!C18:E18)</f>
        <v>5218521</v>
      </c>
      <c r="D59" s="321"/>
      <c r="E59" s="321"/>
      <c r="F59" s="321"/>
      <c r="G59" s="321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1">
        <f>PRODUCT('Regular Symbol'!C44:E44)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>
        <v>2</v>
      </c>
      <c r="R20" s="180" cm="1">
        <f t="array" ref="R20:R30">S20:S30/SUM(S20:S30)</f>
        <v>0.20836289114841963</v>
      </c>
      <c r="S20" s="1">
        <v>5287</v>
      </c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>
      <c r="A23" s="1"/>
      <c r="B23" s="61" t="s">
        <v>53</v>
      </c>
      <c r="C23" s="321">
        <f>PRODUCT('Regular Symbol'!C44:E44)</f>
        <v>5218521</v>
      </c>
      <c r="D23" s="321"/>
      <c r="E23" s="321"/>
      <c r="F23" s="321"/>
      <c r="G23" s="321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f>SUMPRODUCT(_xlfn.ANCHORARRAY(R20),Q20:Q30)</f>
        <v>4.8417277528178451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1">
        <f>PRODUCT('Regular Symbol'!C44:E44)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1">
        <f>PRODUCT('Regular Symbol'!C44:E44)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Symbol'!C44:E44)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1">
        <f>PRODUCT('Regular Symbol'!C70:E70)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1">
        <f>PRODUCT('Regular Symbol'!C70:E70)</f>
        <v>5218521</v>
      </c>
      <c r="D23" s="321"/>
      <c r="E23" s="321"/>
      <c r="F23" s="321"/>
      <c r="G23" s="321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1">
        <f>PRODUCT('Regular Symbol'!C70:E70)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1">
        <f>PRODUCT('Regular Symbol'!C70:E70)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Symbol'!C70:E70)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2.8068527462091269E-3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1.5594818347434138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4.1176470588235294E-2</v>
      </c>
      <c r="N4" s="170">
        <v>7000000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5.8823529411764705E-2</v>
      </c>
      <c r="N5" s="170">
        <v>10000000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8.8235294117647065E-2</v>
      </c>
      <c r="N6" s="170">
        <v>15000000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8.8235294117647065E-2</v>
      </c>
      <c r="N7" s="170">
        <v>15000000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8.8235294117647065E-2</v>
      </c>
      <c r="N8" s="170">
        <v>15000000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8.8235294117647065E-2</v>
      </c>
      <c r="N9" s="170">
        <v>15000000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2.9411764705882353E-2</v>
      </c>
      <c r="N10" s="170">
        <v>5000000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285"/>
      <c r="K11" s="33"/>
      <c r="L11" s="124">
        <v>50</v>
      </c>
      <c r="M11" s="108">
        <v>2.9411764705882353E-2</v>
      </c>
      <c r="N11" s="170">
        <v>5000000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2.9411764705882353E-2</v>
      </c>
      <c r="N12" s="170">
        <v>5000000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2.9411764705882353E-2</v>
      </c>
      <c r="N13" s="170">
        <v>5000000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126.47783824647155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78.834601129367201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126.47783824647155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2.8068527462091269E-3</v>
      </c>
      <c r="N21" s="288">
        <f>$O$15</f>
        <v>78.834601129367201</v>
      </c>
      <c r="O21" s="186" cm="1">
        <f t="array" aca="1" ref="O21:O25" ca="1">M21:M25*N21:N25</f>
        <v>0.22127711667626546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2.8068527462091269E-3</v>
      </c>
      <c r="N22" s="290">
        <f>$O$15+1*$O$15*_xlfn.BINOM.DIST(1,1,$I$4,FALSE)</f>
        <v>94.977102796903139</v>
      </c>
      <c r="O22" s="189">
        <f ca="1"/>
        <v>0.2665867418124741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285"/>
      <c r="K23" s="34"/>
      <c r="L23" s="51" t="s">
        <v>279</v>
      </c>
      <c r="M23" s="289">
        <f t="shared" ca="1" si="4"/>
        <v>2.8068527462091269E-3</v>
      </c>
      <c r="N23" s="290">
        <f>$O$15+1*$O$15*_xlfn.BINOM.DIST(1,2,$I$4,FALSE)+2*$O$15*_xlfn.BINOM.DIST(2,2,$I$4,FALSE)</f>
        <v>111.11960446443906</v>
      </c>
      <c r="O23" s="189">
        <f ca="1"/>
        <v>0.31189636694868272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2.8068527462091269E-3</v>
      </c>
      <c r="N24" s="290">
        <f>$O$15+1*$O$15*_xlfn.BINOM.DIST(1,3,$I$4,FALSE)+2*$O$15*_xlfn.BINOM.DIST(2,3,$I$4,FALSE)+3*$O$15*_xlfn.BINOM.DIST(3,3,$I$4,FALSE)</f>
        <v>127.26210613197503</v>
      </c>
      <c r="O24" s="189">
        <f ca="1"/>
        <v>0.35720599208489151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1.521120639353564E-5</v>
      </c>
      <c r="J25" s="45">
        <f t="shared" ref="J25:J32" ca="1" si="7">F25/C$11</f>
        <v>7.6056031967678198E-4</v>
      </c>
      <c r="K25" s="34"/>
      <c r="L25" s="68" t="s">
        <v>281</v>
      </c>
      <c r="M25" s="291">
        <f t="shared" ca="1" si="4"/>
        <v>2.8068527462091269E-3</v>
      </c>
      <c r="N25" s="292">
        <f>$O$15+1*$O$15*_xlfn.BINOM.DIST(1,4,$I$4,FALSE)+2*$O$15*_xlfn.BINOM.DIST(2,4,$I$4,FALSE)+3*$O$15*_xlfn.BINOM.DIST(3,4,$I$4,FALSE)+4*$O$15*_xlfn.BINOM.DIST(4,4,$I$4,FALSE)</f>
        <v>143.40460779951093</v>
      </c>
      <c r="O25" s="192">
        <f ca="1"/>
        <v>0.40251561722110002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1.2745680241585693E-4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1.050021644063519E-4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8.8067251238425594E-5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8.6797006278215607E-5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7.5898286123597103E-5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4.4787402407693678E-5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1.8150429978148983E-5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1.521120639353564E-5</v>
      </c>
      <c r="J37" s="45">
        <f t="shared" ref="J37:J44" ca="1" si="10">F37/C$11</f>
        <v>7.6056031967678198E-4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1.2745680241585693E-4</v>
      </c>
      <c r="J38" s="50">
        <f t="shared" ca="1" si="10"/>
        <v>7.966050150991057E-3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1.050021644063519E-4</v>
      </c>
      <c r="J39" s="50">
        <f t="shared" ca="1" si="10"/>
        <v>8.7501803671959921E-3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8.8067251238425594E-5</v>
      </c>
      <c r="J40" s="50">
        <f t="shared" ca="1" si="10"/>
        <v>9.173672004002667E-3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8.6797006278215607E-5</v>
      </c>
      <c r="J41" s="50">
        <f t="shared" ca="1" si="10"/>
        <v>1.0849625784776952E-2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7.5898286123597103E-5</v>
      </c>
      <c r="J42" s="50">
        <f t="shared" ca="1" si="10"/>
        <v>1.1859107206812046E-2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4.4787402407693678E-5</v>
      </c>
      <c r="J43" s="50">
        <f t="shared" ca="1" si="10"/>
        <v>1.1196850601923419E-2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1.8150429978148983E-5</v>
      </c>
      <c r="J44" s="55">
        <f t="shared" ca="1" si="10"/>
        <v>1.1344018736343114E-2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1.521120639353564E-5</v>
      </c>
      <c r="J49" s="45">
        <f t="shared" ref="J49:J56" ca="1" si="13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1.2745680241585693E-4</v>
      </c>
      <c r="J50" s="50">
        <f t="shared" ca="1" si="13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1.050021644063519E-4</v>
      </c>
      <c r="J51" s="50">
        <f t="shared" ca="1" si="13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8.8067251238425594E-5</v>
      </c>
      <c r="J52" s="50">
        <f t="shared" ca="1" si="13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8.6797006278215607E-5</v>
      </c>
      <c r="J53" s="50">
        <f t="shared" ca="1" si="13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7.5898286123597103E-5</v>
      </c>
      <c r="J54" s="50">
        <f t="shared" ca="1" si="13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4.4787402407693678E-5</v>
      </c>
      <c r="J55" s="50">
        <f t="shared" ca="1" si="13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1.8150429978148983E-5</v>
      </c>
      <c r="J56" s="55">
        <f t="shared" ca="1" si="13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1.521120639353564E-5</v>
      </c>
      <c r="J61" s="45">
        <f t="shared" ref="J61:J68" ca="1" si="16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1.2745680241585693E-4</v>
      </c>
      <c r="J62" s="50">
        <f t="shared" ca="1" si="16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1.050021644063519E-4</v>
      </c>
      <c r="J63" s="50">
        <f t="shared" ca="1" si="16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8.8067251238425594E-5</v>
      </c>
      <c r="J64" s="50">
        <f t="shared" ca="1" si="16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8.6797006278215607E-5</v>
      </c>
      <c r="J65" s="50">
        <f t="shared" ca="1" si="16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7.5898286123597103E-5</v>
      </c>
      <c r="J66" s="50">
        <f t="shared" ca="1" si="16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4.4787402407693678E-5</v>
      </c>
      <c r="J67" s="50">
        <f t="shared" ca="1" si="16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1.8150429978148983E-5</v>
      </c>
      <c r="J68" s="55">
        <f t="shared" ca="1" si="16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7.0171318655228168E-3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5.3695078914329581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3.8028015983839099E-5</v>
      </c>
      <c r="J13" s="45">
        <f t="shared" ref="J13:J20" si="2">F13/C$11</f>
        <v>7.6056031967678198E-4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3.1864200603964226E-4</v>
      </c>
      <c r="J14" s="50">
        <f t="shared" si="2"/>
        <v>7.966050150991057E-3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2.20168128096064E-4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2.1699251569553903E-4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1.8974571530899276E-4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1.1196850601923419E-4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4.5376074945372459E-5</v>
      </c>
      <c r="J20" s="55">
        <f t="shared" si="2"/>
        <v>1.1344018736343114E-2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7.0171318655228168E-3</v>
      </c>
      <c r="N21" s="288">
        <f>$O$15</f>
        <v>108.57529814106596</v>
      </c>
      <c r="O21" s="186" cm="1">
        <f t="array" aca="1" ref="O21:O25" ca="1">M21:M25*N21:N25</f>
        <v>0.76188718439431424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7.0171318655228168E-3</v>
      </c>
      <c r="N22" s="290">
        <f>$O$15+1*$O$15*_xlfn.BINOM.DIST(1,1,$I$4,FALSE)</f>
        <v>130.80762894742386</v>
      </c>
      <c r="O22" s="189">
        <f ca="1"/>
        <v>0.91789438134045287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285"/>
      <c r="K23" s="34"/>
      <c r="L23" s="51" t="s">
        <v>279</v>
      </c>
      <c r="M23" s="289">
        <f t="shared" ca="1" si="4"/>
        <v>7.0171318655228168E-3</v>
      </c>
      <c r="N23" s="290">
        <f>$O$15+1*$O$15*_xlfn.BINOM.DIST(1,2,$I$4,FALSE)+2*$O$15*_xlfn.BINOM.DIST(2,2,$I$4,FALSE)</f>
        <v>153.03995975378177</v>
      </c>
      <c r="O23" s="189">
        <f ca="1"/>
        <v>1.0739015782865915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7.0171318655228168E-3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1.2299087752327305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3.8028015983839099E-5</v>
      </c>
      <c r="J25" s="45">
        <f t="shared" ref="J25:J32" ca="1" si="7">F25/C$11</f>
        <v>7.6056031967678198E-4</v>
      </c>
      <c r="K25" s="34"/>
      <c r="L25" s="68" t="s">
        <v>281</v>
      </c>
      <c r="M25" s="291">
        <f t="shared" ca="1" si="4"/>
        <v>7.0171318655228168E-3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1.3859159721788687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3.1864200603964226E-4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2.6250541101587976E-4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2.20168128096064E-4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2.1699251569553903E-4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1.8974571530899276E-4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1.1196850601923419E-4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4.5376074945372459E-5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3.8028015983839099E-5</v>
      </c>
      <c r="J37" s="45">
        <f t="shared" ref="J37:J44" ca="1" si="10">F37/C$11</f>
        <v>7.6056031967678198E-4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3.1864200603964226E-4</v>
      </c>
      <c r="J38" s="50">
        <f t="shared" ca="1" si="10"/>
        <v>7.966050150991057E-3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2.6250541101587976E-4</v>
      </c>
      <c r="J39" s="50">
        <f t="shared" ca="1" si="10"/>
        <v>8.7501803671959921E-3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2.20168128096064E-4</v>
      </c>
      <c r="J40" s="50">
        <f t="shared" ca="1" si="10"/>
        <v>9.173672004002667E-3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2.1699251569553903E-4</v>
      </c>
      <c r="J41" s="50">
        <f t="shared" ca="1" si="10"/>
        <v>1.0849625784776952E-2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1.8974571530899276E-4</v>
      </c>
      <c r="J42" s="50">
        <f t="shared" ca="1" si="10"/>
        <v>1.1859107206812046E-2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1.1196850601923419E-4</v>
      </c>
      <c r="J43" s="50">
        <f t="shared" ca="1" si="10"/>
        <v>1.1196850601923419E-2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4.5376074945372459E-5</v>
      </c>
      <c r="J44" s="55">
        <f t="shared" ca="1" si="10"/>
        <v>1.1344018736343114E-2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3.8028015983839099E-5</v>
      </c>
      <c r="J49" s="45">
        <f t="shared" ref="J49:J56" ca="1" si="13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3.1864200603964226E-4</v>
      </c>
      <c r="J50" s="50">
        <f t="shared" ca="1" si="13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2.6250541101587976E-4</v>
      </c>
      <c r="J51" s="50">
        <f t="shared" ca="1" si="13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2.20168128096064E-4</v>
      </c>
      <c r="J52" s="50">
        <f t="shared" ca="1" si="13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2.1699251569553903E-4</v>
      </c>
      <c r="J53" s="50">
        <f t="shared" ca="1" si="13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1.8974571530899276E-4</v>
      </c>
      <c r="J54" s="50">
        <f t="shared" ca="1" si="13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1.1196850601923419E-4</v>
      </c>
      <c r="J55" s="50">
        <f t="shared" ca="1" si="13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4.5376074945372459E-5</v>
      </c>
      <c r="J56" s="55">
        <f t="shared" ca="1" si="13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3.8028015983839099E-5</v>
      </c>
      <c r="J61" s="45">
        <f t="shared" ref="J61:J68" ca="1" si="16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3.1864200603964226E-4</v>
      </c>
      <c r="J62" s="50">
        <f t="shared" ca="1" si="16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2.6250541101587976E-4</v>
      </c>
      <c r="J63" s="50">
        <f t="shared" ca="1" si="16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2.20168128096064E-4</v>
      </c>
      <c r="J64" s="50">
        <f t="shared" ca="1" si="16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2.1699251569553903E-4</v>
      </c>
      <c r="J65" s="50">
        <f t="shared" ca="1" si="16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1.8974571530899276E-4</v>
      </c>
      <c r="J66" s="50">
        <f t="shared" ca="1" si="16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1.1196850601923419E-4</v>
      </c>
      <c r="J67" s="50">
        <f t="shared" ca="1" si="16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4.5376074945372459E-5</v>
      </c>
      <c r="J68" s="55">
        <f t="shared" ca="1" si="16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7.0171318655228168E-3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9.1233660753214103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3.8028015983839099E-5</v>
      </c>
      <c r="J13" s="45">
        <f t="shared" ref="J13:J20" si="2">F13/C$11</f>
        <v>7.6056031967678198E-4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3.1864200603964226E-4</v>
      </c>
      <c r="J14" s="50">
        <f t="shared" si="2"/>
        <v>7.966050150991057E-3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2.20168128096064E-4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2.1699251569553903E-4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1.8974571530899276E-4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1.1196850601923419E-4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4.5376074945372459E-5</v>
      </c>
      <c r="J20" s="55">
        <f t="shared" si="2"/>
        <v>1.1344018736343114E-2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7.0171318655228168E-3</v>
      </c>
      <c r="N21" s="288">
        <f>$O$15</f>
        <v>184.48100118421755</v>
      </c>
      <c r="O21" s="186" cm="1">
        <f t="array" aca="1" ref="O21:O25" ca="1">M21:M25*N21:N25</f>
        <v>1.2945275119933255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7.0171318655228168E-3</v>
      </c>
      <c r="N22" s="290">
        <f>$O$15+1*$O$15*_xlfn.BINOM.DIST(1,1,$I$4,FALSE)</f>
        <v>222.25610027247288</v>
      </c>
      <c r="O22" s="189">
        <f ca="1"/>
        <v>1.5596003635288038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285"/>
      <c r="K23" s="34"/>
      <c r="L23" s="51" t="s">
        <v>279</v>
      </c>
      <c r="M23" s="289">
        <f t="shared" ca="1" si="4"/>
        <v>7.0171318655228168E-3</v>
      </c>
      <c r="N23" s="290">
        <f>$O$15+1*$O$15*_xlfn.BINOM.DIST(1,2,$I$4,FALSE)+2*$O$15*_xlfn.BINOM.DIST(2,2,$I$4,FALSE)</f>
        <v>260.03119936072818</v>
      </c>
      <c r="O23" s="189">
        <f ca="1"/>
        <v>1.8246732150642819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7.0171318655228168E-3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2.0897460665997607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3.8028015983839099E-5</v>
      </c>
      <c r="J25" s="45">
        <f t="shared" ref="J25:J32" ca="1" si="7">F25/C$11</f>
        <v>7.6056031967678198E-4</v>
      </c>
      <c r="K25" s="34"/>
      <c r="L25" s="68" t="s">
        <v>281</v>
      </c>
      <c r="M25" s="291">
        <f t="shared" ca="1" si="4"/>
        <v>7.0171318655228168E-3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2.3548189181352384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3.1864200603964226E-4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2.6250541101587976E-4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2.20168128096064E-4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2.1699251569553903E-4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1.8974571530899276E-4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1.1196850601923419E-4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4.5376074945372459E-5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3.8028015983839099E-5</v>
      </c>
      <c r="J37" s="45">
        <f t="shared" ref="J37:J44" ca="1" si="10">F37/C$11</f>
        <v>7.6056031967678198E-4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3.1864200603964226E-4</v>
      </c>
      <c r="J38" s="50">
        <f t="shared" ca="1" si="10"/>
        <v>7.966050150991057E-3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2.6250541101587976E-4</v>
      </c>
      <c r="J39" s="50">
        <f t="shared" ca="1" si="10"/>
        <v>8.7501803671959921E-3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2.20168128096064E-4</v>
      </c>
      <c r="J40" s="50">
        <f t="shared" ca="1" si="10"/>
        <v>9.173672004002667E-3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2.1699251569553903E-4</v>
      </c>
      <c r="J41" s="50">
        <f t="shared" ca="1" si="10"/>
        <v>1.0849625784776952E-2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1.8974571530899276E-4</v>
      </c>
      <c r="J42" s="50">
        <f t="shared" ca="1" si="10"/>
        <v>1.1859107206812046E-2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1.1196850601923419E-4</v>
      </c>
      <c r="J43" s="50">
        <f t="shared" ca="1" si="10"/>
        <v>1.1196850601923419E-2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4.5376074945372459E-5</v>
      </c>
      <c r="J44" s="55">
        <f t="shared" ca="1" si="10"/>
        <v>1.1344018736343114E-2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3.8028015983839099E-5</v>
      </c>
      <c r="J49" s="45">
        <f t="shared" ref="J49:J56" ca="1" si="13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3.1864200603964226E-4</v>
      </c>
      <c r="J50" s="50">
        <f t="shared" ca="1" si="13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2.6250541101587976E-4</v>
      </c>
      <c r="J51" s="50">
        <f t="shared" ca="1" si="13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2.20168128096064E-4</v>
      </c>
      <c r="J52" s="50">
        <f t="shared" ca="1" si="13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2.1699251569553903E-4</v>
      </c>
      <c r="J53" s="50">
        <f t="shared" ca="1" si="13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1.8974571530899276E-4</v>
      </c>
      <c r="J54" s="50">
        <f t="shared" ca="1" si="13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1.1196850601923419E-4</v>
      </c>
      <c r="J55" s="50">
        <f t="shared" ca="1" si="13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4.5376074945372459E-5</v>
      </c>
      <c r="J56" s="55">
        <f t="shared" ca="1" si="13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3.8028015983839099E-5</v>
      </c>
      <c r="J61" s="45">
        <f t="shared" ref="J61:J68" ca="1" si="16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3.1864200603964226E-4</v>
      </c>
      <c r="J62" s="50">
        <f t="shared" ca="1" si="16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2.6250541101587976E-4</v>
      </c>
      <c r="J63" s="50">
        <f t="shared" ca="1" si="16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2.20168128096064E-4</v>
      </c>
      <c r="J64" s="50">
        <f t="shared" ca="1" si="16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2.1699251569553903E-4</v>
      </c>
      <c r="J65" s="50">
        <f t="shared" ca="1" si="16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1.8974571530899276E-4</v>
      </c>
      <c r="J66" s="50">
        <f t="shared" ca="1" si="16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1.1196850601923419E-4</v>
      </c>
      <c r="J67" s="50">
        <f t="shared" ca="1" si="16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4.5376074945372459E-5</v>
      </c>
      <c r="J68" s="55">
        <f t="shared" ca="1" si="16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4.3078039467504284E-2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3.9750023423649816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209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203</v>
      </c>
      <c r="F25" s="43">
        <f ca="1">C25*D25*E25</f>
        <v>381843</v>
      </c>
      <c r="G25" s="44">
        <f t="shared" ref="G25:G32" ca="1" si="4">C$11/F25</f>
        <v>13.666666666666666</v>
      </c>
      <c r="H25" s="43" cm="1">
        <f t="array" ref="H25:H32">_xlfn.ANCHORARRAY(H13)</f>
        <v>5</v>
      </c>
      <c r="I25" s="45">
        <f t="shared" ref="I25:I32" ca="1" si="5">J25*H25/$C$1</f>
        <v>1.4634146341463415E-3</v>
      </c>
      <c r="J25" s="45">
        <f t="shared" ref="J25:J32" ca="1" si="6">F25/C$11</f>
        <v>7.3170731707317069E-2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209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203</v>
      </c>
      <c r="F26" s="48">
        <f ca="1">C26*D26*E26-F25</f>
        <v>593978</v>
      </c>
      <c r="G26" s="49">
        <f t="shared" ca="1" si="4"/>
        <v>8.7857142857142865</v>
      </c>
      <c r="H26" s="48">
        <v>4</v>
      </c>
      <c r="I26" s="50">
        <f t="shared" ca="1" si="5"/>
        <v>1.8211382113821138E-3</v>
      </c>
      <c r="J26" s="50">
        <f t="shared" ca="1" si="6"/>
        <v>0.11382113821138211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209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203</v>
      </c>
      <c r="F27" s="48">
        <f ca="1">C27*D27*E27-F25</f>
        <v>551551</v>
      </c>
      <c r="G27" s="49">
        <f t="shared" ca="1" si="4"/>
        <v>9.4615384615384617</v>
      </c>
      <c r="H27" s="48">
        <v>3</v>
      </c>
      <c r="I27" s="50">
        <f t="shared" ca="1" si="5"/>
        <v>1.2682926829268293E-3</v>
      </c>
      <c r="J27" s="50">
        <f t="shared" ca="1" si="6"/>
        <v>0.10569105691056911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209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203</v>
      </c>
      <c r="F28" s="48">
        <f ca="1">C28*D28*E28-F25</f>
        <v>593978</v>
      </c>
      <c r="G28" s="49">
        <f t="shared" ca="1" si="4"/>
        <v>8.7857142857142865</v>
      </c>
      <c r="H28" s="48">
        <v>2.4</v>
      </c>
      <c r="I28" s="50">
        <f t="shared" ca="1" si="5"/>
        <v>1.092682926829268E-3</v>
      </c>
      <c r="J28" s="50">
        <f t="shared" ca="1" si="6"/>
        <v>0.11382113821138211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209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203</v>
      </c>
      <c r="F29" s="48">
        <f ca="1">C29*D29*E29-F25</f>
        <v>763686</v>
      </c>
      <c r="G29" s="49">
        <f t="shared" ca="1" si="4"/>
        <v>6.833333333333333</v>
      </c>
      <c r="H29" s="48">
        <v>2</v>
      </c>
      <c r="I29" s="50">
        <f t="shared" ca="1" si="5"/>
        <v>1.1707317073170731E-3</v>
      </c>
      <c r="J29" s="50">
        <f t="shared" ca="1" si="6"/>
        <v>0.14634146341463414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209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203</v>
      </c>
      <c r="F30" s="48">
        <f ca="1">C30*D30*E30-F25</f>
        <v>806113</v>
      </c>
      <c r="G30" s="49">
        <f t="shared" ca="1" si="4"/>
        <v>6.4736842105263159</v>
      </c>
      <c r="H30" s="48">
        <v>1.6</v>
      </c>
      <c r="I30" s="50">
        <f t="shared" ca="1" si="5"/>
        <v>9.8861788617886186E-4</v>
      </c>
      <c r="J30" s="50">
        <f t="shared" ca="1" si="6"/>
        <v>0.15447154471544716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209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203</v>
      </c>
      <c r="F31" s="48">
        <f ca="1">C31*D31*E31-F25</f>
        <v>721259</v>
      </c>
      <c r="G31" s="49">
        <f t="shared" ca="1" si="4"/>
        <v>7.2352941176470589</v>
      </c>
      <c r="H31" s="48">
        <v>1</v>
      </c>
      <c r="I31" s="50">
        <f t="shared" ca="1" si="5"/>
        <v>5.5284552845528457E-4</v>
      </c>
      <c r="J31" s="50">
        <f t="shared" ca="1" si="6"/>
        <v>0.13821138211382114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209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203</v>
      </c>
      <c r="F32" s="53">
        <f ca="1">C32*D32*E32-F25</f>
        <v>806113</v>
      </c>
      <c r="G32" s="54">
        <f t="shared" ca="1" si="4"/>
        <v>6.4736842105263159</v>
      </c>
      <c r="H32" s="53">
        <v>0.4</v>
      </c>
      <c r="I32" s="55">
        <f t="shared" ca="1" si="5"/>
        <v>2.4715447154471546E-4</v>
      </c>
      <c r="J32" s="55">
        <f t="shared" ca="1" si="6"/>
        <v>0.15447154471544716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1.521120639353564E-5</v>
      </c>
      <c r="J37" s="45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1.2745680241585693E-4</v>
      </c>
      <c r="J38" s="50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1.050021644063519E-4</v>
      </c>
      <c r="J39" s="50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8.8067251238425594E-5</v>
      </c>
      <c r="J40" s="50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8.6797006278215607E-5</v>
      </c>
      <c r="J41" s="50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7.5898286123597103E-5</v>
      </c>
      <c r="J42" s="50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4.4787402407693678E-5</v>
      </c>
      <c r="J43" s="50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1.8150429978148983E-5</v>
      </c>
      <c r="J44" s="55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209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21</v>
      </c>
      <c r="F49" s="43">
        <f ca="1">C49*D49*E49</f>
        <v>39501</v>
      </c>
      <c r="G49" s="44">
        <f t="shared" ref="G49:G56" ca="1" si="10">C$11/F49</f>
        <v>132.11111111111111</v>
      </c>
      <c r="H49" s="43" cm="1">
        <f t="array" ref="H49:H56">_xlfn.ANCHORARRAY(H37)</f>
        <v>5</v>
      </c>
      <c r="I49" s="45">
        <f t="shared" ref="I49:I56" ca="1" si="11">J49*H49/$C$1</f>
        <v>1.5138772077375945E-4</v>
      </c>
      <c r="J49" s="45">
        <f t="shared" ref="J49:J56" ca="1" si="12">F49/C$11</f>
        <v>7.569386038687973E-3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209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44</v>
      </c>
      <c r="F50" s="48">
        <f ca="1">C50*D50*E50-F49</f>
        <v>172007</v>
      </c>
      <c r="G50" s="49">
        <f t="shared" ca="1" si="10"/>
        <v>30.339003645200485</v>
      </c>
      <c r="H50" s="48">
        <v>4</v>
      </c>
      <c r="I50" s="50">
        <f t="shared" ca="1" si="11"/>
        <v>5.2737394369017584E-4</v>
      </c>
      <c r="J50" s="50">
        <f t="shared" ca="1" si="12"/>
        <v>3.2960871480635992E-2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209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48</v>
      </c>
      <c r="F51" s="48">
        <f ca="1">C51*D51*E51-F49</f>
        <v>181203</v>
      </c>
      <c r="G51" s="49">
        <f t="shared" ca="1" si="10"/>
        <v>28.79930795847751</v>
      </c>
      <c r="H51" s="48">
        <v>3</v>
      </c>
      <c r="I51" s="50">
        <f t="shared" ca="1" si="11"/>
        <v>4.1667667908206179E-4</v>
      </c>
      <c r="J51" s="50">
        <f t="shared" ca="1" si="12"/>
        <v>3.4723056590171816E-2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209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49</v>
      </c>
      <c r="F52" s="48">
        <f ca="1">C52*D52*E52-F49</f>
        <v>196042</v>
      </c>
      <c r="G52" s="49">
        <f t="shared" ca="1" si="10"/>
        <v>26.619402985074625</v>
      </c>
      <c r="H52" s="48">
        <v>2.4</v>
      </c>
      <c r="I52" s="50">
        <f t="shared" ca="1" si="11"/>
        <v>3.6063919259882252E-4</v>
      </c>
      <c r="J52" s="50">
        <f t="shared" ca="1" si="12"/>
        <v>3.7566582562377347E-2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209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44</v>
      </c>
      <c r="F53" s="48">
        <f ca="1">C53*D53*E53-F49</f>
        <v>208791</v>
      </c>
      <c r="G53" s="49">
        <f t="shared" ca="1" si="10"/>
        <v>24.993993993993993</v>
      </c>
      <c r="H53" s="48">
        <v>2</v>
      </c>
      <c r="I53" s="50">
        <f t="shared" ca="1" si="11"/>
        <v>3.200768953502343E-4</v>
      </c>
      <c r="J53" s="50">
        <f t="shared" ca="1" si="12"/>
        <v>4.0009611918779289E-2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209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48</v>
      </c>
      <c r="F54" s="48">
        <f ca="1">C54*D54*E54-F49</f>
        <v>241395</v>
      </c>
      <c r="G54" s="49">
        <f t="shared" ca="1" si="10"/>
        <v>21.618181818181817</v>
      </c>
      <c r="H54" s="48">
        <v>1.6</v>
      </c>
      <c r="I54" s="50">
        <f t="shared" ca="1" si="11"/>
        <v>2.9604709840201849E-4</v>
      </c>
      <c r="J54" s="50">
        <f t="shared" ca="1" si="12"/>
        <v>4.6257359125315388E-2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209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48</v>
      </c>
      <c r="F55" s="48">
        <f ca="1">C55*D55*E55-F49</f>
        <v>221331</v>
      </c>
      <c r="G55" s="49">
        <f t="shared" ca="1" si="10"/>
        <v>23.577903682719548</v>
      </c>
      <c r="H55" s="48">
        <v>1</v>
      </c>
      <c r="I55" s="50">
        <f t="shared" ca="1" si="11"/>
        <v>1.6965036645440345E-4</v>
      </c>
      <c r="J55" s="50">
        <f t="shared" ca="1" si="12"/>
        <v>4.2412591613600864E-2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209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48</v>
      </c>
      <c r="F56" s="53">
        <f ca="1">C56*D56*E56-F49</f>
        <v>241395</v>
      </c>
      <c r="G56" s="54">
        <f t="shared" ca="1" si="10"/>
        <v>21.618181818181817</v>
      </c>
      <c r="H56" s="53">
        <v>0.4</v>
      </c>
      <c r="I56" s="55">
        <f t="shared" ca="1" si="11"/>
        <v>7.4011774600504622E-5</v>
      </c>
      <c r="J56" s="55">
        <f t="shared" ca="1" si="12"/>
        <v>4.6257359125315388E-2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209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21</v>
      </c>
      <c r="F61" s="43">
        <f ca="1">C61*D61*E61</f>
        <v>39501</v>
      </c>
      <c r="G61" s="44">
        <f t="shared" ref="G61:G68" ca="1" si="13">C$11/F61</f>
        <v>132.11111111111111</v>
      </c>
      <c r="H61" s="43" cm="1">
        <f t="array" ref="H61:H68">_xlfn.ANCHORARRAY(H49)</f>
        <v>5</v>
      </c>
      <c r="I61" s="45">
        <f t="shared" ref="I61:I68" ca="1" si="14">J61*H61/$C$1</f>
        <v>1.5138772077375945E-4</v>
      </c>
      <c r="J61" s="45">
        <f t="shared" ref="J61:J68" ca="1" si="15">F61/C$11</f>
        <v>7.569386038687973E-3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209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44</v>
      </c>
      <c r="F62" s="48">
        <f ca="1">C62*D62*E62-F61</f>
        <v>172007</v>
      </c>
      <c r="G62" s="49">
        <f t="shared" ca="1" si="13"/>
        <v>30.339003645200485</v>
      </c>
      <c r="H62" s="48">
        <v>4</v>
      </c>
      <c r="I62" s="50">
        <f t="shared" ca="1" si="14"/>
        <v>5.2737394369017584E-4</v>
      </c>
      <c r="J62" s="50">
        <f t="shared" ca="1" si="15"/>
        <v>3.2960871480635992E-2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209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48</v>
      </c>
      <c r="F63" s="48">
        <f ca="1">C63*D63*E63-F61</f>
        <v>181203</v>
      </c>
      <c r="G63" s="49">
        <f t="shared" ca="1" si="13"/>
        <v>28.79930795847751</v>
      </c>
      <c r="H63" s="48">
        <v>3</v>
      </c>
      <c r="I63" s="50">
        <f t="shared" ca="1" si="14"/>
        <v>4.1667667908206179E-4</v>
      </c>
      <c r="J63" s="50">
        <f t="shared" ca="1" si="15"/>
        <v>3.4723056590171816E-2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209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49</v>
      </c>
      <c r="F64" s="48">
        <f ca="1">C64*D64*E64-F61</f>
        <v>196042</v>
      </c>
      <c r="G64" s="49">
        <f t="shared" ca="1" si="13"/>
        <v>26.619402985074625</v>
      </c>
      <c r="H64" s="48">
        <v>2.4</v>
      </c>
      <c r="I64" s="50">
        <f t="shared" ca="1" si="14"/>
        <v>3.6063919259882252E-4</v>
      </c>
      <c r="J64" s="50">
        <f t="shared" ca="1" si="15"/>
        <v>3.7566582562377347E-2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209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44</v>
      </c>
      <c r="F65" s="48">
        <f ca="1">C65*D65*E65-F61</f>
        <v>208791</v>
      </c>
      <c r="G65" s="49">
        <f t="shared" ca="1" si="13"/>
        <v>24.993993993993993</v>
      </c>
      <c r="H65" s="48">
        <v>2</v>
      </c>
      <c r="I65" s="50">
        <f t="shared" ca="1" si="14"/>
        <v>3.200768953502343E-4</v>
      </c>
      <c r="J65" s="50">
        <f t="shared" ca="1" si="15"/>
        <v>4.0009611918779289E-2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209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48</v>
      </c>
      <c r="F66" s="48">
        <f ca="1">C66*D66*E66-F61</f>
        <v>241395</v>
      </c>
      <c r="G66" s="49">
        <f t="shared" ca="1" si="13"/>
        <v>21.618181818181817</v>
      </c>
      <c r="H66" s="48">
        <v>1.6</v>
      </c>
      <c r="I66" s="50">
        <f t="shared" ca="1" si="14"/>
        <v>2.9604709840201849E-4</v>
      </c>
      <c r="J66" s="50">
        <f t="shared" ca="1" si="15"/>
        <v>4.6257359125315388E-2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209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48</v>
      </c>
      <c r="F67" s="48">
        <f ca="1">C67*D67*E67-F61</f>
        <v>221331</v>
      </c>
      <c r="G67" s="49">
        <f t="shared" ca="1" si="13"/>
        <v>23.577903682719548</v>
      </c>
      <c r="H67" s="48">
        <v>1</v>
      </c>
      <c r="I67" s="50">
        <f t="shared" ca="1" si="14"/>
        <v>1.6965036645440345E-4</v>
      </c>
      <c r="J67" s="50">
        <f t="shared" ca="1" si="15"/>
        <v>4.2412591613600864E-2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209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48</v>
      </c>
      <c r="F68" s="53">
        <f ca="1">C68*D68*E68-F61</f>
        <v>241395</v>
      </c>
      <c r="G68" s="54">
        <f t="shared" ca="1" si="13"/>
        <v>21.618181818181817</v>
      </c>
      <c r="H68" s="53">
        <v>0.4</v>
      </c>
      <c r="I68" s="55">
        <f t="shared" ca="1" si="14"/>
        <v>7.4011774600504622E-5</v>
      </c>
      <c r="J68" s="55">
        <f t="shared" ca="1" si="15"/>
        <v>4.6257359125315388E-2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0.14359346489168093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5.3073921716142252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209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203</v>
      </c>
      <c r="F25" s="43">
        <f ca="1">C25*D25*E25</f>
        <v>381843</v>
      </c>
      <c r="G25" s="44">
        <f t="shared" ref="G25:G32" ca="1" si="4">C$11/F25</f>
        <v>13.666666666666666</v>
      </c>
      <c r="H25" s="43" cm="1">
        <f t="array" ref="H25:H32">_xlfn.ANCHORARRAY(H13)</f>
        <v>5</v>
      </c>
      <c r="I25" s="45">
        <f t="shared" ref="I25:I32" ca="1" si="5">J25*H25/$C$1</f>
        <v>1.4634146341463415E-3</v>
      </c>
      <c r="J25" s="45">
        <f t="shared" ref="J25:J32" ca="1" si="6">F25/C$11</f>
        <v>7.3170731707317069E-2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209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203</v>
      </c>
      <c r="F26" s="48">
        <f ca="1">C26*D26*E26-F25</f>
        <v>593978</v>
      </c>
      <c r="G26" s="49">
        <f t="shared" ca="1" si="4"/>
        <v>8.7857142857142865</v>
      </c>
      <c r="H26" s="48">
        <v>4</v>
      </c>
      <c r="I26" s="50">
        <f t="shared" ca="1" si="5"/>
        <v>1.8211382113821138E-3</v>
      </c>
      <c r="J26" s="50">
        <f t="shared" ca="1" si="6"/>
        <v>0.11382113821138211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209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203</v>
      </c>
      <c r="F27" s="48">
        <f ca="1">C27*D27*E27-F25</f>
        <v>551551</v>
      </c>
      <c r="G27" s="49">
        <f t="shared" ca="1" si="4"/>
        <v>9.4615384615384617</v>
      </c>
      <c r="H27" s="48">
        <v>3</v>
      </c>
      <c r="I27" s="50">
        <f t="shared" ca="1" si="5"/>
        <v>1.2682926829268293E-3</v>
      </c>
      <c r="J27" s="50">
        <f t="shared" ca="1" si="6"/>
        <v>0.10569105691056911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209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203</v>
      </c>
      <c r="F28" s="48">
        <f ca="1">C28*D28*E28-F25</f>
        <v>593978</v>
      </c>
      <c r="G28" s="49">
        <f t="shared" ca="1" si="4"/>
        <v>8.7857142857142865</v>
      </c>
      <c r="H28" s="48">
        <v>2.4</v>
      </c>
      <c r="I28" s="50">
        <f t="shared" ca="1" si="5"/>
        <v>1.092682926829268E-3</v>
      </c>
      <c r="J28" s="50">
        <f t="shared" ca="1" si="6"/>
        <v>0.11382113821138211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209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203</v>
      </c>
      <c r="F29" s="48">
        <f ca="1">C29*D29*E29-F25</f>
        <v>763686</v>
      </c>
      <c r="G29" s="49">
        <f t="shared" ca="1" si="4"/>
        <v>6.833333333333333</v>
      </c>
      <c r="H29" s="48">
        <v>2</v>
      </c>
      <c r="I29" s="50">
        <f t="shared" ca="1" si="5"/>
        <v>1.1707317073170731E-3</v>
      </c>
      <c r="J29" s="50">
        <f t="shared" ca="1" si="6"/>
        <v>0.14634146341463414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209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203</v>
      </c>
      <c r="F30" s="48">
        <f ca="1">C30*D30*E30-F25</f>
        <v>806113</v>
      </c>
      <c r="G30" s="49">
        <f t="shared" ca="1" si="4"/>
        <v>6.4736842105263159</v>
      </c>
      <c r="H30" s="48">
        <v>1.6</v>
      </c>
      <c r="I30" s="50">
        <f t="shared" ca="1" si="5"/>
        <v>9.8861788617886186E-4</v>
      </c>
      <c r="J30" s="50">
        <f t="shared" ca="1" si="6"/>
        <v>0.15447154471544716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209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203</v>
      </c>
      <c r="F31" s="48">
        <f ca="1">C31*D31*E31-F25</f>
        <v>721259</v>
      </c>
      <c r="G31" s="49">
        <f t="shared" ca="1" si="4"/>
        <v>7.2352941176470589</v>
      </c>
      <c r="H31" s="48">
        <v>1</v>
      </c>
      <c r="I31" s="50">
        <f t="shared" ca="1" si="5"/>
        <v>5.5284552845528457E-4</v>
      </c>
      <c r="J31" s="50">
        <f t="shared" ca="1" si="6"/>
        <v>0.13821138211382114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209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203</v>
      </c>
      <c r="F32" s="53">
        <f ca="1">C32*D32*E32-F25</f>
        <v>806113</v>
      </c>
      <c r="G32" s="54">
        <f t="shared" ca="1" si="4"/>
        <v>6.4736842105263159</v>
      </c>
      <c r="H32" s="53">
        <v>0.4</v>
      </c>
      <c r="I32" s="55">
        <f t="shared" ca="1" si="5"/>
        <v>2.4715447154471546E-4</v>
      </c>
      <c r="J32" s="55">
        <f t="shared" ca="1" si="6"/>
        <v>0.15447154471544716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1.521120639353564E-5</v>
      </c>
      <c r="J37" s="45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1.2745680241585693E-4</v>
      </c>
      <c r="J38" s="50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1.050021644063519E-4</v>
      </c>
      <c r="J39" s="50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8.8067251238425594E-5</v>
      </c>
      <c r="J40" s="50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8.6797006278215607E-5</v>
      </c>
      <c r="J41" s="50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7.5898286123597103E-5</v>
      </c>
      <c r="J42" s="50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4.4787402407693678E-5</v>
      </c>
      <c r="J43" s="50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1.8150429978148983E-5</v>
      </c>
      <c r="J44" s="55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209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21</v>
      </c>
      <c r="F49" s="43">
        <f ca="1">C49*D49*E49</f>
        <v>39501</v>
      </c>
      <c r="G49" s="44">
        <f t="shared" ref="G49:G56" ca="1" si="10">C$11/F49</f>
        <v>132.11111111111111</v>
      </c>
      <c r="H49" s="43" cm="1">
        <f t="array" ref="H49:H56">_xlfn.ANCHORARRAY(H37)</f>
        <v>5</v>
      </c>
      <c r="I49" s="45">
        <f t="shared" ref="I49:I56" ca="1" si="11">J49*H49/$C$1</f>
        <v>1.5138772077375945E-4</v>
      </c>
      <c r="J49" s="45">
        <f t="shared" ref="J49:J56" ca="1" si="12">F49/C$11</f>
        <v>7.569386038687973E-3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209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44</v>
      </c>
      <c r="F50" s="48">
        <f ca="1">C50*D50*E50-F49</f>
        <v>172007</v>
      </c>
      <c r="G50" s="49">
        <f t="shared" ca="1" si="10"/>
        <v>30.339003645200485</v>
      </c>
      <c r="H50" s="48">
        <v>4</v>
      </c>
      <c r="I50" s="50">
        <f t="shared" ca="1" si="11"/>
        <v>5.2737394369017584E-4</v>
      </c>
      <c r="J50" s="50">
        <f t="shared" ca="1" si="12"/>
        <v>3.2960871480635992E-2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209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48</v>
      </c>
      <c r="F51" s="48">
        <f ca="1">C51*D51*E51-F49</f>
        <v>181203</v>
      </c>
      <c r="G51" s="49">
        <f t="shared" ca="1" si="10"/>
        <v>28.79930795847751</v>
      </c>
      <c r="H51" s="48">
        <v>3</v>
      </c>
      <c r="I51" s="50">
        <f t="shared" ca="1" si="11"/>
        <v>4.1667667908206179E-4</v>
      </c>
      <c r="J51" s="50">
        <f t="shared" ca="1" si="12"/>
        <v>3.4723056590171816E-2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209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49</v>
      </c>
      <c r="F52" s="48">
        <f ca="1">C52*D52*E52-F49</f>
        <v>196042</v>
      </c>
      <c r="G52" s="49">
        <f t="shared" ca="1" si="10"/>
        <v>26.619402985074625</v>
      </c>
      <c r="H52" s="48">
        <v>2.4</v>
      </c>
      <c r="I52" s="50">
        <f t="shared" ca="1" si="11"/>
        <v>3.6063919259882252E-4</v>
      </c>
      <c r="J52" s="50">
        <f t="shared" ca="1" si="12"/>
        <v>3.7566582562377347E-2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209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44</v>
      </c>
      <c r="F53" s="48">
        <f ca="1">C53*D53*E53-F49</f>
        <v>208791</v>
      </c>
      <c r="G53" s="49">
        <f t="shared" ca="1" si="10"/>
        <v>24.993993993993993</v>
      </c>
      <c r="H53" s="48">
        <v>2</v>
      </c>
      <c r="I53" s="50">
        <f t="shared" ca="1" si="11"/>
        <v>3.200768953502343E-4</v>
      </c>
      <c r="J53" s="50">
        <f t="shared" ca="1" si="12"/>
        <v>4.0009611918779289E-2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209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48</v>
      </c>
      <c r="F54" s="48">
        <f ca="1">C54*D54*E54-F49</f>
        <v>241395</v>
      </c>
      <c r="G54" s="49">
        <f t="shared" ca="1" si="10"/>
        <v>21.618181818181817</v>
      </c>
      <c r="H54" s="48">
        <v>1.6</v>
      </c>
      <c r="I54" s="50">
        <f t="shared" ca="1" si="11"/>
        <v>2.9604709840201849E-4</v>
      </c>
      <c r="J54" s="50">
        <f t="shared" ca="1" si="12"/>
        <v>4.6257359125315388E-2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209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48</v>
      </c>
      <c r="F55" s="48">
        <f ca="1">C55*D55*E55-F49</f>
        <v>221331</v>
      </c>
      <c r="G55" s="49">
        <f t="shared" ca="1" si="10"/>
        <v>23.577903682719548</v>
      </c>
      <c r="H55" s="48">
        <v>1</v>
      </c>
      <c r="I55" s="50">
        <f t="shared" ca="1" si="11"/>
        <v>1.6965036645440345E-4</v>
      </c>
      <c r="J55" s="50">
        <f t="shared" ca="1" si="12"/>
        <v>4.2412591613600864E-2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209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48</v>
      </c>
      <c r="F56" s="53">
        <f ca="1">C56*D56*E56-F49</f>
        <v>241395</v>
      </c>
      <c r="G56" s="54">
        <f t="shared" ca="1" si="10"/>
        <v>21.618181818181817</v>
      </c>
      <c r="H56" s="53">
        <v>0.4</v>
      </c>
      <c r="I56" s="55">
        <f t="shared" ca="1" si="11"/>
        <v>7.4011774600504622E-5</v>
      </c>
      <c r="J56" s="55">
        <f t="shared" ca="1" si="12"/>
        <v>4.6257359125315388E-2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209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21</v>
      </c>
      <c r="F61" s="43">
        <f ca="1">C61*D61*E61</f>
        <v>39501</v>
      </c>
      <c r="G61" s="44">
        <f t="shared" ref="G61:G68" ca="1" si="13">C$11/F61</f>
        <v>132.11111111111111</v>
      </c>
      <c r="H61" s="43" cm="1">
        <f t="array" ref="H61:H68">_xlfn.ANCHORARRAY(H49)</f>
        <v>5</v>
      </c>
      <c r="I61" s="45">
        <f t="shared" ref="I61:I68" ca="1" si="14">J61*H61/$C$1</f>
        <v>1.5138772077375945E-4</v>
      </c>
      <c r="J61" s="45">
        <f t="shared" ref="J61:J68" ca="1" si="15">F61/C$11</f>
        <v>7.569386038687973E-3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209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44</v>
      </c>
      <c r="F62" s="48">
        <f ca="1">C62*D62*E62-F61</f>
        <v>172007</v>
      </c>
      <c r="G62" s="49">
        <f t="shared" ca="1" si="13"/>
        <v>30.339003645200485</v>
      </c>
      <c r="H62" s="48">
        <v>4</v>
      </c>
      <c r="I62" s="50">
        <f t="shared" ca="1" si="14"/>
        <v>5.2737394369017584E-4</v>
      </c>
      <c r="J62" s="50">
        <f t="shared" ca="1" si="15"/>
        <v>3.2960871480635992E-2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209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48</v>
      </c>
      <c r="F63" s="48">
        <f ca="1">C63*D63*E63-F61</f>
        <v>181203</v>
      </c>
      <c r="G63" s="49">
        <f t="shared" ca="1" si="13"/>
        <v>28.79930795847751</v>
      </c>
      <c r="H63" s="48">
        <v>3</v>
      </c>
      <c r="I63" s="50">
        <f t="shared" ca="1" si="14"/>
        <v>4.1667667908206179E-4</v>
      </c>
      <c r="J63" s="50">
        <f t="shared" ca="1" si="15"/>
        <v>3.4723056590171816E-2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209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49</v>
      </c>
      <c r="F64" s="48">
        <f ca="1">C64*D64*E64-F61</f>
        <v>196042</v>
      </c>
      <c r="G64" s="49">
        <f t="shared" ca="1" si="13"/>
        <v>26.619402985074625</v>
      </c>
      <c r="H64" s="48">
        <v>2.4</v>
      </c>
      <c r="I64" s="50">
        <f t="shared" ca="1" si="14"/>
        <v>3.6063919259882252E-4</v>
      </c>
      <c r="J64" s="50">
        <f t="shared" ca="1" si="15"/>
        <v>3.7566582562377347E-2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209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44</v>
      </c>
      <c r="F65" s="48">
        <f ca="1">C65*D65*E65-F61</f>
        <v>208791</v>
      </c>
      <c r="G65" s="49">
        <f t="shared" ca="1" si="13"/>
        <v>24.993993993993993</v>
      </c>
      <c r="H65" s="48">
        <v>2</v>
      </c>
      <c r="I65" s="50">
        <f t="shared" ca="1" si="14"/>
        <v>3.200768953502343E-4</v>
      </c>
      <c r="J65" s="50">
        <f t="shared" ca="1" si="15"/>
        <v>4.0009611918779289E-2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209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48</v>
      </c>
      <c r="F66" s="48">
        <f ca="1">C66*D66*E66-F61</f>
        <v>241395</v>
      </c>
      <c r="G66" s="49">
        <f t="shared" ca="1" si="13"/>
        <v>21.618181818181817</v>
      </c>
      <c r="H66" s="48">
        <v>1.6</v>
      </c>
      <c r="I66" s="50">
        <f t="shared" ca="1" si="14"/>
        <v>2.9604709840201849E-4</v>
      </c>
      <c r="J66" s="50">
        <f t="shared" ca="1" si="15"/>
        <v>4.6257359125315388E-2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209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48</v>
      </c>
      <c r="F67" s="48">
        <f ca="1">C67*D67*E67-F61</f>
        <v>221331</v>
      </c>
      <c r="G67" s="49">
        <f t="shared" ca="1" si="13"/>
        <v>23.577903682719548</v>
      </c>
      <c r="H67" s="48">
        <v>1</v>
      </c>
      <c r="I67" s="50">
        <f t="shared" ca="1" si="14"/>
        <v>1.6965036645440345E-4</v>
      </c>
      <c r="J67" s="50">
        <f t="shared" ca="1" si="15"/>
        <v>4.2412591613600864E-2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209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48</v>
      </c>
      <c r="F68" s="53">
        <f ca="1">C68*D68*E68-F61</f>
        <v>241395</v>
      </c>
      <c r="G68" s="54">
        <f t="shared" ca="1" si="13"/>
        <v>21.618181818181817</v>
      </c>
      <c r="H68" s="53">
        <v>0.4</v>
      </c>
      <c r="I68" s="55">
        <f t="shared" ca="1" si="14"/>
        <v>7.4011774600504622E-5</v>
      </c>
      <c r="J68" s="55">
        <f t="shared" ca="1" si="15"/>
        <v>4.6257359125315388E-2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2026-10-16T07:23:04Z</dcterms:modified>
</cp:coreProperties>
</file>