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Source\"/>
    </mc:Choice>
  </mc:AlternateContent>
  <xr:revisionPtr revIDLastSave="0" documentId="13_ncr:1_{2AF06A28-4B50-4B09-89B7-4DDFEE26174B}" xr6:coauthVersionLast="47" xr6:coauthVersionMax="47" xr10:uidLastSave="{00000000-0000-0000-0000-000000000000}"/>
  <bookViews>
    <workbookView xWindow="-108" yWindow="-108" windowWidth="23256" windowHeight="12456" activeTab="5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OP Jackpot" sheetId="41" r:id="rId6"/>
    <sheet name="Multiplier Weight (bet100)" sheetId="39" state="hidden" r:id="rId7"/>
    <sheet name="Multiplier Weight (3FG)" sheetId="36" state="hidden" r:id="rId8"/>
    <sheet name="Multiplier Weight (5FG 10x)" sheetId="38" state="hidden" r:id="rId9"/>
    <sheet name="Multiplier Weight (10FG)" sheetId="34" state="hidden" r:id="rId10"/>
    <sheet name="Multiplier Weight (wei)" sheetId="30" state="hidden" r:id="rId11"/>
    <sheet name="Regular Symbol" sheetId="1" r:id="rId12"/>
    <sheet name="Reel 4 Symbol" sheetId="20" r:id="rId13"/>
    <sheet name="Pay Combo Normal Bet" sheetId="2" r:id="rId14"/>
    <sheet name="Pay Combo Extra Bet (1)" sheetId="24" r:id="rId15"/>
    <sheet name="Pay Combo Extra Bet (2)" sheetId="26" r:id="rId16"/>
    <sheet name="Pay Combo Super Feature Buy" sheetId="27" r:id="rId17"/>
    <sheet name="Super Feature Buy (bet100)" sheetId="40" state="hidden" r:id="rId18"/>
    <sheet name="Super Feature Buy (5FG 10x)" sheetId="37" state="hidden" r:id="rId19"/>
    <sheet name="Super Feature Buy (3FG)" sheetId="35" state="hidden" r:id="rId20"/>
    <sheet name="Super Feature Buy (10FG)" sheetId="33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9" i="32" l="1" a="1"/>
  <c r="C199" i="32" s="1"/>
  <c r="R20" i="24" a="1"/>
  <c r="R20" i="24" s="1"/>
  <c r="S31" i="24" s="1"/>
  <c r="E217" i="32" l="1"/>
  <c r="E237" i="32"/>
  <c r="E218" i="32"/>
  <c r="E238" i="32"/>
  <c r="E219" i="32"/>
  <c r="E239" i="32"/>
  <c r="E200" i="32"/>
  <c r="E220" i="32"/>
  <c r="E240" i="32"/>
  <c r="E201" i="32"/>
  <c r="E221" i="32"/>
  <c r="E241" i="32"/>
  <c r="E202" i="32"/>
  <c r="E222" i="32"/>
  <c r="E242" i="32"/>
  <c r="E203" i="32"/>
  <c r="E223" i="32"/>
  <c r="E243" i="32"/>
  <c r="E204" i="32"/>
  <c r="E224" i="32"/>
  <c r="E244" i="32"/>
  <c r="E205" i="32"/>
  <c r="E225" i="32"/>
  <c r="E245" i="32"/>
  <c r="E206" i="32"/>
  <c r="E226" i="32"/>
  <c r="E246" i="32"/>
  <c r="E207" i="32"/>
  <c r="E227" i="32"/>
  <c r="E247" i="32"/>
  <c r="E208" i="32"/>
  <c r="E228" i="32"/>
  <c r="E248" i="32"/>
  <c r="E209" i="32"/>
  <c r="E229" i="32"/>
  <c r="E249" i="32"/>
  <c r="E210" i="32"/>
  <c r="E230" i="32"/>
  <c r="E250" i="32"/>
  <c r="E211" i="32"/>
  <c r="E231" i="32"/>
  <c r="E251" i="32"/>
  <c r="E212" i="32"/>
  <c r="E232" i="32"/>
  <c r="E252" i="32"/>
  <c r="E213" i="32"/>
  <c r="E233" i="32"/>
  <c r="E253" i="32"/>
  <c r="E214" i="32"/>
  <c r="E234" i="32"/>
  <c r="E254" i="32"/>
  <c r="E215" i="32"/>
  <c r="E235" i="32"/>
  <c r="E255" i="32"/>
  <c r="E216" i="32"/>
  <c r="E236" i="32"/>
  <c r="E256" i="32"/>
  <c r="F199" i="32" a="1"/>
  <c r="F199" i="32" s="1"/>
  <c r="J199" i="32" s="1" a="1"/>
  <c r="J199" i="32" s="1"/>
  <c r="L199" i="32" s="1" a="1"/>
  <c r="L199" i="32" s="1"/>
  <c r="E199" i="32"/>
  <c r="P229" i="28" a="1"/>
  <c r="P229" i="28" s="1"/>
  <c r="G199" i="32" l="1" a="1"/>
  <c r="G199" i="32" s="1"/>
  <c r="AR15" i="40" a="1"/>
  <c r="AR15" i="40" s="1"/>
  <c r="AQ15" i="40" a="1"/>
  <c r="AQ15" i="40" s="1"/>
  <c r="AP15" i="40" a="1"/>
  <c r="AP15" i="40" s="1"/>
  <c r="AO15" i="40" a="1"/>
  <c r="AO15" i="40" s="1"/>
  <c r="AN15" i="40" a="1"/>
  <c r="AN15" i="40" s="1"/>
  <c r="AM15" i="40" a="1"/>
  <c r="AM15" i="40" s="1"/>
  <c r="AL15" i="40" a="1"/>
  <c r="AL15" i="40" s="1"/>
  <c r="AK15" i="40" a="1"/>
  <c r="AK15" i="40" s="1"/>
  <c r="AJ15" i="40" a="1"/>
  <c r="AJ15" i="40" s="1"/>
  <c r="AI15" i="40" a="1"/>
  <c r="AI15" i="40" s="1"/>
  <c r="AH15" i="40" a="1"/>
  <c r="AH15" i="40" s="1"/>
  <c r="AG3" i="40" a="1"/>
  <c r="AG3" i="40" s="1"/>
  <c r="AG15" i="40" s="1"/>
  <c r="AF3" i="40" a="1"/>
  <c r="AF3" i="40" s="1"/>
  <c r="AF15" i="40" s="1"/>
  <c r="AE3" i="40" a="1"/>
  <c r="AE3" i="40" s="1"/>
  <c r="AE15" i="40" s="1"/>
  <c r="AD3" i="40" a="1"/>
  <c r="AD3" i="40" s="1"/>
  <c r="AD15" i="40" s="1"/>
  <c r="AC3" i="40" a="1"/>
  <c r="AC3" i="40" s="1"/>
  <c r="AC15" i="40" s="1"/>
  <c r="AB3" i="40" a="1"/>
  <c r="AB3" i="40" s="1"/>
  <c r="AB15" i="40" s="1"/>
  <c r="AA3" i="40" a="1"/>
  <c r="AA3" i="40" s="1"/>
  <c r="AA15" i="40" s="1"/>
  <c r="Z3" i="40" a="1"/>
  <c r="Z3" i="40" s="1"/>
  <c r="Z15" i="40" s="1"/>
  <c r="Y3" i="40" a="1"/>
  <c r="Y3" i="40" s="1"/>
  <c r="Y15" i="40" s="1"/>
  <c r="X3" i="40" a="1"/>
  <c r="X3" i="40" s="1"/>
  <c r="X15" i="40" s="1"/>
  <c r="W3" i="40" a="1"/>
  <c r="W3" i="40" s="1"/>
  <c r="W15" i="40" s="1"/>
  <c r="R3" i="40" a="1"/>
  <c r="R3" i="40" s="1"/>
  <c r="T15" i="40" s="1"/>
  <c r="O3" i="40" a="1"/>
  <c r="O3" i="40" s="1"/>
  <c r="M3" i="40" a="1"/>
  <c r="M3" i="40" s="1"/>
  <c r="P245" i="39" a="1"/>
  <c r="P245" i="39" s="1"/>
  <c r="P223" i="39" a="1"/>
  <c r="P223" i="39" s="1"/>
  <c r="C199" i="39" a="1"/>
  <c r="E252" i="39" s="1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F134" i="39" a="1"/>
  <c r="F134" i="39" s="1"/>
  <c r="E134" i="39"/>
  <c r="N131" i="39"/>
  <c r="N196" i="39" s="1"/>
  <c r="N261" i="39" s="1"/>
  <c r="E126" i="39"/>
  <c r="E125" i="39"/>
  <c r="E124" i="39"/>
  <c r="E123" i="39"/>
  <c r="E122" i="39"/>
  <c r="E121" i="39"/>
  <c r="E120" i="39"/>
  <c r="E119" i="39"/>
  <c r="E118" i="39"/>
  <c r="E117" i="39"/>
  <c r="E116" i="39"/>
  <c r="E115" i="39"/>
  <c r="E114" i="39"/>
  <c r="E113" i="39"/>
  <c r="E112" i="39"/>
  <c r="E111" i="39"/>
  <c r="E110" i="39"/>
  <c r="E109" i="39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E93" i="39"/>
  <c r="E92" i="39"/>
  <c r="E91" i="39"/>
  <c r="E90" i="39"/>
  <c r="E89" i="39"/>
  <c r="E88" i="39"/>
  <c r="E87" i="39"/>
  <c r="E86" i="39"/>
  <c r="E85" i="39"/>
  <c r="E84" i="39"/>
  <c r="E83" i="39"/>
  <c r="E82" i="39"/>
  <c r="E81" i="39"/>
  <c r="E80" i="39"/>
  <c r="E79" i="39"/>
  <c r="E78" i="39"/>
  <c r="E77" i="39"/>
  <c r="E76" i="39"/>
  <c r="E75" i="39"/>
  <c r="E74" i="39"/>
  <c r="E73" i="39"/>
  <c r="E72" i="39"/>
  <c r="E71" i="39"/>
  <c r="E70" i="39"/>
  <c r="AT69" i="39" a="1"/>
  <c r="AT69" i="39" s="1"/>
  <c r="F69" i="39" a="1"/>
  <c r="F69" i="39" s="1"/>
  <c r="E69" i="39"/>
  <c r="A69" i="39" a="1"/>
  <c r="I123" i="39" s="1"/>
  <c r="A68" i="39" a="1"/>
  <c r="A68" i="39" s="1"/>
  <c r="A133" i="39" s="1" a="1"/>
  <c r="A133" i="39" s="1"/>
  <c r="A198" i="39" s="1" a="1"/>
  <c r="A198" i="39" s="1"/>
  <c r="I61" i="39"/>
  <c r="E61" i="39"/>
  <c r="I60" i="39"/>
  <c r="E60" i="39"/>
  <c r="I59" i="39"/>
  <c r="E59" i="39"/>
  <c r="I58" i="39"/>
  <c r="E58" i="39"/>
  <c r="I57" i="39"/>
  <c r="E57" i="39"/>
  <c r="I56" i="39"/>
  <c r="E56" i="39"/>
  <c r="I55" i="39"/>
  <c r="E55" i="39"/>
  <c r="I54" i="39"/>
  <c r="E54" i="39"/>
  <c r="I53" i="39"/>
  <c r="E53" i="39"/>
  <c r="I52" i="39"/>
  <c r="E52" i="39"/>
  <c r="I51" i="39"/>
  <c r="E51" i="39"/>
  <c r="I50" i="39"/>
  <c r="E50" i="39"/>
  <c r="I49" i="39"/>
  <c r="E49" i="39"/>
  <c r="I48" i="39"/>
  <c r="E48" i="39"/>
  <c r="I47" i="39"/>
  <c r="E47" i="39"/>
  <c r="I46" i="39"/>
  <c r="E46" i="39"/>
  <c r="I45" i="39"/>
  <c r="E45" i="39"/>
  <c r="I44" i="39"/>
  <c r="E44" i="39"/>
  <c r="I43" i="39"/>
  <c r="E43" i="39"/>
  <c r="I42" i="39"/>
  <c r="E42" i="39"/>
  <c r="I41" i="39"/>
  <c r="E41" i="39"/>
  <c r="I40" i="39"/>
  <c r="E40" i="39"/>
  <c r="I39" i="39"/>
  <c r="E39" i="39"/>
  <c r="I38" i="39"/>
  <c r="E38" i="39"/>
  <c r="I37" i="39"/>
  <c r="E37" i="39"/>
  <c r="I36" i="39"/>
  <c r="E36" i="39"/>
  <c r="I35" i="39"/>
  <c r="E35" i="39"/>
  <c r="I34" i="39"/>
  <c r="E34" i="39"/>
  <c r="I33" i="39"/>
  <c r="E33" i="39"/>
  <c r="I32" i="39"/>
  <c r="E32" i="39"/>
  <c r="I31" i="39"/>
  <c r="E31" i="39"/>
  <c r="I30" i="39"/>
  <c r="E30" i="39"/>
  <c r="I29" i="39"/>
  <c r="E29" i="39"/>
  <c r="I28" i="39"/>
  <c r="E28" i="39"/>
  <c r="I27" i="39"/>
  <c r="E27" i="39"/>
  <c r="I26" i="39"/>
  <c r="E26" i="39"/>
  <c r="I25" i="39"/>
  <c r="E25" i="39"/>
  <c r="I24" i="39"/>
  <c r="E24" i="39"/>
  <c r="I23" i="39"/>
  <c r="E23" i="39"/>
  <c r="I22" i="39"/>
  <c r="E22" i="39"/>
  <c r="I21" i="39"/>
  <c r="E21" i="39"/>
  <c r="I20" i="39"/>
  <c r="E20" i="39"/>
  <c r="I19" i="39"/>
  <c r="E19" i="39"/>
  <c r="I18" i="39"/>
  <c r="E18" i="39"/>
  <c r="I17" i="39"/>
  <c r="E17" i="39"/>
  <c r="I16" i="39"/>
  <c r="E16" i="39"/>
  <c r="I15" i="39"/>
  <c r="E15" i="39"/>
  <c r="I14" i="39"/>
  <c r="E14" i="39"/>
  <c r="I13" i="39"/>
  <c r="E13" i="39"/>
  <c r="I12" i="39"/>
  <c r="E12" i="39"/>
  <c r="I11" i="39"/>
  <c r="E11" i="39"/>
  <c r="I10" i="39"/>
  <c r="E10" i="39"/>
  <c r="I9" i="39"/>
  <c r="E9" i="39"/>
  <c r="I8" i="39"/>
  <c r="E8" i="39"/>
  <c r="I7" i="39"/>
  <c r="E7" i="39"/>
  <c r="I6" i="39"/>
  <c r="E6" i="39"/>
  <c r="I5" i="39"/>
  <c r="E5" i="39"/>
  <c r="I4" i="39"/>
  <c r="F4" i="39" a="1"/>
  <c r="F4" i="39" s="1"/>
  <c r="J4" i="39" s="1" a="1"/>
  <c r="J4" i="39" s="1"/>
  <c r="L4" i="39" s="1" a="1"/>
  <c r="L4" i="39" s="1"/>
  <c r="E4" i="39"/>
  <c r="AB3" i="39" a="1"/>
  <c r="AB3" i="39" s="1"/>
  <c r="AC3" i="39" s="1" a="1"/>
  <c r="AC3" i="39" s="1"/>
  <c r="AD3" i="39" s="1" a="1"/>
  <c r="AD3" i="39" s="1"/>
  <c r="M2" i="39"/>
  <c r="P245" i="38" a="1"/>
  <c r="P245" i="38" s="1"/>
  <c r="P223" i="38" a="1"/>
  <c r="P223" i="38" s="1"/>
  <c r="C199" i="38" a="1"/>
  <c r="E254" i="38" s="1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F134" i="38" a="1"/>
  <c r="F134" i="38" s="1"/>
  <c r="E134" i="38"/>
  <c r="N131" i="38"/>
  <c r="N196" i="38" s="1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AT69" i="38" a="1"/>
  <c r="AT69" i="38" s="1"/>
  <c r="F69" i="38" a="1"/>
  <c r="F69" i="38" s="1"/>
  <c r="E69" i="38"/>
  <c r="A69" i="38" a="1"/>
  <c r="I100" i="38" s="1"/>
  <c r="A68" i="38" a="1"/>
  <c r="A68" i="38" s="1"/>
  <c r="A133" i="38" s="1" a="1"/>
  <c r="A133" i="38" s="1"/>
  <c r="A198" i="38" s="1" a="1"/>
  <c r="A198" i="38" s="1"/>
  <c r="I61" i="38"/>
  <c r="E61" i="38"/>
  <c r="I60" i="38"/>
  <c r="E60" i="38"/>
  <c r="I59" i="38"/>
  <c r="E59" i="38"/>
  <c r="I58" i="38"/>
  <c r="E58" i="38"/>
  <c r="I57" i="38"/>
  <c r="E57" i="38"/>
  <c r="I56" i="38"/>
  <c r="E56" i="38"/>
  <c r="I55" i="38"/>
  <c r="E55" i="38"/>
  <c r="I54" i="38"/>
  <c r="E54" i="38"/>
  <c r="I53" i="38"/>
  <c r="E53" i="38"/>
  <c r="I52" i="38"/>
  <c r="E52" i="38"/>
  <c r="I51" i="38"/>
  <c r="E51" i="38"/>
  <c r="I50" i="38"/>
  <c r="E50" i="38"/>
  <c r="I49" i="38"/>
  <c r="E49" i="38"/>
  <c r="I48" i="38"/>
  <c r="E48" i="38"/>
  <c r="I47" i="38"/>
  <c r="E47" i="38"/>
  <c r="I46" i="38"/>
  <c r="E46" i="38"/>
  <c r="I45" i="38"/>
  <c r="E45" i="38"/>
  <c r="I44" i="38"/>
  <c r="E44" i="38"/>
  <c r="I43" i="38"/>
  <c r="E43" i="38"/>
  <c r="I42" i="38"/>
  <c r="E42" i="38"/>
  <c r="I41" i="38"/>
  <c r="E41" i="38"/>
  <c r="I40" i="38"/>
  <c r="E40" i="38"/>
  <c r="I39" i="38"/>
  <c r="E39" i="38"/>
  <c r="I38" i="38"/>
  <c r="E38" i="38"/>
  <c r="I37" i="38"/>
  <c r="E37" i="38"/>
  <c r="I36" i="38"/>
  <c r="E36" i="38"/>
  <c r="I35" i="38"/>
  <c r="E35" i="38"/>
  <c r="I34" i="38"/>
  <c r="E34" i="38"/>
  <c r="I33" i="38"/>
  <c r="E33" i="38"/>
  <c r="I32" i="38"/>
  <c r="E32" i="38"/>
  <c r="I31" i="38"/>
  <c r="E31" i="38"/>
  <c r="I30" i="38"/>
  <c r="E30" i="38"/>
  <c r="I29" i="38"/>
  <c r="E29" i="38"/>
  <c r="I28" i="38"/>
  <c r="E28" i="38"/>
  <c r="I27" i="38"/>
  <c r="E27" i="38"/>
  <c r="I26" i="38"/>
  <c r="E26" i="38"/>
  <c r="I25" i="38"/>
  <c r="E25" i="38"/>
  <c r="I24" i="38"/>
  <c r="E24" i="38"/>
  <c r="I23" i="38"/>
  <c r="E23" i="38"/>
  <c r="I22" i="38"/>
  <c r="E22" i="38"/>
  <c r="I21" i="38"/>
  <c r="E21" i="38"/>
  <c r="I20" i="38"/>
  <c r="E20" i="38"/>
  <c r="I19" i="38"/>
  <c r="E19" i="38"/>
  <c r="I18" i="38"/>
  <c r="E18" i="38"/>
  <c r="I17" i="38"/>
  <c r="E17" i="38"/>
  <c r="I16" i="38"/>
  <c r="E16" i="38"/>
  <c r="I15" i="38"/>
  <c r="E15" i="38"/>
  <c r="I14" i="38"/>
  <c r="E14" i="38"/>
  <c r="I13" i="38"/>
  <c r="E13" i="38"/>
  <c r="I12" i="38"/>
  <c r="E12" i="38"/>
  <c r="I11" i="38"/>
  <c r="E11" i="38"/>
  <c r="I10" i="38"/>
  <c r="E10" i="38"/>
  <c r="I9" i="38"/>
  <c r="E9" i="38"/>
  <c r="I8" i="38"/>
  <c r="E8" i="38"/>
  <c r="I7" i="38"/>
  <c r="E7" i="38"/>
  <c r="I6" i="38"/>
  <c r="E6" i="38"/>
  <c r="I5" i="38"/>
  <c r="E5" i="38"/>
  <c r="I4" i="38"/>
  <c r="F4" i="38" a="1"/>
  <c r="F4" i="38" s="1"/>
  <c r="E4" i="38"/>
  <c r="AB3" i="38" a="1"/>
  <c r="AB3" i="38" s="1"/>
  <c r="AC3" i="38" s="1" a="1"/>
  <c r="AC3" i="38" s="1"/>
  <c r="AD3" i="38" s="1" a="1"/>
  <c r="AD3" i="38" s="1"/>
  <c r="M2" i="38"/>
  <c r="I93" i="38" l="1"/>
  <c r="M4" i="39" a="1"/>
  <c r="M4" i="39" s="1"/>
  <c r="N4" i="39" s="1" a="1"/>
  <c r="N65" i="39" s="1"/>
  <c r="I117" i="39"/>
  <c r="Q69" i="39" a="1"/>
  <c r="Q69" i="39" s="1"/>
  <c r="P68" i="39" s="1"/>
  <c r="R69" i="39" s="1" a="1"/>
  <c r="S70" i="39" s="1" a="1"/>
  <c r="S70" i="39" s="1"/>
  <c r="I101" i="39"/>
  <c r="I125" i="39"/>
  <c r="I109" i="39"/>
  <c r="I93" i="39"/>
  <c r="I77" i="39"/>
  <c r="Q4" i="39" a="1"/>
  <c r="Q4" i="39" s="1"/>
  <c r="P3" i="39" s="1"/>
  <c r="R4" i="39" s="1" a="1"/>
  <c r="R4" i="39" s="1"/>
  <c r="I85" i="39"/>
  <c r="I70" i="39"/>
  <c r="E220" i="38"/>
  <c r="E231" i="39"/>
  <c r="E211" i="38"/>
  <c r="E221" i="38"/>
  <c r="E205" i="38"/>
  <c r="E230" i="39"/>
  <c r="E238" i="39"/>
  <c r="E213" i="38"/>
  <c r="E219" i="38"/>
  <c r="E239" i="39"/>
  <c r="E253" i="39"/>
  <c r="E254" i="39"/>
  <c r="E225" i="38"/>
  <c r="E246" i="39"/>
  <c r="E224" i="38"/>
  <c r="E238" i="38"/>
  <c r="E239" i="38"/>
  <c r="E204" i="39"/>
  <c r="E253" i="38"/>
  <c r="E212" i="39"/>
  <c r="E220" i="39"/>
  <c r="C199" i="38"/>
  <c r="F199" i="38" s="1" a="1"/>
  <c r="F199" i="38" s="1"/>
  <c r="J199" i="38" s="1" a="1"/>
  <c r="J199" i="38" s="1"/>
  <c r="R199" i="38" s="1" a="1"/>
  <c r="R199" i="38" s="1"/>
  <c r="E203" i="38"/>
  <c r="E225" i="39"/>
  <c r="T3" i="40" a="1"/>
  <c r="T3" i="40" s="1"/>
  <c r="T16" i="40" s="1" a="1"/>
  <c r="T16" i="40" s="1"/>
  <c r="O14" i="40" s="1"/>
  <c r="O15" i="40" s="1"/>
  <c r="S5" i="39" a="1"/>
  <c r="S5" i="39" s="1"/>
  <c r="J134" i="39" a="1"/>
  <c r="J134" i="39" s="1"/>
  <c r="L134" i="39" s="1" a="1"/>
  <c r="L134" i="39" s="1"/>
  <c r="M134" i="39" s="1" a="1"/>
  <c r="M134" i="39" s="1"/>
  <c r="N134" i="39" s="1" a="1"/>
  <c r="G134" i="39" a="1"/>
  <c r="G134" i="39" s="1"/>
  <c r="J69" i="39" a="1"/>
  <c r="J69" i="39" s="1"/>
  <c r="L69" i="39" s="1" a="1"/>
  <c r="L69" i="39" s="1"/>
  <c r="M69" i="39" s="1" a="1"/>
  <c r="M69" i="39" s="1"/>
  <c r="N69" i="39" s="1" a="1"/>
  <c r="G69" i="39" a="1"/>
  <c r="G69" i="39" s="1"/>
  <c r="G4" i="39" a="1"/>
  <c r="G4" i="39" s="1"/>
  <c r="I76" i="39"/>
  <c r="I84" i="39"/>
  <c r="I92" i="39"/>
  <c r="I100" i="39"/>
  <c r="I108" i="39"/>
  <c r="I116" i="39"/>
  <c r="I124" i="39"/>
  <c r="E203" i="39"/>
  <c r="E211" i="39"/>
  <c r="E219" i="39"/>
  <c r="E224" i="39"/>
  <c r="I86" i="39"/>
  <c r="I94" i="39"/>
  <c r="I110" i="39"/>
  <c r="I126" i="39"/>
  <c r="E205" i="39"/>
  <c r="E221" i="39"/>
  <c r="A69" i="39"/>
  <c r="C199" i="39"/>
  <c r="F199" i="39" s="1" a="1"/>
  <c r="F199" i="39" s="1"/>
  <c r="J199" i="39" s="1" a="1"/>
  <c r="J199" i="39" s="1"/>
  <c r="E255" i="39"/>
  <c r="I71" i="39"/>
  <c r="I103" i="39"/>
  <c r="I119" i="39"/>
  <c r="E241" i="39"/>
  <c r="I72" i="39"/>
  <c r="I88" i="39"/>
  <c r="I112" i="39"/>
  <c r="E223" i="39"/>
  <c r="E227" i="39"/>
  <c r="E234" i="39"/>
  <c r="E242" i="39"/>
  <c r="E249" i="39"/>
  <c r="I73" i="39"/>
  <c r="I81" i="39"/>
  <c r="I89" i="39"/>
  <c r="I97" i="39"/>
  <c r="I105" i="39"/>
  <c r="I113" i="39"/>
  <c r="I121" i="39"/>
  <c r="E200" i="39"/>
  <c r="E208" i="39"/>
  <c r="E216" i="39"/>
  <c r="E247" i="39"/>
  <c r="I87" i="39"/>
  <c r="E206" i="39"/>
  <c r="E222" i="39"/>
  <c r="E226" i="39"/>
  <c r="E248" i="39"/>
  <c r="I80" i="39"/>
  <c r="I96" i="39"/>
  <c r="I104" i="39"/>
  <c r="I120" i="39"/>
  <c r="E207" i="39"/>
  <c r="E215" i="39"/>
  <c r="I74" i="39"/>
  <c r="I82" i="39"/>
  <c r="I90" i="39"/>
  <c r="I98" i="39"/>
  <c r="I106" i="39"/>
  <c r="I114" i="39"/>
  <c r="I122" i="39"/>
  <c r="E201" i="39"/>
  <c r="E209" i="39"/>
  <c r="E217" i="39"/>
  <c r="E228" i="39"/>
  <c r="I102" i="39"/>
  <c r="E232" i="39"/>
  <c r="E235" i="39"/>
  <c r="E243" i="39"/>
  <c r="E250" i="39"/>
  <c r="E236" i="39"/>
  <c r="E244" i="39"/>
  <c r="E251" i="39"/>
  <c r="I91" i="39"/>
  <c r="E202" i="39"/>
  <c r="E210" i="39"/>
  <c r="I78" i="39"/>
  <c r="I118" i="39"/>
  <c r="E213" i="39"/>
  <c r="E240" i="39"/>
  <c r="I79" i="39"/>
  <c r="I95" i="39"/>
  <c r="I111" i="39"/>
  <c r="E214" i="39"/>
  <c r="E233" i="39"/>
  <c r="E256" i="39"/>
  <c r="I75" i="39"/>
  <c r="I83" i="39"/>
  <c r="I99" i="39"/>
  <c r="I107" i="39"/>
  <c r="I115" i="39"/>
  <c r="E218" i="39"/>
  <c r="E229" i="39"/>
  <c r="E237" i="39"/>
  <c r="E245" i="39"/>
  <c r="J4" i="38" a="1"/>
  <c r="J4" i="38" s="1"/>
  <c r="L4" i="38" s="1" a="1"/>
  <c r="L4" i="38" s="1"/>
  <c r="M4" i="38" s="1" a="1"/>
  <c r="M4" i="38" s="1"/>
  <c r="N4" i="38" s="1" a="1"/>
  <c r="G4" i="38" a="1"/>
  <c r="G4" i="38" s="1"/>
  <c r="J134" i="38" a="1"/>
  <c r="J134" i="38" s="1"/>
  <c r="L134" i="38" s="1" a="1"/>
  <c r="L134" i="38" s="1"/>
  <c r="M134" i="38" s="1" a="1"/>
  <c r="M134" i="38" s="1"/>
  <c r="N134" i="38" s="1" a="1"/>
  <c r="G134" i="38" a="1"/>
  <c r="G134" i="38" s="1"/>
  <c r="I117" i="38"/>
  <c r="A69" i="38"/>
  <c r="I76" i="38"/>
  <c r="I110" i="38"/>
  <c r="E204" i="38"/>
  <c r="E246" i="38"/>
  <c r="I121" i="38"/>
  <c r="I113" i="38"/>
  <c r="I105" i="38"/>
  <c r="I97" i="38"/>
  <c r="I89" i="38"/>
  <c r="I81" i="38"/>
  <c r="I73" i="38"/>
  <c r="I120" i="38"/>
  <c r="I104" i="38"/>
  <c r="I80" i="38"/>
  <c r="I103" i="38"/>
  <c r="I79" i="38"/>
  <c r="I123" i="38"/>
  <c r="I115" i="38"/>
  <c r="I107" i="38"/>
  <c r="I99" i="38"/>
  <c r="I91" i="38"/>
  <c r="I83" i="38"/>
  <c r="I75" i="38"/>
  <c r="I112" i="38"/>
  <c r="I96" i="38"/>
  <c r="I72" i="38"/>
  <c r="I122" i="38"/>
  <c r="I114" i="38"/>
  <c r="I106" i="38"/>
  <c r="I98" i="38"/>
  <c r="I90" i="38"/>
  <c r="I82" i="38"/>
  <c r="I74" i="38"/>
  <c r="I88" i="38"/>
  <c r="I119" i="38"/>
  <c r="I111" i="38"/>
  <c r="I95" i="38"/>
  <c r="I87" i="38"/>
  <c r="I71" i="38"/>
  <c r="I84" i="38"/>
  <c r="I118" i="38"/>
  <c r="I108" i="38"/>
  <c r="I85" i="38"/>
  <c r="I77" i="38"/>
  <c r="I78" i="38"/>
  <c r="I125" i="38"/>
  <c r="E230" i="38"/>
  <c r="I92" i="38"/>
  <c r="I126" i="38"/>
  <c r="E212" i="38"/>
  <c r="N261" i="38"/>
  <c r="I94" i="38"/>
  <c r="Q69" i="38" a="1"/>
  <c r="Q69" i="38" s="1"/>
  <c r="P68" i="38" s="1"/>
  <c r="R69" i="38" s="1" a="1"/>
  <c r="J69" i="38" a="1"/>
  <c r="J69" i="38" s="1"/>
  <c r="L69" i="38" s="1" a="1"/>
  <c r="L69" i="38" s="1"/>
  <c r="M69" i="38" s="1" a="1"/>
  <c r="M69" i="38" s="1"/>
  <c r="N69" i="38" s="1" a="1"/>
  <c r="G69" i="38" a="1"/>
  <c r="G69" i="38" s="1"/>
  <c r="I109" i="38"/>
  <c r="I86" i="38"/>
  <c r="I124" i="38"/>
  <c r="I101" i="38"/>
  <c r="I102" i="38"/>
  <c r="Q4" i="38" a="1"/>
  <c r="Q4" i="38" s="1"/>
  <c r="P3" i="38" s="1"/>
  <c r="R4" i="38" s="1" a="1"/>
  <c r="I70" i="38"/>
  <c r="I116" i="38"/>
  <c r="E252" i="38"/>
  <c r="E245" i="38"/>
  <c r="E237" i="38"/>
  <c r="E229" i="38"/>
  <c r="E244" i="38"/>
  <c r="E236" i="38"/>
  <c r="E208" i="38"/>
  <c r="E248" i="38"/>
  <c r="E226" i="38"/>
  <c r="E222" i="38"/>
  <c r="E214" i="38"/>
  <c r="E206" i="38"/>
  <c r="E255" i="38"/>
  <c r="E232" i="38"/>
  <c r="E218" i="38"/>
  <c r="E210" i="38"/>
  <c r="E202" i="38"/>
  <c r="E251" i="38"/>
  <c r="E216" i="38"/>
  <c r="E200" i="38"/>
  <c r="E215" i="38"/>
  <c r="E256" i="38"/>
  <c r="E241" i="38"/>
  <c r="E233" i="38"/>
  <c r="E240" i="38"/>
  <c r="E228" i="38"/>
  <c r="E217" i="38"/>
  <c r="E209" i="38"/>
  <c r="E201" i="38"/>
  <c r="E250" i="38"/>
  <c r="E243" i="38"/>
  <c r="E235" i="38"/>
  <c r="E207" i="38"/>
  <c r="E247" i="38"/>
  <c r="E249" i="38"/>
  <c r="E242" i="38"/>
  <c r="E234" i="38"/>
  <c r="E227" i="38"/>
  <c r="E223" i="38"/>
  <c r="E231" i="38"/>
  <c r="AR15" i="37" a="1"/>
  <c r="AR15" i="37" s="1"/>
  <c r="AQ15" i="37" a="1"/>
  <c r="AQ15" i="37" s="1"/>
  <c r="AP15" i="37" a="1"/>
  <c r="AP15" i="37" s="1"/>
  <c r="AO15" i="37" a="1"/>
  <c r="AO15" i="37" s="1"/>
  <c r="AN15" i="37" a="1"/>
  <c r="AN15" i="37" s="1"/>
  <c r="AM15" i="37" a="1"/>
  <c r="AM15" i="37" s="1"/>
  <c r="AL15" i="37" a="1"/>
  <c r="AL15" i="37" s="1"/>
  <c r="AK15" i="37" a="1"/>
  <c r="AK15" i="37" s="1"/>
  <c r="AJ15" i="37" a="1"/>
  <c r="AJ15" i="37" s="1"/>
  <c r="AI15" i="37" a="1"/>
  <c r="AI15" i="37" s="1"/>
  <c r="AH15" i="37" a="1"/>
  <c r="AH15" i="37" s="1"/>
  <c r="AG3" i="37" a="1"/>
  <c r="AG3" i="37" s="1"/>
  <c r="AG15" i="37" s="1"/>
  <c r="AF3" i="37" a="1"/>
  <c r="AF3" i="37" s="1"/>
  <c r="AF15" i="37" s="1"/>
  <c r="AE3" i="37" a="1"/>
  <c r="AE3" i="37" s="1"/>
  <c r="AE15" i="37" s="1"/>
  <c r="AD3" i="37" a="1"/>
  <c r="AD3" i="37" s="1"/>
  <c r="AD15" i="37" s="1"/>
  <c r="AC3" i="37" a="1"/>
  <c r="AC3" i="37" s="1"/>
  <c r="AC15" i="37" s="1"/>
  <c r="AB3" i="37" a="1"/>
  <c r="AB3" i="37" s="1"/>
  <c r="AB15" i="37" s="1"/>
  <c r="AA3" i="37" a="1"/>
  <c r="AA3" i="37" s="1"/>
  <c r="AA15" i="37" s="1"/>
  <c r="Z3" i="37" a="1"/>
  <c r="Z3" i="37" s="1"/>
  <c r="Z15" i="37" s="1"/>
  <c r="Y3" i="37" a="1"/>
  <c r="Y3" i="37" s="1"/>
  <c r="Y15" i="37" s="1"/>
  <c r="X3" i="37" a="1"/>
  <c r="X3" i="37" s="1"/>
  <c r="X15" i="37" s="1"/>
  <c r="W3" i="37" a="1"/>
  <c r="W3" i="37" s="1"/>
  <c r="W15" i="37" s="1"/>
  <c r="R3" i="37" a="1"/>
  <c r="R3" i="37" s="1"/>
  <c r="T15" i="37" s="1"/>
  <c r="O3" i="37" a="1"/>
  <c r="O3" i="37" s="1"/>
  <c r="M3" i="37" a="1"/>
  <c r="M3" i="37" s="1"/>
  <c r="N4" i="39" l="1"/>
  <c r="Q134" i="39" s="1" a="1"/>
  <c r="Q134" i="39" s="1"/>
  <c r="N64" i="39"/>
  <c r="O64" i="39" s="1" a="1"/>
  <c r="O64" i="39" s="1"/>
  <c r="R69" i="39"/>
  <c r="E199" i="38"/>
  <c r="L199" i="38" a="1"/>
  <c r="L199" i="38" s="1"/>
  <c r="M199" i="38" s="1" a="1"/>
  <c r="M199" i="38" s="1"/>
  <c r="N199" i="38" s="1" a="1"/>
  <c r="N199" i="38" s="1"/>
  <c r="N25" i="40"/>
  <c r="N22" i="40"/>
  <c r="N21" i="40"/>
  <c r="N24" i="40"/>
  <c r="N23" i="40"/>
  <c r="N129" i="39"/>
  <c r="N69" i="39"/>
  <c r="N130" i="39"/>
  <c r="R68" i="39"/>
  <c r="S69" i="39" s="1"/>
  <c r="T69" i="39" s="1" a="1"/>
  <c r="T69" i="39" s="1"/>
  <c r="R199" i="39" a="1"/>
  <c r="R199" i="39" s="1"/>
  <c r="L199" i="39" a="1"/>
  <c r="L199" i="39" s="1"/>
  <c r="M199" i="39" s="1" a="1"/>
  <c r="M199" i="39" s="1"/>
  <c r="N199" i="39" s="1" a="1"/>
  <c r="A134" i="39" a="1"/>
  <c r="I69" i="39"/>
  <c r="H69" i="39" a="1"/>
  <c r="H69" i="39" s="1"/>
  <c r="N134" i="39"/>
  <c r="O134" i="39" s="1" a="1"/>
  <c r="N192" i="39"/>
  <c r="N195" i="39" s="1"/>
  <c r="N194" i="39"/>
  <c r="E199" i="39"/>
  <c r="G199" i="39" s="1" a="1"/>
  <c r="G199" i="39" s="1"/>
  <c r="R3" i="39"/>
  <c r="S4" i="39"/>
  <c r="T4" i="39" s="1" a="1"/>
  <c r="T4" i="39" s="1"/>
  <c r="R69" i="38"/>
  <c r="S70" i="38" a="1"/>
  <c r="S70" i="38" s="1"/>
  <c r="N129" i="38"/>
  <c r="N130" i="38"/>
  <c r="N69" i="38"/>
  <c r="S5" i="38" a="1"/>
  <c r="S5" i="38" s="1"/>
  <c r="R4" i="38"/>
  <c r="N134" i="38"/>
  <c r="O134" i="38" s="1" a="1"/>
  <c r="N194" i="38"/>
  <c r="N192" i="38"/>
  <c r="N195" i="38" s="1"/>
  <c r="A134" i="38" a="1"/>
  <c r="I69" i="38"/>
  <c r="H69" i="38" a="1"/>
  <c r="H69" i="38" s="1"/>
  <c r="G199" i="38" a="1"/>
  <c r="G199" i="38" s="1"/>
  <c r="N65" i="38"/>
  <c r="N4" i="38"/>
  <c r="N64" i="38"/>
  <c r="T3" i="37" a="1"/>
  <c r="T3" i="37" s="1"/>
  <c r="T16" i="37" s="1" a="1"/>
  <c r="T16" i="37" s="1"/>
  <c r="O14" i="37" s="1"/>
  <c r="O15" i="37" s="1"/>
  <c r="AG206" i="1"/>
  <c r="AK206" i="1"/>
  <c r="AK207" i="1"/>
  <c r="O4" i="39" l="1" a="1"/>
  <c r="O194" i="39" a="1"/>
  <c r="O194" i="39" s="1"/>
  <c r="O64" i="38" a="1"/>
  <c r="O64" i="38" s="1"/>
  <c r="U225" i="38"/>
  <c r="U227" i="38"/>
  <c r="U228" i="38"/>
  <c r="U224" i="38"/>
  <c r="U226" i="38"/>
  <c r="N257" i="38"/>
  <c r="N260" i="38" s="1"/>
  <c r="N259" i="38"/>
  <c r="N199" i="39"/>
  <c r="U228" i="39"/>
  <c r="U225" i="39"/>
  <c r="U227" i="39"/>
  <c r="N259" i="39"/>
  <c r="U226" i="39"/>
  <c r="N257" i="39"/>
  <c r="N260" i="39" s="1"/>
  <c r="U224" i="39"/>
  <c r="I187" i="39"/>
  <c r="I179" i="39"/>
  <c r="I171" i="39"/>
  <c r="I163" i="39"/>
  <c r="I155" i="39"/>
  <c r="I147" i="39"/>
  <c r="I139" i="39"/>
  <c r="A134" i="39"/>
  <c r="I191" i="39"/>
  <c r="I183" i="39"/>
  <c r="I175" i="39"/>
  <c r="I167" i="39"/>
  <c r="I151" i="39"/>
  <c r="I143" i="39"/>
  <c r="I135" i="39"/>
  <c r="I182" i="39"/>
  <c r="I174" i="39"/>
  <c r="I166" i="39"/>
  <c r="I158" i="39"/>
  <c r="I186" i="39"/>
  <c r="I178" i="39"/>
  <c r="I170" i="39"/>
  <c r="I162" i="39"/>
  <c r="I154" i="39"/>
  <c r="I146" i="39"/>
  <c r="I138" i="39"/>
  <c r="I185" i="39"/>
  <c r="I169" i="39"/>
  <c r="I161" i="39"/>
  <c r="I153" i="39"/>
  <c r="I137" i="39"/>
  <c r="I181" i="39"/>
  <c r="I165" i="39"/>
  <c r="I149" i="39"/>
  <c r="I177" i="39"/>
  <c r="I145" i="39"/>
  <c r="I190" i="39"/>
  <c r="I142" i="39"/>
  <c r="I184" i="39"/>
  <c r="I176" i="39"/>
  <c r="I168" i="39"/>
  <c r="I160" i="39"/>
  <c r="I152" i="39"/>
  <c r="I144" i="39"/>
  <c r="I136" i="39"/>
  <c r="I159" i="39"/>
  <c r="I150" i="39"/>
  <c r="I189" i="39"/>
  <c r="I173" i="39"/>
  <c r="I157" i="39"/>
  <c r="I141" i="39"/>
  <c r="I188" i="39"/>
  <c r="I172" i="39"/>
  <c r="I156" i="39"/>
  <c r="I140" i="39"/>
  <c r="I180" i="39"/>
  <c r="I148" i="39"/>
  <c r="I164" i="39"/>
  <c r="O192" i="39"/>
  <c r="O134" i="39"/>
  <c r="O132" i="39" s="1"/>
  <c r="O4" i="39"/>
  <c r="O2" i="39" s="1"/>
  <c r="Q2" i="39" s="1"/>
  <c r="O62" i="39"/>
  <c r="O69" i="39" a="1"/>
  <c r="P134" i="39" a="1"/>
  <c r="P134" i="39" s="1"/>
  <c r="O129" i="39" a="1"/>
  <c r="O129" i="39" s="1"/>
  <c r="O69" i="38" a="1"/>
  <c r="P134" i="38" a="1"/>
  <c r="P134" i="38" s="1"/>
  <c r="O129" i="38" a="1"/>
  <c r="O129" i="38" s="1"/>
  <c r="U223" i="38"/>
  <c r="O199" i="38" a="1"/>
  <c r="O4" i="38" a="1"/>
  <c r="Q134" i="38" a="1"/>
  <c r="Q134" i="38" s="1"/>
  <c r="R3" i="38"/>
  <c r="S4" i="38"/>
  <c r="T4" i="38" s="1" a="1"/>
  <c r="T4" i="38" s="1"/>
  <c r="I187" i="38"/>
  <c r="I179" i="38"/>
  <c r="I171" i="38"/>
  <c r="I163" i="38"/>
  <c r="I155" i="38"/>
  <c r="I147" i="38"/>
  <c r="I139" i="38"/>
  <c r="A134" i="38"/>
  <c r="I186" i="38"/>
  <c r="I178" i="38"/>
  <c r="I170" i="38"/>
  <c r="I162" i="38"/>
  <c r="I154" i="38"/>
  <c r="I146" i="38"/>
  <c r="I138" i="38"/>
  <c r="I159" i="38"/>
  <c r="I185" i="38"/>
  <c r="I177" i="38"/>
  <c r="I169" i="38"/>
  <c r="I161" i="38"/>
  <c r="I153" i="38"/>
  <c r="I145" i="38"/>
  <c r="I137" i="38"/>
  <c r="I191" i="38"/>
  <c r="I183" i="38"/>
  <c r="I175" i="38"/>
  <c r="I167" i="38"/>
  <c r="I151" i="38"/>
  <c r="I143" i="38"/>
  <c r="I135" i="38"/>
  <c r="I184" i="38"/>
  <c r="I176" i="38"/>
  <c r="I168" i="38"/>
  <c r="I160" i="38"/>
  <c r="I152" i="38"/>
  <c r="I144" i="38"/>
  <c r="I136" i="38"/>
  <c r="I172" i="38"/>
  <c r="I158" i="38"/>
  <c r="I157" i="38"/>
  <c r="I142" i="38"/>
  <c r="I141" i="38"/>
  <c r="I173" i="38"/>
  <c r="I182" i="38"/>
  <c r="I148" i="38"/>
  <c r="I181" i="38"/>
  <c r="I180" i="38"/>
  <c r="I188" i="38"/>
  <c r="I164" i="38"/>
  <c r="I150" i="38"/>
  <c r="I190" i="38"/>
  <c r="I156" i="38"/>
  <c r="I166" i="38"/>
  <c r="I189" i="38"/>
  <c r="I165" i="38"/>
  <c r="I174" i="38"/>
  <c r="I140" i="38"/>
  <c r="I149" i="38"/>
  <c r="O194" i="38" a="1"/>
  <c r="O194" i="38" s="1"/>
  <c r="O192" i="38"/>
  <c r="O134" i="38"/>
  <c r="O132" i="38" s="1"/>
  <c r="R68" i="38"/>
  <c r="S69" i="38" s="1"/>
  <c r="T69" i="38" s="1" a="1"/>
  <c r="T69" i="38" s="1"/>
  <c r="N25" i="37"/>
  <c r="N22" i="37"/>
  <c r="N24" i="37"/>
  <c r="N21" i="37"/>
  <c r="N23" i="37"/>
  <c r="O259" i="38" l="1" a="1"/>
  <c r="O259" i="38" s="1"/>
  <c r="V223" i="38" a="1"/>
  <c r="V223" i="38" s="1"/>
  <c r="O259" i="39" a="1"/>
  <c r="O259" i="39" s="1"/>
  <c r="I134" i="39"/>
  <c r="H134" i="39" a="1"/>
  <c r="H134" i="39" s="1"/>
  <c r="A199" i="39" a="1"/>
  <c r="O69" i="39"/>
  <c r="O67" i="39" s="1"/>
  <c r="O127" i="39"/>
  <c r="U223" i="39"/>
  <c r="V223" i="39" s="1" a="1"/>
  <c r="V223" i="39" s="1"/>
  <c r="O199" i="39" a="1"/>
  <c r="O4" i="38"/>
  <c r="O2" i="38" s="1"/>
  <c r="Q2" i="38" s="1"/>
  <c r="O62" i="38"/>
  <c r="O257" i="38"/>
  <c r="O199" i="38"/>
  <c r="O197" i="38" s="1"/>
  <c r="T222" i="38" s="1"/>
  <c r="I134" i="38"/>
  <c r="A199" i="38" a="1"/>
  <c r="H134" i="38" a="1"/>
  <c r="H134" i="38" s="1"/>
  <c r="O69" i="38"/>
  <c r="O67" i="38" s="1"/>
  <c r="O127" i="38"/>
  <c r="P229" i="36" a="1"/>
  <c r="P229" i="36" s="1"/>
  <c r="P221" i="36" a="1"/>
  <c r="P221" i="36" s="1"/>
  <c r="C199" i="36" a="1"/>
  <c r="E214" i="36" s="1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F134" i="36" a="1"/>
  <c r="F134" i="36" s="1"/>
  <c r="E134" i="36"/>
  <c r="N131" i="36"/>
  <c r="E126" i="36"/>
  <c r="E125" i="36"/>
  <c r="E124" i="36"/>
  <c r="E123" i="36"/>
  <c r="E122" i="36"/>
  <c r="E121" i="36"/>
  <c r="E120" i="36"/>
  <c r="E119" i="36"/>
  <c r="E118" i="36"/>
  <c r="E117" i="36"/>
  <c r="I116" i="36"/>
  <c r="E116" i="36"/>
  <c r="E115" i="36"/>
  <c r="E114" i="36"/>
  <c r="E113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I100" i="36"/>
  <c r="E100" i="36"/>
  <c r="E99" i="36"/>
  <c r="E98" i="36"/>
  <c r="E97" i="36"/>
  <c r="E96" i="36"/>
  <c r="E95" i="36"/>
  <c r="E94" i="36"/>
  <c r="E93" i="36"/>
  <c r="E92" i="36"/>
  <c r="E91" i="36"/>
  <c r="E90" i="36"/>
  <c r="E89" i="36"/>
  <c r="E88" i="36"/>
  <c r="E87" i="36"/>
  <c r="E86" i="36"/>
  <c r="E85" i="36"/>
  <c r="E84" i="36"/>
  <c r="E83" i="36"/>
  <c r="E82" i="36"/>
  <c r="E81" i="36"/>
  <c r="E80" i="36"/>
  <c r="E79" i="36"/>
  <c r="E78" i="36"/>
  <c r="E77" i="36"/>
  <c r="I76" i="36"/>
  <c r="E76" i="36"/>
  <c r="E75" i="36"/>
  <c r="E74" i="36"/>
  <c r="E73" i="36"/>
  <c r="E72" i="36"/>
  <c r="E71" i="36"/>
  <c r="E70" i="36"/>
  <c r="AT69" i="36" a="1"/>
  <c r="AT69" i="36" s="1"/>
  <c r="F69" i="36" a="1"/>
  <c r="F69" i="36" s="1"/>
  <c r="J69" i="36" s="1" a="1"/>
  <c r="J69" i="36" s="1"/>
  <c r="L69" i="36" s="1" a="1"/>
  <c r="L69" i="36" s="1"/>
  <c r="E69" i="36"/>
  <c r="A69" i="36" a="1"/>
  <c r="I119" i="36" s="1"/>
  <c r="A68" i="36" a="1"/>
  <c r="A68" i="36" s="1"/>
  <c r="A133" i="36" s="1" a="1"/>
  <c r="A133" i="36" s="1"/>
  <c r="A198" i="36" s="1" a="1"/>
  <c r="A198" i="36" s="1"/>
  <c r="I61" i="36"/>
  <c r="E61" i="36"/>
  <c r="I60" i="36"/>
  <c r="E60" i="36"/>
  <c r="I59" i="36"/>
  <c r="E59" i="36"/>
  <c r="I58" i="36"/>
  <c r="E58" i="36"/>
  <c r="I57" i="36"/>
  <c r="E57" i="36"/>
  <c r="I56" i="36"/>
  <c r="E56" i="36"/>
  <c r="I55" i="36"/>
  <c r="E55" i="36"/>
  <c r="I54" i="36"/>
  <c r="E54" i="36"/>
  <c r="I53" i="36"/>
  <c r="E53" i="36"/>
  <c r="I52" i="36"/>
  <c r="E52" i="36"/>
  <c r="I51" i="36"/>
  <c r="E51" i="36"/>
  <c r="I50" i="36"/>
  <c r="E50" i="36"/>
  <c r="I49" i="36"/>
  <c r="E49" i="36"/>
  <c r="I48" i="36"/>
  <c r="E48" i="36"/>
  <c r="I47" i="36"/>
  <c r="E47" i="36"/>
  <c r="I46" i="36"/>
  <c r="E46" i="36"/>
  <c r="I45" i="36"/>
  <c r="E45" i="36"/>
  <c r="I44" i="36"/>
  <c r="E44" i="36"/>
  <c r="I43" i="36"/>
  <c r="E43" i="36"/>
  <c r="I42" i="36"/>
  <c r="E42" i="36"/>
  <c r="I41" i="36"/>
  <c r="E41" i="36"/>
  <c r="I40" i="36"/>
  <c r="E40" i="36"/>
  <c r="I39" i="36"/>
  <c r="E39" i="36"/>
  <c r="I38" i="36"/>
  <c r="E38" i="36"/>
  <c r="I37" i="36"/>
  <c r="E37" i="36"/>
  <c r="I36" i="36"/>
  <c r="E36" i="36"/>
  <c r="I35" i="36"/>
  <c r="E35" i="36"/>
  <c r="I34" i="36"/>
  <c r="E34" i="36"/>
  <c r="I33" i="36"/>
  <c r="E33" i="36"/>
  <c r="I32" i="36"/>
  <c r="E32" i="36"/>
  <c r="I31" i="36"/>
  <c r="E31" i="36"/>
  <c r="I30" i="36"/>
  <c r="E30" i="36"/>
  <c r="I29" i="36"/>
  <c r="E29" i="36"/>
  <c r="I28" i="36"/>
  <c r="E28" i="36"/>
  <c r="I27" i="36"/>
  <c r="E27" i="36"/>
  <c r="I26" i="36"/>
  <c r="E26" i="36"/>
  <c r="I25" i="36"/>
  <c r="E25" i="36"/>
  <c r="I24" i="36"/>
  <c r="E24" i="36"/>
  <c r="I23" i="36"/>
  <c r="E23" i="36"/>
  <c r="I22" i="36"/>
  <c r="E22" i="36"/>
  <c r="I21" i="36"/>
  <c r="E21" i="36"/>
  <c r="I20" i="36"/>
  <c r="E20" i="36"/>
  <c r="I19" i="36"/>
  <c r="E19" i="36"/>
  <c r="I18" i="36"/>
  <c r="E18" i="36"/>
  <c r="I17" i="36"/>
  <c r="E17" i="36"/>
  <c r="I16" i="36"/>
  <c r="E16" i="36"/>
  <c r="I15" i="36"/>
  <c r="E15" i="36"/>
  <c r="I14" i="36"/>
  <c r="E14" i="36"/>
  <c r="I13" i="36"/>
  <c r="E13" i="36"/>
  <c r="I12" i="36"/>
  <c r="E12" i="36"/>
  <c r="I11" i="36"/>
  <c r="E11" i="36"/>
  <c r="I10" i="36"/>
  <c r="E10" i="36"/>
  <c r="I9" i="36"/>
  <c r="E9" i="36"/>
  <c r="I8" i="36"/>
  <c r="E8" i="36"/>
  <c r="I7" i="36"/>
  <c r="E7" i="36"/>
  <c r="I6" i="36"/>
  <c r="E6" i="36"/>
  <c r="I5" i="36"/>
  <c r="E5" i="36"/>
  <c r="I4" i="36"/>
  <c r="F4" i="36" a="1"/>
  <c r="F4" i="36" s="1"/>
  <c r="E4" i="36"/>
  <c r="AB3" i="36" a="1"/>
  <c r="AB3" i="36" s="1"/>
  <c r="AC3" i="36" s="1" a="1"/>
  <c r="AC3" i="36" s="1"/>
  <c r="AD3" i="36" s="1" a="1"/>
  <c r="AD3" i="36" s="1"/>
  <c r="M2" i="36"/>
  <c r="M69" i="36" l="1" a="1"/>
  <c r="M69" i="36" s="1"/>
  <c r="N69" i="36" s="1" a="1"/>
  <c r="Q4" i="36" a="1"/>
  <c r="Q4" i="36" s="1"/>
  <c r="P3" i="36" s="1"/>
  <c r="R4" i="36" s="1" a="1"/>
  <c r="I108" i="36"/>
  <c r="Q69" i="36" a="1"/>
  <c r="Q69" i="36" s="1"/>
  <c r="P68" i="36" s="1"/>
  <c r="R69" i="36" s="1" a="1"/>
  <c r="I92" i="36"/>
  <c r="I84" i="36"/>
  <c r="I124" i="36"/>
  <c r="I218" i="39"/>
  <c r="I210" i="39"/>
  <c r="I202" i="39"/>
  <c r="I226" i="39"/>
  <c r="I222" i="39"/>
  <c r="I214" i="39"/>
  <c r="I206" i="39"/>
  <c r="I255" i="39"/>
  <c r="I221" i="39"/>
  <c r="I205" i="39"/>
  <c r="I231" i="39"/>
  <c r="I251" i="39"/>
  <c r="I244" i="39"/>
  <c r="I236" i="39"/>
  <c r="I225" i="39"/>
  <c r="I228" i="39"/>
  <c r="I217" i="39"/>
  <c r="I209" i="39"/>
  <c r="I201" i="39"/>
  <c r="I216" i="39"/>
  <c r="I208" i="39"/>
  <c r="I200" i="39"/>
  <c r="I246" i="39"/>
  <c r="I204" i="39"/>
  <c r="A199" i="39"/>
  <c r="I250" i="39"/>
  <c r="I243" i="39"/>
  <c r="I235" i="39"/>
  <c r="I256" i="39"/>
  <c r="I241" i="39"/>
  <c r="I247" i="39"/>
  <c r="I232" i="39"/>
  <c r="I213" i="39"/>
  <c r="I254" i="39"/>
  <c r="I249" i="39"/>
  <c r="I242" i="39"/>
  <c r="I234" i="39"/>
  <c r="I227" i="39"/>
  <c r="I223" i="39"/>
  <c r="I215" i="39"/>
  <c r="I207" i="39"/>
  <c r="I248" i="39"/>
  <c r="I233" i="39"/>
  <c r="I240" i="39"/>
  <c r="I239" i="39"/>
  <c r="I212" i="39"/>
  <c r="I252" i="39"/>
  <c r="I245" i="39"/>
  <c r="I237" i="39"/>
  <c r="I229" i="39"/>
  <c r="I220" i="39"/>
  <c r="I219" i="39"/>
  <c r="I230" i="39"/>
  <c r="I253" i="39"/>
  <c r="I211" i="39"/>
  <c r="I203" i="39"/>
  <c r="I224" i="39"/>
  <c r="I238" i="39"/>
  <c r="O199" i="39"/>
  <c r="O197" i="39" s="1"/>
  <c r="T222" i="39" s="1"/>
  <c r="O257" i="39"/>
  <c r="I218" i="38"/>
  <c r="I210" i="38"/>
  <c r="I202" i="38"/>
  <c r="I228" i="38"/>
  <c r="I217" i="38"/>
  <c r="I209" i="38"/>
  <c r="I201" i="38"/>
  <c r="I248" i="38"/>
  <c r="I255" i="38"/>
  <c r="I232" i="38"/>
  <c r="I213" i="38"/>
  <c r="I251" i="38"/>
  <c r="I244" i="38"/>
  <c r="I236" i="38"/>
  <c r="I249" i="38"/>
  <c r="I242" i="38"/>
  <c r="I234" i="38"/>
  <c r="I227" i="38"/>
  <c r="I223" i="38"/>
  <c r="I256" i="38"/>
  <c r="I222" i="38"/>
  <c r="I214" i="38"/>
  <c r="I206" i="38"/>
  <c r="I247" i="38"/>
  <c r="I221" i="38"/>
  <c r="I250" i="38"/>
  <c r="I243" i="38"/>
  <c r="I235" i="38"/>
  <c r="I216" i="38"/>
  <c r="I208" i="38"/>
  <c r="I200" i="38"/>
  <c r="I241" i="38"/>
  <c r="I233" i="38"/>
  <c r="I226" i="38"/>
  <c r="I240" i="38"/>
  <c r="I205" i="38"/>
  <c r="I215" i="38"/>
  <c r="I207" i="38"/>
  <c r="I254" i="38"/>
  <c r="I212" i="38"/>
  <c r="I225" i="38"/>
  <c r="I246" i="38"/>
  <c r="I219" i="38"/>
  <c r="I231" i="38"/>
  <c r="I230" i="38"/>
  <c r="A199" i="38"/>
  <c r="I253" i="38"/>
  <c r="I211" i="38"/>
  <c r="I229" i="38"/>
  <c r="I252" i="38"/>
  <c r="I204" i="38"/>
  <c r="I239" i="38"/>
  <c r="I224" i="38"/>
  <c r="I203" i="38"/>
  <c r="I245" i="38"/>
  <c r="I220" i="38"/>
  <c r="I238" i="38"/>
  <c r="I237" i="38"/>
  <c r="J4" i="36" a="1"/>
  <c r="J4" i="36" s="1"/>
  <c r="L4" i="36" s="1" a="1"/>
  <c r="L4" i="36" s="1"/>
  <c r="M4" i="36" s="1" a="1"/>
  <c r="M4" i="36" s="1"/>
  <c r="N4" i="36" s="1" a="1"/>
  <c r="G4" i="36" a="1"/>
  <c r="G4" i="36" s="1"/>
  <c r="R4" i="36"/>
  <c r="S5" i="36" a="1"/>
  <c r="S5" i="36" s="1"/>
  <c r="G134" i="36" a="1"/>
  <c r="G134" i="36" s="1"/>
  <c r="J134" i="36" a="1"/>
  <c r="J134" i="36" s="1"/>
  <c r="L134" i="36" s="1" a="1"/>
  <c r="L134" i="36" s="1"/>
  <c r="M134" i="36" s="1" a="1"/>
  <c r="M134" i="36" s="1"/>
  <c r="N134" i="36" s="1" a="1"/>
  <c r="S70" i="36" a="1"/>
  <c r="S70" i="36" s="1"/>
  <c r="R69" i="36"/>
  <c r="N129" i="36"/>
  <c r="N69" i="36"/>
  <c r="N130" i="36"/>
  <c r="I86" i="36"/>
  <c r="I72" i="36"/>
  <c r="I80" i="36"/>
  <c r="I88" i="36"/>
  <c r="I96" i="36"/>
  <c r="I104" i="36"/>
  <c r="I112" i="36"/>
  <c r="I120" i="36"/>
  <c r="E207" i="36"/>
  <c r="E215" i="36"/>
  <c r="E222" i="36"/>
  <c r="E233" i="36"/>
  <c r="E241" i="36"/>
  <c r="E249" i="36"/>
  <c r="G69" i="36" a="1"/>
  <c r="G69" i="36" s="1"/>
  <c r="E227" i="36"/>
  <c r="E200" i="36"/>
  <c r="E208" i="36"/>
  <c r="E216" i="36"/>
  <c r="E234" i="36"/>
  <c r="E242" i="36"/>
  <c r="E250" i="36"/>
  <c r="I110" i="36"/>
  <c r="E223" i="36"/>
  <c r="I102" i="36"/>
  <c r="I87" i="36"/>
  <c r="I73" i="36"/>
  <c r="I81" i="36"/>
  <c r="I89" i="36"/>
  <c r="I97" i="36"/>
  <c r="I105" i="36"/>
  <c r="I121" i="36"/>
  <c r="I74" i="36"/>
  <c r="I82" i="36"/>
  <c r="I90" i="36"/>
  <c r="I98" i="36"/>
  <c r="I106" i="36"/>
  <c r="I114" i="36"/>
  <c r="I122" i="36"/>
  <c r="E201" i="36"/>
  <c r="E209" i="36"/>
  <c r="E217" i="36"/>
  <c r="E228" i="36"/>
  <c r="E235" i="36"/>
  <c r="E243" i="36"/>
  <c r="E251" i="36"/>
  <c r="I71" i="36"/>
  <c r="I113" i="36"/>
  <c r="I75" i="36"/>
  <c r="I83" i="36"/>
  <c r="I91" i="36"/>
  <c r="I99" i="36"/>
  <c r="I107" i="36"/>
  <c r="I115" i="36"/>
  <c r="I123" i="36"/>
  <c r="N196" i="36"/>
  <c r="E202" i="36"/>
  <c r="E210" i="36"/>
  <c r="E218" i="36"/>
  <c r="E229" i="36"/>
  <c r="E236" i="36"/>
  <c r="E244" i="36"/>
  <c r="E252" i="36"/>
  <c r="E237" i="36"/>
  <c r="E245" i="36"/>
  <c r="E253" i="36"/>
  <c r="E204" i="36"/>
  <c r="E212" i="36"/>
  <c r="E220" i="36"/>
  <c r="E230" i="36"/>
  <c r="E238" i="36"/>
  <c r="E246" i="36"/>
  <c r="E254" i="36"/>
  <c r="E211" i="36"/>
  <c r="I70" i="36"/>
  <c r="I77" i="36"/>
  <c r="I85" i="36"/>
  <c r="I93" i="36"/>
  <c r="I101" i="36"/>
  <c r="I109" i="36"/>
  <c r="I117" i="36"/>
  <c r="I125" i="36"/>
  <c r="E225" i="36"/>
  <c r="E205" i="36"/>
  <c r="E213" i="36"/>
  <c r="E221" i="36"/>
  <c r="E231" i="36"/>
  <c r="E239" i="36"/>
  <c r="E247" i="36"/>
  <c r="E255" i="36"/>
  <c r="E224" i="36"/>
  <c r="I118" i="36"/>
  <c r="A69" i="36"/>
  <c r="C199" i="36"/>
  <c r="F199" i="36" s="1" a="1"/>
  <c r="F199" i="36" s="1"/>
  <c r="J199" i="36" s="1" a="1"/>
  <c r="J199" i="36" s="1"/>
  <c r="E226" i="36"/>
  <c r="E232" i="36"/>
  <c r="E240" i="36"/>
  <c r="E248" i="36"/>
  <c r="E256" i="36"/>
  <c r="E203" i="36"/>
  <c r="E219" i="36"/>
  <c r="I78" i="36"/>
  <c r="I94" i="36"/>
  <c r="I126" i="36"/>
  <c r="I79" i="36"/>
  <c r="I95" i="36"/>
  <c r="I103" i="36"/>
  <c r="I111" i="36"/>
  <c r="E206" i="36"/>
  <c r="AR15" i="35" a="1"/>
  <c r="AR15" i="35" s="1"/>
  <c r="AQ15" i="35" a="1"/>
  <c r="AQ15" i="35" s="1"/>
  <c r="AP15" i="35" a="1"/>
  <c r="AP15" i="35" s="1"/>
  <c r="AO15" i="35" a="1"/>
  <c r="AO15" i="35" s="1"/>
  <c r="AN15" i="35" a="1"/>
  <c r="AN15" i="35" s="1"/>
  <c r="AM15" i="35" a="1"/>
  <c r="AM15" i="35" s="1"/>
  <c r="AL15" i="35" a="1"/>
  <c r="AL15" i="35" s="1"/>
  <c r="AK15" i="35" a="1"/>
  <c r="AK15" i="35" s="1"/>
  <c r="AJ15" i="35" a="1"/>
  <c r="AJ15" i="35" s="1"/>
  <c r="AI15" i="35" a="1"/>
  <c r="AI15" i="35" s="1"/>
  <c r="AH15" i="35" a="1"/>
  <c r="AH15" i="35" s="1"/>
  <c r="AG3" i="35" a="1"/>
  <c r="AG3" i="35" s="1"/>
  <c r="AG15" i="35" s="1"/>
  <c r="AF3" i="35" a="1"/>
  <c r="AF3" i="35" s="1"/>
  <c r="AF15" i="35" s="1"/>
  <c r="AE3" i="35" a="1"/>
  <c r="AE3" i="35" s="1"/>
  <c r="AE15" i="35" s="1"/>
  <c r="AD3" i="35" a="1"/>
  <c r="AD3" i="35" s="1"/>
  <c r="AD15" i="35" s="1"/>
  <c r="AC3" i="35" a="1"/>
  <c r="AC3" i="35" s="1"/>
  <c r="AC15" i="35" s="1"/>
  <c r="AB3" i="35" a="1"/>
  <c r="AB3" i="35" s="1"/>
  <c r="AB15" i="35" s="1"/>
  <c r="AA3" i="35" a="1"/>
  <c r="AA3" i="35" s="1"/>
  <c r="AA15" i="35" s="1"/>
  <c r="Z3" i="35" a="1"/>
  <c r="Z3" i="35" s="1"/>
  <c r="Z15" i="35" s="1"/>
  <c r="Y3" i="35" a="1"/>
  <c r="Y3" i="35" s="1"/>
  <c r="Y15" i="35" s="1"/>
  <c r="X3" i="35" a="1"/>
  <c r="X3" i="35" s="1"/>
  <c r="X15" i="35" s="1"/>
  <c r="W3" i="35" a="1"/>
  <c r="W3" i="35" s="1"/>
  <c r="W15" i="35" s="1"/>
  <c r="R3" i="35" a="1"/>
  <c r="R3" i="35" s="1"/>
  <c r="T15" i="35" s="1"/>
  <c r="O3" i="35" a="1"/>
  <c r="O3" i="35" s="1"/>
  <c r="M3" i="35" a="1"/>
  <c r="M3" i="35" s="1"/>
  <c r="C1" i="35"/>
  <c r="P229" i="34" a="1"/>
  <c r="P229" i="34" s="1"/>
  <c r="P223" i="34" a="1"/>
  <c r="P223" i="34" s="1"/>
  <c r="C199" i="34" a="1"/>
  <c r="E255" i="34" s="1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F134" i="34" a="1"/>
  <c r="F134" i="34" s="1"/>
  <c r="E134" i="34"/>
  <c r="N131" i="34"/>
  <c r="E126" i="34"/>
  <c r="E125" i="34"/>
  <c r="E124" i="34"/>
  <c r="E123" i="34"/>
  <c r="E122" i="34"/>
  <c r="I121" i="34"/>
  <c r="E121" i="34"/>
  <c r="E120" i="34"/>
  <c r="E119" i="34"/>
  <c r="E118" i="34"/>
  <c r="E117" i="34"/>
  <c r="E116" i="34"/>
  <c r="E115" i="34"/>
  <c r="E114" i="34"/>
  <c r="E113" i="34"/>
  <c r="E112" i="34"/>
  <c r="E111" i="34"/>
  <c r="E110" i="34"/>
  <c r="E109" i="34"/>
  <c r="E108" i="34"/>
  <c r="E107" i="34"/>
  <c r="I106" i="34"/>
  <c r="E106" i="34"/>
  <c r="I105" i="34"/>
  <c r="E105" i="34"/>
  <c r="E104" i="34"/>
  <c r="E103" i="34"/>
  <c r="E102" i="34"/>
  <c r="E101" i="34"/>
  <c r="E100" i="34"/>
  <c r="E99" i="34"/>
  <c r="E98" i="34"/>
  <c r="E97" i="34"/>
  <c r="E96" i="34"/>
  <c r="E95" i="34"/>
  <c r="E94" i="34"/>
  <c r="E93" i="34"/>
  <c r="E92" i="34"/>
  <c r="I91" i="34"/>
  <c r="E91" i="34"/>
  <c r="I90" i="34"/>
  <c r="E90" i="34"/>
  <c r="I89" i="34"/>
  <c r="E89" i="34"/>
  <c r="E88" i="34"/>
  <c r="E87" i="34"/>
  <c r="E86" i="34"/>
  <c r="E85" i="34"/>
  <c r="E84" i="34"/>
  <c r="E83" i="34"/>
  <c r="E82" i="34"/>
  <c r="E81" i="34"/>
  <c r="E80" i="34"/>
  <c r="E79" i="34"/>
  <c r="E78" i="34"/>
  <c r="E77" i="34"/>
  <c r="I76" i="34"/>
  <c r="E76" i="34"/>
  <c r="I75" i="34"/>
  <c r="E75" i="34"/>
  <c r="I74" i="34"/>
  <c r="E74" i="34"/>
  <c r="I73" i="34"/>
  <c r="E73" i="34"/>
  <c r="E72" i="34"/>
  <c r="E71" i="34"/>
  <c r="E70" i="34"/>
  <c r="AT69" i="34" a="1"/>
  <c r="AT69" i="34" s="1"/>
  <c r="F69" i="34" a="1"/>
  <c r="F69" i="34" s="1"/>
  <c r="E69" i="34"/>
  <c r="A69" i="34" a="1"/>
  <c r="I126" i="34" s="1"/>
  <c r="A68" i="34" a="1"/>
  <c r="A68" i="34" s="1"/>
  <c r="A133" i="34" s="1" a="1"/>
  <c r="A133" i="34" s="1"/>
  <c r="A198" i="34" s="1" a="1"/>
  <c r="A198" i="34" s="1"/>
  <c r="I61" i="34"/>
  <c r="E61" i="34"/>
  <c r="I60" i="34"/>
  <c r="E60" i="34"/>
  <c r="I59" i="34"/>
  <c r="E59" i="34"/>
  <c r="I58" i="34"/>
  <c r="E58" i="34"/>
  <c r="I57" i="34"/>
  <c r="E57" i="34"/>
  <c r="I56" i="34"/>
  <c r="E56" i="34"/>
  <c r="I55" i="34"/>
  <c r="E55" i="34"/>
  <c r="I54" i="34"/>
  <c r="E54" i="34"/>
  <c r="I53" i="34"/>
  <c r="E53" i="34"/>
  <c r="I52" i="34"/>
  <c r="E52" i="34"/>
  <c r="I51" i="34"/>
  <c r="E51" i="34"/>
  <c r="I50" i="34"/>
  <c r="E50" i="34"/>
  <c r="I49" i="34"/>
  <c r="E49" i="34"/>
  <c r="I48" i="34"/>
  <c r="E48" i="34"/>
  <c r="I47" i="34"/>
  <c r="E47" i="34"/>
  <c r="I46" i="34"/>
  <c r="E46" i="34"/>
  <c r="I45" i="34"/>
  <c r="E45" i="34"/>
  <c r="I44" i="34"/>
  <c r="E44" i="34"/>
  <c r="I43" i="34"/>
  <c r="E43" i="34"/>
  <c r="I42" i="34"/>
  <c r="E42" i="34"/>
  <c r="I41" i="34"/>
  <c r="E41" i="34"/>
  <c r="I40" i="34"/>
  <c r="E40" i="34"/>
  <c r="I39" i="34"/>
  <c r="E39" i="34"/>
  <c r="I38" i="34"/>
  <c r="E38" i="34"/>
  <c r="I37" i="34"/>
  <c r="E37" i="34"/>
  <c r="I36" i="34"/>
  <c r="E36" i="34"/>
  <c r="I35" i="34"/>
  <c r="E35" i="34"/>
  <c r="I34" i="34"/>
  <c r="E34" i="34"/>
  <c r="I33" i="34"/>
  <c r="E33" i="34"/>
  <c r="I32" i="34"/>
  <c r="E32" i="34"/>
  <c r="I31" i="34"/>
  <c r="E31" i="34"/>
  <c r="I30" i="34"/>
  <c r="E30" i="34"/>
  <c r="I29" i="34"/>
  <c r="E29" i="34"/>
  <c r="I28" i="34"/>
  <c r="E28" i="34"/>
  <c r="I27" i="34"/>
  <c r="E27" i="34"/>
  <c r="I26" i="34"/>
  <c r="E26" i="34"/>
  <c r="I25" i="34"/>
  <c r="E25" i="34"/>
  <c r="I24" i="34"/>
  <c r="E24" i="34"/>
  <c r="I23" i="34"/>
  <c r="E23" i="34"/>
  <c r="I22" i="34"/>
  <c r="E22" i="34"/>
  <c r="I21" i="34"/>
  <c r="E21" i="34"/>
  <c r="I20" i="34"/>
  <c r="E20" i="34"/>
  <c r="I19" i="34"/>
  <c r="E19" i="34"/>
  <c r="I18" i="34"/>
  <c r="E18" i="34"/>
  <c r="I17" i="34"/>
  <c r="E17" i="34"/>
  <c r="I16" i="34"/>
  <c r="E16" i="34"/>
  <c r="I15" i="34"/>
  <c r="E15" i="34"/>
  <c r="I14" i="34"/>
  <c r="E14" i="34"/>
  <c r="I13" i="34"/>
  <c r="E13" i="34"/>
  <c r="I12" i="34"/>
  <c r="E12" i="34"/>
  <c r="I11" i="34"/>
  <c r="E11" i="34"/>
  <c r="I10" i="34"/>
  <c r="E10" i="34"/>
  <c r="I9" i="34"/>
  <c r="E9" i="34"/>
  <c r="I8" i="34"/>
  <c r="E8" i="34"/>
  <c r="I7" i="34"/>
  <c r="E7" i="34"/>
  <c r="I6" i="34"/>
  <c r="E6" i="34"/>
  <c r="I5" i="34"/>
  <c r="E5" i="34"/>
  <c r="I4" i="34"/>
  <c r="F4" i="34" a="1"/>
  <c r="F4" i="34" s="1"/>
  <c r="E4" i="34"/>
  <c r="AB3" i="34" a="1"/>
  <c r="AB3" i="34" s="1"/>
  <c r="AC3" i="34" s="1" a="1"/>
  <c r="AC3" i="34" s="1"/>
  <c r="AD3" i="34" s="1" a="1"/>
  <c r="AD3" i="34" s="1"/>
  <c r="M2" i="34"/>
  <c r="I114" i="34" l="1"/>
  <c r="I115" i="34"/>
  <c r="I99" i="34"/>
  <c r="J69" i="34" a="1"/>
  <c r="J69" i="34" s="1"/>
  <c r="L69" i="34" s="1" a="1"/>
  <c r="L69" i="34" s="1"/>
  <c r="M69" i="34" s="1" a="1"/>
  <c r="M69" i="34" s="1"/>
  <c r="N69" i="34" s="1" a="1"/>
  <c r="N129" i="34" s="1"/>
  <c r="G69" i="34" a="1"/>
  <c r="G69" i="34" s="1"/>
  <c r="I107" i="34"/>
  <c r="I122" i="34"/>
  <c r="I123" i="34"/>
  <c r="O129" i="36" a="1"/>
  <c r="O129" i="36" s="1"/>
  <c r="I81" i="34"/>
  <c r="I82" i="34"/>
  <c r="I97" i="34"/>
  <c r="Q69" i="34" a="1"/>
  <c r="Q69" i="34" s="1"/>
  <c r="P68" i="34" s="1"/>
  <c r="R69" i="34" s="1" a="1"/>
  <c r="S70" i="34" s="1" a="1"/>
  <c r="S70" i="34" s="1"/>
  <c r="I83" i="34"/>
  <c r="Q4" i="34" a="1"/>
  <c r="Q4" i="34" s="1"/>
  <c r="P3" i="34" s="1"/>
  <c r="R4" i="34" s="1" a="1"/>
  <c r="S5" i="34" s="1" a="1"/>
  <c r="S5" i="34" s="1"/>
  <c r="I98" i="34"/>
  <c r="I113" i="34"/>
  <c r="I84" i="34"/>
  <c r="E243" i="34"/>
  <c r="E252" i="34"/>
  <c r="E210" i="34"/>
  <c r="E244" i="34"/>
  <c r="E218" i="34"/>
  <c r="E250" i="34"/>
  <c r="E251" i="34"/>
  <c r="E209" i="34"/>
  <c r="E225" i="34"/>
  <c r="E217" i="34"/>
  <c r="E227" i="34"/>
  <c r="E216" i="34"/>
  <c r="E223" i="34"/>
  <c r="E228" i="34"/>
  <c r="E229" i="34"/>
  <c r="E200" i="34"/>
  <c r="E234" i="34"/>
  <c r="E201" i="34"/>
  <c r="E235" i="34"/>
  <c r="E202" i="34"/>
  <c r="E236" i="34"/>
  <c r="E208" i="34"/>
  <c r="E242" i="34"/>
  <c r="I199" i="39"/>
  <c r="H199" i="39" a="1"/>
  <c r="H199" i="39" s="1"/>
  <c r="I199" i="38"/>
  <c r="H199" i="38" a="1"/>
  <c r="H199" i="38" s="1"/>
  <c r="N134" i="36"/>
  <c r="O134" i="36" s="1" a="1"/>
  <c r="N194" i="36"/>
  <c r="N192" i="36"/>
  <c r="N195" i="36" s="1"/>
  <c r="O194" i="36" s="1" a="1"/>
  <c r="O194" i="36" s="1"/>
  <c r="R68" i="36"/>
  <c r="S69" i="36"/>
  <c r="T69" i="36" s="1" a="1"/>
  <c r="T69" i="36" s="1"/>
  <c r="R3" i="36"/>
  <c r="S4" i="36" s="1"/>
  <c r="T4" i="36" s="1" a="1"/>
  <c r="T4" i="36" s="1"/>
  <c r="L199" i="36" a="1"/>
  <c r="L199" i="36" s="1"/>
  <c r="M199" i="36" s="1" a="1"/>
  <c r="M199" i="36" s="1"/>
  <c r="N199" i="36" s="1" a="1"/>
  <c r="R199" i="36" a="1"/>
  <c r="R199" i="36" s="1"/>
  <c r="O69" i="36" a="1"/>
  <c r="P134" i="36" a="1"/>
  <c r="P134" i="36" s="1"/>
  <c r="E199" i="36"/>
  <c r="G199" i="36" s="1" a="1"/>
  <c r="G199" i="36" s="1"/>
  <c r="A134" i="36" a="1"/>
  <c r="H69" i="36" a="1"/>
  <c r="H69" i="36" s="1"/>
  <c r="I69" i="36"/>
  <c r="N65" i="36"/>
  <c r="N4" i="36"/>
  <c r="N64" i="36"/>
  <c r="T3" i="35" a="1"/>
  <c r="T3" i="35" s="1"/>
  <c r="T16" i="35" s="1" a="1"/>
  <c r="T16" i="35" s="1"/>
  <c r="O14" i="35" s="1"/>
  <c r="O15" i="35" s="1"/>
  <c r="G134" i="34" a="1"/>
  <c r="G134" i="34" s="1"/>
  <c r="J134" i="34" a="1"/>
  <c r="J134" i="34" s="1"/>
  <c r="L134" i="34" s="1" a="1"/>
  <c r="L134" i="34" s="1"/>
  <c r="M134" i="34" s="1" a="1"/>
  <c r="M134" i="34" s="1"/>
  <c r="N134" i="34" s="1" a="1"/>
  <c r="J4" i="34" a="1"/>
  <c r="J4" i="34" s="1"/>
  <c r="L4" i="34" s="1" a="1"/>
  <c r="L4" i="34" s="1"/>
  <c r="M4" i="34" s="1" a="1"/>
  <c r="M4" i="34" s="1"/>
  <c r="N4" i="34" s="1" a="1"/>
  <c r="G4" i="34" a="1"/>
  <c r="G4" i="34" s="1"/>
  <c r="N69" i="34"/>
  <c r="N130" i="34"/>
  <c r="N196" i="34"/>
  <c r="I72" i="34"/>
  <c r="I80" i="34"/>
  <c r="I88" i="34"/>
  <c r="I96" i="34"/>
  <c r="I104" i="34"/>
  <c r="I112" i="34"/>
  <c r="I120" i="34"/>
  <c r="E207" i="34"/>
  <c r="E215" i="34"/>
  <c r="E233" i="34"/>
  <c r="E241" i="34"/>
  <c r="E249" i="34"/>
  <c r="E237" i="34"/>
  <c r="E245" i="34"/>
  <c r="E253" i="34"/>
  <c r="I92" i="34"/>
  <c r="I108" i="34"/>
  <c r="E219" i="34"/>
  <c r="I100" i="34"/>
  <c r="I116" i="34"/>
  <c r="I124" i="34"/>
  <c r="E203" i="34"/>
  <c r="E211" i="34"/>
  <c r="E224" i="34"/>
  <c r="I70" i="34"/>
  <c r="I77" i="34"/>
  <c r="I85" i="34"/>
  <c r="I93" i="34"/>
  <c r="I101" i="34"/>
  <c r="I109" i="34"/>
  <c r="I117" i="34"/>
  <c r="I125" i="34"/>
  <c r="E204" i="34"/>
  <c r="E212" i="34"/>
  <c r="E220" i="34"/>
  <c r="E230" i="34"/>
  <c r="E238" i="34"/>
  <c r="E246" i="34"/>
  <c r="E254" i="34"/>
  <c r="C199" i="34"/>
  <c r="F199" i="34" s="1" a="1"/>
  <c r="F199" i="34" s="1"/>
  <c r="I86" i="34"/>
  <c r="I110" i="34"/>
  <c r="E247" i="34"/>
  <c r="A69" i="34"/>
  <c r="I71" i="34"/>
  <c r="I79" i="34"/>
  <c r="I87" i="34"/>
  <c r="I95" i="34"/>
  <c r="I103" i="34"/>
  <c r="I111" i="34"/>
  <c r="I119" i="34"/>
  <c r="E206" i="34"/>
  <c r="E214" i="34"/>
  <c r="E222" i="34"/>
  <c r="E226" i="34"/>
  <c r="E232" i="34"/>
  <c r="E240" i="34"/>
  <c r="E248" i="34"/>
  <c r="E256" i="34"/>
  <c r="I78" i="34"/>
  <c r="I94" i="34"/>
  <c r="I102" i="34"/>
  <c r="I118" i="34"/>
  <c r="E205" i="34"/>
  <c r="E213" i="34"/>
  <c r="E221" i="34"/>
  <c r="E231" i="34"/>
  <c r="E239" i="34"/>
  <c r="AR15" i="33" a="1"/>
  <c r="AR15" i="33" s="1"/>
  <c r="AQ15" i="33" a="1"/>
  <c r="AQ15" i="33" s="1"/>
  <c r="AP15" i="33" a="1"/>
  <c r="AP15" i="33" s="1"/>
  <c r="AO15" i="33" a="1"/>
  <c r="AO15" i="33" s="1"/>
  <c r="AN15" i="33" a="1"/>
  <c r="AN15" i="33" s="1"/>
  <c r="AM15" i="33" a="1"/>
  <c r="AM15" i="33" s="1"/>
  <c r="AL15" i="33" a="1"/>
  <c r="AL15" i="33" s="1"/>
  <c r="AK15" i="33" a="1"/>
  <c r="AK15" i="33" s="1"/>
  <c r="AJ15" i="33" a="1"/>
  <c r="AJ15" i="33" s="1"/>
  <c r="AI15" i="33" a="1"/>
  <c r="AI15" i="33" s="1"/>
  <c r="AH15" i="33" a="1"/>
  <c r="AH15" i="33" s="1"/>
  <c r="AG3" i="33" a="1"/>
  <c r="AG3" i="33" s="1"/>
  <c r="AG15" i="33" s="1"/>
  <c r="AF3" i="33" a="1"/>
  <c r="AF3" i="33" s="1"/>
  <c r="AF15" i="33" s="1"/>
  <c r="AE3" i="33" a="1"/>
  <c r="AE3" i="33" s="1"/>
  <c r="AE15" i="33" s="1"/>
  <c r="AD3" i="33" a="1"/>
  <c r="AD3" i="33" s="1"/>
  <c r="AD15" i="33" s="1"/>
  <c r="AC3" i="33" a="1"/>
  <c r="AC3" i="33" s="1"/>
  <c r="AC15" i="33" s="1"/>
  <c r="AB3" i="33" a="1"/>
  <c r="AB3" i="33" s="1"/>
  <c r="AB15" i="33" s="1"/>
  <c r="AA3" i="33" a="1"/>
  <c r="AA3" i="33" s="1"/>
  <c r="AA15" i="33" s="1"/>
  <c r="Z3" i="33" a="1"/>
  <c r="Z3" i="33" s="1"/>
  <c r="Z15" i="33" s="1"/>
  <c r="Y3" i="33" a="1"/>
  <c r="Y3" i="33" s="1"/>
  <c r="Y15" i="33" s="1"/>
  <c r="X3" i="33" a="1"/>
  <c r="X3" i="33" s="1"/>
  <c r="X15" i="33" s="1"/>
  <c r="W3" i="33" a="1"/>
  <c r="W3" i="33" s="1"/>
  <c r="W15" i="33" s="1"/>
  <c r="R3" i="33" a="1"/>
  <c r="R3" i="33" s="1"/>
  <c r="T15" i="33" s="1"/>
  <c r="O3" i="33" a="1"/>
  <c r="O3" i="33" s="1"/>
  <c r="M3" i="33" a="1"/>
  <c r="M3" i="33" s="1"/>
  <c r="C1" i="33"/>
  <c r="AI15" i="27" a="1"/>
  <c r="AI15" i="27" s="1"/>
  <c r="AJ15" i="27" a="1"/>
  <c r="AJ15" i="27" s="1"/>
  <c r="AK15" i="27" a="1"/>
  <c r="AK15" i="27" s="1"/>
  <c r="AL15" i="27" a="1"/>
  <c r="AL15" i="27" s="1"/>
  <c r="AM15" i="27" a="1"/>
  <c r="AM15" i="27" s="1"/>
  <c r="AN15" i="27" a="1"/>
  <c r="AN15" i="27" s="1"/>
  <c r="AO15" i="27" a="1"/>
  <c r="AO15" i="27" s="1"/>
  <c r="AP15" i="27" a="1"/>
  <c r="AP15" i="27" s="1"/>
  <c r="AQ15" i="27" a="1"/>
  <c r="AQ15" i="27" s="1"/>
  <c r="AR15" i="27" a="1"/>
  <c r="AR15" i="27" s="1"/>
  <c r="AH15" i="27" a="1"/>
  <c r="AH15" i="27" s="1"/>
  <c r="O129" i="34" l="1" a="1"/>
  <c r="O129" i="34" s="1"/>
  <c r="R69" i="34"/>
  <c r="R68" i="34" s="1"/>
  <c r="S69" i="34" s="1"/>
  <c r="T69" i="34" s="1" a="1"/>
  <c r="T69" i="34" s="1"/>
  <c r="O64" i="36" a="1"/>
  <c r="O64" i="36" s="1"/>
  <c r="R4" i="34"/>
  <c r="U225" i="36"/>
  <c r="N199" i="36"/>
  <c r="O199" i="36" s="1" a="1"/>
  <c r="O199" i="36" s="1"/>
  <c r="O197" i="36" s="1"/>
  <c r="T222" i="36" s="1"/>
  <c r="U224" i="36"/>
  <c r="U223" i="36"/>
  <c r="U227" i="36"/>
  <c r="U226" i="36"/>
  <c r="I191" i="36"/>
  <c r="I183" i="36"/>
  <c r="I175" i="36"/>
  <c r="I167" i="36"/>
  <c r="I159" i="36"/>
  <c r="I151" i="36"/>
  <c r="I143" i="36"/>
  <c r="I135" i="36"/>
  <c r="I187" i="36"/>
  <c r="I147" i="36"/>
  <c r="I190" i="36"/>
  <c r="I182" i="36"/>
  <c r="I174" i="36"/>
  <c r="I166" i="36"/>
  <c r="I158" i="36"/>
  <c r="I150" i="36"/>
  <c r="I142" i="36"/>
  <c r="I189" i="36"/>
  <c r="I181" i="36"/>
  <c r="I173" i="36"/>
  <c r="I165" i="36"/>
  <c r="I157" i="36"/>
  <c r="I149" i="36"/>
  <c r="I141" i="36"/>
  <c r="I179" i="36"/>
  <c r="I155" i="36"/>
  <c r="I139" i="36"/>
  <c r="A134" i="36"/>
  <c r="I188" i="36"/>
  <c r="I180" i="36"/>
  <c r="I172" i="36"/>
  <c r="I164" i="36"/>
  <c r="I156" i="36"/>
  <c r="I148" i="36"/>
  <c r="I140" i="36"/>
  <c r="I163" i="36"/>
  <c r="I186" i="36"/>
  <c r="I178" i="36"/>
  <c r="I170" i="36"/>
  <c r="I162" i="36"/>
  <c r="I154" i="36"/>
  <c r="I146" i="36"/>
  <c r="I138" i="36"/>
  <c r="I185" i="36"/>
  <c r="I177" i="36"/>
  <c r="I169" i="36"/>
  <c r="I161" i="36"/>
  <c r="I153" i="36"/>
  <c r="I145" i="36"/>
  <c r="I137" i="36"/>
  <c r="I171" i="36"/>
  <c r="I184" i="36"/>
  <c r="I176" i="36"/>
  <c r="I168" i="36"/>
  <c r="I160" i="36"/>
  <c r="I152" i="36"/>
  <c r="I144" i="36"/>
  <c r="I136" i="36"/>
  <c r="O69" i="36"/>
  <c r="O67" i="36" s="1"/>
  <c r="O127" i="36"/>
  <c r="O4" i="36" a="1"/>
  <c r="Q134" i="36" a="1"/>
  <c r="Q134" i="36" s="1"/>
  <c r="O134" i="36"/>
  <c r="O132" i="36" s="1"/>
  <c r="O192" i="36"/>
  <c r="A134" i="34" a="1"/>
  <c r="I69" i="34"/>
  <c r="H69" i="34" a="1"/>
  <c r="H69" i="34" s="1"/>
  <c r="R3" i="34"/>
  <c r="S4" i="34" s="1"/>
  <c r="T4" i="34" s="1" a="1"/>
  <c r="T4" i="34" s="1"/>
  <c r="O69" i="34" a="1"/>
  <c r="P134" i="34" a="1"/>
  <c r="P134" i="34" s="1"/>
  <c r="J199" i="34" a="1"/>
  <c r="J199" i="34" s="1"/>
  <c r="N194" i="34"/>
  <c r="N134" i="34"/>
  <c r="O134" i="34" s="1" a="1"/>
  <c r="N192" i="34"/>
  <c r="N195" i="34" s="1"/>
  <c r="N64" i="34"/>
  <c r="N4" i="34"/>
  <c r="N65" i="34"/>
  <c r="E199" i="34"/>
  <c r="G199" i="34" s="1" a="1"/>
  <c r="G199" i="34" s="1"/>
  <c r="T3" i="33" a="1"/>
  <c r="T3" i="33" s="1"/>
  <c r="T16" i="33" s="1" a="1"/>
  <c r="T16" i="33" s="1"/>
  <c r="O14" i="33" s="1"/>
  <c r="O15" i="33" s="1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O194" i="34" l="1" a="1"/>
  <c r="O194" i="34" s="1"/>
  <c r="O64" i="34" a="1"/>
  <c r="O64" i="34" s="1"/>
  <c r="V223" i="36" a="1"/>
  <c r="V223" i="36" s="1"/>
  <c r="O4" i="36"/>
  <c r="O2" i="36" s="1"/>
  <c r="Q2" i="36" s="1"/>
  <c r="O62" i="36"/>
  <c r="I134" i="36"/>
  <c r="H134" i="36" a="1"/>
  <c r="H134" i="36" s="1"/>
  <c r="A199" i="36" a="1"/>
  <c r="L199" i="34" a="1"/>
  <c r="L199" i="34" s="1"/>
  <c r="M199" i="34" s="1" a="1"/>
  <c r="M199" i="34" s="1"/>
  <c r="N199" i="34" s="1" a="1"/>
  <c r="R199" i="34" a="1"/>
  <c r="R199" i="34" s="1"/>
  <c r="I191" i="34"/>
  <c r="I183" i="34"/>
  <c r="I175" i="34"/>
  <c r="I167" i="34"/>
  <c r="I159" i="34"/>
  <c r="I151" i="34"/>
  <c r="I143" i="34"/>
  <c r="I135" i="34"/>
  <c r="I189" i="34"/>
  <c r="I173" i="34"/>
  <c r="I157" i="34"/>
  <c r="I149" i="34"/>
  <c r="I141" i="34"/>
  <c r="I170" i="34"/>
  <c r="I168" i="34"/>
  <c r="I190" i="34"/>
  <c r="I182" i="34"/>
  <c r="I174" i="34"/>
  <c r="I166" i="34"/>
  <c r="I158" i="34"/>
  <c r="I150" i="34"/>
  <c r="I142" i="34"/>
  <c r="I181" i="34"/>
  <c r="I169" i="34"/>
  <c r="I137" i="34"/>
  <c r="I184" i="34"/>
  <c r="I152" i="34"/>
  <c r="I186" i="34"/>
  <c r="I146" i="34"/>
  <c r="I163" i="34"/>
  <c r="I147" i="34"/>
  <c r="I138" i="34"/>
  <c r="I177" i="34"/>
  <c r="I145" i="34"/>
  <c r="I188" i="34"/>
  <c r="I180" i="34"/>
  <c r="I172" i="34"/>
  <c r="I164" i="34"/>
  <c r="I156" i="34"/>
  <c r="I148" i="34"/>
  <c r="I140" i="34"/>
  <c r="I187" i="34"/>
  <c r="I179" i="34"/>
  <c r="I171" i="34"/>
  <c r="I155" i="34"/>
  <c r="I139" i="34"/>
  <c r="A134" i="34"/>
  <c r="I162" i="34"/>
  <c r="I185" i="34"/>
  <c r="I153" i="34"/>
  <c r="I144" i="34"/>
  <c r="I154" i="34"/>
  <c r="I160" i="34"/>
  <c r="I165" i="34"/>
  <c r="I178" i="34"/>
  <c r="I161" i="34"/>
  <c r="I176" i="34"/>
  <c r="I136" i="34"/>
  <c r="O134" i="34"/>
  <c r="O132" i="34" s="1"/>
  <c r="O192" i="34"/>
  <c r="O69" i="34"/>
  <c r="O67" i="34" s="1"/>
  <c r="O127" i="34"/>
  <c r="Q134" i="34" a="1"/>
  <c r="Q134" i="34" s="1"/>
  <c r="O4" i="34" a="1"/>
  <c r="N20" i="24" a="1"/>
  <c r="N20" i="24" s="1"/>
  <c r="L19" i="24" a="1"/>
  <c r="L19" i="24" s="1"/>
  <c r="N18" i="24"/>
  <c r="I256" i="36" l="1"/>
  <c r="I248" i="36"/>
  <c r="I240" i="36"/>
  <c r="I232" i="36"/>
  <c r="I226" i="36"/>
  <c r="I214" i="36"/>
  <c r="I206" i="36"/>
  <c r="I255" i="36"/>
  <c r="I247" i="36"/>
  <c r="I239" i="36"/>
  <c r="I231" i="36"/>
  <c r="I221" i="36"/>
  <c r="I213" i="36"/>
  <c r="I205" i="36"/>
  <c r="I225" i="36"/>
  <c r="I254" i="36"/>
  <c r="I246" i="36"/>
  <c r="I238" i="36"/>
  <c r="I230" i="36"/>
  <c r="I220" i="36"/>
  <c r="I212" i="36"/>
  <c r="I204" i="36"/>
  <c r="A199" i="36"/>
  <c r="I253" i="36"/>
  <c r="I245" i="36"/>
  <c r="I237" i="36"/>
  <c r="I224" i="36"/>
  <c r="I219" i="36"/>
  <c r="I211" i="36"/>
  <c r="I203" i="36"/>
  <c r="I252" i="36"/>
  <c r="I244" i="36"/>
  <c r="I236" i="36"/>
  <c r="I229" i="36"/>
  <c r="I218" i="36"/>
  <c r="I210" i="36"/>
  <c r="I202" i="36"/>
  <c r="I251" i="36"/>
  <c r="I243" i="36"/>
  <c r="I235" i="36"/>
  <c r="I228" i="36"/>
  <c r="I217" i="36"/>
  <c r="I209" i="36"/>
  <c r="I201" i="36"/>
  <c r="I223" i="36"/>
  <c r="I250" i="36"/>
  <c r="I242" i="36"/>
  <c r="I234" i="36"/>
  <c r="I216" i="36"/>
  <c r="I208" i="36"/>
  <c r="I200" i="36"/>
  <c r="I227" i="36"/>
  <c r="I249" i="36"/>
  <c r="I241" i="36"/>
  <c r="I233" i="36"/>
  <c r="I222" i="36"/>
  <c r="I215" i="36"/>
  <c r="I207" i="36"/>
  <c r="O4" i="34"/>
  <c r="O2" i="34" s="1"/>
  <c r="Q2" i="34" s="1"/>
  <c r="O62" i="34"/>
  <c r="I134" i="34"/>
  <c r="H134" i="34" a="1"/>
  <c r="H134" i="34" s="1"/>
  <c r="A199" i="34" a="1"/>
  <c r="U223" i="34"/>
  <c r="U225" i="34"/>
  <c r="N199" i="34"/>
  <c r="O199" i="34" s="1" a="1"/>
  <c r="O199" i="34" s="1"/>
  <c r="O197" i="34" s="1"/>
  <c r="T222" i="34" s="1"/>
  <c r="U224" i="34"/>
  <c r="U227" i="34"/>
  <c r="U226" i="34"/>
  <c r="I199" i="36" l="1"/>
  <c r="H199" i="36" a="1"/>
  <c r="H199" i="36" s="1"/>
  <c r="I256" i="34"/>
  <c r="I248" i="34"/>
  <c r="I240" i="34"/>
  <c r="I232" i="34"/>
  <c r="I226" i="34"/>
  <c r="I222" i="34"/>
  <c r="I214" i="34"/>
  <c r="I206" i="34"/>
  <c r="I225" i="34"/>
  <c r="I254" i="34"/>
  <c r="I238" i="34"/>
  <c r="I230" i="34"/>
  <c r="I220" i="34"/>
  <c r="I212" i="34"/>
  <c r="I204" i="34"/>
  <c r="A199" i="34"/>
  <c r="I227" i="34"/>
  <c r="I255" i="34"/>
  <c r="I247" i="34"/>
  <c r="I239" i="34"/>
  <c r="I231" i="34"/>
  <c r="I221" i="34"/>
  <c r="I213" i="34"/>
  <c r="I205" i="34"/>
  <c r="I208" i="34"/>
  <c r="I223" i="34"/>
  <c r="I215" i="34"/>
  <c r="I251" i="34"/>
  <c r="I209" i="34"/>
  <c r="I242" i="34"/>
  <c r="I200" i="34"/>
  <c r="I207" i="34"/>
  <c r="I244" i="34"/>
  <c r="I236" i="34"/>
  <c r="I218" i="34"/>
  <c r="I202" i="34"/>
  <c r="I235" i="34"/>
  <c r="I233" i="34"/>
  <c r="I253" i="34"/>
  <c r="I245" i="34"/>
  <c r="I237" i="34"/>
  <c r="I224" i="34"/>
  <c r="I219" i="34"/>
  <c r="I211" i="34"/>
  <c r="I203" i="34"/>
  <c r="I252" i="34"/>
  <c r="I229" i="34"/>
  <c r="I210" i="34"/>
  <c r="I228" i="34"/>
  <c r="I234" i="34"/>
  <c r="I241" i="34"/>
  <c r="I243" i="34"/>
  <c r="I201" i="34"/>
  <c r="I250" i="34"/>
  <c r="I249" i="34"/>
  <c r="I246" i="34"/>
  <c r="I217" i="34"/>
  <c r="I216" i="34"/>
  <c r="V223" i="34" a="1"/>
  <c r="V223" i="34" s="1"/>
  <c r="N20" i="2" a="1"/>
  <c r="N20" i="2" s="1"/>
  <c r="L19" i="2" a="1"/>
  <c r="L19" i="2" s="1"/>
  <c r="N18" i="2"/>
  <c r="N18" i="26"/>
  <c r="N20" i="26" a="1"/>
  <c r="N20" i="26" s="1"/>
  <c r="L19" i="26" a="1"/>
  <c r="L19" i="26" s="1"/>
  <c r="H199" i="34" l="1" a="1"/>
  <c r="H199" i="34" s="1"/>
  <c r="I199" i="34"/>
  <c r="A2" i="31" a="1"/>
  <c r="A2" i="31" s="1"/>
  <c r="H4" i="32" a="1"/>
  <c r="H4" i="32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A198" i="32" s="1" a="1"/>
  <c r="A198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M199" i="32" s="1" a="1"/>
  <c r="M199" i="32" s="1"/>
  <c r="N199" i="32" s="1" a="1"/>
  <c r="F199" i="28" a="1"/>
  <c r="F199" i="28" s="1"/>
  <c r="A69" i="28" a="1"/>
  <c r="A69" i="28" s="1"/>
  <c r="H69" i="28" s="1" a="1"/>
  <c r="H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126" i="28"/>
  <c r="I125" i="28"/>
  <c r="I56" i="28"/>
  <c r="I57" i="28"/>
  <c r="I58" i="28"/>
  <c r="I59" i="28"/>
  <c r="I60" i="28"/>
  <c r="I61" i="28"/>
  <c r="E134" i="28"/>
  <c r="AT69" i="28" a="1"/>
  <c r="AT69" i="28" s="1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N257" i="32" l="1"/>
  <c r="N199" i="32"/>
  <c r="O199" i="32" s="1" a="1"/>
  <c r="G4" i="28" a="1"/>
  <c r="G4" i="28" s="1"/>
  <c r="I121" i="28"/>
  <c r="I122" i="28"/>
  <c r="A134" i="28" a="1"/>
  <c r="A134" i="28" s="1"/>
  <c r="I123" i="28"/>
  <c r="I124" i="28"/>
  <c r="I82" i="32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E116" i="32"/>
  <c r="E71" i="32"/>
  <c r="E90" i="32"/>
  <c r="E110" i="32"/>
  <c r="E120" i="32"/>
  <c r="E81" i="32"/>
  <c r="E111" i="32"/>
  <c r="E122" i="32"/>
  <c r="E91" i="32"/>
  <c r="E121" i="32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L4" i="32" s="1" a="1"/>
  <c r="L4" i="32" s="1"/>
  <c r="M4" i="32" s="1" a="1"/>
  <c r="M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O257" i="32" l="1"/>
  <c r="O199" i="32"/>
  <c r="O197" i="32" s="1"/>
  <c r="I188" i="28"/>
  <c r="A199" i="28" a="1"/>
  <c r="H134" i="28" a="1"/>
  <c r="H134" i="28" s="1"/>
  <c r="I187" i="28"/>
  <c r="I186" i="28"/>
  <c r="I191" i="28"/>
  <c r="A134" i="32" a="1"/>
  <c r="H69" i="32" a="1"/>
  <c r="H69" i="32" s="1"/>
  <c r="L199" i="28" a="1"/>
  <c r="L199" i="28" s="1"/>
  <c r="N69" i="32" a="1"/>
  <c r="N69" i="32" s="1"/>
  <c r="H2" i="31" a="1"/>
  <c r="H2" i="31" s="1"/>
  <c r="J2" i="31" a="1"/>
  <c r="J2" i="31" s="1"/>
  <c r="N4" i="32" a="1"/>
  <c r="N4" i="32" s="1"/>
  <c r="G2" i="31" a="1"/>
  <c r="G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I252" i="28" l="1"/>
  <c r="I255" i="28"/>
  <c r="I253" i="28"/>
  <c r="A199" i="28"/>
  <c r="H199" i="28" s="1" a="1"/>
  <c r="H199" i="28" s="1"/>
  <c r="I256" i="28"/>
  <c r="I254" i="28"/>
  <c r="I251" i="28"/>
  <c r="N65" i="32"/>
  <c r="I158" i="32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A199" i="32" s="1" a="1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O129" i="32" s="1" a="1"/>
  <c r="O129" i="32" s="1"/>
  <c r="N194" i="32"/>
  <c r="O194" i="32" s="1" a="1"/>
  <c r="O194" i="32" s="1"/>
  <c r="O134" i="32"/>
  <c r="O132" i="32" s="1"/>
  <c r="N64" i="32"/>
  <c r="O64" i="32" s="1" a="1"/>
  <c r="O64" i="32" s="1"/>
  <c r="O69" i="32" a="1"/>
  <c r="O4" i="32" a="1"/>
  <c r="I247" i="32" l="1"/>
  <c r="I201" i="32"/>
  <c r="I215" i="32"/>
  <c r="I211" i="32"/>
  <c r="I225" i="32"/>
  <c r="A199" i="32"/>
  <c r="I221" i="32"/>
  <c r="I235" i="32"/>
  <c r="I200" i="32"/>
  <c r="I231" i="32"/>
  <c r="I245" i="32"/>
  <c r="I210" i="32"/>
  <c r="I241" i="32"/>
  <c r="I255" i="32"/>
  <c r="I220" i="32"/>
  <c r="I251" i="32"/>
  <c r="I206" i="32"/>
  <c r="I230" i="32"/>
  <c r="I202" i="32"/>
  <c r="I216" i="32"/>
  <c r="I240" i="32"/>
  <c r="I232" i="32"/>
  <c r="I226" i="32"/>
  <c r="I250" i="32"/>
  <c r="I203" i="32"/>
  <c r="I236" i="32"/>
  <c r="I212" i="32"/>
  <c r="I213" i="32"/>
  <c r="I246" i="32"/>
  <c r="I222" i="32"/>
  <c r="I223" i="32"/>
  <c r="I256" i="32"/>
  <c r="I242" i="32"/>
  <c r="I233" i="32"/>
  <c r="I209" i="32"/>
  <c r="I252" i="32"/>
  <c r="I243" i="32"/>
  <c r="I219" i="32"/>
  <c r="I244" i="32"/>
  <c r="I253" i="32"/>
  <c r="I229" i="32"/>
  <c r="I208" i="32"/>
  <c r="I204" i="32"/>
  <c r="I249" i="32"/>
  <c r="I218" i="32"/>
  <c r="I214" i="32"/>
  <c r="I207" i="32"/>
  <c r="I228" i="32"/>
  <c r="I224" i="32"/>
  <c r="I217" i="32"/>
  <c r="I238" i="32"/>
  <c r="I234" i="32"/>
  <c r="I227" i="32"/>
  <c r="I248" i="32"/>
  <c r="I254" i="32"/>
  <c r="I237" i="32"/>
  <c r="I239" i="32"/>
  <c r="I205" i="32"/>
  <c r="H134" i="32" a="1"/>
  <c r="H134" i="32" s="1"/>
  <c r="I134" i="32"/>
  <c r="O4" i="32"/>
  <c r="O2" i="32" s="1"/>
  <c r="O62" i="32"/>
  <c r="O127" i="32"/>
  <c r="O69" i="32"/>
  <c r="O67" i="32" s="1"/>
  <c r="I199" i="32" l="1"/>
  <c r="H199" i="32" a="1"/>
  <c r="H199" i="32" s="1"/>
  <c r="N131" i="28"/>
  <c r="N196" i="28" s="1"/>
  <c r="N261" i="28" s="1"/>
  <c r="C63" i="30" a="1"/>
  <c r="C63" i="30" s="1"/>
  <c r="E232" i="30" l="1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F181" i="30" a="1"/>
  <c r="F181" i="30" s="1"/>
  <c r="E181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F122" i="30" a="1"/>
  <c r="F122" i="30" s="1"/>
  <c r="E122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F63" i="30" a="1"/>
  <c r="F63" i="30" s="1"/>
  <c r="E63" i="30"/>
  <c r="A63" i="30" a="1"/>
  <c r="I109" i="30" s="1"/>
  <c r="A62" i="30" a="1"/>
  <c r="A62" i="30" s="1"/>
  <c r="A121" i="30" s="1" a="1"/>
  <c r="A121" i="30" s="1"/>
  <c r="A180" i="30" s="1" a="1"/>
  <c r="A180" i="30" s="1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C4" i="30" a="1"/>
  <c r="E52" i="30" s="1"/>
  <c r="AB3" i="30" a="1"/>
  <c r="AB3" i="30" s="1"/>
  <c r="AC3" i="30" s="1" a="1"/>
  <c r="AC3" i="30" s="1"/>
  <c r="AD3" i="30" s="1" a="1"/>
  <c r="AD3" i="30" s="1"/>
  <c r="M2" i="30"/>
  <c r="E22" i="30" l="1"/>
  <c r="E21" i="30"/>
  <c r="E46" i="30"/>
  <c r="E37" i="30"/>
  <c r="E38" i="30"/>
  <c r="E13" i="30"/>
  <c r="E14" i="30"/>
  <c r="E53" i="30"/>
  <c r="E29" i="30"/>
  <c r="E54" i="30"/>
  <c r="E30" i="30"/>
  <c r="E6" i="30"/>
  <c r="E45" i="30"/>
  <c r="Q63" i="30" a="1"/>
  <c r="Q63" i="30" s="1"/>
  <c r="P62" i="30" s="1"/>
  <c r="G63" i="30" a="1"/>
  <c r="G63" i="30" s="1"/>
  <c r="J63" i="30" a="1"/>
  <c r="J63" i="30" s="1"/>
  <c r="L63" i="30" s="1" a="1"/>
  <c r="L63" i="30" s="1"/>
  <c r="M63" i="30" s="1" a="1"/>
  <c r="M63" i="30" s="1"/>
  <c r="N63" i="30" s="1" a="1"/>
  <c r="N63" i="30" s="1"/>
  <c r="O63" i="30" s="1" a="1"/>
  <c r="O63" i="30" s="1"/>
  <c r="O61" i="30" s="1"/>
  <c r="J122" i="30" a="1"/>
  <c r="J122" i="30" s="1"/>
  <c r="L122" i="30" s="1" a="1"/>
  <c r="L122" i="30" s="1"/>
  <c r="M122" i="30" s="1" a="1"/>
  <c r="M122" i="30" s="1"/>
  <c r="N122" i="30" s="1" a="1"/>
  <c r="N122" i="30" s="1"/>
  <c r="O122" i="30" s="1" a="1"/>
  <c r="O122" i="30" s="1"/>
  <c r="O120" i="30" s="1"/>
  <c r="G122" i="30" a="1"/>
  <c r="G122" i="30" s="1"/>
  <c r="J181" i="30" a="1"/>
  <c r="J181" i="30" s="1"/>
  <c r="L181" i="30" s="1" a="1"/>
  <c r="L181" i="30" s="1"/>
  <c r="M181" i="30" s="1" a="1"/>
  <c r="M181" i="30" s="1"/>
  <c r="N181" i="30" s="1" a="1"/>
  <c r="N181" i="30" s="1"/>
  <c r="O181" i="30" s="1" a="1"/>
  <c r="O181" i="30" s="1"/>
  <c r="O179" i="30" s="1"/>
  <c r="G181" i="30" a="1"/>
  <c r="G181" i="30" s="1"/>
  <c r="E32" i="30"/>
  <c r="E9" i="30"/>
  <c r="E17" i="30"/>
  <c r="E25" i="30"/>
  <c r="I66" i="30"/>
  <c r="I74" i="30"/>
  <c r="I82" i="30"/>
  <c r="I90" i="30"/>
  <c r="I106" i="30"/>
  <c r="I114" i="30"/>
  <c r="I70" i="30"/>
  <c r="I78" i="30"/>
  <c r="I102" i="30"/>
  <c r="I71" i="30"/>
  <c r="I95" i="30"/>
  <c r="I111" i="30"/>
  <c r="I72" i="30"/>
  <c r="I88" i="30"/>
  <c r="I104" i="30"/>
  <c r="E8" i="30"/>
  <c r="E48" i="30"/>
  <c r="E33" i="30"/>
  <c r="E41" i="30"/>
  <c r="E49" i="30"/>
  <c r="I98" i="30"/>
  <c r="I86" i="30"/>
  <c r="I110" i="30"/>
  <c r="I87" i="30"/>
  <c r="I103" i="30"/>
  <c r="E15" i="30"/>
  <c r="C4" i="30"/>
  <c r="F4" i="30" s="1" a="1"/>
  <c r="F4" i="30" s="1"/>
  <c r="J4" i="30" s="1" a="1"/>
  <c r="J4" i="30" s="1"/>
  <c r="L4" i="30" s="1" a="1"/>
  <c r="L4" i="30" s="1"/>
  <c r="M4" i="30" s="1" a="1"/>
  <c r="M4" i="30" s="1"/>
  <c r="N4" i="30" s="1" a="1"/>
  <c r="E16" i="30"/>
  <c r="E40" i="30"/>
  <c r="I65" i="30"/>
  <c r="I97" i="30"/>
  <c r="I67" i="30"/>
  <c r="I68" i="30"/>
  <c r="I76" i="30"/>
  <c r="I84" i="30"/>
  <c r="I92" i="30"/>
  <c r="I100" i="30"/>
  <c r="I108" i="30"/>
  <c r="A63" i="30"/>
  <c r="I94" i="30"/>
  <c r="I79" i="30"/>
  <c r="E7" i="30"/>
  <c r="E23" i="30"/>
  <c r="E31" i="30"/>
  <c r="E39" i="30"/>
  <c r="E47" i="30"/>
  <c r="E55" i="30"/>
  <c r="I64" i="30"/>
  <c r="I80" i="30"/>
  <c r="I96" i="30"/>
  <c r="I112" i="30"/>
  <c r="E24" i="30"/>
  <c r="I73" i="30"/>
  <c r="I89" i="30"/>
  <c r="I105" i="30"/>
  <c r="E18" i="30"/>
  <c r="I81" i="30"/>
  <c r="I113" i="30"/>
  <c r="E10" i="30"/>
  <c r="E26" i="30"/>
  <c r="E34" i="30"/>
  <c r="E42" i="30"/>
  <c r="E50" i="30"/>
  <c r="I75" i="30"/>
  <c r="I83" i="30"/>
  <c r="I91" i="30"/>
  <c r="I99" i="30"/>
  <c r="I107" i="30"/>
  <c r="E11" i="30"/>
  <c r="E19" i="30"/>
  <c r="E27" i="30"/>
  <c r="E35" i="30"/>
  <c r="E43" i="30"/>
  <c r="E51" i="30"/>
  <c r="E5" i="30"/>
  <c r="E12" i="30"/>
  <c r="E20" i="30"/>
  <c r="E28" i="30"/>
  <c r="E36" i="30"/>
  <c r="E44" i="30"/>
  <c r="I69" i="30"/>
  <c r="I77" i="30"/>
  <c r="I85" i="30"/>
  <c r="I93" i="30"/>
  <c r="I101" i="30"/>
  <c r="E4" i="30" l="1"/>
  <c r="G4" i="30" s="1" a="1"/>
  <c r="G4" i="30" s="1"/>
  <c r="N59" i="30"/>
  <c r="N4" i="30"/>
  <c r="N58" i="30"/>
  <c r="O58" i="30" s="1" a="1"/>
  <c r="O58" i="30" s="1"/>
  <c r="I63" i="30"/>
  <c r="A122" i="30" a="1"/>
  <c r="AC14" i="20"/>
  <c r="AC30" i="20"/>
  <c r="AC41" i="20"/>
  <c r="AC47" i="20"/>
  <c r="AC62" i="20"/>
  <c r="AC70" i="20"/>
  <c r="AC76" i="20"/>
  <c r="Q4" i="30" l="1" a="1"/>
  <c r="Q4" i="30" s="1"/>
  <c r="P3" i="30" s="1"/>
  <c r="R4" i="30" s="1" a="1"/>
  <c r="O4" i="30" a="1"/>
  <c r="O4" i="30" s="1"/>
  <c r="O2" i="30" s="1"/>
  <c r="Q2" i="30" s="1"/>
  <c r="I161" i="30"/>
  <c r="I137" i="30"/>
  <c r="I134" i="30"/>
  <c r="I170" i="30"/>
  <c r="I162" i="30"/>
  <c r="I154" i="30"/>
  <c r="I146" i="30"/>
  <c r="I138" i="30"/>
  <c r="I130" i="30"/>
  <c r="A122" i="30"/>
  <c r="I169" i="30"/>
  <c r="I145" i="30"/>
  <c r="I129" i="30"/>
  <c r="I158" i="30"/>
  <c r="I142" i="30"/>
  <c r="I126" i="30"/>
  <c r="I165" i="30"/>
  <c r="I141" i="30"/>
  <c r="I125" i="30"/>
  <c r="I156" i="30"/>
  <c r="I124" i="30"/>
  <c r="I153" i="30"/>
  <c r="I166" i="30"/>
  <c r="I150" i="30"/>
  <c r="I149" i="30"/>
  <c r="I171" i="30"/>
  <c r="I163" i="30"/>
  <c r="I155" i="30"/>
  <c r="I139" i="30"/>
  <c r="I131" i="30"/>
  <c r="I123" i="30"/>
  <c r="I168" i="30"/>
  <c r="I160" i="30"/>
  <c r="I152" i="30"/>
  <c r="I144" i="30"/>
  <c r="I136" i="30"/>
  <c r="I128" i="30"/>
  <c r="I173" i="30"/>
  <c r="I157" i="30"/>
  <c r="I133" i="30"/>
  <c r="I172" i="30"/>
  <c r="I164" i="30"/>
  <c r="I148" i="30"/>
  <c r="I140" i="30"/>
  <c r="I132" i="30"/>
  <c r="I147" i="30"/>
  <c r="I167" i="30"/>
  <c r="I159" i="30"/>
  <c r="I151" i="30"/>
  <c r="I143" i="30"/>
  <c r="I135" i="30"/>
  <c r="I127" i="30"/>
  <c r="R4" i="30"/>
  <c r="S5" i="30" a="1"/>
  <c r="S5" i="30" s="1"/>
  <c r="O56" i="30" l="1"/>
  <c r="I122" i="30"/>
  <c r="A181" i="30" a="1"/>
  <c r="R3" i="30"/>
  <c r="S4" i="30" s="1"/>
  <c r="T4" i="30" s="1" a="1"/>
  <c r="T4" i="30" s="1"/>
  <c r="G199" i="28" l="1" a="1"/>
  <c r="G199" i="28" s="1"/>
  <c r="I232" i="30"/>
  <c r="I224" i="30"/>
  <c r="I216" i="30"/>
  <c r="I208" i="30"/>
  <c r="I200" i="30"/>
  <c r="I192" i="30"/>
  <c r="I184" i="30"/>
  <c r="I214" i="30"/>
  <c r="I198" i="30"/>
  <c r="I182" i="30"/>
  <c r="I220" i="30"/>
  <c r="I230" i="30"/>
  <c r="I206" i="30"/>
  <c r="I190" i="30"/>
  <c r="I228" i="30"/>
  <c r="I196" i="30"/>
  <c r="I219" i="30"/>
  <c r="I195" i="30"/>
  <c r="I218" i="30"/>
  <c r="I186" i="30"/>
  <c r="I225" i="30"/>
  <c r="I201" i="30"/>
  <c r="I185" i="30"/>
  <c r="I231" i="30"/>
  <c r="I223" i="30"/>
  <c r="I215" i="30"/>
  <c r="I207" i="30"/>
  <c r="I199" i="30"/>
  <c r="I191" i="30"/>
  <c r="I183" i="30"/>
  <c r="I222" i="30"/>
  <c r="I211" i="30"/>
  <c r="I187" i="30"/>
  <c r="I210" i="30"/>
  <c r="I202" i="30"/>
  <c r="I209" i="30"/>
  <c r="I212" i="30"/>
  <c r="I204" i="30"/>
  <c r="I188" i="30"/>
  <c r="I227" i="30"/>
  <c r="I203" i="30"/>
  <c r="I226" i="30"/>
  <c r="I194" i="30"/>
  <c r="I217" i="30"/>
  <c r="I193" i="30"/>
  <c r="I229" i="30"/>
  <c r="I221" i="30"/>
  <c r="I213" i="30"/>
  <c r="I205" i="30"/>
  <c r="I197" i="30"/>
  <c r="I189" i="30"/>
  <c r="A181" i="30"/>
  <c r="I181" i="30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T69" i="28" s="1" a="1"/>
  <c r="T69" i="28" s="1"/>
  <c r="AB3" i="28" a="1"/>
  <c r="AB3" i="28" s="1"/>
  <c r="AC3" i="28" s="1" a="1"/>
  <c r="AC3" i="28" s="1"/>
  <c r="AD3" i="28" s="1" a="1"/>
  <c r="AD3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I127" i="19" a="1"/>
  <c r="AH127" i="19" a="1"/>
  <c r="AH127" i="19" s="1"/>
  <c r="AI80" i="19" a="1"/>
  <c r="AH80" i="19" a="1"/>
  <c r="AH80" i="19" s="1"/>
  <c r="AG3" i="27" a="1"/>
  <c r="AG3" i="27" s="1"/>
  <c r="AG15" i="27" s="1"/>
  <c r="AF3" i="27" a="1"/>
  <c r="AF3" i="27" s="1"/>
  <c r="AF15" i="27" s="1"/>
  <c r="AE3" i="27" a="1"/>
  <c r="AE3" i="27" s="1"/>
  <c r="AE15" i="27" s="1"/>
  <c r="AD3" i="27" a="1"/>
  <c r="AD3" i="27" s="1"/>
  <c r="AD15" i="27" s="1"/>
  <c r="AC3" i="27" a="1"/>
  <c r="AC3" i="27" s="1"/>
  <c r="AC15" i="27" s="1"/>
  <c r="AB3" i="27" a="1"/>
  <c r="AB3" i="27" s="1"/>
  <c r="AB15" i="27" s="1"/>
  <c r="AA3" i="27" a="1"/>
  <c r="AA3" i="27" s="1"/>
  <c r="AA15" i="27" s="1"/>
  <c r="Z3" i="27" a="1"/>
  <c r="Z3" i="27" s="1"/>
  <c r="Z15" i="27" s="1"/>
  <c r="Y3" i="27" a="1"/>
  <c r="Y3" i="27" s="1"/>
  <c r="Y15" i="27" s="1"/>
  <c r="X3" i="27" a="1"/>
  <c r="X3" i="27" s="1"/>
  <c r="X15" i="27" s="1"/>
  <c r="W3" i="27" a="1"/>
  <c r="W3" i="27" s="1"/>
  <c r="W15" i="27" s="1"/>
  <c r="R3" i="27" a="1"/>
  <c r="R3" i="27" s="1"/>
  <c r="O3" i="27" a="1"/>
  <c r="O3" i="27" s="1"/>
  <c r="M3" i="27" a="1"/>
  <c r="M3" i="27" s="1"/>
  <c r="AH143" i="19" s="1" a="1"/>
  <c r="AH143" i="19" s="1"/>
  <c r="C1" i="26"/>
  <c r="AG3" i="26" a="1"/>
  <c r="AG3" i="26" s="1"/>
  <c r="AG15" i="26" s="1"/>
  <c r="AF3" i="26" a="1"/>
  <c r="AF3" i="26" s="1"/>
  <c r="AF15" i="26" s="1"/>
  <c r="AE3" i="26" a="1"/>
  <c r="AE3" i="26" s="1"/>
  <c r="AE15" i="26" s="1"/>
  <c r="AD3" i="26" a="1"/>
  <c r="AD3" i="26" s="1"/>
  <c r="AD15" i="26" s="1"/>
  <c r="AC3" i="26" a="1"/>
  <c r="AC3" i="26" s="1"/>
  <c r="AC15" i="26" s="1"/>
  <c r="AB3" i="26" a="1"/>
  <c r="AB3" i="26" s="1"/>
  <c r="AB15" i="26" s="1"/>
  <c r="AA3" i="26" a="1"/>
  <c r="AA3" i="26" s="1"/>
  <c r="AA15" i="26" s="1"/>
  <c r="Z3" i="26" a="1"/>
  <c r="Z3" i="26" s="1"/>
  <c r="Z15" i="26" s="1"/>
  <c r="Y3" i="26" a="1"/>
  <c r="Y3" i="26" s="1"/>
  <c r="Y15" i="26" s="1"/>
  <c r="X3" i="26" a="1"/>
  <c r="X3" i="26" s="1"/>
  <c r="X15" i="26" s="1"/>
  <c r="W3" i="26" a="1"/>
  <c r="W3" i="26" s="1"/>
  <c r="W15" i="26" s="1"/>
  <c r="R3" i="26" a="1"/>
  <c r="R3" i="26" s="1"/>
  <c r="T15" i="26" s="1"/>
  <c r="O3" i="26" a="1"/>
  <c r="O3" i="26" s="1"/>
  <c r="M3" i="26" a="1"/>
  <c r="M3" i="26" s="1"/>
  <c r="AH96" i="19" s="1" a="1"/>
  <c r="C1" i="24"/>
  <c r="AG3" i="24" a="1"/>
  <c r="AG3" i="24" s="1"/>
  <c r="AG15" i="24" s="1"/>
  <c r="AA3" i="24" a="1"/>
  <c r="AA3" i="24" s="1"/>
  <c r="AA15" i="24" s="1"/>
  <c r="AF3" i="24" a="1"/>
  <c r="AF3" i="24" s="1"/>
  <c r="AF15" i="24" s="1"/>
  <c r="AC3" i="24" a="1"/>
  <c r="AC3" i="24" s="1"/>
  <c r="AC15" i="24" s="1"/>
  <c r="Z3" i="24" a="1"/>
  <c r="Z3" i="24" s="1"/>
  <c r="Z15" i="24" s="1"/>
  <c r="W3" i="24" a="1"/>
  <c r="W3" i="24" s="1"/>
  <c r="W15" i="24" s="1"/>
  <c r="R3" i="24" a="1"/>
  <c r="R3" i="24" s="1"/>
  <c r="T15" i="24" s="1"/>
  <c r="O3" i="24" a="1"/>
  <c r="O3" i="24" s="1"/>
  <c r="M3" i="24" a="1"/>
  <c r="M3" i="24" s="1"/>
  <c r="AH49" i="19" s="1" a="1"/>
  <c r="V228" i="28" l="1"/>
  <c r="V226" i="28"/>
  <c r="V224" i="28"/>
  <c r="V227" i="28"/>
  <c r="V225" i="28"/>
  <c r="N259" i="28"/>
  <c r="N257" i="28"/>
  <c r="N260" i="28" s="1"/>
  <c r="N199" i="28"/>
  <c r="V223" i="28" s="1"/>
  <c r="T15" i="27"/>
  <c r="AH159" i="19" a="1"/>
  <c r="AH159" i="19" s="1"/>
  <c r="N134" i="28"/>
  <c r="N192" i="28"/>
  <c r="N195" i="28" s="1"/>
  <c r="J7" i="9"/>
  <c r="I7" i="9" s="1"/>
  <c r="H7" i="9" s="1"/>
  <c r="N69" i="28"/>
  <c r="J6" i="9"/>
  <c r="I6" i="9" s="1"/>
  <c r="H6" i="9" s="1"/>
  <c r="C2" i="31" a="1"/>
  <c r="C2" i="31" s="1"/>
  <c r="N4" i="28" a="1"/>
  <c r="N194" i="28"/>
  <c r="O194" i="28" s="1" a="1"/>
  <c r="O194" i="28" s="1"/>
  <c r="N129" i="28"/>
  <c r="N130" i="28"/>
  <c r="AI127" i="19"/>
  <c r="AH112" i="19" a="1"/>
  <c r="AH96" i="19"/>
  <c r="AI80" i="19"/>
  <c r="AH65" i="19" a="1"/>
  <c r="AH49" i="19"/>
  <c r="T3" i="27" a="1"/>
  <c r="T3" i="27" s="1"/>
  <c r="T16" i="27" s="1" a="1"/>
  <c r="T16" i="27" s="1"/>
  <c r="O14" i="27" s="1"/>
  <c r="O15" i="27" s="1"/>
  <c r="T3" i="26" a="1"/>
  <c r="T3" i="26" s="1"/>
  <c r="T16" i="26" s="1" a="1"/>
  <c r="T16" i="26" s="1"/>
  <c r="O14" i="26" s="1"/>
  <c r="O15" i="26" s="1"/>
  <c r="AD3" i="24" a="1"/>
  <c r="AD3" i="24" s="1"/>
  <c r="AD15" i="24" s="1"/>
  <c r="AE3" i="24" a="1"/>
  <c r="AE3" i="24" s="1"/>
  <c r="AE15" i="24" s="1"/>
  <c r="Y3" i="24" a="1"/>
  <c r="Y3" i="24" s="1"/>
  <c r="Y15" i="24" s="1"/>
  <c r="X3" i="24" a="1"/>
  <c r="X3" i="24" s="1"/>
  <c r="X15" i="24" s="1"/>
  <c r="AB3" i="24" a="1"/>
  <c r="AB3" i="24" s="1"/>
  <c r="AB15" i="24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H96" i="1" a="1"/>
  <c r="H96" i="1" s="1"/>
  <c r="O96" i="1" s="1" a="1"/>
  <c r="O96" i="1" s="1"/>
  <c r="H81" i="1" a="1"/>
  <c r="H70" i="1" a="1"/>
  <c r="H70" i="1" s="1"/>
  <c r="O70" i="1" s="1" a="1"/>
  <c r="O70" i="1" s="1"/>
  <c r="H55" i="1" a="1"/>
  <c r="C51" i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C56" i="24" l="1"/>
  <c r="C20" i="24"/>
  <c r="C72" i="1"/>
  <c r="C47" i="1"/>
  <c r="C73" i="1"/>
  <c r="C49" i="1"/>
  <c r="C77" i="1"/>
  <c r="C46" i="1"/>
  <c r="C75" i="1"/>
  <c r="C45" i="1"/>
  <c r="C71" i="1"/>
  <c r="C48" i="1"/>
  <c r="C74" i="1"/>
  <c r="C50" i="1"/>
  <c r="C76" i="1"/>
  <c r="W223" i="28" a="1"/>
  <c r="W223" i="28" s="1"/>
  <c r="O199" i="28" a="1"/>
  <c r="O199" i="28" s="1"/>
  <c r="O197" i="28" s="1"/>
  <c r="N25" i="27"/>
  <c r="N23" i="27"/>
  <c r="N24" i="27"/>
  <c r="N22" i="27"/>
  <c r="N21" i="27"/>
  <c r="O259" i="28" a="1"/>
  <c r="O259" i="28" s="1"/>
  <c r="N4" i="28"/>
  <c r="J5" i="9"/>
  <c r="I5" i="9" s="1"/>
  <c r="H5" i="9" s="1"/>
  <c r="O69" i="28" a="1"/>
  <c r="O69" i="28" s="1"/>
  <c r="G6" i="9"/>
  <c r="O134" i="28" a="1"/>
  <c r="O134" i="28" s="1"/>
  <c r="O132" i="28" s="1"/>
  <c r="G7" i="9"/>
  <c r="O129" i="28" a="1"/>
  <c r="O129" i="28" s="1"/>
  <c r="P134" i="28" a="1"/>
  <c r="P134" i="28" s="1"/>
  <c r="AH112" i="19"/>
  <c r="T3" i="24" a="1"/>
  <c r="T3" i="24" s="1"/>
  <c r="T16" i="24" s="1" a="1"/>
  <c r="T16" i="24" s="1"/>
  <c r="O14" i="24" s="1"/>
  <c r="O15" i="24" s="1"/>
  <c r="AH65" i="19"/>
  <c r="E47" i="1"/>
  <c r="E16" i="24" s="1"/>
  <c r="D46" i="1"/>
  <c r="D15" i="24" s="1"/>
  <c r="D73" i="1"/>
  <c r="D16" i="26" s="1"/>
  <c r="D75" i="1"/>
  <c r="D18" i="26" s="1"/>
  <c r="D45" i="1"/>
  <c r="D14" i="24" s="1"/>
  <c r="D49" i="1"/>
  <c r="D18" i="24" s="1"/>
  <c r="D72" i="1"/>
  <c r="D15" i="26" s="1"/>
  <c r="D48" i="1"/>
  <c r="D17" i="24" s="1"/>
  <c r="D71" i="1"/>
  <c r="D14" i="26" s="1"/>
  <c r="D50" i="1"/>
  <c r="D19" i="24" s="1"/>
  <c r="D77" i="1"/>
  <c r="D20" i="26" s="1"/>
  <c r="D51" i="1"/>
  <c r="D20" i="24" s="1"/>
  <c r="D47" i="1"/>
  <c r="D16" i="24" s="1"/>
  <c r="D74" i="1"/>
  <c r="D17" i="26" s="1"/>
  <c r="D76" i="1"/>
  <c r="D19" i="26" s="1"/>
  <c r="E72" i="1"/>
  <c r="E63" i="26" s="1"/>
  <c r="E46" i="1"/>
  <c r="E15" i="24" s="1"/>
  <c r="E71" i="1"/>
  <c r="E14" i="26" s="1"/>
  <c r="E76" i="1"/>
  <c r="E19" i="26" s="1"/>
  <c r="E74" i="1"/>
  <c r="E17" i="26" s="1"/>
  <c r="E48" i="1"/>
  <c r="E17" i="24" s="1"/>
  <c r="E75" i="1"/>
  <c r="E66" i="26" s="1"/>
  <c r="E49" i="1"/>
  <c r="E18" i="24" s="1"/>
  <c r="E62" i="26"/>
  <c r="E64" i="24"/>
  <c r="E73" i="1"/>
  <c r="E45" i="1"/>
  <c r="E50" i="1"/>
  <c r="E77" i="1"/>
  <c r="E51" i="1"/>
  <c r="E13" i="26"/>
  <c r="E61" i="26"/>
  <c r="C49" i="26"/>
  <c r="C13" i="26"/>
  <c r="BU21" i="1"/>
  <c r="C40" i="1"/>
  <c r="BQ197" i="1"/>
  <c r="BU182" i="1"/>
  <c r="C13" i="24"/>
  <c r="C49" i="24"/>
  <c r="BP87" i="1"/>
  <c r="E61" i="24"/>
  <c r="E13" i="24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S9" i="1"/>
  <c r="E13" i="2"/>
  <c r="Q6" i="1"/>
  <c r="K5" i="1"/>
  <c r="D87" i="1"/>
  <c r="R7" i="1"/>
  <c r="C13" i="2"/>
  <c r="R6" i="1"/>
  <c r="S6" i="1"/>
  <c r="L9" i="1"/>
  <c r="L5" i="1"/>
  <c r="J10" i="1"/>
  <c r="L6" i="1"/>
  <c r="L4" i="1"/>
  <c r="J4" i="1"/>
  <c r="S7" i="1"/>
  <c r="Q10" i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C55" i="26" l="1"/>
  <c r="C19" i="26"/>
  <c r="C55" i="24"/>
  <c r="C19" i="24"/>
  <c r="C14" i="26"/>
  <c r="C50" i="26"/>
  <c r="C52" i="24"/>
  <c r="C16" i="24"/>
  <c r="C52" i="26"/>
  <c r="C16" i="26"/>
  <c r="C51" i="26"/>
  <c r="C15" i="26"/>
  <c r="C53" i="26"/>
  <c r="C17" i="26"/>
  <c r="J59" i="1"/>
  <c r="C14" i="24"/>
  <c r="C50" i="24"/>
  <c r="C54" i="26"/>
  <c r="C18" i="26"/>
  <c r="C51" i="24"/>
  <c r="C15" i="24"/>
  <c r="C56" i="26"/>
  <c r="C20" i="26"/>
  <c r="C17" i="24"/>
  <c r="C53" i="24"/>
  <c r="R34" i="1"/>
  <c r="C18" i="24"/>
  <c r="C54" i="24"/>
  <c r="E13" i="40"/>
  <c r="E61" i="40"/>
  <c r="E13" i="37"/>
  <c r="E61" i="37"/>
  <c r="E13" i="27"/>
  <c r="E61" i="27"/>
  <c r="E13" i="35"/>
  <c r="E61" i="35"/>
  <c r="E61" i="33"/>
  <c r="E13" i="33"/>
  <c r="O257" i="28"/>
  <c r="O4" i="28" a="1"/>
  <c r="O4" i="28" s="1"/>
  <c r="G5" i="9"/>
  <c r="O192" i="28"/>
  <c r="O67" i="28"/>
  <c r="O127" i="28"/>
  <c r="E18" i="26"/>
  <c r="E63" i="24"/>
  <c r="E15" i="26"/>
  <c r="E67" i="26"/>
  <c r="E65" i="24"/>
  <c r="E65" i="26"/>
  <c r="E66" i="24"/>
  <c r="E20" i="26"/>
  <c r="E68" i="26"/>
  <c r="E16" i="26"/>
  <c r="E64" i="26"/>
  <c r="E20" i="24"/>
  <c r="E68" i="24"/>
  <c r="E67" i="24"/>
  <c r="E19" i="24"/>
  <c r="E14" i="24"/>
  <c r="E62" i="24"/>
  <c r="S60" i="1"/>
  <c r="J56" i="1"/>
  <c r="Q58" i="1"/>
  <c r="R57" i="1"/>
  <c r="Q56" i="1"/>
  <c r="Q59" i="1"/>
  <c r="R60" i="1"/>
  <c r="S34" i="1"/>
  <c r="Q30" i="1"/>
  <c r="J32" i="1"/>
  <c r="S29" i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E25" i="26" s="1"/>
  <c r="J58" i="1"/>
  <c r="S59" i="1"/>
  <c r="Q55" i="1"/>
  <c r="R59" i="1"/>
  <c r="S62" i="1"/>
  <c r="K58" i="1"/>
  <c r="L57" i="1"/>
  <c r="K60" i="1"/>
  <c r="J55" i="1"/>
  <c r="C25" i="26" s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E101" i="1" s="1"/>
  <c r="L35" i="1"/>
  <c r="D83" i="1"/>
  <c r="L34" i="1"/>
  <c r="K36" i="1"/>
  <c r="E83" i="1"/>
  <c r="E98" i="1" s="1"/>
  <c r="D84" i="1"/>
  <c r="J36" i="1"/>
  <c r="R35" i="1"/>
  <c r="L29" i="1"/>
  <c r="E25" i="24" s="1"/>
  <c r="J30" i="1"/>
  <c r="J31" i="1"/>
  <c r="S31" i="1"/>
  <c r="S33" i="1"/>
  <c r="J34" i="1"/>
  <c r="L31" i="1"/>
  <c r="S32" i="1"/>
  <c r="D82" i="1"/>
  <c r="E84" i="1"/>
  <c r="E99" i="1" s="1"/>
  <c r="K34" i="1"/>
  <c r="Q29" i="1"/>
  <c r="R30" i="1"/>
  <c r="E85" i="1"/>
  <c r="E100" i="1" s="1"/>
  <c r="K31" i="1"/>
  <c r="C85" i="1"/>
  <c r="L32" i="1"/>
  <c r="S36" i="1"/>
  <c r="D85" i="1"/>
  <c r="E88" i="1"/>
  <c r="E103" i="1" s="1"/>
  <c r="C81" i="1"/>
  <c r="R33" i="1"/>
  <c r="Q31" i="1"/>
  <c r="R31" i="1"/>
  <c r="K33" i="1"/>
  <c r="C83" i="1"/>
  <c r="E87" i="1"/>
  <c r="E102" i="1" s="1"/>
  <c r="J29" i="1"/>
  <c r="C25" i="24" s="1"/>
  <c r="C84" i="1"/>
  <c r="K30" i="1"/>
  <c r="S35" i="1"/>
  <c r="L36" i="1"/>
  <c r="J33" i="1"/>
  <c r="Q36" i="1"/>
  <c r="K32" i="1"/>
  <c r="C88" i="1"/>
  <c r="R2" i="19" a="1"/>
  <c r="R2" i="19" s="1"/>
  <c r="J62" i="1"/>
  <c r="D13" i="26"/>
  <c r="F13" i="26" s="1"/>
  <c r="D66" i="1"/>
  <c r="D13" i="24"/>
  <c r="F13" i="24" s="1"/>
  <c r="D40" i="1"/>
  <c r="Q60" i="1"/>
  <c r="C86" i="1"/>
  <c r="E82" i="1"/>
  <c r="E97" i="1" s="1"/>
  <c r="D81" i="1"/>
  <c r="S56" i="1"/>
  <c r="R55" i="1"/>
  <c r="L56" i="1"/>
  <c r="J60" i="1"/>
  <c r="K55" i="1"/>
  <c r="E70" i="1"/>
  <c r="D70" i="1"/>
  <c r="Q34" i="1"/>
  <c r="L30" i="1"/>
  <c r="S30" i="1"/>
  <c r="D44" i="1"/>
  <c r="C59" i="24" s="1"/>
  <c r="R29" i="1"/>
  <c r="K29" i="1"/>
  <c r="O81" i="1" a="1"/>
  <c r="O81" i="1" s="1"/>
  <c r="O55" i="1" a="1"/>
  <c r="O55" i="1" s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J77" i="1" s="1"/>
  <c r="S3" i="1"/>
  <c r="S45" i="1" s="1"/>
  <c r="Q3" i="1"/>
  <c r="Q75" i="1" s="1"/>
  <c r="C97" i="1" l="1"/>
  <c r="C103" i="1"/>
  <c r="C100" i="1"/>
  <c r="C102" i="1"/>
  <c r="C99" i="1"/>
  <c r="C101" i="1"/>
  <c r="C98" i="1"/>
  <c r="D97" i="1"/>
  <c r="D103" i="1"/>
  <c r="D100" i="1"/>
  <c r="D102" i="1"/>
  <c r="D99" i="1"/>
  <c r="D101" i="1"/>
  <c r="D98" i="1"/>
  <c r="C37" i="26"/>
  <c r="E62" i="40"/>
  <c r="E14" i="40"/>
  <c r="E62" i="37"/>
  <c r="E14" i="37"/>
  <c r="E62" i="27"/>
  <c r="E14" i="27"/>
  <c r="E14" i="35"/>
  <c r="E62" i="35"/>
  <c r="E14" i="33"/>
  <c r="E62" i="33"/>
  <c r="E17" i="40"/>
  <c r="E65" i="40"/>
  <c r="E65" i="37"/>
  <c r="E17" i="37"/>
  <c r="E65" i="27"/>
  <c r="E17" i="27"/>
  <c r="E65" i="35"/>
  <c r="E17" i="35"/>
  <c r="E17" i="33"/>
  <c r="E65" i="33"/>
  <c r="E68" i="40"/>
  <c r="E20" i="40"/>
  <c r="E68" i="37"/>
  <c r="E20" i="37"/>
  <c r="E20" i="27"/>
  <c r="E68" i="27"/>
  <c r="E68" i="35"/>
  <c r="E20" i="35"/>
  <c r="E68" i="33"/>
  <c r="E20" i="33"/>
  <c r="E63" i="40"/>
  <c r="E15" i="40"/>
  <c r="E15" i="37"/>
  <c r="E63" i="37"/>
  <c r="E63" i="27"/>
  <c r="E15" i="27"/>
  <c r="E63" i="35"/>
  <c r="E15" i="35"/>
  <c r="E15" i="33"/>
  <c r="E63" i="33"/>
  <c r="Q51" i="1"/>
  <c r="C68" i="24" s="1"/>
  <c r="J24" i="1"/>
  <c r="C31" i="2" s="1"/>
  <c r="J50" i="1"/>
  <c r="C31" i="24" s="1"/>
  <c r="J75" i="1"/>
  <c r="C30" i="26" s="1"/>
  <c r="J48" i="1"/>
  <c r="C29" i="24" s="1"/>
  <c r="J73" i="1"/>
  <c r="C28" i="26" s="1"/>
  <c r="J45" i="1"/>
  <c r="C26" i="24" s="1"/>
  <c r="J49" i="1"/>
  <c r="C30" i="24" s="1"/>
  <c r="J47" i="1"/>
  <c r="C28" i="24" s="1"/>
  <c r="J74" i="1"/>
  <c r="C29" i="26" s="1"/>
  <c r="J72" i="1"/>
  <c r="C27" i="26" s="1"/>
  <c r="J46" i="1"/>
  <c r="C27" i="24" s="1"/>
  <c r="J71" i="1"/>
  <c r="C26" i="26" s="1"/>
  <c r="J76" i="1"/>
  <c r="C31" i="26" s="1"/>
  <c r="J51" i="1"/>
  <c r="C32" i="24" s="1"/>
  <c r="E16" i="40"/>
  <c r="E64" i="40"/>
  <c r="E16" i="37"/>
  <c r="E64" i="37"/>
  <c r="E16" i="27"/>
  <c r="E64" i="27"/>
  <c r="E64" i="35"/>
  <c r="E16" i="35"/>
  <c r="E64" i="33"/>
  <c r="E16" i="33"/>
  <c r="Q21" i="1"/>
  <c r="C64" i="2" s="1"/>
  <c r="Q73" i="1"/>
  <c r="C40" i="26" s="1"/>
  <c r="Q47" i="1"/>
  <c r="C64" i="24" s="1"/>
  <c r="Q71" i="1"/>
  <c r="C62" i="26" s="1"/>
  <c r="Q50" i="1"/>
  <c r="C67" i="24" s="1"/>
  <c r="Q74" i="1"/>
  <c r="C41" i="26" s="1"/>
  <c r="Q48" i="1"/>
  <c r="C41" i="24" s="1"/>
  <c r="Q72" i="1"/>
  <c r="C39" i="26" s="1"/>
  <c r="Q46" i="1"/>
  <c r="C63" i="24" s="1"/>
  <c r="Q45" i="1"/>
  <c r="C38" i="24" s="1"/>
  <c r="Q76" i="1"/>
  <c r="C67" i="26" s="1"/>
  <c r="Q49" i="1"/>
  <c r="C66" i="24" s="1"/>
  <c r="E18" i="40"/>
  <c r="E66" i="40"/>
  <c r="E18" i="37"/>
  <c r="E66" i="37"/>
  <c r="E66" i="27"/>
  <c r="E18" i="27"/>
  <c r="E66" i="35"/>
  <c r="E18" i="35"/>
  <c r="E18" i="33"/>
  <c r="E66" i="33"/>
  <c r="E19" i="40"/>
  <c r="E67" i="40"/>
  <c r="E67" i="37"/>
  <c r="E19" i="37"/>
  <c r="E67" i="27"/>
  <c r="E19" i="27"/>
  <c r="E19" i="35"/>
  <c r="E67" i="35"/>
  <c r="E19" i="33"/>
  <c r="E67" i="33"/>
  <c r="Q77" i="1"/>
  <c r="C44" i="26" s="1"/>
  <c r="E37" i="24"/>
  <c r="S81" i="1"/>
  <c r="D13" i="40"/>
  <c r="D13" i="37"/>
  <c r="D13" i="27"/>
  <c r="D13" i="35"/>
  <c r="D13" i="33"/>
  <c r="C49" i="40"/>
  <c r="C13" i="40"/>
  <c r="C49" i="37"/>
  <c r="C13" i="37"/>
  <c r="C13" i="27"/>
  <c r="C49" i="27"/>
  <c r="C13" i="35"/>
  <c r="C49" i="35"/>
  <c r="C13" i="33"/>
  <c r="C49" i="33"/>
  <c r="L45" i="1"/>
  <c r="E26" i="24" s="1"/>
  <c r="L22" i="1"/>
  <c r="E29" i="2" s="1"/>
  <c r="L77" i="1"/>
  <c r="E32" i="26" s="1"/>
  <c r="L46" i="1"/>
  <c r="E27" i="24" s="1"/>
  <c r="L50" i="1"/>
  <c r="E31" i="24" s="1"/>
  <c r="L72" i="1"/>
  <c r="E27" i="26" s="1"/>
  <c r="L48" i="1"/>
  <c r="E29" i="24" s="1"/>
  <c r="L74" i="1"/>
  <c r="E29" i="26" s="1"/>
  <c r="L76" i="1"/>
  <c r="E31" i="26" s="1"/>
  <c r="L47" i="1"/>
  <c r="E28" i="24" s="1"/>
  <c r="L73" i="1"/>
  <c r="E28" i="26" s="1"/>
  <c r="L49" i="1"/>
  <c r="E30" i="24" s="1"/>
  <c r="L75" i="1"/>
  <c r="E30" i="26" s="1"/>
  <c r="L51" i="1"/>
  <c r="E32" i="24" s="1"/>
  <c r="S71" i="1"/>
  <c r="E49" i="24"/>
  <c r="S48" i="1"/>
  <c r="S74" i="1"/>
  <c r="S50" i="1"/>
  <c r="S76" i="1"/>
  <c r="S51" i="1"/>
  <c r="S46" i="1"/>
  <c r="S47" i="1"/>
  <c r="S73" i="1"/>
  <c r="S49" i="1"/>
  <c r="S75" i="1"/>
  <c r="S77" i="1"/>
  <c r="S72" i="1"/>
  <c r="L85" i="1"/>
  <c r="Q84" i="1"/>
  <c r="C61" i="26"/>
  <c r="S84" i="1"/>
  <c r="Q82" i="1"/>
  <c r="J83" i="1"/>
  <c r="L86" i="1"/>
  <c r="E49" i="26"/>
  <c r="E37" i="26"/>
  <c r="L87" i="1"/>
  <c r="L81" i="1"/>
  <c r="C37" i="24"/>
  <c r="C61" i="24"/>
  <c r="J85" i="1"/>
  <c r="Q85" i="1"/>
  <c r="R84" i="1"/>
  <c r="R87" i="1"/>
  <c r="S86" i="1"/>
  <c r="C92" i="1"/>
  <c r="S83" i="1"/>
  <c r="K88" i="1"/>
  <c r="J88" i="1"/>
  <c r="J103" i="1" s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J87" i="1"/>
  <c r="K84" i="1"/>
  <c r="Q88" i="1"/>
  <c r="Q103" i="1" s="1"/>
  <c r="R82" i="1"/>
  <c r="R83" i="1"/>
  <c r="J84" i="1"/>
  <c r="R85" i="1"/>
  <c r="Q87" i="1"/>
  <c r="L84" i="1"/>
  <c r="D92" i="1"/>
  <c r="E26" i="26"/>
  <c r="C32" i="26"/>
  <c r="D37" i="26"/>
  <c r="D49" i="26"/>
  <c r="D25" i="26"/>
  <c r="F25" i="26" s="1"/>
  <c r="D61" i="26"/>
  <c r="C66" i="26"/>
  <c r="C42" i="26"/>
  <c r="C68" i="26"/>
  <c r="C59" i="26"/>
  <c r="C35" i="26"/>
  <c r="C11" i="26"/>
  <c r="J13" i="26" s="1"/>
  <c r="C23" i="26"/>
  <c r="C47" i="26"/>
  <c r="D37" i="24"/>
  <c r="F20" i="26"/>
  <c r="F14" i="26"/>
  <c r="F16" i="26"/>
  <c r="F15" i="26"/>
  <c r="F17" i="26"/>
  <c r="F18" i="26"/>
  <c r="F19" i="26"/>
  <c r="C47" i="24"/>
  <c r="C11" i="24"/>
  <c r="G13" i="24" s="1"/>
  <c r="C23" i="24"/>
  <c r="C35" i="24"/>
  <c r="E50" i="24"/>
  <c r="E38" i="24"/>
  <c r="D49" i="24"/>
  <c r="D25" i="24"/>
  <c r="F25" i="24" s="1"/>
  <c r="D61" i="24"/>
  <c r="R88" i="1"/>
  <c r="F17" i="24"/>
  <c r="F14" i="24"/>
  <c r="F15" i="24"/>
  <c r="F16" i="24"/>
  <c r="F20" i="24"/>
  <c r="F18" i="24"/>
  <c r="F19" i="24"/>
  <c r="S82" i="1"/>
  <c r="Q86" i="1"/>
  <c r="S87" i="1"/>
  <c r="L82" i="1"/>
  <c r="J86" i="1"/>
  <c r="C96" i="1"/>
  <c r="R81" i="1"/>
  <c r="E92" i="1"/>
  <c r="E96" i="1"/>
  <c r="K81" i="1"/>
  <c r="D96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D56" i="2" s="1"/>
  <c r="J19" i="1"/>
  <c r="C26" i="2" s="1"/>
  <c r="R14" i="1"/>
  <c r="R22" i="1"/>
  <c r="R18" i="1"/>
  <c r="R21" i="1"/>
  <c r="R24" i="1"/>
  <c r="R19" i="1"/>
  <c r="K18" i="1"/>
  <c r="R25" i="1"/>
  <c r="D44" i="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S103" i="1" l="1"/>
  <c r="E44" i="35" s="1"/>
  <c r="S102" i="1"/>
  <c r="S99" i="1"/>
  <c r="S101" i="1"/>
  <c r="S98" i="1"/>
  <c r="S100" i="1"/>
  <c r="Q102" i="1"/>
  <c r="Q99" i="1"/>
  <c r="Q98" i="1"/>
  <c r="Q100" i="1"/>
  <c r="Q97" i="1"/>
  <c r="Q101" i="1"/>
  <c r="C66" i="27" s="1"/>
  <c r="S97" i="1"/>
  <c r="E50" i="40" s="1"/>
  <c r="K103" i="1"/>
  <c r="R103" i="1"/>
  <c r="D44" i="27" s="1"/>
  <c r="J97" i="1"/>
  <c r="J100" i="1"/>
  <c r="J102" i="1"/>
  <c r="J99" i="1"/>
  <c r="J101" i="1"/>
  <c r="J98" i="1"/>
  <c r="L100" i="1"/>
  <c r="L103" i="1"/>
  <c r="L102" i="1"/>
  <c r="L99" i="1"/>
  <c r="L101" i="1"/>
  <c r="L98" i="1"/>
  <c r="L97" i="1"/>
  <c r="E26" i="27" s="1"/>
  <c r="C64" i="26"/>
  <c r="R101" i="1"/>
  <c r="D42" i="33" s="1"/>
  <c r="R102" i="1"/>
  <c r="D43" i="37" s="1"/>
  <c r="K101" i="1"/>
  <c r="D30" i="27" s="1"/>
  <c r="K102" i="1"/>
  <c r="D67" i="37" s="1"/>
  <c r="R99" i="1"/>
  <c r="D40" i="33" s="1"/>
  <c r="R100" i="1"/>
  <c r="D41" i="37" s="1"/>
  <c r="K99" i="1"/>
  <c r="D64" i="40" s="1"/>
  <c r="K100" i="1"/>
  <c r="D29" i="27" s="1"/>
  <c r="R97" i="1"/>
  <c r="D38" i="27" s="1"/>
  <c r="R98" i="1"/>
  <c r="D39" i="33" s="1"/>
  <c r="K97" i="1"/>
  <c r="D62" i="27" s="1"/>
  <c r="K98" i="1"/>
  <c r="D27" i="27" s="1"/>
  <c r="C62" i="24"/>
  <c r="C32" i="35"/>
  <c r="C39" i="24"/>
  <c r="C44" i="33"/>
  <c r="C63" i="26"/>
  <c r="C40" i="2"/>
  <c r="E55" i="27"/>
  <c r="E52" i="35"/>
  <c r="E42" i="27"/>
  <c r="E39" i="33"/>
  <c r="E41" i="35"/>
  <c r="C38" i="26"/>
  <c r="C43" i="26"/>
  <c r="D68" i="37"/>
  <c r="F13" i="35"/>
  <c r="F13" i="27"/>
  <c r="F13" i="37"/>
  <c r="F13" i="40"/>
  <c r="C44" i="24"/>
  <c r="C42" i="24"/>
  <c r="C65" i="26"/>
  <c r="C53" i="40"/>
  <c r="C17" i="40"/>
  <c r="C17" i="37"/>
  <c r="C53" i="37"/>
  <c r="C17" i="27"/>
  <c r="C53" i="27"/>
  <c r="C53" i="35"/>
  <c r="C17" i="35"/>
  <c r="C17" i="33"/>
  <c r="C53" i="33"/>
  <c r="C14" i="40"/>
  <c r="C50" i="40"/>
  <c r="C14" i="37"/>
  <c r="C50" i="37"/>
  <c r="C14" i="27"/>
  <c r="C50" i="27"/>
  <c r="C14" i="35"/>
  <c r="C50" i="35"/>
  <c r="C14" i="33"/>
  <c r="C50" i="33"/>
  <c r="D19" i="40"/>
  <c r="D19" i="37"/>
  <c r="D19" i="27"/>
  <c r="D19" i="35"/>
  <c r="D19" i="33"/>
  <c r="D17" i="40"/>
  <c r="D17" i="37"/>
  <c r="D17" i="27"/>
  <c r="D17" i="35"/>
  <c r="D17" i="33"/>
  <c r="C65" i="24"/>
  <c r="D20" i="40"/>
  <c r="D20" i="37"/>
  <c r="D20" i="27"/>
  <c r="D20" i="35"/>
  <c r="D20" i="33"/>
  <c r="C55" i="40"/>
  <c r="C19" i="40"/>
  <c r="C19" i="37"/>
  <c r="C55" i="37"/>
  <c r="C19" i="27"/>
  <c r="C55" i="27"/>
  <c r="C55" i="35"/>
  <c r="C19" i="35"/>
  <c r="C19" i="33"/>
  <c r="C55" i="33"/>
  <c r="C40" i="24"/>
  <c r="D15" i="40"/>
  <c r="D15" i="37"/>
  <c r="D15" i="27"/>
  <c r="D15" i="35"/>
  <c r="D15" i="33"/>
  <c r="D16" i="40"/>
  <c r="D16" i="37"/>
  <c r="D16" i="27"/>
  <c r="D16" i="35"/>
  <c r="D16" i="33"/>
  <c r="C43" i="24"/>
  <c r="C65" i="2"/>
  <c r="F13" i="33"/>
  <c r="C18" i="40"/>
  <c r="C54" i="40"/>
  <c r="C18" i="37"/>
  <c r="C54" i="37"/>
  <c r="C54" i="27"/>
  <c r="C18" i="27"/>
  <c r="C18" i="35"/>
  <c r="C54" i="35"/>
  <c r="C18" i="33"/>
  <c r="C54" i="33"/>
  <c r="C15" i="40"/>
  <c r="C51" i="40"/>
  <c r="C15" i="37"/>
  <c r="C51" i="37"/>
  <c r="C15" i="27"/>
  <c r="C51" i="27"/>
  <c r="C51" i="35"/>
  <c r="C15" i="35"/>
  <c r="C51" i="33"/>
  <c r="C15" i="33"/>
  <c r="C56" i="40"/>
  <c r="C20" i="40"/>
  <c r="C20" i="37"/>
  <c r="C56" i="37"/>
  <c r="C56" i="27"/>
  <c r="C20" i="27"/>
  <c r="C20" i="35"/>
  <c r="C56" i="35"/>
  <c r="C20" i="33"/>
  <c r="C56" i="33"/>
  <c r="D18" i="40"/>
  <c r="D18" i="37"/>
  <c r="D18" i="27"/>
  <c r="D18" i="35"/>
  <c r="D18" i="33"/>
  <c r="D14" i="40"/>
  <c r="D14" i="37"/>
  <c r="D14" i="27"/>
  <c r="D14" i="35"/>
  <c r="D14" i="33"/>
  <c r="C52" i="40"/>
  <c r="C16" i="40"/>
  <c r="C52" i="37"/>
  <c r="C16" i="37"/>
  <c r="C52" i="27"/>
  <c r="C16" i="27"/>
  <c r="C16" i="35"/>
  <c r="C52" i="35"/>
  <c r="C16" i="33"/>
  <c r="C52" i="33"/>
  <c r="E25" i="40"/>
  <c r="E25" i="37"/>
  <c r="E25" i="27"/>
  <c r="E49" i="40"/>
  <c r="E37" i="40"/>
  <c r="E49" i="37"/>
  <c r="E37" i="37"/>
  <c r="E49" i="27"/>
  <c r="E37" i="27"/>
  <c r="E37" i="35"/>
  <c r="E49" i="35"/>
  <c r="E37" i="33"/>
  <c r="E49" i="33"/>
  <c r="C25" i="40"/>
  <c r="C25" i="37"/>
  <c r="C25" i="27"/>
  <c r="C25" i="35"/>
  <c r="C25" i="33"/>
  <c r="C35" i="40"/>
  <c r="C11" i="40"/>
  <c r="C47" i="40"/>
  <c r="C59" i="40"/>
  <c r="C23" i="40"/>
  <c r="C47" i="37"/>
  <c r="C11" i="37"/>
  <c r="C35" i="37"/>
  <c r="C59" i="37"/>
  <c r="C23" i="37"/>
  <c r="C47" i="35"/>
  <c r="C35" i="35"/>
  <c r="C59" i="35"/>
  <c r="C11" i="35"/>
  <c r="C23" i="35"/>
  <c r="C35" i="33"/>
  <c r="C59" i="33"/>
  <c r="C11" i="33"/>
  <c r="C23" i="33"/>
  <c r="C47" i="33"/>
  <c r="C37" i="40"/>
  <c r="C61" i="40"/>
  <c r="C61" i="37"/>
  <c r="C37" i="37"/>
  <c r="C61" i="27"/>
  <c r="C37" i="27"/>
  <c r="C37" i="35"/>
  <c r="C61" i="35"/>
  <c r="C61" i="33"/>
  <c r="C37" i="33"/>
  <c r="D37" i="37"/>
  <c r="D37" i="40"/>
  <c r="D49" i="40"/>
  <c r="D25" i="40"/>
  <c r="D61" i="40"/>
  <c r="D61" i="27"/>
  <c r="D49" i="37"/>
  <c r="D61" i="37"/>
  <c r="D25" i="37"/>
  <c r="E43" i="27"/>
  <c r="E43" i="35"/>
  <c r="D25" i="27"/>
  <c r="D49" i="27"/>
  <c r="D37" i="35"/>
  <c r="D37" i="27"/>
  <c r="E50" i="26"/>
  <c r="D37" i="33"/>
  <c r="F49" i="24"/>
  <c r="J49" i="24" s="1"/>
  <c r="F61" i="26"/>
  <c r="J61" i="26" s="1"/>
  <c r="E56" i="24"/>
  <c r="E44" i="24"/>
  <c r="E55" i="26"/>
  <c r="E43" i="26"/>
  <c r="E41" i="26"/>
  <c r="E53" i="26"/>
  <c r="E41" i="24"/>
  <c r="E53" i="24"/>
  <c r="E56" i="2"/>
  <c r="E51" i="26"/>
  <c r="E39" i="26"/>
  <c r="E56" i="26"/>
  <c r="E44" i="26"/>
  <c r="E40" i="26"/>
  <c r="E52" i="26"/>
  <c r="E55" i="24"/>
  <c r="E43" i="24"/>
  <c r="E54" i="26"/>
  <c r="E42" i="26"/>
  <c r="E54" i="24"/>
  <c r="E42" i="24"/>
  <c r="E38" i="26"/>
  <c r="E52" i="24"/>
  <c r="E40" i="24"/>
  <c r="E39" i="24"/>
  <c r="E51" i="24"/>
  <c r="F61" i="24"/>
  <c r="J61" i="24" s="1"/>
  <c r="F49" i="26"/>
  <c r="G49" i="26" s="1"/>
  <c r="F37" i="26"/>
  <c r="J37" i="26" s="1"/>
  <c r="F37" i="24"/>
  <c r="G37" i="24" s="1"/>
  <c r="Q96" i="1"/>
  <c r="J92" i="1"/>
  <c r="L96" i="1"/>
  <c r="K92" i="1"/>
  <c r="C59" i="27"/>
  <c r="C47" i="27"/>
  <c r="C23" i="27"/>
  <c r="C11" i="27"/>
  <c r="C35" i="27"/>
  <c r="D38" i="26"/>
  <c r="D41" i="26"/>
  <c r="D43" i="26"/>
  <c r="D40" i="26"/>
  <c r="D42" i="26"/>
  <c r="D39" i="26"/>
  <c r="D44" i="26"/>
  <c r="D64" i="26"/>
  <c r="D28" i="26"/>
  <c r="F28" i="26" s="1"/>
  <c r="J28" i="26" s="1"/>
  <c r="D52" i="26"/>
  <c r="D31" i="26"/>
  <c r="F31" i="26" s="1"/>
  <c r="J31" i="26" s="1"/>
  <c r="D67" i="26"/>
  <c r="D55" i="26"/>
  <c r="D68" i="26"/>
  <c r="D56" i="26"/>
  <c r="D32" i="26"/>
  <c r="F32" i="26" s="1"/>
  <c r="J32" i="26" s="1"/>
  <c r="D63" i="26"/>
  <c r="D51" i="26"/>
  <c r="D27" i="26"/>
  <c r="F27" i="26" s="1"/>
  <c r="J27" i="26" s="1"/>
  <c r="D29" i="26"/>
  <c r="F29" i="26" s="1"/>
  <c r="J29" i="26" s="1"/>
  <c r="D65" i="26"/>
  <c r="D53" i="26"/>
  <c r="D66" i="26"/>
  <c r="D54" i="26"/>
  <c r="D30" i="26"/>
  <c r="F30" i="26" s="1"/>
  <c r="J30" i="26" s="1"/>
  <c r="D62" i="26"/>
  <c r="D50" i="26"/>
  <c r="D26" i="26"/>
  <c r="F26" i="26" s="1"/>
  <c r="J26" i="26" s="1"/>
  <c r="J17" i="26"/>
  <c r="D44" i="24"/>
  <c r="J18" i="26"/>
  <c r="J15" i="26"/>
  <c r="J16" i="26"/>
  <c r="J14" i="26"/>
  <c r="J20" i="26"/>
  <c r="G15" i="26"/>
  <c r="G13" i="26"/>
  <c r="G20" i="26"/>
  <c r="G17" i="26"/>
  <c r="G16" i="26"/>
  <c r="G14" i="26"/>
  <c r="G18" i="26"/>
  <c r="G19" i="26"/>
  <c r="G25" i="26"/>
  <c r="J25" i="26"/>
  <c r="D39" i="24"/>
  <c r="D43" i="24"/>
  <c r="D38" i="24"/>
  <c r="D42" i="24"/>
  <c r="D40" i="24"/>
  <c r="D41" i="24"/>
  <c r="J19" i="26"/>
  <c r="J13" i="24"/>
  <c r="R92" i="1"/>
  <c r="D26" i="24"/>
  <c r="D62" i="24"/>
  <c r="D50" i="24"/>
  <c r="D68" i="24"/>
  <c r="D56" i="24"/>
  <c r="D32" i="24"/>
  <c r="D64" i="24"/>
  <c r="D52" i="24"/>
  <c r="D28" i="24"/>
  <c r="F28" i="24" s="1"/>
  <c r="D63" i="24"/>
  <c r="D51" i="24"/>
  <c r="D27" i="24"/>
  <c r="F27" i="24" s="1"/>
  <c r="D65" i="24"/>
  <c r="D53" i="24"/>
  <c r="D29" i="24"/>
  <c r="F29" i="24" s="1"/>
  <c r="D66" i="24"/>
  <c r="D54" i="24"/>
  <c r="D30" i="24"/>
  <c r="F30" i="24" s="1"/>
  <c r="D67" i="24"/>
  <c r="D31" i="24"/>
  <c r="F31" i="24" s="1"/>
  <c r="D55" i="24"/>
  <c r="J18" i="24"/>
  <c r="G18" i="24"/>
  <c r="G20" i="24"/>
  <c r="J20" i="24"/>
  <c r="J16" i="24"/>
  <c r="G16" i="24"/>
  <c r="J15" i="24"/>
  <c r="G15" i="24"/>
  <c r="J19" i="24"/>
  <c r="G19" i="24"/>
  <c r="J14" i="24"/>
  <c r="G14" i="24"/>
  <c r="J17" i="24"/>
  <c r="G17" i="24"/>
  <c r="S92" i="1"/>
  <c r="S96" i="1"/>
  <c r="D68" i="2"/>
  <c r="D62" i="2"/>
  <c r="C42" i="2"/>
  <c r="D66" i="2"/>
  <c r="C32" i="2"/>
  <c r="D64" i="2"/>
  <c r="D67" i="2"/>
  <c r="D65" i="2"/>
  <c r="D63" i="2"/>
  <c r="D38" i="2"/>
  <c r="J25" i="24"/>
  <c r="G25" i="24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C32" i="27" l="1"/>
  <c r="C32" i="37"/>
  <c r="C32" i="33"/>
  <c r="C32" i="40"/>
  <c r="C44" i="35"/>
  <c r="C68" i="27"/>
  <c r="C44" i="37"/>
  <c r="C44" i="27"/>
  <c r="C68" i="40"/>
  <c r="C68" i="37"/>
  <c r="C68" i="33"/>
  <c r="C68" i="35"/>
  <c r="C44" i="40"/>
  <c r="E38" i="37"/>
  <c r="E38" i="35"/>
  <c r="E44" i="33"/>
  <c r="E50" i="37"/>
  <c r="E50" i="27"/>
  <c r="E38" i="40"/>
  <c r="E56" i="33"/>
  <c r="E50" i="33"/>
  <c r="E55" i="33"/>
  <c r="E38" i="33"/>
  <c r="E50" i="35"/>
  <c r="E38" i="27"/>
  <c r="E43" i="33"/>
  <c r="E55" i="35"/>
  <c r="E26" i="40"/>
  <c r="E41" i="33"/>
  <c r="E52" i="27"/>
  <c r="E26" i="37"/>
  <c r="E53" i="33"/>
  <c r="E40" i="35"/>
  <c r="E42" i="33"/>
  <c r="E54" i="33"/>
  <c r="E53" i="27"/>
  <c r="E54" i="35"/>
  <c r="E40" i="27"/>
  <c r="E42" i="35"/>
  <c r="E54" i="27"/>
  <c r="F20" i="40"/>
  <c r="G20" i="40" s="1"/>
  <c r="F19" i="40"/>
  <c r="J19" i="40" s="1"/>
  <c r="F17" i="40"/>
  <c r="J17" i="40" s="1"/>
  <c r="D32" i="27"/>
  <c r="F16" i="35"/>
  <c r="J16" i="35" s="1"/>
  <c r="F20" i="35"/>
  <c r="J20" i="35" s="1"/>
  <c r="D32" i="37"/>
  <c r="D56" i="37"/>
  <c r="D68" i="27"/>
  <c r="F16" i="27"/>
  <c r="G16" i="27" s="1"/>
  <c r="F16" i="37"/>
  <c r="G16" i="37" s="1"/>
  <c r="F20" i="27"/>
  <c r="J20" i="27" s="1"/>
  <c r="F20" i="37"/>
  <c r="J20" i="37" s="1"/>
  <c r="F17" i="37"/>
  <c r="J17" i="37" s="1"/>
  <c r="G13" i="37"/>
  <c r="D44" i="33"/>
  <c r="F16" i="33"/>
  <c r="J16" i="33" s="1"/>
  <c r="F20" i="33"/>
  <c r="J20" i="33" s="1"/>
  <c r="F18" i="33"/>
  <c r="J18" i="33" s="1"/>
  <c r="F19" i="37"/>
  <c r="G19" i="37" s="1"/>
  <c r="C66" i="33"/>
  <c r="F15" i="27"/>
  <c r="J15" i="27" s="1"/>
  <c r="F19" i="27"/>
  <c r="J19" i="27" s="1"/>
  <c r="F17" i="33"/>
  <c r="J17" i="33" s="1"/>
  <c r="F14" i="40"/>
  <c r="J14" i="40" s="1"/>
  <c r="D32" i="40"/>
  <c r="D68" i="40"/>
  <c r="D44" i="40"/>
  <c r="D44" i="35"/>
  <c r="F14" i="37"/>
  <c r="J14" i="37" s="1"/>
  <c r="D56" i="40"/>
  <c r="F14" i="27"/>
  <c r="G14" i="27" s="1"/>
  <c r="F18" i="37"/>
  <c r="G18" i="37" s="1"/>
  <c r="D44" i="37"/>
  <c r="D56" i="27"/>
  <c r="C66" i="40"/>
  <c r="F18" i="40"/>
  <c r="G18" i="40" s="1"/>
  <c r="F15" i="40"/>
  <c r="G15" i="40" s="1"/>
  <c r="F15" i="35"/>
  <c r="J15" i="35" s="1"/>
  <c r="E53" i="35"/>
  <c r="E41" i="27"/>
  <c r="J13" i="33"/>
  <c r="E40" i="33"/>
  <c r="E51" i="33"/>
  <c r="E52" i="33"/>
  <c r="C66" i="37"/>
  <c r="C42" i="40"/>
  <c r="C42" i="37"/>
  <c r="F15" i="37"/>
  <c r="J15" i="37" s="1"/>
  <c r="F16" i="40"/>
  <c r="G16" i="40" s="1"/>
  <c r="F19" i="33"/>
  <c r="G19" i="33" s="1"/>
  <c r="F17" i="35"/>
  <c r="G17" i="35" s="1"/>
  <c r="D42" i="37"/>
  <c r="C42" i="35"/>
  <c r="C66" i="35"/>
  <c r="C42" i="27"/>
  <c r="F15" i="33"/>
  <c r="J15" i="33" s="1"/>
  <c r="F19" i="35"/>
  <c r="J19" i="35" s="1"/>
  <c r="F14" i="35"/>
  <c r="G14" i="35" s="1"/>
  <c r="F17" i="27"/>
  <c r="G17" i="27" s="1"/>
  <c r="F18" i="27"/>
  <c r="J18" i="27" s="1"/>
  <c r="J13" i="37"/>
  <c r="F18" i="35"/>
  <c r="J18" i="35" s="1"/>
  <c r="F14" i="33"/>
  <c r="G14" i="33" s="1"/>
  <c r="C42" i="33"/>
  <c r="E28" i="40"/>
  <c r="E28" i="37"/>
  <c r="E28" i="27"/>
  <c r="C65" i="35"/>
  <c r="C41" i="37"/>
  <c r="C65" i="33"/>
  <c r="C65" i="40"/>
  <c r="C41" i="40"/>
  <c r="C41" i="27"/>
  <c r="C41" i="33"/>
  <c r="C65" i="37"/>
  <c r="C41" i="35"/>
  <c r="C65" i="27"/>
  <c r="E29" i="37"/>
  <c r="E29" i="40"/>
  <c r="E29" i="27"/>
  <c r="C26" i="27"/>
  <c r="C26" i="35"/>
  <c r="C26" i="33"/>
  <c r="C26" i="37"/>
  <c r="C26" i="40"/>
  <c r="E39" i="37"/>
  <c r="E39" i="40"/>
  <c r="E51" i="37"/>
  <c r="E51" i="40"/>
  <c r="E39" i="35"/>
  <c r="E56" i="27"/>
  <c r="E54" i="37"/>
  <c r="E42" i="37"/>
  <c r="E54" i="40"/>
  <c r="E42" i="40"/>
  <c r="E32" i="40"/>
  <c r="E32" i="37"/>
  <c r="E32" i="27"/>
  <c r="C30" i="37"/>
  <c r="C30" i="27"/>
  <c r="C30" i="40"/>
  <c r="C30" i="35"/>
  <c r="C30" i="33"/>
  <c r="C28" i="33"/>
  <c r="C28" i="40"/>
  <c r="C28" i="27"/>
  <c r="C28" i="37"/>
  <c r="C28" i="35"/>
  <c r="C29" i="40"/>
  <c r="C29" i="35"/>
  <c r="C29" i="37"/>
  <c r="C29" i="27"/>
  <c r="C29" i="33"/>
  <c r="E51" i="35"/>
  <c r="E44" i="27"/>
  <c r="E40" i="40"/>
  <c r="E52" i="40"/>
  <c r="E40" i="37"/>
  <c r="E52" i="37"/>
  <c r="E30" i="37"/>
  <c r="E30" i="40"/>
  <c r="E30" i="27"/>
  <c r="C63" i="40"/>
  <c r="C39" i="37"/>
  <c r="C63" i="33"/>
  <c r="C39" i="27"/>
  <c r="C63" i="35"/>
  <c r="C63" i="37"/>
  <c r="C39" i="35"/>
  <c r="C39" i="33"/>
  <c r="C39" i="40"/>
  <c r="C63" i="27"/>
  <c r="C62" i="35"/>
  <c r="C62" i="37"/>
  <c r="C38" i="33"/>
  <c r="C38" i="37"/>
  <c r="C38" i="35"/>
  <c r="C62" i="33"/>
  <c r="C38" i="40"/>
  <c r="C62" i="40"/>
  <c r="C38" i="27"/>
  <c r="C62" i="27"/>
  <c r="C27" i="33"/>
  <c r="C27" i="40"/>
  <c r="C27" i="27"/>
  <c r="C27" i="35"/>
  <c r="C27" i="37"/>
  <c r="E53" i="40"/>
  <c r="E53" i="37"/>
  <c r="E41" i="40"/>
  <c r="E41" i="37"/>
  <c r="E51" i="27"/>
  <c r="E43" i="40"/>
  <c r="E43" i="37"/>
  <c r="E55" i="40"/>
  <c r="E55" i="37"/>
  <c r="E27" i="37"/>
  <c r="E27" i="40"/>
  <c r="E27" i="27"/>
  <c r="E31" i="40"/>
  <c r="E31" i="37"/>
  <c r="E31" i="27"/>
  <c r="C40" i="33"/>
  <c r="C40" i="37"/>
  <c r="C40" i="40"/>
  <c r="C64" i="37"/>
  <c r="C40" i="27"/>
  <c r="C64" i="33"/>
  <c r="C64" i="40"/>
  <c r="C64" i="27"/>
  <c r="C40" i="35"/>
  <c r="C64" i="35"/>
  <c r="C67" i="37"/>
  <c r="C43" i="27"/>
  <c r="C67" i="40"/>
  <c r="C43" i="37"/>
  <c r="C43" i="35"/>
  <c r="C67" i="33"/>
  <c r="C43" i="40"/>
  <c r="C43" i="33"/>
  <c r="C67" i="27"/>
  <c r="C67" i="35"/>
  <c r="E56" i="37"/>
  <c r="E44" i="40"/>
  <c r="E56" i="40"/>
  <c r="E44" i="37"/>
  <c r="E56" i="35"/>
  <c r="C31" i="35"/>
  <c r="C31" i="33"/>
  <c r="C31" i="37"/>
  <c r="C31" i="40"/>
  <c r="C31" i="27"/>
  <c r="E39" i="27"/>
  <c r="D54" i="37"/>
  <c r="D42" i="27"/>
  <c r="D42" i="35"/>
  <c r="D66" i="37"/>
  <c r="D66" i="27"/>
  <c r="D66" i="40"/>
  <c r="D31" i="40"/>
  <c r="D54" i="40"/>
  <c r="D67" i="40"/>
  <c r="D55" i="40"/>
  <c r="D30" i="40"/>
  <c r="D30" i="37"/>
  <c r="D42" i="40"/>
  <c r="D43" i="27"/>
  <c r="D43" i="35"/>
  <c r="D43" i="33"/>
  <c r="D55" i="27"/>
  <c r="D55" i="37"/>
  <c r="D31" i="27"/>
  <c r="D43" i="40"/>
  <c r="D67" i="27"/>
  <c r="D54" i="27"/>
  <c r="D31" i="37"/>
  <c r="D50" i="27"/>
  <c r="D40" i="40"/>
  <c r="D40" i="37"/>
  <c r="D41" i="27"/>
  <c r="D41" i="35"/>
  <c r="D40" i="27"/>
  <c r="D65" i="27"/>
  <c r="D41" i="33"/>
  <c r="D65" i="40"/>
  <c r="D29" i="40"/>
  <c r="D39" i="35"/>
  <c r="D41" i="40"/>
  <c r="D52" i="37"/>
  <c r="D27" i="40"/>
  <c r="D26" i="40"/>
  <c r="D64" i="37"/>
  <c r="D63" i="40"/>
  <c r="D40" i="35"/>
  <c r="D62" i="40"/>
  <c r="D50" i="40"/>
  <c r="D65" i="37"/>
  <c r="D51" i="40"/>
  <c r="D26" i="27"/>
  <c r="D52" i="40"/>
  <c r="D29" i="37"/>
  <c r="D39" i="40"/>
  <c r="D39" i="27"/>
  <c r="D53" i="37"/>
  <c r="D39" i="37"/>
  <c r="D63" i="37"/>
  <c r="D27" i="37"/>
  <c r="D62" i="37"/>
  <c r="D52" i="27"/>
  <c r="D51" i="37"/>
  <c r="D63" i="27"/>
  <c r="D50" i="37"/>
  <c r="D28" i="27"/>
  <c r="D26" i="37"/>
  <c r="D53" i="40"/>
  <c r="D53" i="27"/>
  <c r="D28" i="37"/>
  <c r="D28" i="40"/>
  <c r="D64" i="27"/>
  <c r="D38" i="35"/>
  <c r="F49" i="40"/>
  <c r="F61" i="40"/>
  <c r="D38" i="33"/>
  <c r="D38" i="40"/>
  <c r="D38" i="37"/>
  <c r="D51" i="27"/>
  <c r="F37" i="40"/>
  <c r="J37" i="40" s="1"/>
  <c r="F25" i="37"/>
  <c r="F25" i="40"/>
  <c r="F49" i="37"/>
  <c r="G49" i="37" s="1"/>
  <c r="F37" i="33"/>
  <c r="G13" i="35"/>
  <c r="F37" i="37"/>
  <c r="G37" i="37" s="1"/>
  <c r="F61" i="37"/>
  <c r="G13" i="40"/>
  <c r="J13" i="35"/>
  <c r="F37" i="27"/>
  <c r="G13" i="33"/>
  <c r="F37" i="35"/>
  <c r="J37" i="35" s="1"/>
  <c r="J13" i="40"/>
  <c r="D56" i="35"/>
  <c r="D26" i="35"/>
  <c r="D64" i="35"/>
  <c r="D28" i="35"/>
  <c r="D66" i="35"/>
  <c r="D51" i="35"/>
  <c r="D49" i="35"/>
  <c r="F49" i="35" s="1"/>
  <c r="D30" i="35"/>
  <c r="D68" i="35"/>
  <c r="D53" i="35"/>
  <c r="D32" i="35"/>
  <c r="D55" i="35"/>
  <c r="D63" i="35"/>
  <c r="D61" i="35"/>
  <c r="F61" i="35" s="1"/>
  <c r="D27" i="35"/>
  <c r="D25" i="35"/>
  <c r="D65" i="35"/>
  <c r="D50" i="35"/>
  <c r="D29" i="35"/>
  <c r="D67" i="35"/>
  <c r="D52" i="35"/>
  <c r="D31" i="35"/>
  <c r="D54" i="35"/>
  <c r="D62" i="35"/>
  <c r="E28" i="35"/>
  <c r="E30" i="35"/>
  <c r="E32" i="35"/>
  <c r="E27" i="35"/>
  <c r="E25" i="35"/>
  <c r="E29" i="35"/>
  <c r="E31" i="35"/>
  <c r="E26" i="35"/>
  <c r="D56" i="33"/>
  <c r="D26" i="33"/>
  <c r="D64" i="33"/>
  <c r="D30" i="33"/>
  <c r="D28" i="33"/>
  <c r="D66" i="33"/>
  <c r="D51" i="33"/>
  <c r="D49" i="33"/>
  <c r="F49" i="33" s="1"/>
  <c r="D53" i="33"/>
  <c r="D68" i="33"/>
  <c r="D32" i="33"/>
  <c r="D55" i="33"/>
  <c r="D27" i="33"/>
  <c r="D63" i="33"/>
  <c r="D61" i="33"/>
  <c r="F61" i="33" s="1"/>
  <c r="D25" i="33"/>
  <c r="D65" i="33"/>
  <c r="D50" i="33"/>
  <c r="D29" i="33"/>
  <c r="D67" i="33"/>
  <c r="D52" i="33"/>
  <c r="D31" i="33"/>
  <c r="D54" i="33"/>
  <c r="D62" i="33"/>
  <c r="E28" i="33"/>
  <c r="E30" i="33"/>
  <c r="E32" i="33"/>
  <c r="E27" i="33"/>
  <c r="E25" i="33"/>
  <c r="E29" i="33"/>
  <c r="E31" i="33"/>
  <c r="E26" i="33"/>
  <c r="G49" i="24"/>
  <c r="F56" i="24"/>
  <c r="G56" i="24" s="1"/>
  <c r="F68" i="26"/>
  <c r="G68" i="26" s="1"/>
  <c r="G61" i="26"/>
  <c r="F62" i="26"/>
  <c r="J62" i="26" s="1"/>
  <c r="F67" i="26"/>
  <c r="J67" i="26" s="1"/>
  <c r="F65" i="26"/>
  <c r="J65" i="26" s="1"/>
  <c r="F63" i="26"/>
  <c r="J63" i="26" s="1"/>
  <c r="F64" i="26"/>
  <c r="J64" i="26" s="1"/>
  <c r="F55" i="24"/>
  <c r="G55" i="24" s="1"/>
  <c r="F52" i="24"/>
  <c r="J52" i="24" s="1"/>
  <c r="F66" i="26"/>
  <c r="J66" i="26" s="1"/>
  <c r="F51" i="24"/>
  <c r="G51" i="24" s="1"/>
  <c r="F54" i="24"/>
  <c r="G54" i="24" s="1"/>
  <c r="F53" i="24"/>
  <c r="J53" i="24" s="1"/>
  <c r="F63" i="24"/>
  <c r="J63" i="24" s="1"/>
  <c r="F65" i="24"/>
  <c r="G65" i="24" s="1"/>
  <c r="F64" i="24"/>
  <c r="G64" i="24" s="1"/>
  <c r="E6" i="9"/>
  <c r="F68" i="24"/>
  <c r="J68" i="24" s="1"/>
  <c r="G61" i="24"/>
  <c r="F67" i="24"/>
  <c r="J67" i="24" s="1"/>
  <c r="E7" i="9"/>
  <c r="F62" i="24"/>
  <c r="J62" i="24" s="1"/>
  <c r="F61" i="27"/>
  <c r="F49" i="27"/>
  <c r="F40" i="26"/>
  <c r="J40" i="26" s="1"/>
  <c r="F51" i="26"/>
  <c r="J51" i="26" s="1"/>
  <c r="J49" i="26"/>
  <c r="F56" i="26"/>
  <c r="J56" i="26" s="1"/>
  <c r="F50" i="26"/>
  <c r="J50" i="26" s="1"/>
  <c r="F54" i="26"/>
  <c r="J54" i="26" s="1"/>
  <c r="J37" i="24"/>
  <c r="F41" i="26"/>
  <c r="J41" i="26" s="1"/>
  <c r="F38" i="26"/>
  <c r="J38" i="26" s="1"/>
  <c r="G37" i="26"/>
  <c r="F41" i="24"/>
  <c r="G41" i="24" s="1"/>
  <c r="F44" i="24"/>
  <c r="J44" i="24" s="1"/>
  <c r="F43" i="24"/>
  <c r="G43" i="24" s="1"/>
  <c r="F55" i="26"/>
  <c r="J55" i="26" s="1"/>
  <c r="F52" i="26"/>
  <c r="J52" i="26" s="1"/>
  <c r="F53" i="26"/>
  <c r="J53" i="26" s="1"/>
  <c r="F44" i="26"/>
  <c r="J44" i="26" s="1"/>
  <c r="F39" i="26"/>
  <c r="J39" i="26" s="1"/>
  <c r="F42" i="26"/>
  <c r="J42" i="26" s="1"/>
  <c r="F43" i="26"/>
  <c r="J43" i="26" s="1"/>
  <c r="F40" i="24"/>
  <c r="G40" i="24" s="1"/>
  <c r="F39" i="24"/>
  <c r="J39" i="24" s="1"/>
  <c r="J13" i="27"/>
  <c r="G13" i="27"/>
  <c r="G27" i="26"/>
  <c r="G30" i="26"/>
  <c r="G29" i="26"/>
  <c r="G26" i="26"/>
  <c r="G28" i="26"/>
  <c r="G32" i="26"/>
  <c r="G31" i="26"/>
  <c r="F32" i="24"/>
  <c r="G32" i="24" s="1"/>
  <c r="J30" i="24"/>
  <c r="G30" i="24"/>
  <c r="G29" i="24"/>
  <c r="J29" i="24"/>
  <c r="F42" i="24"/>
  <c r="F66" i="24"/>
  <c r="G31" i="24"/>
  <c r="J31" i="24"/>
  <c r="F50" i="24"/>
  <c r="F26" i="24"/>
  <c r="J28" i="24"/>
  <c r="G28" i="24"/>
  <c r="F38" i="24"/>
  <c r="J27" i="24"/>
  <c r="G27" i="24"/>
  <c r="G20" i="37" l="1"/>
  <c r="G16" i="35"/>
  <c r="G20" i="35"/>
  <c r="G19" i="40"/>
  <c r="G17" i="40"/>
  <c r="J20" i="40"/>
  <c r="G17" i="37"/>
  <c r="J19" i="37"/>
  <c r="G15" i="27"/>
  <c r="G16" i="33"/>
  <c r="G18" i="33"/>
  <c r="G20" i="33"/>
  <c r="J16" i="37"/>
  <c r="J16" i="27"/>
  <c r="G20" i="27"/>
  <c r="G14" i="37"/>
  <c r="G17" i="33"/>
  <c r="G14" i="40"/>
  <c r="J18" i="40"/>
  <c r="J15" i="40"/>
  <c r="G19" i="35"/>
  <c r="G19" i="27"/>
  <c r="G15" i="35"/>
  <c r="J18" i="37"/>
  <c r="J14" i="27"/>
  <c r="J19" i="33"/>
  <c r="J16" i="40"/>
  <c r="J14" i="33"/>
  <c r="G15" i="37"/>
  <c r="J17" i="35"/>
  <c r="G15" i="33"/>
  <c r="J17" i="27"/>
  <c r="G18" i="27"/>
  <c r="J14" i="35"/>
  <c r="G18" i="35"/>
  <c r="F40" i="33"/>
  <c r="G40" i="33" s="1"/>
  <c r="F67" i="37"/>
  <c r="J67" i="37" s="1"/>
  <c r="F30" i="40"/>
  <c r="J30" i="40" s="1"/>
  <c r="F67" i="40"/>
  <c r="G67" i="40" s="1"/>
  <c r="F43" i="27"/>
  <c r="J43" i="27" s="1"/>
  <c r="F50" i="40"/>
  <c r="J50" i="40" s="1"/>
  <c r="F26" i="37"/>
  <c r="J26" i="37" s="1"/>
  <c r="F63" i="40"/>
  <c r="J63" i="40" s="1"/>
  <c r="F62" i="40"/>
  <c r="J62" i="40" s="1"/>
  <c r="F64" i="40"/>
  <c r="G64" i="40" s="1"/>
  <c r="F68" i="40"/>
  <c r="J68" i="40" s="1"/>
  <c r="F27" i="40"/>
  <c r="J27" i="40" s="1"/>
  <c r="F66" i="40"/>
  <c r="G66" i="40" s="1"/>
  <c r="F54" i="40"/>
  <c r="J54" i="40" s="1"/>
  <c r="F32" i="40"/>
  <c r="J32" i="40" s="1"/>
  <c r="G61" i="40"/>
  <c r="J61" i="40"/>
  <c r="F65" i="40"/>
  <c r="J65" i="40" s="1"/>
  <c r="F27" i="37"/>
  <c r="G27" i="37" s="1"/>
  <c r="F30" i="37"/>
  <c r="G30" i="37" s="1"/>
  <c r="F32" i="37"/>
  <c r="J32" i="37" s="1"/>
  <c r="G49" i="40"/>
  <c r="F55" i="40"/>
  <c r="J55" i="40" s="1"/>
  <c r="F53" i="40"/>
  <c r="J53" i="40" s="1"/>
  <c r="F56" i="40"/>
  <c r="J56" i="40" s="1"/>
  <c r="J49" i="40"/>
  <c r="F51" i="40"/>
  <c r="J51" i="40" s="1"/>
  <c r="F52" i="40"/>
  <c r="J52" i="40" s="1"/>
  <c r="F31" i="40"/>
  <c r="J31" i="40" s="1"/>
  <c r="G37" i="40"/>
  <c r="F29" i="40"/>
  <c r="J29" i="40" s="1"/>
  <c r="G25" i="40"/>
  <c r="J25" i="40"/>
  <c r="F42" i="40"/>
  <c r="G42" i="40" s="1"/>
  <c r="F43" i="40"/>
  <c r="J43" i="40" s="1"/>
  <c r="F40" i="40"/>
  <c r="J40" i="40" s="1"/>
  <c r="F44" i="40"/>
  <c r="J44" i="40" s="1"/>
  <c r="F39" i="40"/>
  <c r="G39" i="40" s="1"/>
  <c r="F41" i="40"/>
  <c r="G41" i="40" s="1"/>
  <c r="F38" i="40"/>
  <c r="G38" i="40" s="1"/>
  <c r="F28" i="40"/>
  <c r="J28" i="40" s="1"/>
  <c r="F28" i="37"/>
  <c r="J28" i="37" s="1"/>
  <c r="J61" i="37"/>
  <c r="F31" i="37"/>
  <c r="G31" i="37" s="1"/>
  <c r="F50" i="37"/>
  <c r="J50" i="37" s="1"/>
  <c r="G61" i="37"/>
  <c r="G25" i="37"/>
  <c r="J25" i="37"/>
  <c r="F29" i="37"/>
  <c r="G29" i="37" s="1"/>
  <c r="J37" i="33"/>
  <c r="F39" i="33"/>
  <c r="G39" i="33" s="1"/>
  <c r="F51" i="37"/>
  <c r="G51" i="37" s="1"/>
  <c r="F44" i="33"/>
  <c r="G44" i="33" s="1"/>
  <c r="F38" i="33"/>
  <c r="J38" i="33" s="1"/>
  <c r="F42" i="33"/>
  <c r="G42" i="33" s="1"/>
  <c r="F44" i="37"/>
  <c r="J44" i="37" s="1"/>
  <c r="F43" i="37"/>
  <c r="J43" i="37" s="1"/>
  <c r="F41" i="37"/>
  <c r="J41" i="37" s="1"/>
  <c r="F40" i="37"/>
  <c r="G40" i="37" s="1"/>
  <c r="F54" i="37"/>
  <c r="J54" i="37" s="1"/>
  <c r="F52" i="37"/>
  <c r="G52" i="37" s="1"/>
  <c r="F55" i="37"/>
  <c r="J55" i="37" s="1"/>
  <c r="F53" i="37"/>
  <c r="G53" i="37" s="1"/>
  <c r="F68" i="37"/>
  <c r="G68" i="37" s="1"/>
  <c r="F26" i="40"/>
  <c r="G26" i="40" s="1"/>
  <c r="F41" i="33"/>
  <c r="J41" i="33" s="1"/>
  <c r="F40" i="27"/>
  <c r="J40" i="27" s="1"/>
  <c r="F43" i="33"/>
  <c r="J43" i="33" s="1"/>
  <c r="F42" i="27"/>
  <c r="G42" i="27" s="1"/>
  <c r="F56" i="37"/>
  <c r="J56" i="37" s="1"/>
  <c r="J49" i="37"/>
  <c r="G37" i="33"/>
  <c r="F62" i="37"/>
  <c r="G62" i="37" s="1"/>
  <c r="F63" i="37"/>
  <c r="J63" i="37" s="1"/>
  <c r="J37" i="37"/>
  <c r="F38" i="35"/>
  <c r="G38" i="35" s="1"/>
  <c r="F42" i="37"/>
  <c r="J42" i="37" s="1"/>
  <c r="F44" i="35"/>
  <c r="J44" i="35" s="1"/>
  <c r="F65" i="37"/>
  <c r="G65" i="37" s="1"/>
  <c r="F44" i="27"/>
  <c r="G44" i="27" s="1"/>
  <c r="J37" i="27"/>
  <c r="F38" i="27"/>
  <c r="J38" i="27" s="1"/>
  <c r="F41" i="27"/>
  <c r="G41" i="27" s="1"/>
  <c r="F39" i="27"/>
  <c r="J39" i="27" s="1"/>
  <c r="F66" i="37"/>
  <c r="G66" i="37" s="1"/>
  <c r="F40" i="35"/>
  <c r="J40" i="35" s="1"/>
  <c r="G37" i="27"/>
  <c r="F41" i="35"/>
  <c r="J41" i="35" s="1"/>
  <c r="F64" i="37"/>
  <c r="J64" i="37" s="1"/>
  <c r="G37" i="35"/>
  <c r="F39" i="35"/>
  <c r="J39" i="35" s="1"/>
  <c r="F38" i="37"/>
  <c r="J38" i="37" s="1"/>
  <c r="F43" i="35"/>
  <c r="G43" i="35" s="1"/>
  <c r="F39" i="37"/>
  <c r="J39" i="37" s="1"/>
  <c r="F42" i="35"/>
  <c r="J42" i="35" s="1"/>
  <c r="F62" i="35"/>
  <c r="G62" i="35" s="1"/>
  <c r="F67" i="35"/>
  <c r="J67" i="35" s="1"/>
  <c r="F66" i="35"/>
  <c r="J66" i="35" s="1"/>
  <c r="F68" i="35"/>
  <c r="J68" i="35" s="1"/>
  <c r="F54" i="35"/>
  <c r="J54" i="35" s="1"/>
  <c r="F65" i="35"/>
  <c r="G65" i="35" s="1"/>
  <c r="F53" i="35"/>
  <c r="J53" i="35" s="1"/>
  <c r="F64" i="35"/>
  <c r="J64" i="35" s="1"/>
  <c r="J49" i="35"/>
  <c r="G49" i="35"/>
  <c r="F51" i="35"/>
  <c r="F52" i="35"/>
  <c r="F50" i="35"/>
  <c r="F56" i="35"/>
  <c r="F25" i="35"/>
  <c r="F30" i="35" s="1"/>
  <c r="J61" i="35"/>
  <c r="G61" i="35"/>
  <c r="F63" i="35"/>
  <c r="F55" i="35"/>
  <c r="F56" i="33"/>
  <c r="J56" i="33" s="1"/>
  <c r="F50" i="33"/>
  <c r="G50" i="33" s="1"/>
  <c r="F55" i="33"/>
  <c r="J55" i="33" s="1"/>
  <c r="F64" i="33"/>
  <c r="J64" i="33" s="1"/>
  <c r="F67" i="33"/>
  <c r="G67" i="33" s="1"/>
  <c r="F54" i="33"/>
  <c r="J54" i="33" s="1"/>
  <c r="F52" i="33"/>
  <c r="J52" i="33" s="1"/>
  <c r="F65" i="33"/>
  <c r="J65" i="33" s="1"/>
  <c r="F66" i="33"/>
  <c r="J66" i="33" s="1"/>
  <c r="F51" i="33"/>
  <c r="G51" i="33" s="1"/>
  <c r="F53" i="33"/>
  <c r="J53" i="33" s="1"/>
  <c r="F25" i="33"/>
  <c r="F29" i="33" s="1"/>
  <c r="F63" i="33"/>
  <c r="J61" i="33"/>
  <c r="G61" i="33"/>
  <c r="F68" i="33"/>
  <c r="F62" i="33"/>
  <c r="J49" i="33"/>
  <c r="G49" i="33"/>
  <c r="J56" i="24"/>
  <c r="J68" i="26"/>
  <c r="G65" i="26"/>
  <c r="G62" i="26"/>
  <c r="G67" i="26"/>
  <c r="G52" i="24"/>
  <c r="G63" i="26"/>
  <c r="J55" i="24"/>
  <c r="G64" i="26"/>
  <c r="G66" i="26"/>
  <c r="J51" i="24"/>
  <c r="G53" i="24"/>
  <c r="J54" i="24"/>
  <c r="J65" i="24"/>
  <c r="G63" i="24"/>
  <c r="J64" i="24"/>
  <c r="G68" i="24"/>
  <c r="G67" i="24"/>
  <c r="G62" i="24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40" i="26"/>
  <c r="G41" i="26"/>
  <c r="G38" i="26"/>
  <c r="G54" i="26"/>
  <c r="J41" i="24"/>
  <c r="G56" i="26"/>
  <c r="G51" i="26"/>
  <c r="G50" i="26"/>
  <c r="J43" i="24"/>
  <c r="G43" i="26"/>
  <c r="J40" i="24"/>
  <c r="G55" i="26"/>
  <c r="G44" i="24"/>
  <c r="G53" i="26"/>
  <c r="G39" i="24"/>
  <c r="G42" i="26"/>
  <c r="G52" i="26"/>
  <c r="G39" i="26"/>
  <c r="G44" i="26"/>
  <c r="J32" i="24"/>
  <c r="J50" i="24"/>
  <c r="G50" i="24"/>
  <c r="G26" i="24"/>
  <c r="J26" i="24"/>
  <c r="J38" i="24"/>
  <c r="G38" i="24"/>
  <c r="J66" i="24"/>
  <c r="G66" i="24"/>
  <c r="J42" i="24"/>
  <c r="G42" i="24"/>
  <c r="J40" i="33" l="1"/>
  <c r="G43" i="27"/>
  <c r="J67" i="40"/>
  <c r="G67" i="37"/>
  <c r="G30" i="40"/>
  <c r="G26" i="37"/>
  <c r="G32" i="40"/>
  <c r="G54" i="40"/>
  <c r="G62" i="40"/>
  <c r="J64" i="40"/>
  <c r="G68" i="40"/>
  <c r="G63" i="40"/>
  <c r="J66" i="40"/>
  <c r="G50" i="40"/>
  <c r="G27" i="40"/>
  <c r="G55" i="40"/>
  <c r="J27" i="37"/>
  <c r="J30" i="37"/>
  <c r="G53" i="40"/>
  <c r="J41" i="40"/>
  <c r="G32" i="37"/>
  <c r="G42" i="37"/>
  <c r="G43" i="40"/>
  <c r="G52" i="40"/>
  <c r="G65" i="40"/>
  <c r="G29" i="40"/>
  <c r="G51" i="40"/>
  <c r="G44" i="37"/>
  <c r="J42" i="40"/>
  <c r="G40" i="40"/>
  <c r="G56" i="40"/>
  <c r="J29" i="37"/>
  <c r="G50" i="37"/>
  <c r="J31" i="37"/>
  <c r="G31" i="40"/>
  <c r="J39" i="40"/>
  <c r="J39" i="33"/>
  <c r="G44" i="40"/>
  <c r="J38" i="40"/>
  <c r="G28" i="40"/>
  <c r="J51" i="37"/>
  <c r="J62" i="37"/>
  <c r="G28" i="37"/>
  <c r="G41" i="37"/>
  <c r="G43" i="37"/>
  <c r="G56" i="37"/>
  <c r="G38" i="33"/>
  <c r="J43" i="35"/>
  <c r="J40" i="37"/>
  <c r="J44" i="33"/>
  <c r="J66" i="37"/>
  <c r="G40" i="27"/>
  <c r="J52" i="37"/>
  <c r="G43" i="33"/>
  <c r="G55" i="37"/>
  <c r="J53" i="37"/>
  <c r="G41" i="33"/>
  <c r="G54" i="37"/>
  <c r="J68" i="37"/>
  <c r="J26" i="40"/>
  <c r="J42" i="33"/>
  <c r="G63" i="37"/>
  <c r="G38" i="27"/>
  <c r="J41" i="27"/>
  <c r="G44" i="35"/>
  <c r="J38" i="35"/>
  <c r="G42" i="35"/>
  <c r="J42" i="27"/>
  <c r="J44" i="27"/>
  <c r="G39" i="27"/>
  <c r="G41" i="35"/>
  <c r="J65" i="37"/>
  <c r="G38" i="37"/>
  <c r="G39" i="37"/>
  <c r="G64" i="37"/>
  <c r="G39" i="35"/>
  <c r="G40" i="35"/>
  <c r="G54" i="35"/>
  <c r="J62" i="35"/>
  <c r="G67" i="35"/>
  <c r="J65" i="35"/>
  <c r="G68" i="35"/>
  <c r="G66" i="35"/>
  <c r="G53" i="35"/>
  <c r="G64" i="35"/>
  <c r="F27" i="35"/>
  <c r="J27" i="35" s="1"/>
  <c r="G30" i="35"/>
  <c r="J30" i="35"/>
  <c r="J63" i="35"/>
  <c r="G63" i="35"/>
  <c r="J51" i="35"/>
  <c r="G51" i="35"/>
  <c r="F26" i="35"/>
  <c r="J52" i="35"/>
  <c r="G52" i="35"/>
  <c r="F31" i="35"/>
  <c r="J50" i="35"/>
  <c r="G50" i="35"/>
  <c r="J25" i="35"/>
  <c r="G25" i="35"/>
  <c r="J56" i="35"/>
  <c r="G56" i="35"/>
  <c r="F29" i="35"/>
  <c r="F28" i="35"/>
  <c r="F32" i="35"/>
  <c r="J55" i="35"/>
  <c r="G55" i="35"/>
  <c r="J51" i="33"/>
  <c r="G56" i="33"/>
  <c r="G55" i="33"/>
  <c r="J50" i="33"/>
  <c r="J67" i="33"/>
  <c r="G64" i="33"/>
  <c r="G54" i="33"/>
  <c r="G65" i="33"/>
  <c r="G66" i="33"/>
  <c r="G53" i="33"/>
  <c r="G52" i="33"/>
  <c r="F28" i="33"/>
  <c r="G28" i="33" s="1"/>
  <c r="F31" i="33"/>
  <c r="J31" i="33" s="1"/>
  <c r="F27" i="33"/>
  <c r="G27" i="33" s="1"/>
  <c r="F26" i="33"/>
  <c r="J26" i="33" s="1"/>
  <c r="F32" i="33"/>
  <c r="J32" i="33" s="1"/>
  <c r="F30" i="33"/>
  <c r="G30" i="33" s="1"/>
  <c r="J29" i="33"/>
  <c r="G29" i="33"/>
  <c r="J68" i="33"/>
  <c r="G68" i="33"/>
  <c r="J62" i="33"/>
  <c r="G62" i="33"/>
  <c r="J25" i="33"/>
  <c r="G25" i="33"/>
  <c r="J63" i="33"/>
  <c r="G63" i="33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7" i="35" l="1"/>
  <c r="J26" i="35"/>
  <c r="G26" i="35"/>
  <c r="J32" i="35"/>
  <c r="G32" i="35"/>
  <c r="J31" i="35"/>
  <c r="G31" i="35"/>
  <c r="J28" i="35"/>
  <c r="G28" i="35"/>
  <c r="J29" i="35"/>
  <c r="G29" i="35"/>
  <c r="G32" i="33"/>
  <c r="J28" i="33"/>
  <c r="G31" i="33"/>
  <c r="J27" i="33"/>
  <c r="G26" i="33"/>
  <c r="J30" i="33"/>
  <c r="G26" i="27"/>
  <c r="J32" i="27"/>
  <c r="G31" i="27"/>
  <c r="G29" i="27"/>
  <c r="J30" i="27"/>
  <c r="G27" i="27"/>
  <c r="J27" i="27"/>
  <c r="J28" i="27"/>
  <c r="G28" i="27"/>
  <c r="E8" i="9" l="1"/>
  <c r="B47" i="9"/>
  <c r="B46" i="9"/>
  <c r="B45" i="9"/>
  <c r="B44" i="9"/>
  <c r="B43" i="9"/>
  <c r="B42" i="9"/>
  <c r="B41" i="9"/>
  <c r="B40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D40" i="20"/>
  <c r="AC83" i="20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AF2" i="20" l="1" a="1"/>
  <c r="AF2" i="20" s="1"/>
  <c r="AT2" i="20" a="1"/>
  <c r="AT2" i="20" s="1"/>
  <c r="AW2" i="20" s="1" a="1"/>
  <c r="AW2" i="20" s="1"/>
  <c r="AZ2" i="20" s="1" a="1"/>
  <c r="AZ2" i="20" s="1"/>
  <c r="E5" i="20"/>
  <c r="AC60" i="20"/>
  <c r="AC68" i="20"/>
  <c r="AC49" i="20"/>
  <c r="AC40" i="20"/>
  <c r="AC43" i="20"/>
  <c r="AC28" i="20"/>
  <c r="AC13" i="20"/>
  <c r="AC63" i="20"/>
  <c r="H13" i="40" a="1"/>
  <c r="H13" i="37" a="1"/>
  <c r="H13" i="35" a="1"/>
  <c r="H13" i="33" a="1"/>
  <c r="H13" i="27" a="1"/>
  <c r="H13" i="24" a="1"/>
  <c r="H13" i="26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U26" i="20"/>
  <c r="V26" i="20"/>
  <c r="AC101" i="20"/>
  <c r="AN90" i="20"/>
  <c r="AM89" i="20"/>
  <c r="AN40" i="20"/>
  <c r="AC93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59" i="20"/>
  <c r="AM90" i="20"/>
  <c r="AD28" i="20"/>
  <c r="AD12" i="20"/>
  <c r="AM40" i="20"/>
  <c r="AC90" i="20"/>
  <c r="AM47" i="20"/>
  <c r="AC89" i="20"/>
  <c r="AM101" i="20"/>
  <c r="AM93" i="20"/>
  <c r="AM61" i="20"/>
  <c r="AN28" i="20"/>
  <c r="AC79" i="20"/>
  <c r="P26" i="20"/>
  <c r="O26" i="20"/>
  <c r="C26" i="20"/>
  <c r="D26" i="20"/>
  <c r="E6" i="20"/>
  <c r="AM15" i="20" s="1"/>
  <c r="AN12" i="20" l="1"/>
  <c r="AM28" i="20"/>
  <c r="AC67" i="20"/>
  <c r="AC50" i="20"/>
  <c r="AC11" i="20"/>
  <c r="AC59" i="20"/>
  <c r="AC31" i="20"/>
  <c r="AC61" i="20"/>
  <c r="AC42" i="20"/>
  <c r="AC10" i="20"/>
  <c r="AC51" i="20"/>
  <c r="AC27" i="20"/>
  <c r="AC32" i="20"/>
  <c r="AC46" i="20"/>
  <c r="AC71" i="20"/>
  <c r="AC15" i="20"/>
  <c r="AD32" i="20"/>
  <c r="H13" i="33"/>
  <c r="I17" i="33"/>
  <c r="I16" i="33"/>
  <c r="I14" i="33"/>
  <c r="I15" i="33"/>
  <c r="I20" i="33"/>
  <c r="I18" i="33"/>
  <c r="I19" i="33"/>
  <c r="H13" i="35"/>
  <c r="I16" i="35"/>
  <c r="I20" i="35"/>
  <c r="I17" i="35"/>
  <c r="I18" i="35"/>
  <c r="I19" i="35"/>
  <c r="I14" i="35"/>
  <c r="I15" i="35"/>
  <c r="H13" i="37"/>
  <c r="I16" i="37"/>
  <c r="I15" i="37"/>
  <c r="I20" i="37"/>
  <c r="I19" i="37"/>
  <c r="I18" i="37"/>
  <c r="I14" i="37"/>
  <c r="I17" i="37"/>
  <c r="H13" i="40"/>
  <c r="I15" i="40"/>
  <c r="I16" i="40"/>
  <c r="I20" i="40"/>
  <c r="I17" i="40"/>
  <c r="I14" i="40"/>
  <c r="I18" i="40"/>
  <c r="I19" i="40"/>
  <c r="H13" i="26"/>
  <c r="I20" i="26"/>
  <c r="I19" i="26"/>
  <c r="I14" i="26"/>
  <c r="I17" i="26"/>
  <c r="I16" i="26"/>
  <c r="I18" i="26"/>
  <c r="I15" i="26"/>
  <c r="H13" i="24"/>
  <c r="I16" i="24"/>
  <c r="I19" i="24"/>
  <c r="I20" i="24"/>
  <c r="I15" i="24"/>
  <c r="I14" i="24"/>
  <c r="I18" i="24"/>
  <c r="I17" i="24"/>
  <c r="H13" i="27"/>
  <c r="I18" i="27"/>
  <c r="I20" i="27"/>
  <c r="I14" i="27"/>
  <c r="I17" i="27"/>
  <c r="I15" i="27"/>
  <c r="I19" i="27"/>
  <c r="I16" i="27"/>
  <c r="BG33" i="20"/>
  <c r="BH70" i="20"/>
  <c r="BH84" i="20"/>
  <c r="BH28" i="20"/>
  <c r="BG84" i="20"/>
  <c r="BG28" i="20"/>
  <c r="BG70" i="20"/>
  <c r="I26" i="20"/>
  <c r="AM13" i="20"/>
  <c r="AM31" i="20"/>
  <c r="AD42" i="20"/>
  <c r="AN42" i="20"/>
  <c r="AM42" i="20"/>
  <c r="AC85" i="20"/>
  <c r="AM51" i="20"/>
  <c r="J26" i="20"/>
  <c r="E7" i="20"/>
  <c r="AM6" i="20" s="1"/>
  <c r="AN6" i="20" l="1"/>
  <c r="AC16" i="20"/>
  <c r="AC66" i="20"/>
  <c r="AC23" i="20"/>
  <c r="AC52" i="20"/>
  <c r="AC33" i="20"/>
  <c r="AC6" i="20"/>
  <c r="AC72" i="20"/>
  <c r="AM33" i="20"/>
  <c r="AM16" i="20"/>
  <c r="AD16" i="20"/>
  <c r="AD48" i="20"/>
  <c r="AN16" i="20"/>
  <c r="AN48" i="20"/>
  <c r="AD6" i="20"/>
  <c r="H25" i="35" a="1"/>
  <c r="I13" i="35"/>
  <c r="H25" i="40" a="1"/>
  <c r="I13" i="40"/>
  <c r="H25" i="37" a="1"/>
  <c r="I13" i="37"/>
  <c r="H25" i="33" a="1"/>
  <c r="I13" i="33"/>
  <c r="H25" i="24" a="1"/>
  <c r="I13" i="24"/>
  <c r="H25" i="27" a="1"/>
  <c r="I13" i="27"/>
  <c r="H25" i="26" a="1"/>
  <c r="I13" i="26"/>
  <c r="BG77" i="20"/>
  <c r="BG49" i="20"/>
  <c r="BH100" i="20"/>
  <c r="BH32" i="20"/>
  <c r="BG87" i="20"/>
  <c r="BG67" i="20"/>
  <c r="BG27" i="20"/>
  <c r="BG23" i="20"/>
  <c r="BG15" i="20"/>
  <c r="AW67" i="20"/>
  <c r="AC87" i="20"/>
  <c r="AN100" i="20"/>
  <c r="AM49" i="20"/>
  <c r="AM77" i="20"/>
  <c r="AX100" i="20"/>
  <c r="AN32" i="20"/>
  <c r="AM23" i="20"/>
  <c r="AM87" i="20"/>
  <c r="AW23" i="20"/>
  <c r="AW87" i="20"/>
  <c r="AX32" i="20"/>
  <c r="AD100" i="20"/>
  <c r="AC77" i="20"/>
  <c r="AW33" i="20"/>
  <c r="AM27" i="20"/>
  <c r="E8" i="20"/>
  <c r="AW77" i="20" s="1"/>
  <c r="AW27" i="20" l="1"/>
  <c r="BG7" i="20"/>
  <c r="AW49" i="20"/>
  <c r="AW7" i="20"/>
  <c r="AM7" i="20"/>
  <c r="AC65" i="20"/>
  <c r="AC17" i="20"/>
  <c r="AC22" i="20"/>
  <c r="AC7" i="20"/>
  <c r="AC73" i="20"/>
  <c r="AC45" i="20"/>
  <c r="AC53" i="20"/>
  <c r="AC34" i="20"/>
  <c r="AC82" i="20"/>
  <c r="AM79" i="20"/>
  <c r="AM82" i="20"/>
  <c r="AN82" i="20"/>
  <c r="AD82" i="20"/>
  <c r="AM17" i="20"/>
  <c r="AD22" i="20"/>
  <c r="BG53" i="20"/>
  <c r="AM53" i="20"/>
  <c r="AM22" i="20"/>
  <c r="BG73" i="20"/>
  <c r="AN22" i="20"/>
  <c r="H25" i="37"/>
  <c r="I32" i="37"/>
  <c r="I26" i="37"/>
  <c r="I28" i="37"/>
  <c r="I27" i="37"/>
  <c r="I29" i="37"/>
  <c r="I31" i="37"/>
  <c r="I30" i="37"/>
  <c r="H25" i="33"/>
  <c r="I31" i="33"/>
  <c r="I32" i="33"/>
  <c r="I26" i="33"/>
  <c r="I29" i="33"/>
  <c r="I27" i="33"/>
  <c r="I28" i="33"/>
  <c r="I30" i="33"/>
  <c r="H25" i="40"/>
  <c r="I27" i="40"/>
  <c r="I26" i="40"/>
  <c r="I28" i="40"/>
  <c r="I32" i="40"/>
  <c r="I30" i="40"/>
  <c r="I29" i="40"/>
  <c r="I31" i="40"/>
  <c r="H25" i="35"/>
  <c r="I30" i="35"/>
  <c r="I27" i="35"/>
  <c r="I26" i="35"/>
  <c r="I29" i="35"/>
  <c r="I28" i="35"/>
  <c r="I32" i="35"/>
  <c r="I31" i="35"/>
  <c r="H25" i="27"/>
  <c r="I26" i="27"/>
  <c r="I31" i="27"/>
  <c r="I29" i="27"/>
  <c r="I30" i="27"/>
  <c r="I28" i="27"/>
  <c r="I32" i="27"/>
  <c r="I27" i="27"/>
  <c r="H25" i="26"/>
  <c r="I32" i="26"/>
  <c r="I31" i="26"/>
  <c r="I27" i="26"/>
  <c r="I26" i="26"/>
  <c r="I28" i="26"/>
  <c r="I29" i="26"/>
  <c r="I30" i="26"/>
  <c r="H25" i="24"/>
  <c r="I29" i="24"/>
  <c r="I30" i="24"/>
  <c r="I28" i="24"/>
  <c r="I27" i="24"/>
  <c r="I31" i="24"/>
  <c r="I32" i="24"/>
  <c r="I26" i="24"/>
  <c r="BG61" i="20"/>
  <c r="BH94" i="20"/>
  <c r="BH66" i="20"/>
  <c r="BH42" i="20"/>
  <c r="BG99" i="20"/>
  <c r="BG91" i="20"/>
  <c r="BG83" i="20"/>
  <c r="BG11" i="20"/>
  <c r="BG94" i="20"/>
  <c r="BG66" i="20"/>
  <c r="AX66" i="20"/>
  <c r="AD94" i="20"/>
  <c r="AW11" i="20"/>
  <c r="AW83" i="20"/>
  <c r="AW91" i="20"/>
  <c r="AW99" i="20"/>
  <c r="AM94" i="20"/>
  <c r="AM102" i="20"/>
  <c r="AW53" i="20"/>
  <c r="AW61" i="20"/>
  <c r="AC99" i="20"/>
  <c r="AN94" i="20"/>
  <c r="AN102" i="20"/>
  <c r="AW94" i="20"/>
  <c r="AC91" i="20"/>
  <c r="AX94" i="20"/>
  <c r="AD66" i="20"/>
  <c r="AM66" i="20"/>
  <c r="AN66" i="20"/>
  <c r="AM11" i="20"/>
  <c r="AM91" i="20"/>
  <c r="AM99" i="20"/>
  <c r="AW66" i="20"/>
  <c r="AC94" i="20"/>
  <c r="E9" i="20"/>
  <c r="AC35" i="20" l="1"/>
  <c r="AC44" i="20"/>
  <c r="AC26" i="20"/>
  <c r="AC54" i="20"/>
  <c r="AC18" i="20"/>
  <c r="AC74" i="20"/>
  <c r="AC64" i="20"/>
  <c r="AC9" i="20"/>
  <c r="AD44" i="20"/>
  <c r="AM64" i="20"/>
  <c r="AN44" i="20"/>
  <c r="AD64" i="20"/>
  <c r="AN64" i="20"/>
  <c r="AM44" i="20"/>
  <c r="AN74" i="20"/>
  <c r="AM85" i="20"/>
  <c r="AM35" i="20"/>
  <c r="AD74" i="20"/>
  <c r="AX18" i="20"/>
  <c r="BH44" i="20"/>
  <c r="AN18" i="20"/>
  <c r="AD18" i="20"/>
  <c r="AW44" i="20"/>
  <c r="AW15" i="20"/>
  <c r="BH18" i="20"/>
  <c r="AX44" i="20"/>
  <c r="BG44" i="20"/>
  <c r="H37" i="33" a="1"/>
  <c r="I25" i="33"/>
  <c r="H37" i="35" a="1"/>
  <c r="I25" i="35"/>
  <c r="H37" i="40" a="1"/>
  <c r="I25" i="40"/>
  <c r="H37" i="37" a="1"/>
  <c r="I25" i="37"/>
  <c r="H37" i="26" a="1"/>
  <c r="I25" i="26"/>
  <c r="H37" i="24" a="1"/>
  <c r="I25" i="24"/>
  <c r="H37" i="27" a="1"/>
  <c r="I25" i="27"/>
  <c r="BG97" i="20"/>
  <c r="BG89" i="20"/>
  <c r="BG9" i="20"/>
  <c r="BH62" i="20"/>
  <c r="BH6" i="20"/>
  <c r="BG30" i="20"/>
  <c r="BH68" i="20"/>
  <c r="BH40" i="20"/>
  <c r="BH102" i="20"/>
  <c r="BH74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M73" i="20"/>
  <c r="AN68" i="20"/>
  <c r="AW68" i="20"/>
  <c r="AX68" i="20"/>
  <c r="AM30" i="20"/>
  <c r="AM62" i="20"/>
  <c r="AC97" i="20"/>
  <c r="AN30" i="20"/>
  <c r="AN62" i="20"/>
  <c r="AW6" i="20"/>
  <c r="AW30" i="20"/>
  <c r="AW62" i="20"/>
  <c r="AW102" i="20"/>
  <c r="AX6" i="20"/>
  <c r="AX30" i="20"/>
  <c r="AX102" i="20"/>
  <c r="AD68" i="20"/>
  <c r="AM9" i="20"/>
  <c r="AW9" i="20"/>
  <c r="AW73" i="20"/>
  <c r="AW89" i="20"/>
  <c r="AW97" i="20"/>
  <c r="AM83" i="20"/>
  <c r="E10" i="20"/>
  <c r="AC36" i="20" l="1"/>
  <c r="AC25" i="20"/>
  <c r="AC75" i="20"/>
  <c r="AC55" i="20"/>
  <c r="AC19" i="20"/>
  <c r="AC8" i="20"/>
  <c r="AM8" i="20"/>
  <c r="AN8" i="20"/>
  <c r="AM19" i="20"/>
  <c r="AD8" i="20"/>
  <c r="AM75" i="20"/>
  <c r="BG81" i="20"/>
  <c r="AX36" i="20"/>
  <c r="AM36" i="20"/>
  <c r="AN36" i="20"/>
  <c r="AD36" i="20"/>
  <c r="BH36" i="20"/>
  <c r="AW36" i="20"/>
  <c r="BG36" i="20"/>
  <c r="AW19" i="20"/>
  <c r="AW75" i="20"/>
  <c r="AW25" i="20"/>
  <c r="BG75" i="20"/>
  <c r="AM25" i="20"/>
  <c r="AX8" i="20"/>
  <c r="BG8" i="20"/>
  <c r="BG19" i="20"/>
  <c r="AW8" i="20"/>
  <c r="BG25" i="20"/>
  <c r="BH8" i="20"/>
  <c r="AW59" i="20"/>
  <c r="AW40" i="20"/>
  <c r="H37" i="37"/>
  <c r="I38" i="37"/>
  <c r="I44" i="37"/>
  <c r="I39" i="37"/>
  <c r="I43" i="37"/>
  <c r="I41" i="37"/>
  <c r="I42" i="37"/>
  <c r="I40" i="37"/>
  <c r="H37" i="40"/>
  <c r="I43" i="40"/>
  <c r="I44" i="40"/>
  <c r="I38" i="40"/>
  <c r="I41" i="40"/>
  <c r="I42" i="40"/>
  <c r="I39" i="40"/>
  <c r="I40" i="40"/>
  <c r="H37" i="35"/>
  <c r="I40" i="35"/>
  <c r="I44" i="35"/>
  <c r="I42" i="35"/>
  <c r="I39" i="35"/>
  <c r="I41" i="35"/>
  <c r="I38" i="35"/>
  <c r="I43" i="35"/>
  <c r="H37" i="33"/>
  <c r="I38" i="33"/>
  <c r="I44" i="33"/>
  <c r="I39" i="33"/>
  <c r="I42" i="33"/>
  <c r="I40" i="33"/>
  <c r="I41" i="33"/>
  <c r="I43" i="33"/>
  <c r="H37" i="24"/>
  <c r="I44" i="24"/>
  <c r="I39" i="24"/>
  <c r="I43" i="24"/>
  <c r="I38" i="24"/>
  <c r="I41" i="24"/>
  <c r="I42" i="24"/>
  <c r="I40" i="24"/>
  <c r="H37" i="27"/>
  <c r="I39" i="27"/>
  <c r="I43" i="27"/>
  <c r="I38" i="27"/>
  <c r="I40" i="27"/>
  <c r="I42" i="27"/>
  <c r="I44" i="27"/>
  <c r="I41" i="27"/>
  <c r="H37" i="26"/>
  <c r="I40" i="26"/>
  <c r="I39" i="26"/>
  <c r="I38" i="26"/>
  <c r="I42" i="26"/>
  <c r="I41" i="26"/>
  <c r="I43" i="26"/>
  <c r="I44" i="26"/>
  <c r="BG45" i="20"/>
  <c r="BG17" i="20"/>
  <c r="BH64" i="20"/>
  <c r="BH52" i="20"/>
  <c r="BH48" i="20"/>
  <c r="BH34" i="20"/>
  <c r="BH26" i="20"/>
  <c r="BH14" i="20"/>
  <c r="BG64" i="20"/>
  <c r="BG52" i="20"/>
  <c r="BG31" i="20"/>
  <c r="BG34" i="20"/>
  <c r="BG26" i="20"/>
  <c r="BG14" i="20"/>
  <c r="AX26" i="20"/>
  <c r="AX34" i="20"/>
  <c r="AD14" i="20"/>
  <c r="AM52" i="20"/>
  <c r="AW64" i="20"/>
  <c r="AN52" i="20"/>
  <c r="AM45" i="20"/>
  <c r="AW52" i="20"/>
  <c r="AX52" i="20"/>
  <c r="AM14" i="20"/>
  <c r="AW45" i="20"/>
  <c r="AN14" i="20"/>
  <c r="AW14" i="20"/>
  <c r="AD26" i="20"/>
  <c r="AX14" i="20"/>
  <c r="AD34" i="20"/>
  <c r="AW31" i="20"/>
  <c r="AX48" i="20"/>
  <c r="AX64" i="20"/>
  <c r="AD52" i="20"/>
  <c r="AN26" i="20"/>
  <c r="AM26" i="20"/>
  <c r="AM34" i="20"/>
  <c r="AW17" i="20"/>
  <c r="AN34" i="20"/>
  <c r="AM67" i="20"/>
  <c r="AW26" i="20"/>
  <c r="AW34" i="20"/>
  <c r="E11" i="20"/>
  <c r="AW5" i="20" s="1"/>
  <c r="AD20" i="20" l="1"/>
  <c r="AW20" i="20"/>
  <c r="AN20" i="20"/>
  <c r="AM20" i="20"/>
  <c r="BH20" i="20"/>
  <c r="BG37" i="20"/>
  <c r="AW37" i="20"/>
  <c r="AX20" i="20"/>
  <c r="AM37" i="20"/>
  <c r="AC56" i="20"/>
  <c r="AC20" i="20"/>
  <c r="AC5" i="20"/>
  <c r="AC37" i="20"/>
  <c r="AC24" i="20"/>
  <c r="AX24" i="20"/>
  <c r="AN24" i="20"/>
  <c r="AM5" i="20"/>
  <c r="AD24" i="20"/>
  <c r="AM24" i="20"/>
  <c r="BG5" i="20"/>
  <c r="AM80" i="20"/>
  <c r="AD80" i="20"/>
  <c r="AN80" i="20"/>
  <c r="BH80" i="20"/>
  <c r="AC80" i="20"/>
  <c r="AW80" i="20"/>
  <c r="AX80" i="20"/>
  <c r="BG80" i="20"/>
  <c r="BG20" i="20"/>
  <c r="H49" i="33" a="1"/>
  <c r="I37" i="33"/>
  <c r="H49" i="40" a="1"/>
  <c r="I37" i="40"/>
  <c r="H49" i="37" a="1"/>
  <c r="I37" i="37"/>
  <c r="H49" i="35" a="1"/>
  <c r="I37" i="35"/>
  <c r="H49" i="26" a="1"/>
  <c r="I37" i="26"/>
  <c r="H49" i="27" a="1"/>
  <c r="I37" i="27"/>
  <c r="H49" i="24" a="1"/>
  <c r="I37" i="24"/>
  <c r="BG13" i="20"/>
  <c r="BH98" i="20"/>
  <c r="BH54" i="20"/>
  <c r="BH72" i="20"/>
  <c r="BH2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AC21" i="20" l="1"/>
  <c r="AC57" i="20"/>
  <c r="AC39" i="20"/>
  <c r="AC4" i="20"/>
  <c r="AW57" i="20"/>
  <c r="AM57" i="20"/>
  <c r="BG57" i="20"/>
  <c r="BH4" i="20"/>
  <c r="H49" i="35"/>
  <c r="I53" i="35"/>
  <c r="I54" i="35"/>
  <c r="I55" i="35"/>
  <c r="I52" i="35"/>
  <c r="I51" i="35"/>
  <c r="I56" i="35"/>
  <c r="I50" i="35"/>
  <c r="H49" i="37"/>
  <c r="I56" i="37"/>
  <c r="I55" i="37"/>
  <c r="I54" i="37"/>
  <c r="I51" i="37"/>
  <c r="I50" i="37"/>
  <c r="I52" i="37"/>
  <c r="I53" i="37"/>
  <c r="H49" i="40"/>
  <c r="I50" i="40"/>
  <c r="I56" i="40"/>
  <c r="I54" i="40"/>
  <c r="I55" i="40"/>
  <c r="I52" i="40"/>
  <c r="I51" i="40"/>
  <c r="I53" i="40"/>
  <c r="H49" i="33"/>
  <c r="I54" i="33"/>
  <c r="I56" i="33"/>
  <c r="I52" i="33"/>
  <c r="I53" i="33"/>
  <c r="I55" i="33"/>
  <c r="I50" i="33"/>
  <c r="I51" i="33"/>
  <c r="H49" i="27"/>
  <c r="I51" i="27"/>
  <c r="I54" i="27"/>
  <c r="I53" i="27"/>
  <c r="I52" i="27"/>
  <c r="I56" i="27"/>
  <c r="I55" i="27"/>
  <c r="I50" i="27"/>
  <c r="H49" i="24"/>
  <c r="I52" i="24"/>
  <c r="I53" i="24"/>
  <c r="I51" i="24"/>
  <c r="I54" i="24"/>
  <c r="I55" i="24"/>
  <c r="I56" i="24"/>
  <c r="I50" i="24"/>
  <c r="H49" i="26"/>
  <c r="I53" i="26"/>
  <c r="I50" i="26"/>
  <c r="I52" i="26"/>
  <c r="I54" i="26"/>
  <c r="I55" i="26"/>
  <c r="I51" i="26"/>
  <c r="I56" i="26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51" i="20"/>
  <c r="BG47" i="20"/>
  <c r="BG39" i="20"/>
  <c r="BG22" i="20"/>
  <c r="AD70" i="20"/>
  <c r="AM76" i="20"/>
  <c r="AW51" i="20"/>
  <c r="AN88" i="20"/>
  <c r="AW88" i="20"/>
  <c r="AN76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AC38" i="20" l="1"/>
  <c r="AC58" i="20"/>
  <c r="AC3" i="20"/>
  <c r="AM3" i="20"/>
  <c r="AD38" i="20"/>
  <c r="AM38" i="20"/>
  <c r="AN38" i="20"/>
  <c r="BG3" i="20"/>
  <c r="AW3" i="20"/>
  <c r="AM58" i="20"/>
  <c r="BH58" i="20"/>
  <c r="AD58" i="20"/>
  <c r="AX58" i="20"/>
  <c r="AN58" i="20"/>
  <c r="BH38" i="20"/>
  <c r="BG58" i="20"/>
  <c r="AX38" i="20"/>
  <c r="AW58" i="20"/>
  <c r="H61" i="33" a="1"/>
  <c r="I49" i="33"/>
  <c r="H61" i="37" a="1"/>
  <c r="I49" i="37"/>
  <c r="H61" i="40" a="1"/>
  <c r="I49" i="40"/>
  <c r="H61" i="35" a="1"/>
  <c r="I49" i="35"/>
  <c r="H61" i="24" a="1"/>
  <c r="I49" i="24"/>
  <c r="H61" i="26" a="1"/>
  <c r="I49" i="26"/>
  <c r="H61" i="27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AC12" i="20" l="1"/>
  <c r="AC29" i="20"/>
  <c r="AC48" i="20"/>
  <c r="AC69" i="20"/>
  <c r="AM12" i="20"/>
  <c r="AM48" i="20"/>
  <c r="AM69" i="20"/>
  <c r="AM29" i="20"/>
  <c r="BG48" i="20"/>
  <c r="AW48" i="20"/>
  <c r="AW69" i="20"/>
  <c r="BG69" i="20"/>
  <c r="AW12" i="20"/>
  <c r="BG12" i="20"/>
  <c r="H61" i="40"/>
  <c r="I61" i="40" s="1"/>
  <c r="I68" i="40"/>
  <c r="I62" i="40"/>
  <c r="I63" i="40"/>
  <c r="I64" i="40"/>
  <c r="I67" i="40"/>
  <c r="I65" i="40"/>
  <c r="I66" i="40"/>
  <c r="H61" i="35"/>
  <c r="I61" i="35" s="1"/>
  <c r="I68" i="35"/>
  <c r="I64" i="35"/>
  <c r="I67" i="35"/>
  <c r="I66" i="35"/>
  <c r="I65" i="35"/>
  <c r="I62" i="35"/>
  <c r="I63" i="35"/>
  <c r="H61" i="37"/>
  <c r="I61" i="37" s="1"/>
  <c r="I67" i="37"/>
  <c r="I63" i="37"/>
  <c r="I64" i="37"/>
  <c r="I68" i="37"/>
  <c r="I62" i="37"/>
  <c r="I66" i="37"/>
  <c r="I65" i="37"/>
  <c r="H61" i="33"/>
  <c r="I61" i="33" s="1"/>
  <c r="I66" i="33"/>
  <c r="I64" i="33"/>
  <c r="I65" i="33"/>
  <c r="I63" i="33"/>
  <c r="I62" i="33"/>
  <c r="I68" i="33"/>
  <c r="I67" i="33"/>
  <c r="H61" i="26"/>
  <c r="I61" i="26" s="1"/>
  <c r="I65" i="26"/>
  <c r="I63" i="26"/>
  <c r="I64" i="26"/>
  <c r="I67" i="26"/>
  <c r="I62" i="26"/>
  <c r="I66" i="26"/>
  <c r="I68" i="26"/>
  <c r="H61" i="27"/>
  <c r="I61" i="27" s="1"/>
  <c r="I65" i="27"/>
  <c r="I68" i="27"/>
  <c r="I66" i="27"/>
  <c r="I67" i="27"/>
  <c r="I63" i="27"/>
  <c r="I62" i="27"/>
  <c r="I64" i="27"/>
  <c r="H61" i="24"/>
  <c r="I61" i="24" s="1"/>
  <c r="I62" i="24"/>
  <c r="I63" i="24"/>
  <c r="I68" i="24"/>
  <c r="I67" i="24"/>
  <c r="I64" i="24"/>
  <c r="I65" i="24"/>
  <c r="I66" i="24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33" l="1"/>
  <c r="I2" i="33" s="1"/>
  <c r="I1" i="35"/>
  <c r="I2" i="35" s="1"/>
  <c r="I1" i="37"/>
  <c r="I1" i="40"/>
  <c r="I1" i="27"/>
  <c r="I1" i="26"/>
  <c r="I1" i="24"/>
  <c r="AD57" i="20"/>
  <c r="E16" i="20"/>
  <c r="BH47" i="20" s="1"/>
  <c r="AD83" i="20" l="1"/>
  <c r="M23" i="40"/>
  <c r="M21" i="40"/>
  <c r="M22" i="40"/>
  <c r="M25" i="40"/>
  <c r="M24" i="40"/>
  <c r="M23" i="37"/>
  <c r="M24" i="37"/>
  <c r="M22" i="37"/>
  <c r="M25" i="37"/>
  <c r="M21" i="37"/>
  <c r="M21" i="27"/>
  <c r="M22" i="27"/>
  <c r="M23" i="27"/>
  <c r="M24" i="27"/>
  <c r="M25" i="27"/>
  <c r="I2" i="26"/>
  <c r="C7" i="9"/>
  <c r="C6" i="9"/>
  <c r="I2" i="24"/>
  <c r="C8" i="9"/>
  <c r="AD47" i="20"/>
  <c r="AD79" i="20"/>
  <c r="AN69" i="20"/>
  <c r="AN93" i="20"/>
  <c r="AD89" i="20"/>
  <c r="AN47" i="20"/>
  <c r="AN89" i="20"/>
  <c r="AD93" i="20"/>
  <c r="AD69" i="20"/>
  <c r="E17" i="20"/>
  <c r="AD67" i="20" s="1"/>
  <c r="O21" i="37" l="1" a="1"/>
  <c r="O21" i="37" s="1"/>
  <c r="I2" i="37" s="1"/>
  <c r="AD61" i="20"/>
  <c r="AN61" i="20"/>
  <c r="O21" i="40" a="1"/>
  <c r="O21" i="40" s="1"/>
  <c r="I2" i="40" s="1"/>
  <c r="D6" i="9"/>
  <c r="D7" i="9"/>
  <c r="AN59" i="20"/>
  <c r="AN75" i="20"/>
  <c r="AD95" i="20"/>
  <c r="AD59" i="20"/>
  <c r="AN101" i="20"/>
  <c r="AN95" i="20"/>
  <c r="AD75" i="20"/>
  <c r="AD101" i="20"/>
  <c r="E18" i="20"/>
  <c r="AD15" i="20" l="1"/>
  <c r="AN15" i="20"/>
  <c r="AN51" i="20"/>
  <c r="AD31" i="20"/>
  <c r="AN13" i="20"/>
  <c r="AN29" i="20"/>
  <c r="AN31" i="20"/>
  <c r="AD13" i="20"/>
  <c r="AD29" i="20"/>
  <c r="AD85" i="20"/>
  <c r="AD51" i="20"/>
  <c r="E19" i="20"/>
  <c r="BH33" i="20" s="1"/>
  <c r="AX62" i="20" l="1"/>
  <c r="AX47" i="20"/>
  <c r="AX70" i="20"/>
  <c r="AD33" i="20"/>
  <c r="AN33" i="20"/>
  <c r="BH93" i="20"/>
  <c r="BH77" i="20"/>
  <c r="BH57" i="20"/>
  <c r="BH49" i="20"/>
  <c r="BH29" i="20"/>
  <c r="BH87" i="20"/>
  <c r="BH67" i="20"/>
  <c r="BH27" i="20"/>
  <c r="BH23" i="20"/>
  <c r="BH15" i="20"/>
  <c r="AN27" i="20"/>
  <c r="AD27" i="20"/>
  <c r="AX23" i="20"/>
  <c r="AX87" i="20"/>
  <c r="AX67" i="20"/>
  <c r="AD23" i="20"/>
  <c r="AD87" i="20"/>
  <c r="AN77" i="20"/>
  <c r="AX93" i="20"/>
  <c r="AD49" i="20"/>
  <c r="AN23" i="20"/>
  <c r="AN87" i="20"/>
  <c r="AN49" i="20"/>
  <c r="AN57" i="20"/>
  <c r="AX57" i="20"/>
  <c r="AD77" i="20"/>
  <c r="AX33" i="20"/>
  <c r="E20" i="20"/>
  <c r="AX27" i="20" s="1"/>
  <c r="BH7" i="20" l="1"/>
  <c r="AN7" i="20"/>
  <c r="AD7" i="20"/>
  <c r="AX49" i="20"/>
  <c r="AX7" i="20"/>
  <c r="AX77" i="20"/>
  <c r="AX29" i="20"/>
  <c r="AX42" i="20"/>
  <c r="AD53" i="20"/>
  <c r="AN79" i="20"/>
  <c r="BH73" i="20"/>
  <c r="AN53" i="20"/>
  <c r="BH53" i="20"/>
  <c r="AD17" i="20"/>
  <c r="AN17" i="20"/>
  <c r="BH61" i="20"/>
  <c r="BH25" i="20"/>
  <c r="BH99" i="20"/>
  <c r="BH91" i="20"/>
  <c r="BH83" i="20"/>
  <c r="BH75" i="20"/>
  <c r="BH11" i="20"/>
  <c r="AN11" i="20"/>
  <c r="AN91" i="20"/>
  <c r="AN99" i="20"/>
  <c r="AD99" i="20"/>
  <c r="AX11" i="20"/>
  <c r="AX75" i="20"/>
  <c r="AX83" i="20"/>
  <c r="AX91" i="20"/>
  <c r="AX99" i="20"/>
  <c r="AD11" i="20"/>
  <c r="AD91" i="20"/>
  <c r="AX53" i="20"/>
  <c r="AX61" i="20"/>
  <c r="AD25" i="20"/>
  <c r="AN25" i="20"/>
  <c r="AX25" i="20"/>
  <c r="E21" i="20"/>
  <c r="AN35" i="20" l="1"/>
  <c r="AD35" i="20"/>
  <c r="AN85" i="20"/>
  <c r="AX15" i="20"/>
  <c r="BH97" i="20"/>
  <c r="BH89" i="20"/>
  <c r="BH9" i="20"/>
  <c r="BH59" i="20"/>
  <c r="AN83" i="20"/>
  <c r="AD73" i="20"/>
  <c r="AD97" i="20"/>
  <c r="AD9" i="20"/>
  <c r="AN9" i="20"/>
  <c r="AN73" i="20"/>
  <c r="AN97" i="20"/>
  <c r="AX9" i="20"/>
  <c r="AX73" i="20"/>
  <c r="AX89" i="20"/>
  <c r="AX97" i="20"/>
  <c r="E22" i="20"/>
  <c r="AX59" i="20" s="1"/>
  <c r="AX40" i="20" l="1"/>
  <c r="AD19" i="20"/>
  <c r="AN81" i="20"/>
  <c r="AN19" i="20"/>
  <c r="AD81" i="20"/>
  <c r="BH81" i="20"/>
  <c r="AX19" i="20"/>
  <c r="BH19" i="20"/>
  <c r="AX81" i="20"/>
  <c r="BH45" i="20"/>
  <c r="BH17" i="20"/>
  <c r="BH60" i="20"/>
  <c r="BH79" i="20"/>
  <c r="BH95" i="20"/>
  <c r="BH31" i="20"/>
  <c r="AN67" i="20"/>
  <c r="AN60" i="20"/>
  <c r="AX79" i="20"/>
  <c r="AN37" i="20"/>
  <c r="AN45" i="20"/>
  <c r="AX60" i="20"/>
  <c r="AX45" i="20"/>
  <c r="AX31" i="20"/>
  <c r="AX95" i="20"/>
  <c r="AD60" i="20"/>
  <c r="AD45" i="20"/>
  <c r="AX17" i="20"/>
  <c r="E23" i="20"/>
  <c r="AD5" i="20" l="1"/>
  <c r="AN5" i="20"/>
  <c r="BH5" i="20"/>
  <c r="AD37" i="20"/>
  <c r="AX37" i="20"/>
  <c r="BH37" i="20"/>
  <c r="AX5" i="20"/>
  <c r="BH69" i="20"/>
  <c r="BH13" i="20"/>
  <c r="BH46" i="20"/>
  <c r="BH43" i="20"/>
  <c r="AN43" i="20"/>
  <c r="AD46" i="20"/>
  <c r="AX43" i="20"/>
  <c r="AN21" i="20"/>
  <c r="AN46" i="20"/>
  <c r="AX13" i="20"/>
  <c r="AX69" i="20"/>
  <c r="AD43" i="20"/>
  <c r="AX46" i="20"/>
  <c r="E24" i="20"/>
  <c r="AD21" i="20" s="1"/>
  <c r="BH65" i="20" l="1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AD3" i="20" l="1"/>
  <c r="AN3" i="20"/>
  <c r="AX3" i="20"/>
  <c r="BH3" i="20"/>
  <c r="K3" i="20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5" i="2" s="1"/>
  <c r="Z3" i="2" a="1"/>
  <c r="Z3" i="2" s="1"/>
  <c r="Z15" i="2" s="1"/>
  <c r="AA3" i="2" a="1"/>
  <c r="AA3" i="2" s="1"/>
  <c r="AA15" i="2" s="1"/>
  <c r="AB3" i="2" a="1"/>
  <c r="AB3" i="2" s="1"/>
  <c r="AB15" i="2" s="1"/>
  <c r="AC3" i="2" a="1"/>
  <c r="AC3" i="2" s="1"/>
  <c r="AC15" i="2" s="1"/>
  <c r="AD3" i="2" a="1"/>
  <c r="AD3" i="2" s="1"/>
  <c r="AD15" i="2" s="1"/>
  <c r="AE3" i="2" a="1"/>
  <c r="AE3" i="2" s="1"/>
  <c r="AE15" i="2" s="1"/>
  <c r="AF3" i="2" a="1"/>
  <c r="AF3" i="2" s="1"/>
  <c r="AF15" i="2" s="1"/>
  <c r="AG3" i="2" a="1"/>
  <c r="AG3" i="2" s="1"/>
  <c r="AG15" i="2" s="1"/>
  <c r="W3" i="2" a="1"/>
  <c r="W3" i="2" s="1"/>
  <c r="W15" i="2" s="1"/>
  <c r="R3" i="2" a="1"/>
  <c r="R3" i="2" s="1"/>
  <c r="AH18" i="19" s="1" a="1"/>
  <c r="O3" i="2" a="1"/>
  <c r="O3" i="2" s="1"/>
  <c r="M3" i="2" a="1"/>
  <c r="M3" i="2" s="1"/>
  <c r="AH2" i="19" s="1" a="1"/>
  <c r="B1" i="9"/>
  <c r="F2" i="19" a="1"/>
  <c r="F2" i="19" s="1"/>
  <c r="AH18" i="19" l="1"/>
  <c r="AH2" i="19"/>
  <c r="AI33" i="19"/>
  <c r="Y3" i="2" a="1"/>
  <c r="Y3" i="2" s="1"/>
  <c r="Y15" i="2" s="1"/>
  <c r="T3" i="2" s="1" a="1"/>
  <c r="T3" i="2" s="1"/>
  <c r="T16" i="2" s="1" a="1"/>
  <c r="T16" i="2" s="1"/>
  <c r="O14" i="2" s="1"/>
  <c r="O15" i="2" s="1"/>
  <c r="T15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I13" i="2"/>
  <c r="G26" i="2"/>
  <c r="J63" i="2"/>
  <c r="I63" i="2" s="1"/>
  <c r="G40" i="2"/>
  <c r="G65" i="2"/>
  <c r="G64" i="2"/>
  <c r="J68" i="2"/>
  <c r="I68" i="2" s="1"/>
  <c r="J30" i="2"/>
  <c r="I30" i="2" s="1"/>
  <c r="G30" i="2"/>
  <c r="E5" i="9" l="1"/>
  <c r="I1" i="2"/>
  <c r="C5" i="9" l="1"/>
  <c r="I2" i="2"/>
  <c r="D5" i="9" l="1"/>
  <c r="B3" i="9" l="1"/>
  <c r="N65" i="28" l="1"/>
  <c r="N64" i="28"/>
  <c r="O64" i="28" s="1" a="1"/>
  <c r="O64" i="28" s="1"/>
  <c r="Q134" i="28" a="1"/>
  <c r="Q134" i="28" s="1"/>
  <c r="O62" i="28" l="1"/>
  <c r="O2" i="28" l="1"/>
  <c r="Q2" i="28" s="1"/>
  <c r="O21" i="27" l="1" a="1"/>
  <c r="O21" i="27" s="1"/>
  <c r="I2" i="27" s="1"/>
  <c r="D8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<sst xmlns="http://schemas.openxmlformats.org/spreadsheetml/2006/main" count="12338" uniqueCount="315">
  <si>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</si>
  <si>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</si>
  <si>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</si>
  <si>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</si>
  <si>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</si>
  <si>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</si>
  <si>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</si>
  <si>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</si>
  <si>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</si>
  <si>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</si>
  <si>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</si>
  <si>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</si>
  <si>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</si>
  <si>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</si>
  <si>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</si>
  <si>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</si>
  <si>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</si>
  <si>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</si>
  <si>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</si>
  <si>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</si>
  <si>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</si>
  <si>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</si>
  <si>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</si>
  <si>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</si>
  <si>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</si>
  <si>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</si>
  <si>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</si>
  <si>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</si>
  <si>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</si>
  <si>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</si>
  <si>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</si>
  <si>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</si>
  <si>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</si>
  <si>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</si>
  <si>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</si>
  <si>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</si>
  <si>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</si>
  <si>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</si>
  <si>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</si>
  <si>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</si>
  <si>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</si>
  <si>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</si>
  <si>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</si>
  <si>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</si>
  <si>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</si>
  <si>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</si>
  <si>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</si>
  <si>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</si>
  <si>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</si>
  <si>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</si>
  <si>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</si>
  <si>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</si>
  <si>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</si>
  <si>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</si>
  <si>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</si>
  <si>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</si>
  <si>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</si>
  <si>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</si>
  <si>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</si>
  <si>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</si>
  <si>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</si>
  <si>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</si>
  <si>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</si>
  <si>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</si>
  <si>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</si>
  <si>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</si>
  <si>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</si>
  <si>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</si>
  <si>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</si>
  <si>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</si>
  <si>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</si>
  <si>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</si>
  <si>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</si>
  <si>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</si>
  <si>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</si>
  <si>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</si>
  <si>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</si>
  <si>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</si>
  <si>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</si>
  <si>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</si>
  <si>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</si>
  <si>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</si>
  <si>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</si>
  <si>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</si>
  <si>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</si>
  <si>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</si>
  <si>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</si>
  <si>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</si>
  <si>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</si>
  <si>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</si>
  <si>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</si>
  <si>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</si>
  <si>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</si>
  <si>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</si>
  <si>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</si>
  <si>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</si>
  <si>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</si>
  <si>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</si>
  <si>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</si>
  <si>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</si>
  <si>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</si>
  <si>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</si>
  <si>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</si>
  <si>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</si>
  <si>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</si>
  <si>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</si>
  <si>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</si>
  <si>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</si>
  <si>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</si>
  <si>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</si>
  <si>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</si>
  <si>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</si>
  <si>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</si>
  <si>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</si>
  <si>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</si>
  <si>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</si>
  <si>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</si>
  <si>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</si>
  <si>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</si>
  <si>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</si>
  <si>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</si>
  <si>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</si>
  <si>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</si>
  <si>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</si>
  <si>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</si>
  <si>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</si>
  <si>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</si>
  <si>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</si>
  <si>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</si>
  <si>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</si>
  <si>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</si>
  <si>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</si>
  <si>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</si>
  <si>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</si>
  <si>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</si>
  <si>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</si>
  <si>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</si>
  <si>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</si>
  <si>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</si>
  <si>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</si>
  <si>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</si>
  <si>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</si>
  <si>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</si>
  <si>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</si>
  <si>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</si>
  <si>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</si>
  <si>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</si>
  <si>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</si>
  <si>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</si>
  <si>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</si>
  <si>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</si>
  <si>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</si>
  <si>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</si>
  <si>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</si>
  <si>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</si>
  <si>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</si>
  <si>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</si>
  <si>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</si>
  <si>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</si>
  <si>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</si>
  <si>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</si>
  <si>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</si>
  <si>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</si>
  <si>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</si>
  <si>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</si>
  <si>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</si>
  <si>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</si>
  <si>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</si>
  <si>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</si>
  <si>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</si>
  <si>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</si>
  <si>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</si>
  <si>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</si>
  <si>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</si>
  <si>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</si>
  <si>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</si>
  <si>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</si>
  <si>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</si>
  <si>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</si>
  <si>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</si>
  <si>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</si>
  <si>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</si>
  <si>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</si>
  <si>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</si>
  <si>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</si>
  <si>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</si>
  <si>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</si>
  <si>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</si>
  <si>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</si>
  <si>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</si>
  <si>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</si>
  <si>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</si>
  <si>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</si>
  <si>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</si>
  <si>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</si>
  <si>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</si>
  <si>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</si>
  <si>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</si>
  <si>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</si>
  <si>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</si>
  <si>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</si>
  <si>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</si>
  <si>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</si>
  <si>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</si>
  <si>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</si>
  <si>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</si>
  <si>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</si>
  <si>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</si>
  <si>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</si>
  <si>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</si>
  <si>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</si>
  <si>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</si>
  <si>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</si>
  <si>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</si>
  <si>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</si>
  <si>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</si>
  <si>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</si>
  <si>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</si>
  <si>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</si>
  <si>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</si>
  <si>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</si>
  <si>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</si>
  <si>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</si>
  <si>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</si>
  <si>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</si>
  <si>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</si>
  <si>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</si>
  <si>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</si>
  <si>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</si>
  <si>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</si>
  <si>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</si>
  <si>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</si>
  <si>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</si>
  <si>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</si>
  <si>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</si>
  <si>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</si>
  <si>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</si>
  <si>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</si>
  <si>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</si>
  <si>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</si>
  <si>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</si>
  <si>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</si>
  <si>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</si>
  <si>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</si>
  <si>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</si>
  <si>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</si>
  <si>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</si>
  <si>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</si>
  <si>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</si>
  <si>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</si>
  <si>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</si>
  <si>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</si>
  <si>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</si>
  <si>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</si>
  <si>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</si>
  <si>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</si>
  <si>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</si>
  <si>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</si>
  <si>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</si>
  <si>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</si>
  <si>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</si>
  <si>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</si>
  <si>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</si>
  <si>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</si>
  <si>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</si>
  <si>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</si>
  <si>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</si>
  <si>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</si>
  <si>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</si>
  <si>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</si>
  <si>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H020192</t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</si>
  <si>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</si>
  <si>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</si>
  <si>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</si>
  <si>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</si>
  <si>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</si>
  <si>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</si>
  <si>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</si>
  <si>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</si>
  <si>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</si>
  <si>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</si>
  <si>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</si>
  <si>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</si>
  <si>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</si>
  <si>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</si>
  <si>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</si>
  <si>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</si>
  <si>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</si>
  <si>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</si>
  <si>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</si>
  <si>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</si>
  <si>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</si>
  <si>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</si>
  <si>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</si>
  <si>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</si>
  <si>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Bet Type</t>
  </si>
  <si>
    <t>SCR</t>
  </si>
  <si>
    <t>Source Report</t>
  </si>
  <si>
    <t>NB_Newbie</t>
  </si>
  <si>
    <t>H020192A_02020000_2610200354_betmode0_108_8807_newbie.xlsx｜Newbie 獨立值</t>
  </si>
  <si>
    <t>NB</t>
  </si>
  <si>
    <t>H020192A_02020000_2610200441_betmode0_108_8693_oldhand.xlsx｜Oldhand</t>
  </si>
  <si>
    <t>EB1_Newbie</t>
  </si>
  <si>
    <t>H020192A_02020000_2610200356_betmode1_108_8810_newbie.xlsx｜Newbie 獨立值</t>
  </si>
  <si>
    <t>EB1</t>
  </si>
  <si>
    <t>H020192A_02020000_2610200442_betmode1_108_8701_oldhand.xlsx｜Oldhand</t>
  </si>
  <si>
    <t>EB2_Newbie</t>
  </si>
  <si>
    <t>H020192A_02020000_2610200359_betmode2_108_8802_newbie.xlsx｜Newbie 獨立值</t>
  </si>
  <si>
    <t>EB2</t>
  </si>
  <si>
    <t>H020192A_02020000_2610200445_betmode2_108_8686_oldhand.xlsx｜Oldhand</t>
  </si>
  <si>
    <t>SF_Newbie</t>
  </si>
  <si>
    <t>H020192A_02020000_2610200423_betmode3_108_8801_newbie.xlsx｜Newbie 獨立值</t>
  </si>
  <si>
    <t>SF</t>
  </si>
  <si>
    <t>H020192A_02020000_2610200353_betmode3_108_8799_oldhand.xlsx｜Oldhand</t>
  </si>
  <si>
    <t>2.2.1.0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</si>
</sst>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  <font>
      <b/>
      <sz val="12"/>
      <name val="新細明體"/>
      <family val="1"/>
      <charset val="136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2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0" fontId="12" fillId="0" borderId="0" xfId="0" applyFont="1">
      <alignment vertical="center"/>
    </xf>
    <xf numFmtId="3" fontId="0" fillId="0" borderId="0" xfId="0" applyNumberFormat="1">
      <alignment vertical="center"/>
    </xf>
    <xf numFmtId="0" fontId="3" fillId="14" borderId="7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4" borderId="9" xfId="0" applyFont="1" applyFill="1" applyBorder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4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1.1248721999999999E-2</c:v>
                </c:pt>
                <c:pt idx="1">
                  <c:v>1.5597397000000001E-2</c:v>
                </c:pt>
                <c:pt idx="2">
                  <c:v>1.1058851999999999E-2</c:v>
                </c:pt>
                <c:pt idx="3">
                  <c:v>1.1752891999999999E-2</c:v>
                </c:pt>
                <c:pt idx="4">
                  <c:v>9.5848540000000003E-3</c:v>
                </c:pt>
                <c:pt idx="5">
                  <c:v>7.6499259999999996E-3</c:v>
                </c:pt>
                <c:pt idx="6">
                  <c:v>1.858782E-3</c:v>
                </c:pt>
                <c:pt idx="7">
                  <c:v>7.9801060000000007E-3</c:v>
                </c:pt>
                <c:pt idx="8">
                  <c:v>2.9194210000000002E-3</c:v>
                </c:pt>
                <c:pt idx="9">
                  <c:v>5.8726029999999997E-3</c:v>
                </c:pt>
                <c:pt idx="10">
                  <c:v>9.3519399999999996E-3</c:v>
                </c:pt>
                <c:pt idx="11">
                  <c:v>5.5502210000000001E-3</c:v>
                </c:pt>
                <c:pt idx="12">
                  <c:v>2.3259159999999999E-3</c:v>
                </c:pt>
                <c:pt idx="13">
                  <c:v>2.01571E-3</c:v>
                </c:pt>
                <c:pt idx="14">
                  <c:v>3.8511699999999998E-4</c:v>
                </c:pt>
                <c:pt idx="15">
                  <c:v>8.9844000000000002E-4</c:v>
                </c:pt>
                <c:pt idx="16">
                  <c:v>2.0863699999999999E-4</c:v>
                </c:pt>
                <c:pt idx="17">
                  <c:v>1.043003E-3</c:v>
                </c:pt>
                <c:pt idx="18">
                  <c:v>4.0659399999999998E-4</c:v>
                </c:pt>
                <c:pt idx="19">
                  <c:v>4.1795000000000002E-5</c:v>
                </c:pt>
                <c:pt idx="20">
                  <c:v>1.79137E-4</c:v>
                </c:pt>
                <c:pt idx="21">
                  <c:v>6.8918000000000007E-5</c:v>
                </c:pt>
                <c:pt idx="22">
                  <c:v>1.2998099999999999E-4</c:v>
                </c:pt>
                <c:pt idx="23">
                  <c:v>8.195E-5</c:v>
                </c:pt>
                <c:pt idx="24">
                  <c:v>1.9854E-5</c:v>
                </c:pt>
                <c:pt idx="25">
                  <c:v>1.3361E-5</c:v>
                </c:pt>
                <c:pt idx="26">
                  <c:v>1.1905E-5</c:v>
                </c:pt>
                <c:pt idx="27">
                  <c:v>5.2850000000000002E-6</c:v>
                </c:pt>
                <c:pt idx="28">
                  <c:v>5.6200000000000004E-6</c:v>
                </c:pt>
                <c:pt idx="29">
                  <c:v>6.6000000000000003E-7</c:v>
                </c:pt>
                <c:pt idx="30">
                  <c:v>3.3000000000000002E-7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6.1999999999999999E-8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2.05E-7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3.868065E-3</c:v>
                </c:pt>
                <c:pt idx="1">
                  <c:v>1.1187304E-2</c:v>
                </c:pt>
                <c:pt idx="2">
                  <c:v>5.7238549999999999E-3</c:v>
                </c:pt>
                <c:pt idx="3">
                  <c:v>1.0551458999999999E-2</c:v>
                </c:pt>
                <c:pt idx="4">
                  <c:v>9.8434330000000004E-3</c:v>
                </c:pt>
                <c:pt idx="5">
                  <c:v>8.695263E-3</c:v>
                </c:pt>
                <c:pt idx="6">
                  <c:v>1.9840510000000001E-3</c:v>
                </c:pt>
                <c:pt idx="7">
                  <c:v>9.0421570000000003E-3</c:v>
                </c:pt>
                <c:pt idx="8">
                  <c:v>3.4137999999999998E-3</c:v>
                </c:pt>
                <c:pt idx="9">
                  <c:v>7.9408410000000006E-3</c:v>
                </c:pt>
                <c:pt idx="10">
                  <c:v>1.3847816000000001E-2</c:v>
                </c:pt>
                <c:pt idx="11">
                  <c:v>8.7147200000000005E-3</c:v>
                </c:pt>
                <c:pt idx="12">
                  <c:v>4.8639030000000001E-3</c:v>
                </c:pt>
                <c:pt idx="13">
                  <c:v>3.2409629999999999E-3</c:v>
                </c:pt>
                <c:pt idx="14">
                  <c:v>5.8186900000000005E-4</c:v>
                </c:pt>
                <c:pt idx="15">
                  <c:v>1.952903E-3</c:v>
                </c:pt>
                <c:pt idx="16">
                  <c:v>6.6693000000000004E-4</c:v>
                </c:pt>
                <c:pt idx="17">
                  <c:v>9.7347299999999998E-4</c:v>
                </c:pt>
                <c:pt idx="18">
                  <c:v>9.39306E-4</c:v>
                </c:pt>
                <c:pt idx="19">
                  <c:v>1.08282E-4</c:v>
                </c:pt>
                <c:pt idx="20">
                  <c:v>3.58294E-4</c:v>
                </c:pt>
                <c:pt idx="21">
                  <c:v>2.0877800000000001E-4</c:v>
                </c:pt>
                <c:pt idx="22">
                  <c:v>3.5035099999999999E-4</c:v>
                </c:pt>
                <c:pt idx="23">
                  <c:v>1.79402E-4</c:v>
                </c:pt>
                <c:pt idx="24">
                  <c:v>4.1041999999999998E-5</c:v>
                </c:pt>
                <c:pt idx="25">
                  <c:v>1.32786E-4</c:v>
                </c:pt>
                <c:pt idx="26">
                  <c:v>3.2369999999999997E-5</c:v>
                </c:pt>
                <c:pt idx="27">
                  <c:v>3.9907000000000003E-5</c:v>
                </c:pt>
                <c:pt idx="28">
                  <c:v>5.4978000000000001E-5</c:v>
                </c:pt>
                <c:pt idx="29">
                  <c:v>2.1542000000000001E-5</c:v>
                </c:pt>
                <c:pt idx="30">
                  <c:v>2.1500000000000002E-6</c:v>
                </c:pt>
                <c:pt idx="31">
                  <c:v>1.0720000000000001E-6</c:v>
                </c:pt>
                <c:pt idx="32">
                  <c:v>5.3750000000000002E-6</c:v>
                </c:pt>
                <c:pt idx="33">
                  <c:v>1.5048000000000001E-5</c:v>
                </c:pt>
                <c:pt idx="34">
                  <c:v>4.296E-6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9.2099999999999995E-7</c:v>
                </c:pt>
                <c:pt idx="45">
                  <c:v>4.0999999999999999E-7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3.2115336000000001E-2</c:v>
                      </c:pt>
                      <c:pt idx="8">
                        <c:v>0</c:v>
                      </c:pt>
                      <c:pt idx="9">
                        <c:v>2.4198962000000001E-2</c:v>
                      </c:pt>
                      <c:pt idx="10">
                        <c:v>3.8612109999999998E-3</c:v>
                      </c:pt>
                      <c:pt idx="11">
                        <c:v>1.3261838999999999E-2</c:v>
                      </c:pt>
                      <c:pt idx="12">
                        <c:v>8.3521210000000005E-3</c:v>
                      </c:pt>
                      <c:pt idx="13">
                        <c:v>6.624296E-3</c:v>
                      </c:pt>
                      <c:pt idx="14">
                        <c:v>4.4335049999999999E-3</c:v>
                      </c:pt>
                      <c:pt idx="15">
                        <c:v>3.884101E-3</c:v>
                      </c:pt>
                      <c:pt idx="16">
                        <c:v>8.2502170000000007E-3</c:v>
                      </c:pt>
                      <c:pt idx="17">
                        <c:v>2.8126480000000001E-3</c:v>
                      </c:pt>
                      <c:pt idx="18">
                        <c:v>2.9198649999999998E-3</c:v>
                      </c:pt>
                      <c:pt idx="19">
                        <c:v>7.9921300000000001E-4</c:v>
                      </c:pt>
                      <c:pt idx="20">
                        <c:v>1.492822E-3</c:v>
                      </c:pt>
                      <c:pt idx="21">
                        <c:v>1.4025245E-2</c:v>
                      </c:pt>
                      <c:pt idx="22">
                        <c:v>2.1120980000000002E-3</c:v>
                      </c:pt>
                      <c:pt idx="23">
                        <c:v>5.7976999999999996E-4</c:v>
                      </c:pt>
                      <c:pt idx="24">
                        <c:v>8.2268999999999994E-5</c:v>
                      </c:pt>
                      <c:pt idx="25">
                        <c:v>1.4461500000000001E-4</c:v>
                      </c:pt>
                      <c:pt idx="26">
                        <c:v>4.8113990000000001E-3</c:v>
                      </c:pt>
                      <c:pt idx="27">
                        <c:v>7.6674999999999993E-5</c:v>
                      </c:pt>
                      <c:pt idx="28">
                        <c:v>2.9654000000000001E-5</c:v>
                      </c:pt>
                      <c:pt idx="29">
                        <c:v>2.057106E-3</c:v>
                      </c:pt>
                      <c:pt idx="30">
                        <c:v>6.1658399999999999E-4</c:v>
                      </c:pt>
                      <c:pt idx="31">
                        <c:v>0</c:v>
                      </c:pt>
                      <c:pt idx="32">
                        <c:v>8.0006599999999999E-4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2.7410100000000001E-4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9.2137000000000002E-5</c:v>
                      </c:pt>
                      <c:pt idx="46">
                        <c:v>0</c:v>
                      </c:pt>
                      <c:pt idx="47">
                        <c:v>5.7748999999999999E-5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9.2582427999999994E-2</c:v>
                      </c:pt>
                      <c:pt idx="19">
                        <c:v>7.2278590000000004E-2</c:v>
                      </c:pt>
                      <c:pt idx="20">
                        <c:v>6.2011653E-2</c:v>
                      </c:pt>
                      <c:pt idx="21">
                        <c:v>7.4825468000000006E-2</c:v>
                      </c:pt>
                      <c:pt idx="22">
                        <c:v>0.13759199899999999</c:v>
                      </c:pt>
                      <c:pt idx="23">
                        <c:v>0.15113370800000001</c:v>
                      </c:pt>
                      <c:pt idx="24">
                        <c:v>7.9065117000000004E-2</c:v>
                      </c:pt>
                      <c:pt idx="25">
                        <c:v>3.5844607000000001E-2</c:v>
                      </c:pt>
                      <c:pt idx="26">
                        <c:v>2.0331472999999999E-2</c:v>
                      </c:pt>
                      <c:pt idx="27">
                        <c:v>2.9684537E-2</c:v>
                      </c:pt>
                      <c:pt idx="28">
                        <c:v>1.2491578E-2</c:v>
                      </c:pt>
                      <c:pt idx="29">
                        <c:v>7.1850743999999994E-2</c:v>
                      </c:pt>
                      <c:pt idx="30">
                        <c:v>1.0721110000000001E-2</c:v>
                      </c:pt>
                      <c:pt idx="31">
                        <c:v>1.2204847E-2</c:v>
                      </c:pt>
                      <c:pt idx="32">
                        <c:v>9.4560170000000006E-3</c:v>
                      </c:pt>
                      <c:pt idx="33">
                        <c:v>1.170771E-2</c:v>
                      </c:pt>
                      <c:pt idx="34">
                        <c:v>3.3606181999999998E-2</c:v>
                      </c:pt>
                      <c:pt idx="35">
                        <c:v>1.7630040999999999E-2</c:v>
                      </c:pt>
                      <c:pt idx="36">
                        <c:v>1.1605231000000001E-2</c:v>
                      </c:pt>
                      <c:pt idx="37">
                        <c:v>5.4467220000000002E-3</c:v>
                      </c:pt>
                      <c:pt idx="38">
                        <c:v>4.5929930000000001E-3</c:v>
                      </c:pt>
                      <c:pt idx="39">
                        <c:v>7.5329769999999997E-3</c:v>
                      </c:pt>
                      <c:pt idx="40">
                        <c:v>4.2150959999999998E-3</c:v>
                      </c:pt>
                      <c:pt idx="41">
                        <c:v>4.0867589999999997E-3</c:v>
                      </c:pt>
                      <c:pt idx="42">
                        <c:v>3.1331060000000001E-3</c:v>
                      </c:pt>
                      <c:pt idx="43">
                        <c:v>5.7069540000000002E-3</c:v>
                      </c:pt>
                      <c:pt idx="44">
                        <c:v>1.3973975E-2</c:v>
                      </c:pt>
                      <c:pt idx="45">
                        <c:v>1.4171819999999999E-3</c:v>
                      </c:pt>
                      <c:pt idx="46">
                        <c:v>1.129391E-3</c:v>
                      </c:pt>
                      <c:pt idx="47">
                        <c:v>8.8822300000000005E-4</c:v>
                      </c:pt>
                      <c:pt idx="48">
                        <c:v>2.9218700000000001E-4</c:v>
                      </c:pt>
                      <c:pt idx="49">
                        <c:v>2.7417700000000001E-4</c:v>
                      </c:pt>
                      <c:pt idx="50">
                        <c:v>2.5401800000000001E-4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8.195E-5</c:v>
                </c:pt>
                <c:pt idx="1">
                  <c:v>1.9854E-5</c:v>
                </c:pt>
                <c:pt idx="2">
                  <c:v>1.3361E-5</c:v>
                </c:pt>
                <c:pt idx="3">
                  <c:v>1.1905E-5</c:v>
                </c:pt>
                <c:pt idx="4">
                  <c:v>5.2850000000000002E-6</c:v>
                </c:pt>
                <c:pt idx="5">
                  <c:v>5.6200000000000004E-6</c:v>
                </c:pt>
                <c:pt idx="6">
                  <c:v>6.6000000000000003E-7</c:v>
                </c:pt>
                <c:pt idx="7">
                  <c:v>3.3000000000000002E-7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6.1999999999999999E-8</c:v>
                </c:pt>
                <c:pt idx="12">
                  <c:v>2.05E-7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1.79402E-4</c:v>
                      </c:pt>
                      <c:pt idx="1">
                        <c:v>4.1041999999999998E-5</c:v>
                      </c:pt>
                      <c:pt idx="2">
                        <c:v>1.32786E-4</c:v>
                      </c:pt>
                      <c:pt idx="3">
                        <c:v>3.2369999999999997E-5</c:v>
                      </c:pt>
                      <c:pt idx="4">
                        <c:v>3.9907000000000003E-5</c:v>
                      </c:pt>
                      <c:pt idx="5">
                        <c:v>5.4978000000000001E-5</c:v>
                      </c:pt>
                      <c:pt idx="6">
                        <c:v>2.1542000000000001E-5</c:v>
                      </c:pt>
                      <c:pt idx="7">
                        <c:v>2.1500000000000002E-6</c:v>
                      </c:pt>
                      <c:pt idx="8">
                        <c:v>1.0720000000000001E-6</c:v>
                      </c:pt>
                      <c:pt idx="9">
                        <c:v>5.3750000000000002E-6</c:v>
                      </c:pt>
                      <c:pt idx="10">
                        <c:v>1.5048000000000001E-5</c:v>
                      </c:pt>
                      <c:pt idx="11">
                        <c:v>4.296E-6</c:v>
                      </c:pt>
                      <c:pt idx="12">
                        <c:v>9.2099999999999995E-7</c:v>
                      </c:pt>
                      <c:pt idx="13">
                        <c:v>4.0999999999999999E-7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5.7976999999999996E-4</c:v>
                      </c:pt>
                      <c:pt idx="1">
                        <c:v>8.2268999999999994E-5</c:v>
                      </c:pt>
                      <c:pt idx="2">
                        <c:v>1.4461500000000001E-4</c:v>
                      </c:pt>
                      <c:pt idx="3">
                        <c:v>4.8113990000000001E-3</c:v>
                      </c:pt>
                      <c:pt idx="4">
                        <c:v>7.6674999999999993E-5</c:v>
                      </c:pt>
                      <c:pt idx="5">
                        <c:v>2.9654000000000001E-5</c:v>
                      </c:pt>
                      <c:pt idx="6">
                        <c:v>2.057106E-3</c:v>
                      </c:pt>
                      <c:pt idx="7">
                        <c:v>6.1658399999999999E-4</c:v>
                      </c:pt>
                      <c:pt idx="8">
                        <c:v>0</c:v>
                      </c:pt>
                      <c:pt idx="9">
                        <c:v>8.0006599999999999E-4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9.2137000000000002E-5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0.15113370800000001</c:v>
                      </c:pt>
                      <c:pt idx="1">
                        <c:v>7.9065117000000004E-2</c:v>
                      </c:pt>
                      <c:pt idx="2">
                        <c:v>3.5844607000000001E-2</c:v>
                      </c:pt>
                      <c:pt idx="3">
                        <c:v>2.0331472999999999E-2</c:v>
                      </c:pt>
                      <c:pt idx="4">
                        <c:v>2.9684537E-2</c:v>
                      </c:pt>
                      <c:pt idx="5">
                        <c:v>1.2491578E-2</c:v>
                      </c:pt>
                      <c:pt idx="6">
                        <c:v>7.1850743999999994E-2</c:v>
                      </c:pt>
                      <c:pt idx="7">
                        <c:v>1.0721110000000001E-2</c:v>
                      </c:pt>
                      <c:pt idx="8">
                        <c:v>1.2204847E-2</c:v>
                      </c:pt>
                      <c:pt idx="9">
                        <c:v>9.4560170000000006E-3</c:v>
                      </c:pt>
                      <c:pt idx="10">
                        <c:v>1.170771E-2</c:v>
                      </c:pt>
                      <c:pt idx="11">
                        <c:v>3.3606181999999998E-2</c:v>
                      </c:pt>
                      <c:pt idx="12">
                        <c:v>1.3973975E-2</c:v>
                      </c:pt>
                      <c:pt idx="13">
                        <c:v>1.4171819999999999E-3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5.4206289999999997E-3</c:v>
                </c:pt>
                <c:pt idx="1">
                  <c:v>8.7865600000000006E-3</c:v>
                </c:pt>
                <c:pt idx="2">
                  <c:v>6.1955939999999996E-3</c:v>
                </c:pt>
                <c:pt idx="3">
                  <c:v>8.1490420000000004E-3</c:v>
                </c:pt>
                <c:pt idx="4">
                  <c:v>5.5708249999999997E-3</c:v>
                </c:pt>
                <c:pt idx="5">
                  <c:v>5.5387819999999999E-3</c:v>
                </c:pt>
                <c:pt idx="6">
                  <c:v>1.3950119999999999E-3</c:v>
                </c:pt>
                <c:pt idx="7">
                  <c:v>1.4520405E-2</c:v>
                </c:pt>
                <c:pt idx="8">
                  <c:v>3.1654270000000002E-3</c:v>
                </c:pt>
                <c:pt idx="9">
                  <c:v>3.9345209999999999E-3</c:v>
                </c:pt>
                <c:pt idx="10">
                  <c:v>1.9729627E-2</c:v>
                </c:pt>
                <c:pt idx="11">
                  <c:v>4.9515150000000001E-3</c:v>
                </c:pt>
                <c:pt idx="12">
                  <c:v>6.8408150000000001E-3</c:v>
                </c:pt>
                <c:pt idx="13">
                  <c:v>2.379899E-3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9.7495849999999998E-3</c:v>
                </c:pt>
                <c:pt idx="1">
                  <c:v>1.5807149999999999E-2</c:v>
                </c:pt>
                <c:pt idx="2">
                  <c:v>1.1144138E-2</c:v>
                </c:pt>
                <c:pt idx="3">
                  <c:v>1.2156995E-2</c:v>
                </c:pt>
                <c:pt idx="4">
                  <c:v>8.3102139999999998E-3</c:v>
                </c:pt>
                <c:pt idx="5">
                  <c:v>8.2622709999999999E-3</c:v>
                </c:pt>
                <c:pt idx="6">
                  <c:v>2.0810099999999999E-3</c:v>
                </c:pt>
                <c:pt idx="7">
                  <c:v>8.6641050000000001E-3</c:v>
                </c:pt>
                <c:pt idx="8">
                  <c:v>3.7774599999999998E-3</c:v>
                </c:pt>
                <c:pt idx="9">
                  <c:v>4.6952419999999996E-3</c:v>
                </c:pt>
                <c:pt idx="10">
                  <c:v>7.0971360000000004E-3</c:v>
                </c:pt>
                <c:pt idx="11">
                  <c:v>1.7811260999999998E-2</c:v>
                </c:pt>
                <c:pt idx="12">
                  <c:v>2.4606979999999999E-3</c:v>
                </c:pt>
                <c:pt idx="13">
                  <c:v>1.7121160000000001E-3</c:v>
                </c:pt>
                <c:pt idx="14">
                  <c:v>8.4667089999999993E-3</c:v>
                </c:pt>
                <c:pt idx="15">
                  <c:v>1.4871470000000001E-3</c:v>
                </c:pt>
                <c:pt idx="16">
                  <c:v>2.6098390000000001E-3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3.1496204999999999E-2</c:v>
                      </c:pt>
                      <c:pt idx="8">
                        <c:v>0</c:v>
                      </c:pt>
                      <c:pt idx="9">
                        <c:v>4.7470760000000002E-3</c:v>
                      </c:pt>
                      <c:pt idx="10">
                        <c:v>3.7888879999999998E-3</c:v>
                      </c:pt>
                      <c:pt idx="11">
                        <c:v>1.3016438E-2</c:v>
                      </c:pt>
                      <c:pt idx="12">
                        <c:v>8.2002269999999992E-3</c:v>
                      </c:pt>
                      <c:pt idx="13">
                        <c:v>6.5051429999999997E-3</c:v>
                      </c:pt>
                      <c:pt idx="14">
                        <c:v>4.3540760000000001E-3</c:v>
                      </c:pt>
                      <c:pt idx="15">
                        <c:v>3.0522240000000001E-3</c:v>
                      </c:pt>
                      <c:pt idx="16">
                        <c:v>3.2420209999999999E-3</c:v>
                      </c:pt>
                      <c:pt idx="17">
                        <c:v>2.2107400000000001E-3</c:v>
                      </c:pt>
                      <c:pt idx="18">
                        <c:v>2.295442E-3</c:v>
                      </c:pt>
                      <c:pt idx="19">
                        <c:v>6.2836499999999998E-4</c:v>
                      </c:pt>
                      <c:pt idx="20">
                        <c:v>2.934744E-3</c:v>
                      </c:pt>
                      <c:pt idx="21">
                        <c:v>1.3787786E-2</c:v>
                      </c:pt>
                      <c:pt idx="22">
                        <c:v>2.3810179999999999E-3</c:v>
                      </c:pt>
                      <c:pt idx="23">
                        <c:v>1.9083590000000001E-3</c:v>
                      </c:pt>
                      <c:pt idx="24">
                        <c:v>6.8991699999999996E-4</c:v>
                      </c:pt>
                      <c:pt idx="25">
                        <c:v>2.2489350000000001E-3</c:v>
                      </c:pt>
                      <c:pt idx="26">
                        <c:v>6.3109159999999997E-3</c:v>
                      </c:pt>
                      <c:pt idx="27">
                        <c:v>2.2616310000000001E-3</c:v>
                      </c:pt>
                      <c:pt idx="28">
                        <c:v>6.2862530000000003E-3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1.9083590000000001E-3</c:v>
                      </c:pt>
                      <c:pt idx="1">
                        <c:v>6.8991699999999996E-4</c:v>
                      </c:pt>
                      <c:pt idx="2">
                        <c:v>2.2489350000000001E-3</c:v>
                      </c:pt>
                      <c:pt idx="3">
                        <c:v>6.3109159999999997E-3</c:v>
                      </c:pt>
                      <c:pt idx="4">
                        <c:v>2.2616310000000001E-3</c:v>
                      </c:pt>
                      <c:pt idx="5">
                        <c:v>6.2862530000000003E-3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zoomScale="85" zoomScaleNormal="85" workbookViewId="0">
      <selection activeCell="D16" sqref="D16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str">
        <f>C1&amp;"-"&amp;B2</f>
        <v>H020192-2.2.1.0</v>
      </c>
      <c r="C1" s="11" t="s">
        <v>270</v>
      </c>
    </row>
    <row r="2" spans="1:10" ht="16.2">
      <c r="A2" s="2" t="s">
        <v>85</v>
      </c>
      <c r="B2" s="11" t="s">
        <v>314</v>
      </c>
      <c r="C2" s="11"/>
    </row>
    <row r="3" spans="1:10" ht="16.8" thickBot="1">
      <c r="A3" s="2" t="s">
        <v>43</v>
      </c>
      <c r="B3" s="10">
        <f ca="1">1-D5</f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f ca="1">'Pay Combo Normal Bet'!$I$1</f>
        <v>0.70171318655228188</v>
      </c>
      <c r="D5" s="152">
        <f ca="1">'Pay Combo Normal Bet'!$I$2</f>
        <v>20.935095634548151</v>
      </c>
      <c r="E5" s="153">
        <f>SUM('Pay Combo Normal Bet'!$J$13:$J$20)</f>
        <v>7.1900065171722025E-2</v>
      </c>
      <c r="F5" s="128" t="s">
        <v>113</v>
      </c>
      <c r="G5" s="269">
        <f>1-'Multiplier Weight'!$N$4</f>
        <v>0.10826819600000004</v>
      </c>
      <c r="H5" s="188">
        <f>SUM('Multiplier Weight'!$N$12:$N$61)-I5-J5</f>
        <v>1.6772129999999993E-2</v>
      </c>
      <c r="I5" s="188">
        <f>SUM('Multiplier Weight'!$N$15:$N$61)-J5</f>
        <v>1.9243787000000005E-2</v>
      </c>
      <c r="J5" s="189">
        <f>SUM('Multiplier Weight'!$N$19:$N$61)</f>
        <v>3.5008539999999999E-3</v>
      </c>
    </row>
    <row r="6" spans="1:10" ht="16.2">
      <c r="A6" s="46">
        <v>1.5</v>
      </c>
      <c r="B6" s="136">
        <v>5</v>
      </c>
      <c r="C6" s="89">
        <f ca="1">'Pay Combo Extra Bet (1)'!$I$1</f>
        <v>0.46780879103485473</v>
      </c>
      <c r="D6" s="89">
        <f ca="1">'Pay Combo Extra Bet (1)'!$I$2</f>
        <v>20.462976012829156</v>
      </c>
      <c r="E6" s="140">
        <f>SUM('Pay Combo Extra Bet (1)'!$J$13:$J$20)</f>
        <v>7.1900065171722025E-2</v>
      </c>
      <c r="F6" s="124" t="s">
        <v>114</v>
      </c>
      <c r="G6" s="270">
        <f>1-'Multiplier Weight'!$N$69</f>
        <v>0.10958911500000001</v>
      </c>
      <c r="H6" s="188">
        <f>SUM('Multiplier Weight'!N79:N126)-I6-J6</f>
        <v>2.178865700000001E-2</v>
      </c>
      <c r="I6" s="188">
        <f>SUM('Multiplier Weight'!N81:N126)-J6</f>
        <v>2.0021287999999995E-2</v>
      </c>
      <c r="J6" s="189">
        <f>SUM('Multiplier Weight'!N87:N126)</f>
        <v>3.4697829999999997E-3</v>
      </c>
    </row>
    <row r="7" spans="1:10" ht="16.2">
      <c r="A7" s="46">
        <v>8</v>
      </c>
      <c r="B7" s="136">
        <v>5</v>
      </c>
      <c r="C7" s="89">
        <f ca="1">'Pay Combo Extra Bet (2)'!$I$1</f>
        <v>8.7714148319035234E-2</v>
      </c>
      <c r="D7" s="89">
        <f ca="1">'Pay Combo Extra Bet (2)'!$I$2</f>
        <v>22.081394189070298</v>
      </c>
      <c r="E7" s="140">
        <f>SUM('Pay Combo Extra Bet (2)'!$J$13:$J$20)</f>
        <v>7.1900065171722025E-2</v>
      </c>
      <c r="F7" s="124" t="s">
        <v>115</v>
      </c>
      <c r="G7" s="270">
        <f>1-'Multiplier Weight'!$N$134</f>
        <v>0.13880396399999995</v>
      </c>
      <c r="H7" s="188">
        <f>SUM('Multiplier Weight'!N153:N191)-I7-J7</f>
        <v>5.2118999999999985E-3</v>
      </c>
      <c r="I7" s="188">
        <f>SUM('Multiplier Weight'!N156:N191)-J7</f>
        <v>2.1861724999999995E-2</v>
      </c>
      <c r="J7" s="189">
        <f>SUM('Multiplier Weight'!N164:N191)</f>
        <v>3.9361029999999998E-3</v>
      </c>
    </row>
    <row r="8" spans="1:10" ht="16.8" thickBot="1">
      <c r="A8" s="91">
        <v>250</v>
      </c>
      <c r="B8" s="139">
        <v>5</v>
      </c>
      <c r="C8" s="141">
        <f ca="1">'Pay Combo Super Feature Buy'!$I$1</f>
        <v>1.0396634201786966E-2</v>
      </c>
      <c r="D8" s="141">
        <f ca="1">'Pay Combo Super Feature Buy'!$I$2</f>
        <v>3.7430545754079523</v>
      </c>
      <c r="E8" s="142">
        <f ca="1">SUM('Pay Combo Super Feature Buy'!$J$23:$J$32)</f>
        <v>0.23861415611265741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13" t="s">
        <v>293</v>
      </c>
      <c r="B18" s="314"/>
      <c r="C18" s="314"/>
      <c r="D18" s="314"/>
      <c r="E18" s="314"/>
      <c r="F18" s="315"/>
    </row>
    <row r="19" spans="1:6" ht="31.8" customHeight="1">
      <c r="A19" s="316"/>
      <c r="B19" s="317"/>
      <c r="C19" s="317"/>
      <c r="D19" s="317"/>
      <c r="E19" s="317"/>
      <c r="F19" s="318"/>
    </row>
    <row r="20" spans="1:6" ht="31.8" customHeight="1">
      <c r="A20" s="316"/>
      <c r="B20" s="317"/>
      <c r="C20" s="317"/>
      <c r="D20" s="317"/>
      <c r="E20" s="317"/>
      <c r="F20" s="318"/>
    </row>
    <row r="21" spans="1:6" ht="31.8" customHeight="1">
      <c r="A21" s="316"/>
      <c r="B21" s="317"/>
      <c r="C21" s="317"/>
      <c r="D21" s="317"/>
      <c r="E21" s="317"/>
      <c r="F21" s="318"/>
    </row>
    <row r="22" spans="1:6" ht="31.8" customHeight="1" thickBot="1">
      <c r="A22" s="319"/>
      <c r="B22" s="320"/>
      <c r="C22" s="320"/>
      <c r="D22" s="320"/>
      <c r="E22" s="320"/>
      <c r="F22" s="321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f>B28</f>
        <v>5</v>
      </c>
    </row>
    <row r="41" spans="1:5">
      <c r="A41" s="160" t="s">
        <v>13</v>
      </c>
      <c r="B41" s="161">
        <f>B32</f>
        <v>4</v>
      </c>
    </row>
    <row r="42" spans="1:5">
      <c r="A42" s="160" t="s">
        <v>135</v>
      </c>
      <c r="B42" s="161">
        <f>C32</f>
        <v>3</v>
      </c>
    </row>
    <row r="43" spans="1:5">
      <c r="A43" s="160" t="s">
        <v>136</v>
      </c>
      <c r="B43" s="161">
        <f>D32</f>
        <v>2.4</v>
      </c>
    </row>
    <row r="44" spans="1:5">
      <c r="A44" s="160" t="s">
        <v>55</v>
      </c>
      <c r="B44" s="161">
        <f>B36</f>
        <v>2</v>
      </c>
    </row>
    <row r="45" spans="1:5">
      <c r="A45" s="160" t="s">
        <v>56</v>
      </c>
      <c r="B45" s="161">
        <f>C36</f>
        <v>1.6</v>
      </c>
    </row>
    <row r="46" spans="1:5">
      <c r="A46" s="160" t="s">
        <v>57</v>
      </c>
      <c r="B46" s="161">
        <f>D36</f>
        <v>1</v>
      </c>
    </row>
    <row r="47" spans="1:5" ht="16.2" thickBot="1">
      <c r="A47" s="162" t="s">
        <v>58</v>
      </c>
      <c r="B47" s="163">
        <f>E36</f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39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str" cm="1">
        <f t="array" ref="B2:D211">_xlfn.LET(_xlpm.x, 'Regular Symbol'!BW2:BY211, IF(_xlpm.x="", "", _xlpm.x))</f>
        <v>R1</v>
      </c>
      <c r="C2" s="99" t="str">
        <v>R2</v>
      </c>
      <c r="D2" s="99" t="str">
        <v>R3</v>
      </c>
      <c r="F2" s="99" t="str" cm="1">
        <f t="array" ref="F2:H211">_xlfn.LET(_xlpm.x, 'Regular Symbol'!AA2:AC211, IF(_xlpm.x="", "", _xlpm.x))</f>
        <v>R1</v>
      </c>
      <c r="G2" s="99" t="str">
        <v>R2</v>
      </c>
      <c r="H2" s="99" t="str">
        <v>R3</v>
      </c>
      <c r="J2" s="99" t="str" cm="1">
        <f t="array" ref="J2:L211">_xlfn.LET(_xlpm.x, 'Regular Symbol'!AM2:AO211, IF(_xlpm.x="", "", _xlpm.x))</f>
        <v>R1</v>
      </c>
      <c r="K2" s="99" t="str">
        <v>R2</v>
      </c>
      <c r="L2" s="99" t="str">
        <v>R3</v>
      </c>
      <c r="N2" s="99" t="str" cm="1">
        <f t="array" ref="N2:P211">_xlfn.LET(_xlpm.x, 'Regular Symbol'!AY2:BA211, IF(_xlpm.x="", "", _xlpm.x))</f>
        <v>R1</v>
      </c>
      <c r="O2" s="99" t="str">
        <v>R2</v>
      </c>
      <c r="P2" s="99" t="str">
        <v>R3</v>
      </c>
      <c r="R2" s="99" t="str" cm="1">
        <f t="array" ref="R2:T211">_xlfn.LET(_xlpm.x, 'Regular Symbol'!BK2:BM211, IF(_xlpm.x="", "", _xlpm.x))</f>
        <v>R1</v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str" cm="1">
        <f t="array" ref="AH2:AJ14">'Pay Combo Normal Bet'!$L$2:$N$14</f>
        <v>倍數</v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100</v>
      </c>
      <c r="S3" s="100">
        <v>467</v>
      </c>
      <c r="T3" s="100">
        <v>100</v>
      </c>
      <c r="V3" s="100" cm="1">
        <f t="array" ref="V3:W211">'Reel 4 Symbol'!AC3:AD211</f>
        <v>18</v>
      </c>
      <c r="W3" s="100">
        <v>30</v>
      </c>
      <c r="Y3" s="100" cm="1">
        <f t="array" ref="Y3:Z211">'Reel 4 Symbol'!AM3:AN211</f>
        <v>18</v>
      </c>
      <c r="Z3" s="100">
        <v>30</v>
      </c>
      <c r="AB3" s="100" cm="1">
        <f t="array" ref="AB3:AC211">'Reel 4 Symbol'!AW3:AX211</f>
        <v>18</v>
      </c>
      <c r="AC3" s="100">
        <v>30</v>
      </c>
      <c r="AE3" s="100" cm="1">
        <f t="array" ref="AE3:AF211">'Reel 4 Symbol'!BG3:BH211</f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447</v>
      </c>
      <c r="S4" s="101">
        <v>584</v>
      </c>
      <c r="T4" s="101">
        <v>677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373</v>
      </c>
      <c r="S5" s="101">
        <v>701</v>
      </c>
      <c r="T5" s="101">
        <v>564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298</v>
      </c>
      <c r="S6" s="101">
        <v>100</v>
      </c>
      <c r="T6" s="101">
        <v>451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373</v>
      </c>
      <c r="S7" s="101">
        <v>100</v>
      </c>
      <c r="T7" s="101">
        <v>564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447</v>
      </c>
      <c r="S8" s="101">
        <v>100</v>
      </c>
      <c r="T8" s="101">
        <v>677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100</v>
      </c>
      <c r="S9" s="101">
        <v>100</v>
      </c>
      <c r="T9" s="101">
        <v>100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100</v>
      </c>
      <c r="S10" s="101">
        <v>100</v>
      </c>
      <c r="T10" s="101">
        <v>100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100</v>
      </c>
      <c r="S11" s="101">
        <v>100</v>
      </c>
      <c r="T11" s="101">
        <v>100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100</v>
      </c>
      <c r="S12" s="101">
        <v>100</v>
      </c>
      <c r="T12" s="101">
        <v>100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100</v>
      </c>
      <c r="S13" s="101">
        <v>100</v>
      </c>
      <c r="T13" s="101">
        <v>100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100</v>
      </c>
      <c r="S14" s="101">
        <v>100</v>
      </c>
      <c r="T14" s="101">
        <v>100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100</v>
      </c>
      <c r="S15" s="101">
        <v>100</v>
      </c>
      <c r="T15" s="101">
        <v>100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100</v>
      </c>
      <c r="S16" s="101">
        <v>100</v>
      </c>
      <c r="T16" s="101">
        <v>100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100</v>
      </c>
      <c r="S17" s="101">
        <v>100</v>
      </c>
      <c r="T17" s="101">
        <v>100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100</v>
      </c>
      <c r="S18" s="101">
        <v>100</v>
      </c>
      <c r="T18" s="101">
        <v>100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str" cm="1">
        <f t="array" ref="AH18:AJ29">'Pay Combo Normal Bet'!$Q$2:$S$13</f>
        <v>Re-spin數</v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100</v>
      </c>
      <c r="S19" s="101">
        <v>100</v>
      </c>
      <c r="T19" s="101">
        <v>100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100</v>
      </c>
      <c r="S20" s="101">
        <v>100</v>
      </c>
      <c r="T20" s="101">
        <v>100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100</v>
      </c>
      <c r="S21" s="101">
        <v>100</v>
      </c>
      <c r="T21" s="101">
        <v>100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100</v>
      </c>
      <c r="S22" s="101">
        <v>100</v>
      </c>
      <c r="T22" s="101">
        <v>100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100</v>
      </c>
      <c r="S23" s="101">
        <v>701</v>
      </c>
      <c r="T23" s="101">
        <v>100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100</v>
      </c>
      <c r="S24" s="101">
        <v>584</v>
      </c>
      <c r="T24" s="101">
        <v>100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100</v>
      </c>
      <c r="S25" s="101">
        <v>467</v>
      </c>
      <c r="T25" s="101">
        <v>100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100</v>
      </c>
      <c r="S26" s="101">
        <v>584</v>
      </c>
      <c r="T26" s="101">
        <v>100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100</v>
      </c>
      <c r="S27" s="101">
        <v>701</v>
      </c>
      <c r="T27" s="101">
        <v>100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100</v>
      </c>
      <c r="S28" s="101">
        <v>100</v>
      </c>
      <c r="T28" s="101">
        <v>100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100</v>
      </c>
      <c r="S29" s="101">
        <v>100</v>
      </c>
      <c r="T29" s="101">
        <v>100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100</v>
      </c>
      <c r="S30" s="101">
        <v>100</v>
      </c>
      <c r="T30" s="101">
        <v>100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100</v>
      </c>
      <c r="S31" s="101">
        <v>100</v>
      </c>
      <c r="T31" s="101">
        <v>100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100</v>
      </c>
      <c r="S32" s="101">
        <v>100</v>
      </c>
      <c r="T32" s="101">
        <v>677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100</v>
      </c>
      <c r="S33" s="101">
        <v>100</v>
      </c>
      <c r="T33" s="101">
        <v>564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 cm="1">
        <f t="array" ref="AI33:AS44">'Pay Combo Normal Bet'!$AH$2:$AR$13</f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100</v>
      </c>
      <c r="S34" s="101">
        <v>100</v>
      </c>
      <c r="T34" s="101">
        <v>451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 cm="1">
        <f t="array" ref="AH34:AH44">'Pay Combo Normal Bet'!$V$3:$V$13</f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100</v>
      </c>
      <c r="S35" s="101">
        <v>100</v>
      </c>
      <c r="T35" s="101">
        <v>564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100</v>
      </c>
      <c r="S36" s="101">
        <v>100</v>
      </c>
      <c r="T36" s="101">
        <v>677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100</v>
      </c>
      <c r="S37" s="101">
        <v>100</v>
      </c>
      <c r="T37" s="101">
        <v>100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100</v>
      </c>
      <c r="S38" s="101">
        <v>100</v>
      </c>
      <c r="T38" s="101">
        <v>100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100</v>
      </c>
      <c r="S39" s="101">
        <v>100</v>
      </c>
      <c r="T39" s="101">
        <v>100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100</v>
      </c>
      <c r="S40" s="101">
        <v>100</v>
      </c>
      <c r="T40" s="101">
        <v>100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100</v>
      </c>
      <c r="S41" s="101">
        <v>100</v>
      </c>
      <c r="T41" s="101">
        <v>100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100</v>
      </c>
      <c r="S42" s="101">
        <v>100</v>
      </c>
      <c r="T42" s="101">
        <v>100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100</v>
      </c>
      <c r="S43" s="101">
        <v>100</v>
      </c>
      <c r="T43" s="101">
        <v>100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100</v>
      </c>
      <c r="S44" s="101">
        <v>100</v>
      </c>
      <c r="T44" s="101">
        <v>100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100</v>
      </c>
      <c r="S45" s="101">
        <v>100</v>
      </c>
      <c r="T45" s="101">
        <v>100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100</v>
      </c>
      <c r="S46" s="101">
        <v>100</v>
      </c>
      <c r="T46" s="101">
        <v>100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100</v>
      </c>
      <c r="S47" s="101">
        <v>100</v>
      </c>
      <c r="T47" s="101">
        <v>100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100</v>
      </c>
      <c r="S48" s="101">
        <v>100</v>
      </c>
      <c r="T48" s="101">
        <v>100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100</v>
      </c>
      <c r="S49" s="101">
        <v>100</v>
      </c>
      <c r="T49" s="101">
        <v>100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str" cm="1">
        <f t="array" ref="AH49:AJ61">'Pay Combo Extra Bet (1)'!L2:N14</f>
        <v>倍數</v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100</v>
      </c>
      <c r="S50" s="101">
        <v>100</v>
      </c>
      <c r="T50" s="101">
        <v>100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447</v>
      </c>
      <c r="S51" s="101">
        <v>701</v>
      </c>
      <c r="T51" s="101">
        <v>100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373</v>
      </c>
      <c r="S52" s="101">
        <v>584</v>
      </c>
      <c r="T52" s="101">
        <v>100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298</v>
      </c>
      <c r="S53" s="101">
        <v>467</v>
      </c>
      <c r="T53" s="101">
        <v>100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373</v>
      </c>
      <c r="S54" s="101">
        <v>584</v>
      </c>
      <c r="T54" s="101">
        <v>100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447</v>
      </c>
      <c r="S55" s="101">
        <v>701</v>
      </c>
      <c r="T55" s="101">
        <v>100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100</v>
      </c>
      <c r="S56" s="101">
        <v>100</v>
      </c>
      <c r="T56" s="101">
        <v>100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100</v>
      </c>
      <c r="S57" s="101">
        <v>100</v>
      </c>
      <c r="T57" s="101">
        <v>100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100</v>
      </c>
      <c r="S58" s="101">
        <v>100</v>
      </c>
      <c r="T58" s="101">
        <v>100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100</v>
      </c>
      <c r="S59" s="101">
        <v>100</v>
      </c>
      <c r="T59" s="101">
        <v>100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100</v>
      </c>
      <c r="S60" s="101">
        <v>100</v>
      </c>
      <c r="T60" s="101">
        <v>100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100</v>
      </c>
      <c r="S61" s="101">
        <v>100</v>
      </c>
      <c r="T61" s="101">
        <v>100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100</v>
      </c>
      <c r="S62" s="101">
        <v>100</v>
      </c>
      <c r="T62" s="101">
        <v>100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100</v>
      </c>
      <c r="S63" s="101">
        <v>100</v>
      </c>
      <c r="T63" s="101">
        <v>100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100</v>
      </c>
      <c r="S64" s="101">
        <v>100</v>
      </c>
      <c r="T64" s="101">
        <v>100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100</v>
      </c>
      <c r="S65" s="101">
        <v>100</v>
      </c>
      <c r="T65" s="101">
        <v>100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str" cm="1">
        <f t="array" ref="AH65:AJ76">'Pay Combo Extra Bet (1)'!Q2:S13</f>
        <v>Re-spin數</v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100</v>
      </c>
      <c r="S66" s="101">
        <v>100</v>
      </c>
      <c r="T66" s="101">
        <v>100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100</v>
      </c>
      <c r="S67" s="101">
        <v>100</v>
      </c>
      <c r="T67" s="101">
        <v>100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100</v>
      </c>
      <c r="S68" s="101">
        <v>100</v>
      </c>
      <c r="T68" s="101">
        <v>100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100</v>
      </c>
      <c r="S69" s="101">
        <v>100</v>
      </c>
      <c r="T69" s="101">
        <v>100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100</v>
      </c>
      <c r="S70" s="101">
        <v>100</v>
      </c>
      <c r="T70" s="101">
        <v>100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100</v>
      </c>
      <c r="S71" s="101">
        <v>701</v>
      </c>
      <c r="T71" s="101">
        <v>100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100</v>
      </c>
      <c r="S72" s="101">
        <v>584</v>
      </c>
      <c r="T72" s="101">
        <v>100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100</v>
      </c>
      <c r="S73" s="101">
        <v>467</v>
      </c>
      <c r="T73" s="101">
        <v>100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100</v>
      </c>
      <c r="S74" s="101">
        <v>584</v>
      </c>
      <c r="T74" s="101">
        <v>100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100</v>
      </c>
      <c r="S75" s="101">
        <v>701</v>
      </c>
      <c r="T75" s="101">
        <v>100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100</v>
      </c>
      <c r="S76" s="101">
        <v>100</v>
      </c>
      <c r="T76" s="101">
        <v>100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100</v>
      </c>
      <c r="S77" s="101">
        <v>100</v>
      </c>
      <c r="T77" s="101">
        <v>100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100</v>
      </c>
      <c r="S78" s="101">
        <v>100</v>
      </c>
      <c r="T78" s="101">
        <v>100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100</v>
      </c>
      <c r="S79" s="101">
        <v>100</v>
      </c>
      <c r="T79" s="101">
        <v>100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100</v>
      </c>
      <c r="S80" s="101">
        <v>100</v>
      </c>
      <c r="T80" s="101">
        <v>100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str" cm="1">
        <f t="array" ref="AH80:AH91">'Pay Combo Extra Bet (1)'!V2:V13</f>
        <v>Re-spin倍數權重</v>
      </c>
      <c r="AI80" s="99" cm="1">
        <f t="array" ref="AI80:AS91">'Pay Combo Extra Bet (1)'!AH2:AR13</f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100</v>
      </c>
      <c r="S81" s="101">
        <v>100</v>
      </c>
      <c r="T81" s="101">
        <v>100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100</v>
      </c>
      <c r="S82" s="101">
        <v>100</v>
      </c>
      <c r="T82" s="101">
        <v>100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100</v>
      </c>
      <c r="S83" s="101">
        <v>100</v>
      </c>
      <c r="T83" s="101">
        <v>100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100</v>
      </c>
      <c r="S84" s="101">
        <v>100</v>
      </c>
      <c r="T84" s="101">
        <v>100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100</v>
      </c>
      <c r="S85" s="101">
        <v>100</v>
      </c>
      <c r="T85" s="101">
        <v>100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100</v>
      </c>
      <c r="S86" s="101">
        <v>100</v>
      </c>
      <c r="T86" s="101">
        <v>100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100</v>
      </c>
      <c r="S87" s="101">
        <v>100</v>
      </c>
      <c r="T87" s="101">
        <v>100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100</v>
      </c>
      <c r="S88" s="101">
        <v>100</v>
      </c>
      <c r="T88" s="101">
        <v>100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100</v>
      </c>
      <c r="S89" s="101">
        <v>100</v>
      </c>
      <c r="T89" s="101">
        <v>100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100</v>
      </c>
      <c r="S90" s="101">
        <v>100</v>
      </c>
      <c r="T90" s="101">
        <v>100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100</v>
      </c>
      <c r="S91" s="101">
        <v>100</v>
      </c>
      <c r="T91" s="101">
        <v>100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100</v>
      </c>
      <c r="S92" s="101">
        <v>100</v>
      </c>
      <c r="T92" s="101">
        <v>100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100</v>
      </c>
      <c r="S93" s="101">
        <v>100</v>
      </c>
      <c r="T93" s="101">
        <v>100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100</v>
      </c>
      <c r="S94" s="101">
        <v>100</v>
      </c>
      <c r="T94" s="101">
        <v>100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100</v>
      </c>
      <c r="S95" s="101">
        <v>100</v>
      </c>
      <c r="T95" s="101">
        <v>100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100</v>
      </c>
      <c r="S96" s="101">
        <v>100</v>
      </c>
      <c r="T96" s="101">
        <v>100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str" cm="1">
        <f t="array" ref="AH96:AJ108">'Pay Combo Extra Bet (2)'!L2:N14</f>
        <v>倍數</v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100</v>
      </c>
      <c r="S97" s="101">
        <v>100</v>
      </c>
      <c r="T97" s="101">
        <v>100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100</v>
      </c>
      <c r="S98" s="101">
        <v>100</v>
      </c>
      <c r="T98" s="101">
        <v>100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100</v>
      </c>
      <c r="S99" s="101">
        <v>100</v>
      </c>
      <c r="T99" s="101">
        <v>100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100</v>
      </c>
      <c r="S100" s="101">
        <v>100</v>
      </c>
      <c r="T100" s="101">
        <v>100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100</v>
      </c>
      <c r="S101" s="101">
        <v>100</v>
      </c>
      <c r="T101" s="101">
        <v>100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100</v>
      </c>
      <c r="S102" s="101">
        <v>100</v>
      </c>
      <c r="T102" s="101">
        <v>100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100</v>
      </c>
      <c r="S103" s="101">
        <v>100</v>
      </c>
      <c r="T103" s="101">
        <v>100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100</v>
      </c>
      <c r="S104" s="101">
        <v>100</v>
      </c>
      <c r="T104" s="101">
        <v>100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100</v>
      </c>
      <c r="S105" s="101">
        <v>100</v>
      </c>
      <c r="T105" s="101">
        <v>100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100</v>
      </c>
      <c r="S106" s="101">
        <v>100</v>
      </c>
      <c r="T106" s="101">
        <v>100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100</v>
      </c>
      <c r="S107" s="101">
        <v>100</v>
      </c>
      <c r="T107" s="101">
        <v>100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100</v>
      </c>
      <c r="S108" s="101">
        <v>100</v>
      </c>
      <c r="T108" s="101">
        <v>100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100</v>
      </c>
      <c r="S109" s="101">
        <v>100</v>
      </c>
      <c r="T109" s="101">
        <v>100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100</v>
      </c>
      <c r="S110" s="101">
        <v>100</v>
      </c>
      <c r="T110" s="101">
        <v>100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100</v>
      </c>
      <c r="S111" s="101">
        <v>100</v>
      </c>
      <c r="T111" s="101">
        <v>100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100</v>
      </c>
      <c r="S112" s="101">
        <v>100</v>
      </c>
      <c r="T112" s="101">
        <v>100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str" cm="1">
        <f t="array" ref="AH112:AJ123">'Pay Combo Extra Bet (2)'!Q2:S13</f>
        <v>Re-spin數</v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100</v>
      </c>
      <c r="S113" s="101">
        <v>100</v>
      </c>
      <c r="T113" s="101">
        <v>100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100</v>
      </c>
      <c r="S114" s="101">
        <v>100</v>
      </c>
      <c r="T114" s="101">
        <v>100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100</v>
      </c>
      <c r="S115" s="101">
        <v>100</v>
      </c>
      <c r="T115" s="101">
        <v>100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100</v>
      </c>
      <c r="S116" s="101">
        <v>100</v>
      </c>
      <c r="T116" s="101">
        <v>100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100</v>
      </c>
      <c r="S117" s="101">
        <v>100</v>
      </c>
      <c r="T117" s="101">
        <v>100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100</v>
      </c>
      <c r="S118" s="101">
        <v>100</v>
      </c>
      <c r="T118" s="101">
        <v>100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100</v>
      </c>
      <c r="S119" s="101">
        <v>100</v>
      </c>
      <c r="T119" s="101">
        <v>100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447</v>
      </c>
      <c r="S120" s="101">
        <v>100</v>
      </c>
      <c r="T120" s="101">
        <v>100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373</v>
      </c>
      <c r="S121" s="101">
        <v>100</v>
      </c>
      <c r="T121" s="101">
        <v>100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298</v>
      </c>
      <c r="S122" s="101">
        <v>100</v>
      </c>
      <c r="T122" s="101">
        <v>100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373</v>
      </c>
      <c r="S123" s="101">
        <v>100</v>
      </c>
      <c r="T123" s="101">
        <v>100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447</v>
      </c>
      <c r="S124" s="101">
        <v>100</v>
      </c>
      <c r="T124" s="101">
        <v>100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100</v>
      </c>
      <c r="S125" s="101">
        <v>100</v>
      </c>
      <c r="T125" s="101">
        <v>100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100</v>
      </c>
      <c r="T126" s="101">
        <v>100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100</v>
      </c>
      <c r="T127" s="101">
        <v>100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str" cm="1">
        <f t="array" ref="AH127:AH138">'Pay Combo Extra Bet (2)'!V2:V13</f>
        <v>Re-spin倍數權重</v>
      </c>
      <c r="AI127" s="99" cm="1">
        <f t="array" ref="AI127:AS138">'Pay Combo Extra Bet (2)'!AH2:AR13</f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100</v>
      </c>
      <c r="T128" s="101">
        <v>100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100</v>
      </c>
      <c r="T129" s="101">
        <v>100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100</v>
      </c>
      <c r="T130" s="101">
        <v>100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100</v>
      </c>
      <c r="T131" s="101">
        <v>677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100</v>
      </c>
      <c r="T132" s="101">
        <v>564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100</v>
      </c>
      <c r="T133" s="101">
        <v>451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100</v>
      </c>
      <c r="T134" s="101">
        <v>564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100</v>
      </c>
      <c r="T135" s="101">
        <v>677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100</v>
      </c>
      <c r="T136" s="101">
        <v>100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100</v>
      </c>
      <c r="T137" s="101">
        <v>100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100</v>
      </c>
      <c r="T138" s="101">
        <v>100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100</v>
      </c>
      <c r="T139" s="101">
        <v>100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100</v>
      </c>
      <c r="T140" s="101">
        <v>100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100</v>
      </c>
      <c r="T141" s="101">
        <v>100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701</v>
      </c>
      <c r="T142" s="101">
        <v>677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584</v>
      </c>
      <c r="T143" s="101">
        <v>564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str" cm="1">
        <f t="array" ref="AH143:AJ155">'Pay Combo Super Feature Buy'!L2:N14</f>
        <v>倍數</v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467</v>
      </c>
      <c r="T144" s="101">
        <v>451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584</v>
      </c>
      <c r="T145" s="101">
        <v>564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7.8235294117647056E-2</v>
      </c>
      <c r="AJ145" s="103">
        <v>13300000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701</v>
      </c>
      <c r="T146" s="101">
        <v>677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9.4705882352941181E-2</v>
      </c>
      <c r="AJ146" s="103">
        <v>16100000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100</v>
      </c>
      <c r="T147" s="101">
        <v>100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0.11529411764705882</v>
      </c>
      <c r="AJ147" s="103">
        <v>19600000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100</v>
      </c>
      <c r="T148" s="101">
        <v>100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8.7647058823529411E-2</v>
      </c>
      <c r="AJ148" s="103">
        <v>14900000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100</v>
      </c>
      <c r="T149" s="101">
        <v>100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7.4705882352941178E-2</v>
      </c>
      <c r="AJ149" s="103">
        <v>12700000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100</v>
      </c>
      <c r="T150" s="101">
        <v>100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6.6470588235294115E-2</v>
      </c>
      <c r="AJ150" s="103">
        <v>11300000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100</v>
      </c>
      <c r="T151" s="101">
        <v>100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2.0588235294117647E-2</v>
      </c>
      <c r="AJ151" s="103">
        <v>3500000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100</v>
      </c>
      <c r="T152" s="101">
        <v>100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1.5294117647058824E-2</v>
      </c>
      <c r="AJ152" s="103">
        <v>2600000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100</v>
      </c>
      <c r="T153" s="101">
        <v>100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1.1764705882352941E-2</v>
      </c>
      <c r="AJ153" s="103">
        <v>2000000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100</v>
      </c>
      <c r="T154" s="101">
        <v>100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5.8823529411764705E-3</v>
      </c>
      <c r="AJ154" s="103">
        <v>1000000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100</v>
      </c>
      <c r="T155" s="101">
        <v>100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0.42941176470588233</v>
      </c>
      <c r="AJ155" s="103">
        <v>73000000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100</v>
      </c>
      <c r="T156" s="101">
        <v>100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100</v>
      </c>
      <c r="T157" s="101">
        <v>677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100</v>
      </c>
      <c r="T158" s="101">
        <v>564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100</v>
      </c>
      <c r="T159" s="101">
        <v>451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str" cm="1">
        <f t="array" ref="AH159:AJ170">'Pay Combo Super Feature Buy'!Q2:S13</f>
        <v>Re-spin數</v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100</v>
      </c>
      <c r="T160" s="101">
        <v>564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100</v>
      </c>
      <c r="T161" s="101">
        <v>677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100</v>
      </c>
      <c r="T162" s="101">
        <v>100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100</v>
      </c>
      <c r="T163" s="101">
        <v>100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100</v>
      </c>
      <c r="T164" s="101">
        <v>100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100</v>
      </c>
      <c r="T165" s="101">
        <v>100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100</v>
      </c>
      <c r="T166" s="101">
        <v>100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100</v>
      </c>
      <c r="T167" s="101">
        <v>100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100</v>
      </c>
      <c r="T168" s="101">
        <v>100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100</v>
      </c>
      <c r="T169" s="101">
        <v>100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100</v>
      </c>
      <c r="T170" s="101">
        <v>100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100</v>
      </c>
      <c r="T171" s="101">
        <v>100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100</v>
      </c>
      <c r="T172" s="101">
        <v>100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100</v>
      </c>
      <c r="T173" s="101">
        <v>100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100</v>
      </c>
      <c r="T174" s="101">
        <v>100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str" cm="1">
        <f t="array" ref="AH174:AH185">'Pay Combo Super Feature Buy'!V2:V13</f>
        <v>Re-spin倍數權重</v>
      </c>
      <c r="AI174" s="99" cm="1">
        <f t="array" ref="AI174:AS185">'Pay Combo Super Feature Buy'!AH2:AR13</f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100</v>
      </c>
      <c r="T175" s="101">
        <v>100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100</v>
      </c>
      <c r="T176" s="101">
        <v>100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100</v>
      </c>
      <c r="T177" s="101">
        <v>100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105000000</v>
      </c>
      <c r="AK177" s="103">
        <v>105000000</v>
      </c>
      <c r="AL177" s="103">
        <v>100300000</v>
      </c>
      <c r="AM177" s="103">
        <v>100300000</v>
      </c>
      <c r="AN177" s="103">
        <v>100300000</v>
      </c>
      <c r="AO177" s="103">
        <v>100300000</v>
      </c>
      <c r="AP177" s="103">
        <v>100300000</v>
      </c>
      <c r="AQ177" s="103">
        <v>100300000</v>
      </c>
      <c r="AR177" s="103">
        <v>100300000</v>
      </c>
      <c r="AS177" s="103">
        <v>100300000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100</v>
      </c>
      <c r="T178" s="101">
        <v>100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167500000</v>
      </c>
      <c r="AK178" s="103">
        <v>167500000</v>
      </c>
      <c r="AL178" s="103">
        <v>159900000</v>
      </c>
      <c r="AM178" s="103">
        <v>159900000</v>
      </c>
      <c r="AN178" s="103">
        <v>159900000</v>
      </c>
      <c r="AO178" s="103">
        <v>159900000</v>
      </c>
      <c r="AP178" s="103">
        <v>159900000</v>
      </c>
      <c r="AQ178" s="103">
        <v>159900000</v>
      </c>
      <c r="AR178" s="103">
        <v>159900000</v>
      </c>
      <c r="AS178" s="103">
        <v>159900000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100</v>
      </c>
      <c r="T179" s="101">
        <v>100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155200000</v>
      </c>
      <c r="AJ179" s="103">
        <v>96200000</v>
      </c>
      <c r="AK179" s="103">
        <v>96200000</v>
      </c>
      <c r="AL179" s="103">
        <v>68900000</v>
      </c>
      <c r="AM179" s="103">
        <v>68900000</v>
      </c>
      <c r="AN179" s="103">
        <v>68900000</v>
      </c>
      <c r="AO179" s="103">
        <v>68900000</v>
      </c>
      <c r="AP179" s="103">
        <v>68900000</v>
      </c>
      <c r="AQ179" s="103">
        <v>68900000</v>
      </c>
      <c r="AR179" s="103">
        <v>68900000</v>
      </c>
      <c r="AS179" s="103">
        <v>68900000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100</v>
      </c>
      <c r="T180" s="101">
        <v>100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84100000</v>
      </c>
      <c r="AJ180" s="103">
        <v>52200000</v>
      </c>
      <c r="AK180" s="103">
        <v>52200000</v>
      </c>
      <c r="AL180" s="103">
        <v>27700000</v>
      </c>
      <c r="AM180" s="103">
        <v>27700000</v>
      </c>
      <c r="AN180" s="103">
        <v>27700000</v>
      </c>
      <c r="AO180" s="103">
        <v>27700000</v>
      </c>
      <c r="AP180" s="103">
        <v>27700000</v>
      </c>
      <c r="AQ180" s="103">
        <v>27700000</v>
      </c>
      <c r="AR180" s="103">
        <v>27700000</v>
      </c>
      <c r="AS180" s="103">
        <v>27700000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701</v>
      </c>
      <c r="T181" s="101">
        <v>100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15600000</v>
      </c>
      <c r="AJ181" s="103">
        <v>9700000</v>
      </c>
      <c r="AK181" s="103">
        <v>9700000</v>
      </c>
      <c r="AL181" s="103">
        <v>13200000</v>
      </c>
      <c r="AM181" s="103">
        <v>13200000</v>
      </c>
      <c r="AN181" s="103">
        <v>13200000</v>
      </c>
      <c r="AO181" s="103">
        <v>13200000</v>
      </c>
      <c r="AP181" s="103">
        <v>13200000</v>
      </c>
      <c r="AQ181" s="103">
        <v>13200000</v>
      </c>
      <c r="AR181" s="103">
        <v>13200000</v>
      </c>
      <c r="AS181" s="103">
        <v>13200000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584</v>
      </c>
      <c r="T182" s="101">
        <v>100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8400000</v>
      </c>
      <c r="AJ182" s="103">
        <v>5200000</v>
      </c>
      <c r="AK182" s="103">
        <v>5200000</v>
      </c>
      <c r="AL182" s="103">
        <v>5000000</v>
      </c>
      <c r="AM182" s="103">
        <v>5000000</v>
      </c>
      <c r="AN182" s="103">
        <v>5000000</v>
      </c>
      <c r="AO182" s="103">
        <v>5000000</v>
      </c>
      <c r="AP182" s="103">
        <v>5000000</v>
      </c>
      <c r="AQ182" s="103">
        <v>5000000</v>
      </c>
      <c r="AR182" s="103">
        <v>5000000</v>
      </c>
      <c r="AS182" s="103">
        <v>5000000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467</v>
      </c>
      <c r="T183" s="101">
        <v>100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4800000</v>
      </c>
      <c r="AJ183" s="103">
        <v>3000000</v>
      </c>
      <c r="AK183" s="103">
        <v>3000000</v>
      </c>
      <c r="AL183" s="103">
        <v>2900000</v>
      </c>
      <c r="AM183" s="103">
        <v>2900000</v>
      </c>
      <c r="AN183" s="103">
        <v>2900000</v>
      </c>
      <c r="AO183" s="103">
        <v>2900000</v>
      </c>
      <c r="AP183" s="103">
        <v>2900000</v>
      </c>
      <c r="AQ183" s="103">
        <v>2900000</v>
      </c>
      <c r="AR183" s="103">
        <v>2900000</v>
      </c>
      <c r="AS183" s="103">
        <v>2900000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584</v>
      </c>
      <c r="T184" s="101">
        <v>100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1700000</v>
      </c>
      <c r="AJ184" s="103">
        <v>1100000</v>
      </c>
      <c r="AK184" s="103">
        <v>1100000</v>
      </c>
      <c r="AL184" s="103">
        <v>1000000</v>
      </c>
      <c r="AM184" s="103">
        <v>1000000</v>
      </c>
      <c r="AN184" s="103">
        <v>1000000</v>
      </c>
      <c r="AO184" s="103">
        <v>1000000</v>
      </c>
      <c r="AP184" s="103">
        <v>1000000</v>
      </c>
      <c r="AQ184" s="103">
        <v>1000000</v>
      </c>
      <c r="AR184" s="103">
        <v>1000000</v>
      </c>
      <c r="AS184" s="103">
        <v>1000000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701</v>
      </c>
      <c r="T185" s="101">
        <v>100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200000</v>
      </c>
      <c r="AJ185" s="103">
        <v>100000</v>
      </c>
      <c r="AK185" s="103">
        <v>100000</v>
      </c>
      <c r="AL185" s="103">
        <v>100000</v>
      </c>
      <c r="AM185" s="103">
        <v>100000</v>
      </c>
      <c r="AN185" s="103">
        <v>100000</v>
      </c>
      <c r="AO185" s="103">
        <v>100000</v>
      </c>
      <c r="AP185" s="103">
        <v>100000</v>
      </c>
      <c r="AQ185" s="103">
        <v>100000</v>
      </c>
      <c r="AR185" s="103">
        <v>100000</v>
      </c>
      <c r="AS185" s="103">
        <v>100000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100</v>
      </c>
      <c r="T186" s="101">
        <v>100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100</v>
      </c>
      <c r="T187" s="101">
        <v>100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100</v>
      </c>
      <c r="T188" s="101">
        <v>100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100</v>
      </c>
      <c r="T189" s="101">
        <v>100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100</v>
      </c>
      <c r="T190" s="101">
        <v>100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100</v>
      </c>
      <c r="T191" s="101">
        <v>100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100</v>
      </c>
      <c r="T192" s="101">
        <v>677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100</v>
      </c>
      <c r="T193" s="101">
        <v>564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100</v>
      </c>
      <c r="T194" s="101">
        <v>451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100</v>
      </c>
      <c r="T195" s="101">
        <v>564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100</v>
      </c>
      <c r="T196" s="101">
        <v>677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100</v>
      </c>
      <c r="T197" s="101">
        <v>100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100</v>
      </c>
      <c r="T198" s="101">
        <v>677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100</v>
      </c>
      <c r="T199" s="101">
        <v>564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100</v>
      </c>
      <c r="T200" s="101">
        <v>451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701</v>
      </c>
      <c r="T201" s="101">
        <v>564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584</v>
      </c>
      <c r="T202" s="101">
        <v>677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467</v>
      </c>
      <c r="T203" s="101">
        <v>100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584</v>
      </c>
      <c r="T204" s="101">
        <v>100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701</v>
      </c>
      <c r="T205" s="101">
        <v>100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100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100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100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100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701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584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topLeftCell="D1" zoomScale="70" zoomScaleNormal="70" workbookViewId="0">
      <selection activeCell="I15" sqref="I15"/>
    </sheetView>
  </sheetViews>
  <sheetFormatPr defaultRowHeight="15.6"/>
  <cols>
    <col min="1" max="2" width="10.21875" style="1" bestFit="1" customWidth="1"/>
    <col min="3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135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str" cm="1">
        <f t="array" ref="A2:B60">'Multiplier Weight'!A3:B61</f>
        <v>Lower</v>
      </c>
      <c r="B2" s="99" t="str">
        <v>Upper</v>
      </c>
      <c r="C2" s="99" t="str" cm="1">
        <f t="array" ref="C2:C60">'Multiplier Weight'!M3:M61</f>
        <v>Fixed Weight</v>
      </c>
      <c r="D2" s="99" t="str" cm="1">
        <f t="array" ref="D2:D60">'Multiplier Weight'!M68:M126</f>
        <v>Fixed Weight</v>
      </c>
      <c r="E2" s="99" t="str" cm="1">
        <f t="array" ref="E2:E60">'Multiplier Weight'!M133:M191</f>
        <v>Fixed Weight</v>
      </c>
      <c r="F2" s="99" t="str" cm="1">
        <f t="array" ref="F2:F60">'Multiplier Weight'!M198:M256</f>
        <v>Fixed Weight</v>
      </c>
      <c r="G2" s="99" t="str" cm="1">
        <f t="array" ref="G2:G60">'Multiplier Weight (new_player)'!M3:M61</f>
        <v>Fixed Weight</v>
      </c>
      <c r="H2" s="99" t="str" cm="1">
        <f t="array" ref="H2:H60">'Multiplier Weight (new_player)'!M68:M126</f>
        <v>Fixed Weight</v>
      </c>
      <c r="I2" s="99" t="str" cm="1">
        <f t="array" ref="I2:I60">'Multiplier Weight (new_player)'!M133:M191</f>
        <v>Fixed Weight</v>
      </c>
      <c r="J2" s="99" t="e" cm="1">
        <f t="array" ref="J2">'Multiplier Weight (new_player)'!#REF!</f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891731804</v>
      </c>
      <c r="D3" s="100">
        <v>890410885</v>
      </c>
      <c r="E3" s="100">
        <v>861196036</v>
      </c>
      <c r="F3" s="100">
        <v>0</v>
      </c>
      <c r="G3" s="261">
        <v>903421347</v>
      </c>
      <c r="H3" s="261">
        <v>873706924</v>
      </c>
      <c r="I3" s="261">
        <v>877653596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285</v>
      </c>
    </row>
    <row r="4" spans="1:16" ht="16.2">
      <c r="A4" s="8">
        <v>0</v>
      </c>
      <c r="B4" s="8">
        <v>1</v>
      </c>
      <c r="C4" s="101">
        <v>11248722</v>
      </c>
      <c r="D4" s="101">
        <v>3868065</v>
      </c>
      <c r="E4" s="101">
        <v>0</v>
      </c>
      <c r="F4" s="101">
        <v>0</v>
      </c>
      <c r="G4" s="262">
        <v>5420629</v>
      </c>
      <c r="H4" s="262">
        <v>9749585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15597397</v>
      </c>
      <c r="D5" s="101">
        <v>11187304</v>
      </c>
      <c r="E5" s="101">
        <v>0</v>
      </c>
      <c r="F5" s="101">
        <v>0</v>
      </c>
      <c r="G5" s="262">
        <v>8786560</v>
      </c>
      <c r="H5" s="262">
        <v>15807150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294</v>
      </c>
    </row>
    <row r="6" spans="1:16">
      <c r="A6" s="8">
        <v>2</v>
      </c>
      <c r="B6" s="8">
        <v>3</v>
      </c>
      <c r="C6" s="101">
        <v>11058852</v>
      </c>
      <c r="D6" s="101">
        <v>5723855</v>
      </c>
      <c r="E6" s="101">
        <v>0</v>
      </c>
      <c r="F6" s="101">
        <v>0</v>
      </c>
      <c r="G6" s="262">
        <v>6195594</v>
      </c>
      <c r="H6" s="262">
        <v>11144138</v>
      </c>
      <c r="I6" s="262">
        <v>0</v>
      </c>
      <c r="J6" s="262"/>
    </row>
    <row r="7" spans="1:16">
      <c r="A7" s="8">
        <v>3</v>
      </c>
      <c r="B7" s="8">
        <v>4</v>
      </c>
      <c r="C7" s="101">
        <v>11752892</v>
      </c>
      <c r="D7" s="101">
        <v>10551459</v>
      </c>
      <c r="E7" s="101">
        <v>0</v>
      </c>
      <c r="F7" s="101">
        <v>0</v>
      </c>
      <c r="G7" s="262">
        <v>8149042</v>
      </c>
      <c r="H7" s="262">
        <v>12156995</v>
      </c>
      <c r="I7" s="262">
        <v>0</v>
      </c>
      <c r="J7" s="262"/>
    </row>
    <row r="8" spans="1:16">
      <c r="A8" s="8">
        <v>4</v>
      </c>
      <c r="B8" s="8">
        <v>5</v>
      </c>
      <c r="C8" s="101">
        <v>9584854</v>
      </c>
      <c r="D8" s="101">
        <v>9843433</v>
      </c>
      <c r="E8" s="101">
        <v>0</v>
      </c>
      <c r="F8" s="101">
        <v>0</v>
      </c>
      <c r="G8" s="262">
        <v>5570825</v>
      </c>
      <c r="H8" s="262">
        <v>8310214</v>
      </c>
      <c r="I8" s="262">
        <v>0</v>
      </c>
      <c r="J8" s="262"/>
    </row>
    <row r="9" spans="1:16">
      <c r="A9" s="8">
        <v>5</v>
      </c>
      <c r="B9" s="8">
        <v>6</v>
      </c>
      <c r="C9" s="101">
        <v>7649926</v>
      </c>
      <c r="D9" s="101">
        <v>8695263</v>
      </c>
      <c r="E9" s="101">
        <v>0</v>
      </c>
      <c r="F9" s="101">
        <v>0</v>
      </c>
      <c r="G9" s="262">
        <v>5538782</v>
      </c>
      <c r="H9" s="262">
        <v>8262271</v>
      </c>
      <c r="I9" s="262">
        <v>0</v>
      </c>
      <c r="J9" s="262"/>
    </row>
    <row r="10" spans="1:16">
      <c r="A10" s="8">
        <v>6</v>
      </c>
      <c r="B10" s="8">
        <v>7</v>
      </c>
      <c r="C10" s="101">
        <v>1858782</v>
      </c>
      <c r="D10" s="101">
        <v>1984051</v>
      </c>
      <c r="E10" s="101">
        <v>0</v>
      </c>
      <c r="F10" s="101">
        <v>0</v>
      </c>
      <c r="G10" s="262">
        <v>1395012</v>
      </c>
      <c r="H10" s="262">
        <v>2081010</v>
      </c>
      <c r="I10" s="262">
        <v>0</v>
      </c>
      <c r="J10" s="262"/>
    </row>
    <row r="11" spans="1:16">
      <c r="A11" s="8">
        <v>7</v>
      </c>
      <c r="B11" s="8">
        <v>8</v>
      </c>
      <c r="C11" s="101">
        <v>7980106</v>
      </c>
      <c r="D11" s="101">
        <v>9042157</v>
      </c>
      <c r="E11" s="101">
        <v>32115336</v>
      </c>
      <c r="F11" s="101">
        <v>0</v>
      </c>
      <c r="G11" s="262">
        <v>14520405</v>
      </c>
      <c r="H11" s="262">
        <v>8664105</v>
      </c>
      <c r="I11" s="262">
        <v>31496205</v>
      </c>
      <c r="J11" s="262"/>
    </row>
    <row r="12" spans="1:16">
      <c r="A12" s="8">
        <v>8</v>
      </c>
      <c r="B12" s="8">
        <v>9</v>
      </c>
      <c r="C12" s="101">
        <v>2919421</v>
      </c>
      <c r="D12" s="101">
        <v>3413800</v>
      </c>
      <c r="E12" s="101">
        <v>0</v>
      </c>
      <c r="F12" s="101">
        <v>0</v>
      </c>
      <c r="G12" s="262">
        <v>3165427</v>
      </c>
      <c r="H12" s="262">
        <v>3777460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5872603</v>
      </c>
      <c r="D13" s="101">
        <v>7940841</v>
      </c>
      <c r="E13" s="101">
        <v>24198962</v>
      </c>
      <c r="F13" s="101">
        <v>0</v>
      </c>
      <c r="G13" s="262">
        <v>3934521</v>
      </c>
      <c r="H13" s="262">
        <v>4695242</v>
      </c>
      <c r="I13" s="262">
        <v>4747076</v>
      </c>
      <c r="J13" s="262"/>
    </row>
    <row r="14" spans="1:16">
      <c r="A14" s="8">
        <v>10</v>
      </c>
      <c r="B14" s="8">
        <v>15</v>
      </c>
      <c r="C14" s="101">
        <v>9351940</v>
      </c>
      <c r="D14" s="101">
        <v>13847816</v>
      </c>
      <c r="E14" s="101">
        <v>3861211</v>
      </c>
      <c r="F14" s="101">
        <v>0</v>
      </c>
      <c r="G14" s="262">
        <v>19729627</v>
      </c>
      <c r="H14" s="262">
        <v>7097136</v>
      </c>
      <c r="I14" s="262">
        <v>3788888</v>
      </c>
      <c r="J14" s="262"/>
    </row>
    <row r="15" spans="1:16">
      <c r="A15" s="8">
        <v>15</v>
      </c>
      <c r="B15" s="8">
        <v>20</v>
      </c>
      <c r="C15" s="101">
        <v>5550221</v>
      </c>
      <c r="D15" s="101">
        <v>8714720</v>
      </c>
      <c r="E15" s="101">
        <v>13261839</v>
      </c>
      <c r="F15" s="101">
        <v>0</v>
      </c>
      <c r="G15" s="262">
        <v>4951515</v>
      </c>
      <c r="H15" s="262">
        <v>17811261</v>
      </c>
      <c r="I15" s="262">
        <v>13016438</v>
      </c>
      <c r="J15" s="262"/>
    </row>
    <row r="16" spans="1:16">
      <c r="A16" s="8">
        <v>20</v>
      </c>
      <c r="B16" s="8">
        <v>25</v>
      </c>
      <c r="C16" s="101">
        <v>2325916</v>
      </c>
      <c r="D16" s="101">
        <v>4863903</v>
      </c>
      <c r="E16" s="101">
        <v>8352121</v>
      </c>
      <c r="F16" s="101">
        <v>0</v>
      </c>
      <c r="G16" s="262">
        <v>6840815</v>
      </c>
      <c r="H16" s="262">
        <v>2460698</v>
      </c>
      <c r="I16" s="262">
        <v>8200227</v>
      </c>
      <c r="J16" s="262"/>
    </row>
    <row r="17" spans="1:10">
      <c r="A17" s="8">
        <v>25</v>
      </c>
      <c r="B17" s="8">
        <v>30</v>
      </c>
      <c r="C17" s="101">
        <v>2015710</v>
      </c>
      <c r="D17" s="101">
        <v>3240963</v>
      </c>
      <c r="E17" s="101">
        <v>6624296</v>
      </c>
      <c r="F17" s="101">
        <v>0</v>
      </c>
      <c r="G17" s="262">
        <v>2379899</v>
      </c>
      <c r="H17" s="262">
        <v>1712116</v>
      </c>
      <c r="I17" s="262">
        <v>6505143</v>
      </c>
      <c r="J17" s="262"/>
    </row>
    <row r="18" spans="1:10">
      <c r="A18" s="8">
        <v>30</v>
      </c>
      <c r="B18" s="8">
        <v>35</v>
      </c>
      <c r="C18" s="101">
        <v>385117</v>
      </c>
      <c r="D18" s="101">
        <v>581869</v>
      </c>
      <c r="E18" s="101">
        <v>4433505</v>
      </c>
      <c r="F18" s="101">
        <v>0</v>
      </c>
      <c r="G18" s="262">
        <v>0</v>
      </c>
      <c r="H18" s="262">
        <v>8466709</v>
      </c>
      <c r="I18" s="262">
        <v>4354076</v>
      </c>
      <c r="J18" s="262"/>
    </row>
    <row r="19" spans="1:10">
      <c r="A19" s="8">
        <v>35</v>
      </c>
      <c r="B19" s="8">
        <v>40</v>
      </c>
      <c r="C19" s="101">
        <v>898440</v>
      </c>
      <c r="D19" s="101">
        <v>1952903</v>
      </c>
      <c r="E19" s="101">
        <v>3884101</v>
      </c>
      <c r="F19" s="101">
        <v>0</v>
      </c>
      <c r="G19" s="262">
        <v>0</v>
      </c>
      <c r="H19" s="262">
        <v>1487147</v>
      </c>
      <c r="I19" s="262">
        <v>3052224</v>
      </c>
      <c r="J19" s="262"/>
    </row>
    <row r="20" spans="1:10">
      <c r="A20" s="8">
        <v>40</v>
      </c>
      <c r="B20" s="8">
        <v>45</v>
      </c>
      <c r="C20" s="101">
        <v>208637</v>
      </c>
      <c r="D20" s="101">
        <v>666930</v>
      </c>
      <c r="E20" s="101">
        <v>8250217</v>
      </c>
      <c r="F20" s="101">
        <v>0</v>
      </c>
      <c r="G20" s="262">
        <v>0</v>
      </c>
      <c r="H20" s="262">
        <v>2609839</v>
      </c>
      <c r="I20" s="262">
        <v>3242021</v>
      </c>
      <c r="J20" s="262"/>
    </row>
    <row r="21" spans="1:10">
      <c r="A21" s="8">
        <v>45</v>
      </c>
      <c r="B21" s="8">
        <v>50</v>
      </c>
      <c r="C21" s="101">
        <v>1043003</v>
      </c>
      <c r="D21" s="101">
        <v>973473</v>
      </c>
      <c r="E21" s="101">
        <v>2812648</v>
      </c>
      <c r="F21" s="101">
        <v>0</v>
      </c>
      <c r="G21" s="262">
        <v>0</v>
      </c>
      <c r="H21" s="262">
        <v>0</v>
      </c>
      <c r="I21" s="262">
        <v>2210740</v>
      </c>
      <c r="J21" s="262"/>
    </row>
    <row r="22" spans="1:10">
      <c r="A22" s="8">
        <v>50</v>
      </c>
      <c r="B22" s="8">
        <v>60</v>
      </c>
      <c r="C22" s="101">
        <v>406594</v>
      </c>
      <c r="D22" s="101">
        <v>939306</v>
      </c>
      <c r="E22" s="101">
        <v>2919865</v>
      </c>
      <c r="F22" s="101">
        <v>92582428</v>
      </c>
      <c r="G22" s="262">
        <v>0</v>
      </c>
      <c r="H22" s="262">
        <v>0</v>
      </c>
      <c r="I22" s="262">
        <v>2295442</v>
      </c>
      <c r="J22" s="262"/>
    </row>
    <row r="23" spans="1:10">
      <c r="A23" s="8">
        <v>60</v>
      </c>
      <c r="B23" s="8">
        <v>70</v>
      </c>
      <c r="C23" s="101">
        <v>41795</v>
      </c>
      <c r="D23" s="101">
        <v>108282</v>
      </c>
      <c r="E23" s="101">
        <v>799213</v>
      </c>
      <c r="F23" s="101">
        <v>72278590</v>
      </c>
      <c r="G23" s="262">
        <v>0</v>
      </c>
      <c r="H23" s="262">
        <v>0</v>
      </c>
      <c r="I23" s="262">
        <v>628365</v>
      </c>
      <c r="J23" s="262"/>
    </row>
    <row r="24" spans="1:10">
      <c r="A24" s="8">
        <v>70</v>
      </c>
      <c r="B24" s="8">
        <v>80</v>
      </c>
      <c r="C24" s="101">
        <v>179137</v>
      </c>
      <c r="D24" s="101">
        <v>358294</v>
      </c>
      <c r="E24" s="101">
        <v>1492822</v>
      </c>
      <c r="F24" s="101">
        <v>62011653</v>
      </c>
      <c r="G24" s="262">
        <v>0</v>
      </c>
      <c r="H24" s="262">
        <v>0</v>
      </c>
      <c r="I24" s="262">
        <v>2934744</v>
      </c>
      <c r="J24" s="262"/>
    </row>
    <row r="25" spans="1:10">
      <c r="A25" s="8">
        <v>80</v>
      </c>
      <c r="B25" s="8">
        <v>90</v>
      </c>
      <c r="C25" s="101">
        <v>68918</v>
      </c>
      <c r="D25" s="101">
        <v>208778</v>
      </c>
      <c r="E25" s="101">
        <v>14025245</v>
      </c>
      <c r="F25" s="101">
        <v>74825468</v>
      </c>
      <c r="G25" s="262">
        <v>0</v>
      </c>
      <c r="H25" s="262">
        <v>0</v>
      </c>
      <c r="I25" s="262">
        <v>13787786</v>
      </c>
      <c r="J25" s="262"/>
    </row>
    <row r="26" spans="1:10">
      <c r="A26" s="8">
        <v>90</v>
      </c>
      <c r="B26" s="8">
        <v>100</v>
      </c>
      <c r="C26" s="101">
        <v>129981</v>
      </c>
      <c r="D26" s="101">
        <v>350351</v>
      </c>
      <c r="E26" s="101">
        <v>2112098</v>
      </c>
      <c r="F26" s="101">
        <v>137591999</v>
      </c>
      <c r="G26" s="262">
        <v>0</v>
      </c>
      <c r="H26" s="262">
        <v>0</v>
      </c>
      <c r="I26" s="262">
        <v>2381018</v>
      </c>
      <c r="J26" s="262"/>
    </row>
    <row r="27" spans="1:10">
      <c r="A27" s="8">
        <v>100</v>
      </c>
      <c r="B27" s="8">
        <v>120</v>
      </c>
      <c r="C27" s="101">
        <v>81950</v>
      </c>
      <c r="D27" s="101">
        <v>179402</v>
      </c>
      <c r="E27" s="101">
        <v>579770</v>
      </c>
      <c r="F27" s="101">
        <v>151133708</v>
      </c>
      <c r="G27" s="262">
        <v>0</v>
      </c>
      <c r="H27" s="262">
        <v>0</v>
      </c>
      <c r="I27" s="262">
        <v>1908359</v>
      </c>
      <c r="J27" s="262"/>
    </row>
    <row r="28" spans="1:10">
      <c r="A28" s="8">
        <v>120</v>
      </c>
      <c r="B28" s="8">
        <v>140</v>
      </c>
      <c r="C28" s="101">
        <v>19854</v>
      </c>
      <c r="D28" s="101">
        <v>41042</v>
      </c>
      <c r="E28" s="101">
        <v>82269</v>
      </c>
      <c r="F28" s="101">
        <v>79065117</v>
      </c>
      <c r="G28" s="262">
        <v>0</v>
      </c>
      <c r="H28" s="262">
        <v>0</v>
      </c>
      <c r="I28" s="262">
        <v>689917</v>
      </c>
      <c r="J28" s="262"/>
    </row>
    <row r="29" spans="1:10">
      <c r="A29" s="8">
        <v>140</v>
      </c>
      <c r="B29" s="8">
        <v>160</v>
      </c>
      <c r="C29" s="101">
        <v>13361</v>
      </c>
      <c r="D29" s="101">
        <v>132786</v>
      </c>
      <c r="E29" s="101">
        <v>144615</v>
      </c>
      <c r="F29" s="101">
        <v>35844607</v>
      </c>
      <c r="G29" s="262">
        <v>0</v>
      </c>
      <c r="H29" s="262">
        <v>0</v>
      </c>
      <c r="I29" s="262">
        <v>2248935</v>
      </c>
      <c r="J29" s="262"/>
    </row>
    <row r="30" spans="1:10">
      <c r="A30" s="8">
        <v>160</v>
      </c>
      <c r="B30" s="8">
        <v>180</v>
      </c>
      <c r="C30" s="101">
        <v>11905</v>
      </c>
      <c r="D30" s="101">
        <v>32370</v>
      </c>
      <c r="E30" s="101">
        <v>4811399</v>
      </c>
      <c r="F30" s="101">
        <v>20331473</v>
      </c>
      <c r="G30" s="262">
        <v>0</v>
      </c>
      <c r="H30" s="262">
        <v>0</v>
      </c>
      <c r="I30" s="262">
        <v>6310916</v>
      </c>
      <c r="J30" s="262"/>
    </row>
    <row r="31" spans="1:10">
      <c r="A31" s="8">
        <v>180</v>
      </c>
      <c r="B31" s="8">
        <v>200</v>
      </c>
      <c r="C31" s="101">
        <v>5285</v>
      </c>
      <c r="D31" s="101">
        <v>39907</v>
      </c>
      <c r="E31" s="101">
        <v>76675</v>
      </c>
      <c r="F31" s="101">
        <v>29684537</v>
      </c>
      <c r="G31" s="262">
        <v>0</v>
      </c>
      <c r="H31" s="262">
        <v>0</v>
      </c>
      <c r="I31" s="262">
        <v>2261631</v>
      </c>
      <c r="J31" s="262"/>
    </row>
    <row r="32" spans="1:10">
      <c r="A32" s="8">
        <v>200</v>
      </c>
      <c r="B32" s="8">
        <v>250</v>
      </c>
      <c r="C32" s="101">
        <v>5620</v>
      </c>
      <c r="D32" s="101">
        <v>54978</v>
      </c>
      <c r="E32" s="101">
        <v>29654</v>
      </c>
      <c r="F32" s="101">
        <v>12491578</v>
      </c>
      <c r="G32" s="262">
        <v>0</v>
      </c>
      <c r="H32" s="262">
        <v>0</v>
      </c>
      <c r="I32" s="262">
        <v>6286253</v>
      </c>
      <c r="J32" s="262"/>
    </row>
    <row r="33" spans="1:10">
      <c r="A33" s="8">
        <v>250</v>
      </c>
      <c r="B33" s="8">
        <v>300</v>
      </c>
      <c r="C33" s="101">
        <v>660</v>
      </c>
      <c r="D33" s="101">
        <v>21542</v>
      </c>
      <c r="E33" s="101">
        <v>2057106</v>
      </c>
      <c r="F33" s="101">
        <v>71850744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330</v>
      </c>
      <c r="D34" s="101">
        <v>2150</v>
      </c>
      <c r="E34" s="101">
        <v>616584</v>
      </c>
      <c r="F34" s="101">
        <v>10721110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1072</v>
      </c>
      <c r="E35" s="101">
        <v>0</v>
      </c>
      <c r="F35" s="101">
        <v>12204847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5375</v>
      </c>
      <c r="E36" s="101">
        <v>800066</v>
      </c>
      <c r="F36" s="101">
        <v>9456017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15048</v>
      </c>
      <c r="E37" s="101">
        <v>0</v>
      </c>
      <c r="F37" s="101">
        <v>11707710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62</v>
      </c>
      <c r="D38" s="101">
        <v>4296</v>
      </c>
      <c r="E38" s="101">
        <v>0</v>
      </c>
      <c r="F38" s="101">
        <v>33606182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101">
        <v>0</v>
      </c>
      <c r="F39" s="101">
        <v>17630041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0</v>
      </c>
      <c r="E40" s="101">
        <v>0</v>
      </c>
      <c r="F40" s="101">
        <v>11605231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101">
        <v>0</v>
      </c>
      <c r="F41" s="101">
        <v>5446722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101">
        <v>0</v>
      </c>
      <c r="F42" s="101">
        <v>4592993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101">
        <v>0</v>
      </c>
      <c r="F43" s="101">
        <v>7532977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101">
        <v>274101</v>
      </c>
      <c r="F44" s="101">
        <v>4215096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101">
        <v>0</v>
      </c>
      <c r="F45" s="101">
        <v>4086759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101">
        <v>0</v>
      </c>
      <c r="F46" s="101">
        <v>3133106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101">
        <v>0</v>
      </c>
      <c r="F47" s="101">
        <v>5706954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205</v>
      </c>
      <c r="D48" s="101">
        <v>921</v>
      </c>
      <c r="E48" s="101">
        <v>0</v>
      </c>
      <c r="F48" s="101">
        <v>13973975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410</v>
      </c>
      <c r="E49" s="101">
        <v>92137</v>
      </c>
      <c r="F49" s="101">
        <v>1417182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101">
        <v>0</v>
      </c>
      <c r="F50" s="101">
        <v>1129391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101">
        <v>57749</v>
      </c>
      <c r="F51" s="101">
        <v>888223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101">
        <v>0</v>
      </c>
      <c r="F52" s="101">
        <v>292187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101">
        <v>0</v>
      </c>
      <c r="F53" s="101">
        <v>274177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101">
        <v>0</v>
      </c>
      <c r="F54" s="101">
        <v>254018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101">
        <v>32787</v>
      </c>
      <c r="F55" s="101">
        <v>203534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101">
        <v>0</v>
      </c>
      <c r="F56" s="101">
        <v>64080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101">
        <v>5573</v>
      </c>
      <c r="F57" s="101">
        <v>165586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101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101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101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6" zoomScale="55" zoomScaleNormal="55" workbookViewId="0">
      <selection activeCell="V200" sqref="V200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0.86999999984424969</v>
      </c>
      <c r="P2" s="215">
        <v>0.92</v>
      </c>
      <c r="Q2" s="181">
        <f>P2-O2</f>
        <v>5.0000000155750346E-2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0.96564290919602347</v>
      </c>
      <c r="R3" s="216">
        <f>1-SUM(_xlfn.ANCHORARRAY(R4))</f>
        <v>4.7266861032537189E-2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1.1214087409837259</v>
      </c>
      <c r="L4" s="185" cm="1">
        <f t="array" ref="L4:L61">K4:K61*_xlfn.ANCHORARRAY(J4)*_xlfn.ANCHORARRAY(F4)</f>
        <v>0.8917318045</v>
      </c>
      <c r="M4" s="240" cm="1">
        <f t="array" ref="M4:M61">INT(_xlfn.ANCHORARRAY(L4)*$M$2)</f>
        <v>891731804</v>
      </c>
      <c r="N4" s="194" cm="1">
        <f t="array" ref="N4:N61">_xlfn.ANCHORARRAY(M4)/SUM(_xlfn.ANCHORARRAY(M4))</f>
        <v>0.89173180399999996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0.83870461855686262</v>
      </c>
      <c r="S4" s="182">
        <f>R4+R3</f>
        <v>0.88597147958939981</v>
      </c>
      <c r="T4" s="213" cm="1">
        <f t="array" ref="T4:T61">S4:S55/_xlfn.ANCHORARRAY(F4)</f>
        <v>1.1141647706856437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0.92025132995509562</v>
      </c>
      <c r="L5" s="188">
        <v>1.1248722500000001E-2</v>
      </c>
      <c r="M5" s="233">
        <v>11248722</v>
      </c>
      <c r="N5" s="195">
        <v>1.1248721999999999E-2</v>
      </c>
      <c r="O5" s="211">
        <v>8.4454193942482894E-3</v>
      </c>
      <c r="P5" s="198">
        <v>1.23573389287732E-2</v>
      </c>
      <c r="Q5" s="198">
        <v>9.2777570510108234E-3</v>
      </c>
      <c r="R5" s="1">
        <v>1.1773246306894915E-2</v>
      </c>
      <c r="S5" s="182" cm="1">
        <f t="array" ref="S5:S55">R5:R55</f>
        <v>1.1773246306894915E-2</v>
      </c>
      <c r="T5" s="1">
        <v>0.96316231214779846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0.78559549133975703</v>
      </c>
      <c r="L6" s="188">
        <v>1.5597397500000002E-2</v>
      </c>
      <c r="M6" s="233">
        <v>15597397</v>
      </c>
      <c r="N6" s="195">
        <v>1.5597397000000001E-2</v>
      </c>
      <c r="O6" s="211">
        <v>2.6784252555962305E-2</v>
      </c>
      <c r="P6" s="198">
        <v>1.7178728121466199E-2</v>
      </c>
      <c r="Q6" s="198">
        <v>2.9499755157579341E-2</v>
      </c>
      <c r="R6" s="1">
        <v>1.6366743566633115E-2</v>
      </c>
      <c r="S6" s="182">
        <v>1.6366743566633115E-2</v>
      </c>
      <c r="T6" s="1">
        <v>0.82434521232538616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0.7887396024097425</v>
      </c>
      <c r="L7" s="188">
        <v>1.1058852500000001E-2</v>
      </c>
      <c r="M7" s="233">
        <v>11058852</v>
      </c>
      <c r="N7" s="195">
        <v>1.1058851999999999E-2</v>
      </c>
      <c r="O7" s="211">
        <v>3.0403641883169838E-2</v>
      </c>
      <c r="P7" s="198">
        <v>1.2210324982495699E-2</v>
      </c>
      <c r="Q7" s="198">
        <v>3.3569338665977382E-2</v>
      </c>
      <c r="R7" s="1">
        <v>1.1633181248385957E-2</v>
      </c>
      <c r="S7" s="182">
        <v>1.1633181248385957E-2</v>
      </c>
      <c r="T7" s="1">
        <v>0.82970188386294252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0.63655892692287586</v>
      </c>
      <c r="L8" s="188">
        <v>1.1752892499999999E-2</v>
      </c>
      <c r="M8" s="233">
        <v>11752892</v>
      </c>
      <c r="N8" s="195">
        <v>1.1752891999999999E-2</v>
      </c>
      <c r="O8" s="211">
        <v>4.3467126566140962E-2</v>
      </c>
      <c r="P8" s="198">
        <v>1.2996255599337999E-2</v>
      </c>
      <c r="Q8" s="198">
        <v>4.806560691805413E-2</v>
      </c>
      <c r="R8" s="1">
        <v>1.2381963391980756E-2</v>
      </c>
      <c r="S8" s="182">
        <v>1.2381963391980756E-2</v>
      </c>
      <c r="T8" s="1">
        <v>0.67063059838227934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0.7606365144241013</v>
      </c>
      <c r="L9" s="188">
        <v>9.5848545E-3</v>
      </c>
      <c r="M9" s="233">
        <v>9584854</v>
      </c>
      <c r="N9" s="195">
        <v>9.5848540000000003E-3</v>
      </c>
      <c r="O9" s="211">
        <v>4.6060178799851567E-2</v>
      </c>
      <c r="P9" s="198">
        <v>1.05879741106956E-2</v>
      </c>
      <c r="Q9" s="198">
        <v>5.0880689540689791E-2</v>
      </c>
      <c r="R9" s="1">
        <v>1.0087513809789249E-2</v>
      </c>
      <c r="S9" s="182">
        <v>1.0087513809789249E-2</v>
      </c>
      <c r="T9" s="1">
        <v>0.80052663746571018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0.60986053511511051</v>
      </c>
      <c r="L10" s="188">
        <v>7.6499265000000011E-3</v>
      </c>
      <c r="M10" s="233">
        <v>7649926</v>
      </c>
      <c r="N10" s="195">
        <v>7.6499259999999996E-3</v>
      </c>
      <c r="O10" s="211">
        <v>4.5532436692034328E-2</v>
      </c>
      <c r="P10" s="198">
        <v>8.37719620644619E-3</v>
      </c>
      <c r="Q10" s="198">
        <v>4.9861156294421838E-2</v>
      </c>
      <c r="R10" s="1">
        <v>7.9812324375137991E-3</v>
      </c>
      <c r="S10" s="182">
        <v>7.9812324375137991E-3</v>
      </c>
      <c r="T10" s="1">
        <v>0.63627260800744201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0.58838523325287861</v>
      </c>
      <c r="L11" s="188">
        <v>1.8587825000000002E-3</v>
      </c>
      <c r="M11" s="233">
        <v>1858782</v>
      </c>
      <c r="N11" s="195">
        <v>1.858782E-3</v>
      </c>
      <c r="O11" s="211">
        <v>1.2133779159911432E-2</v>
      </c>
      <c r="P11" s="198">
        <v>2.1346721997370101E-3</v>
      </c>
      <c r="Q11" s="198">
        <v>1.3934738474125113E-2</v>
      </c>
      <c r="R11" s="1">
        <v>2.0337729455220202E-3</v>
      </c>
      <c r="S11" s="182">
        <v>2.0337729455220202E-3</v>
      </c>
      <c r="T11" s="1">
        <v>0.64377729451098642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0.60696261251476313</v>
      </c>
      <c r="L12" s="188">
        <v>7.9801065000000004E-3</v>
      </c>
      <c r="M12" s="233">
        <v>7980106</v>
      </c>
      <c r="N12" s="195">
        <v>7.9801060000000007E-3</v>
      </c>
      <c r="O12" s="211">
        <v>6.1559161937724309E-2</v>
      </c>
      <c r="P12" s="198">
        <v>8.8375429069112096E-3</v>
      </c>
      <c r="Q12" s="198">
        <v>6.8173497311706632E-2</v>
      </c>
      <c r="R12" s="1">
        <v>8.4198199944611526E-3</v>
      </c>
      <c r="S12" s="182">
        <v>8.4198199944611526E-3</v>
      </c>
      <c r="T12" s="1">
        <v>0.64040698463638046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0.50681946134900757</v>
      </c>
      <c r="L13" s="188">
        <v>2.9194214999999999E-3</v>
      </c>
      <c r="M13" s="233">
        <v>2919421</v>
      </c>
      <c r="N13" s="195">
        <v>2.9194210000000002E-3</v>
      </c>
      <c r="O13" s="211">
        <v>2.6044773892327542E-2</v>
      </c>
      <c r="P13" s="198">
        <v>3.2443304962611699E-3</v>
      </c>
      <c r="Q13" s="198">
        <v>2.8943360415337484E-2</v>
      </c>
      <c r="R13" s="1">
        <v>3.0909811775507706E-3</v>
      </c>
      <c r="S13" s="182">
        <v>3.0909811775507706E-3</v>
      </c>
      <c r="T13" s="1">
        <v>0.53660268496556685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0.82291197386233816</v>
      </c>
      <c r="L14" s="188">
        <v>5.8726035000000003E-3</v>
      </c>
      <c r="M14" s="233">
        <v>5872603</v>
      </c>
      <c r="N14" s="195">
        <v>5.8726029999999997E-3</v>
      </c>
      <c r="O14" s="211">
        <v>5.7260007835075961E-2</v>
      </c>
      <c r="P14" s="198">
        <v>6.4938584552695199E-3</v>
      </c>
      <c r="Q14" s="198">
        <v>6.3317473704353422E-2</v>
      </c>
      <c r="R14" s="1">
        <v>6.1869141500993288E-3</v>
      </c>
      <c r="S14" s="182">
        <v>6.1869141500993288E-3</v>
      </c>
      <c r="T14" s="1">
        <v>0.86695547134674911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0.52217105387318596</v>
      </c>
      <c r="L15" s="188">
        <v>9.3519404999999993E-3</v>
      </c>
      <c r="M15" s="233">
        <v>9351940</v>
      </c>
      <c r="N15" s="195">
        <v>9.3519399999999996E-3</v>
      </c>
      <c r="O15" s="211">
        <v>0.11905377109772131</v>
      </c>
      <c r="P15" s="198">
        <v>1.0357800760463E-2</v>
      </c>
      <c r="Q15" s="198">
        <v>0.13185876308145325</v>
      </c>
      <c r="R15" s="1">
        <v>9.8682200313154854E-3</v>
      </c>
      <c r="S15" s="182">
        <v>9.8682200313154854E-3</v>
      </c>
      <c r="T15" s="1">
        <v>0.55099782270904007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0.49251063203718581</v>
      </c>
      <c r="L16" s="188">
        <v>5.5502214999999999E-3</v>
      </c>
      <c r="M16" s="233">
        <v>5550221</v>
      </c>
      <c r="N16" s="195">
        <v>5.5502210000000001E-3</v>
      </c>
      <c r="O16" s="211">
        <v>9.9057232619724822E-2</v>
      </c>
      <c r="P16" s="198">
        <v>6.1690170335704101E-3</v>
      </c>
      <c r="Q16" s="198">
        <v>0.11010115729255265</v>
      </c>
      <c r="R16" s="1">
        <v>5.8774269627372821E-3</v>
      </c>
      <c r="S16" s="182">
        <v>5.8774269627372821E-3</v>
      </c>
      <c r="T16" s="1">
        <v>0.52154590013572177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0.37428611934394912</v>
      </c>
      <c r="L17" s="188">
        <v>2.3259165000000001E-3</v>
      </c>
      <c r="M17" s="233">
        <v>2325916</v>
      </c>
      <c r="N17" s="195">
        <v>2.3259159999999999E-3</v>
      </c>
      <c r="O17" s="211">
        <v>5.4061532011539626E-2</v>
      </c>
      <c r="P17" s="198">
        <v>2.5816539959949798E-3</v>
      </c>
      <c r="Q17" s="198">
        <v>6.0005679546123673E-2</v>
      </c>
      <c r="R17" s="1">
        <v>2.4596273153321903E-3</v>
      </c>
      <c r="S17" s="182">
        <v>2.4596273153321903E-3</v>
      </c>
      <c r="T17" s="1">
        <v>0.39580284283122863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0.46574664641979779</v>
      </c>
      <c r="L18" s="188">
        <v>2.0157104999999997E-3</v>
      </c>
      <c r="M18" s="233">
        <v>2015710</v>
      </c>
      <c r="N18" s="195">
        <v>2.01571E-3</v>
      </c>
      <c r="O18" s="211">
        <v>5.7316795858649155E-2</v>
      </c>
      <c r="P18" s="198">
        <v>2.25050136953143E-3</v>
      </c>
      <c r="Q18" s="198">
        <v>6.3993098003702578E-2</v>
      </c>
      <c r="R18" s="1">
        <v>2.1441272340442532E-3</v>
      </c>
      <c r="S18" s="182">
        <v>2.1441272340442532E-3</v>
      </c>
      <c r="T18" s="1">
        <v>0.49541839899800488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0.179512917956862</v>
      </c>
      <c r="L19" s="188">
        <v>3.8511750000000004E-4</v>
      </c>
      <c r="M19" s="233">
        <v>385117</v>
      </c>
      <c r="N19" s="195">
        <v>3.8511699999999998E-4</v>
      </c>
      <c r="O19" s="211">
        <v>1.2548325714004495E-2</v>
      </c>
      <c r="P19" s="198">
        <v>4.2879067664282501E-4</v>
      </c>
      <c r="Q19" s="198">
        <v>1.397135175451239E-2</v>
      </c>
      <c r="R19" s="1">
        <v>4.08523087317901E-4</v>
      </c>
      <c r="S19" s="182">
        <v>4.08523087317901E-4</v>
      </c>
      <c r="T19" s="1">
        <v>0.19042284875961837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0.23779918097438216</v>
      </c>
      <c r="L20" s="188">
        <v>8.9844049999999998E-4</v>
      </c>
      <c r="M20" s="233">
        <v>898440</v>
      </c>
      <c r="N20" s="195">
        <v>8.9844000000000002E-4</v>
      </c>
      <c r="O20" s="211">
        <v>3.4382446727960897E-2</v>
      </c>
      <c r="P20" s="198">
        <v>1.0049665469022799E-3</v>
      </c>
      <c r="Q20" s="198">
        <v>3.8459116649136788E-2</v>
      </c>
      <c r="R20" s="1">
        <v>9.5746493278750099E-4</v>
      </c>
      <c r="S20" s="182">
        <v>9.5746493278750099E-4</v>
      </c>
      <c r="T20" s="1">
        <v>0.25342176452259174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0.12660134661174718</v>
      </c>
      <c r="L21" s="188">
        <v>2.0863750000000002E-4</v>
      </c>
      <c r="M21" s="233">
        <v>208637</v>
      </c>
      <c r="N21" s="195">
        <v>2.0863699999999999E-4</v>
      </c>
      <c r="O21" s="211">
        <v>9.0811036159683198E-3</v>
      </c>
      <c r="P21" s="198">
        <v>2.3202958692793599E-4</v>
      </c>
      <c r="Q21" s="198">
        <v>1.0099285940954458E-2</v>
      </c>
      <c r="R21" s="1">
        <v>2.2106227668717621E-4</v>
      </c>
      <c r="S21" s="182">
        <v>2.2106227668717621E-4</v>
      </c>
      <c r="T21" s="1">
        <v>0.13414070775222647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0.5127743308882815</v>
      </c>
      <c r="L22" s="188">
        <v>1.0430035000000002E-3</v>
      </c>
      <c r="M22" s="233">
        <v>1043003</v>
      </c>
      <c r="N22" s="195">
        <v>1.043003E-3</v>
      </c>
      <c r="O22" s="211">
        <v>5.0194037572469673E-2</v>
      </c>
      <c r="P22" s="198">
        <v>1.16460290270869E-3</v>
      </c>
      <c r="Q22" s="198">
        <v>5.6045976718731606E-2</v>
      </c>
      <c r="R22" s="1">
        <v>1.1095557791482688E-3</v>
      </c>
      <c r="S22" s="182">
        <v>1.1095557791482688E-3</v>
      </c>
      <c r="T22" s="1">
        <v>0.54549358869455311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0.12556673332149501</v>
      </c>
      <c r="L23" s="188">
        <v>4.0659449999999993E-4</v>
      </c>
      <c r="M23" s="233">
        <v>406594</v>
      </c>
      <c r="N23" s="195">
        <v>4.0659399999999998E-4</v>
      </c>
      <c r="O23" s="211">
        <v>2.3082846088585591E-2</v>
      </c>
      <c r="P23" s="198">
        <v>4.5292175368333E-4</v>
      </c>
      <c r="Q23" s="198">
        <v>2.5712930172222367E-2</v>
      </c>
      <c r="R23" s="1">
        <v>4.3151356409336697E-4</v>
      </c>
      <c r="S23" s="182">
        <v>4.3151356409336697E-4</v>
      </c>
      <c r="T23" s="1">
        <v>0.13326237474220548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2.1160349942790025E-2</v>
      </c>
      <c r="L24" s="188">
        <v>4.1795500000000003E-5</v>
      </c>
      <c r="M24" s="233">
        <v>41795</v>
      </c>
      <c r="N24" s="195">
        <v>4.1795000000000002E-5</v>
      </c>
      <c r="O24" s="211">
        <v>2.7381343344262295E-3</v>
      </c>
      <c r="P24" s="198">
        <v>4.6777164724671799E-5</v>
      </c>
      <c r="Q24" s="198">
        <v>3.0645330972541049E-3</v>
      </c>
      <c r="R24" s="1">
        <v>4.4566154980134628E-5</v>
      </c>
      <c r="S24" s="182">
        <v>4.4566154980134628E-5</v>
      </c>
      <c r="T24" s="1">
        <v>2.2563085379628502E-2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6.9944056468295157E-2</v>
      </c>
      <c r="L25" s="188">
        <v>1.7913750000000001E-4</v>
      </c>
      <c r="M25" s="233">
        <v>179137</v>
      </c>
      <c r="N25" s="195">
        <v>1.79137E-4</v>
      </c>
      <c r="O25" s="211">
        <v>1.3641890634935268E-2</v>
      </c>
      <c r="P25" s="198">
        <v>2.0010231576665199E-4</v>
      </c>
      <c r="Q25" s="198">
        <v>1.5238470597843827E-2</v>
      </c>
      <c r="R25" s="1">
        <v>1.9064410741502077E-4</v>
      </c>
      <c r="S25" s="182">
        <v>1.9064410741502077E-4</v>
      </c>
      <c r="T25" s="1">
        <v>7.4436799745357274E-2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4.0809299417217254E-2</v>
      </c>
      <c r="L26" s="188">
        <v>6.8918500000000001E-5</v>
      </c>
      <c r="M26" s="233">
        <v>68918</v>
      </c>
      <c r="N26" s="195">
        <v>6.8918000000000007E-5</v>
      </c>
      <c r="O26" s="211">
        <v>5.9468327745309376E-3</v>
      </c>
      <c r="P26" s="198">
        <v>7.7219446529617E-5</v>
      </c>
      <c r="Q26" s="198">
        <v>6.6631523760623586E-3</v>
      </c>
      <c r="R26" s="1">
        <v>7.3569525681492151E-5</v>
      </c>
      <c r="S26" s="182">
        <v>7.3569525681492151E-5</v>
      </c>
      <c r="T26" s="1">
        <v>4.3563350936521653E-2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7.768521296547537E-2</v>
      </c>
      <c r="L27" s="188">
        <v>1.2998150000000002E-4</v>
      </c>
      <c r="M27" s="233">
        <v>129981</v>
      </c>
      <c r="N27" s="195">
        <v>1.2998099999999999E-4</v>
      </c>
      <c r="O27" s="211">
        <v>1.2500043324498708E-2</v>
      </c>
      <c r="P27" s="198">
        <v>1.45157709582117E-4</v>
      </c>
      <c r="Q27" s="198">
        <v>1.3959560694728184E-2</v>
      </c>
      <c r="R27" s="1">
        <v>1.3829656029549768E-4</v>
      </c>
      <c r="S27" s="182">
        <v>1.3829656029549768E-4</v>
      </c>
      <c r="T27" s="1">
        <v>8.2654821947342055E-2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2.8690817453993444E-2</v>
      </c>
      <c r="L28" s="188">
        <v>8.1950500000000008E-5</v>
      </c>
      <c r="M28" s="233">
        <v>81950</v>
      </c>
      <c r="N28" s="195">
        <v>8.195E-5</v>
      </c>
      <c r="O28" s="211">
        <v>9.1573197226372839E-3</v>
      </c>
      <c r="P28" s="198">
        <v>9.1698092753920201E-5</v>
      </c>
      <c r="Q28" s="198">
        <v>1.0246598576006058E-2</v>
      </c>
      <c r="R28" s="1">
        <v>8.7363811746771943E-5</v>
      </c>
      <c r="S28" s="182">
        <v>8.7363811746771943E-5</v>
      </c>
      <c r="T28" s="1">
        <v>3.0586014422263219E-2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1.0076917415919951E-2</v>
      </c>
      <c r="L29" s="188">
        <v>1.9854499999999998E-5</v>
      </c>
      <c r="M29" s="233">
        <v>19854</v>
      </c>
      <c r="N29" s="195">
        <v>1.9854E-5</v>
      </c>
      <c r="O29" s="211">
        <v>2.6006661849349464E-3</v>
      </c>
      <c r="P29" s="198">
        <v>2.22748403450818E-5</v>
      </c>
      <c r="Q29" s="198">
        <v>2.9177709308088502E-3</v>
      </c>
      <c r="R29" s="1">
        <v>2.1221978561968865E-5</v>
      </c>
      <c r="S29" s="182">
        <v>2.1221978561968865E-5</v>
      </c>
      <c r="T29" s="1">
        <v>1.077096503922959E-2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7.2296777419100008E-3</v>
      </c>
      <c r="L30" s="188">
        <v>1.3361500000000001E-5</v>
      </c>
      <c r="M30" s="233">
        <v>13361</v>
      </c>
      <c r="N30" s="195">
        <v>1.3361E-5</v>
      </c>
      <c r="O30" s="211">
        <v>2.0193422420991636E-3</v>
      </c>
      <c r="P30" s="198">
        <v>1.4849893563387901E-5</v>
      </c>
      <c r="Q30" s="198">
        <v>2.2443692360770645E-3</v>
      </c>
      <c r="R30" s="1">
        <v>1.4147985707979275E-5</v>
      </c>
      <c r="S30" s="182">
        <v>1.4147985707979275E-5</v>
      </c>
      <c r="T30" s="1">
        <v>7.6552316256287521E-3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8.3602399333736876E-3</v>
      </c>
      <c r="L31" s="188">
        <v>1.19055E-5</v>
      </c>
      <c r="M31" s="233">
        <v>11905</v>
      </c>
      <c r="N31" s="195">
        <v>1.1905E-5</v>
      </c>
      <c r="O31" s="211">
        <v>2.0413099354550574E-3</v>
      </c>
      <c r="P31" s="198">
        <v>1.33649042070491E-5</v>
      </c>
      <c r="Q31" s="198">
        <v>2.2916347538222952E-3</v>
      </c>
      <c r="R31" s="1">
        <v>1.2733187137181338E-5</v>
      </c>
      <c r="S31" s="182">
        <v>1.2733187137181338E-5</v>
      </c>
      <c r="T31" s="1">
        <v>8.9414555947573467E-3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4.0852180109768738E-3</v>
      </c>
      <c r="L32" s="188">
        <v>5.2854999999999996E-6</v>
      </c>
      <c r="M32" s="233">
        <v>5285</v>
      </c>
      <c r="N32" s="195">
        <v>5.2850000000000002E-6</v>
      </c>
      <c r="O32" s="211">
        <v>1.0152066406886324E-3</v>
      </c>
      <c r="P32" s="198">
        <v>5.9399574253551498E-6</v>
      </c>
      <c r="Q32" s="198">
        <v>1.1410187745748909E-3</v>
      </c>
      <c r="R32" s="1">
        <v>5.6591942831917002E-6</v>
      </c>
      <c r="S32" s="182">
        <v>5.6591942831917002E-6</v>
      </c>
      <c r="T32" s="1">
        <v>4.374050215365073E-3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2.2449645570803358E-3</v>
      </c>
      <c r="L33" s="188">
        <v>5.6204999999999998E-6</v>
      </c>
      <c r="M33" s="233">
        <v>5620</v>
      </c>
      <c r="N33" s="195">
        <v>5.6200000000000004E-6</v>
      </c>
      <c r="O33" s="211">
        <v>1.2603183546241157E-3</v>
      </c>
      <c r="P33" s="198">
        <v>6.3112047644398504E-6</v>
      </c>
      <c r="Q33" s="198">
        <v>1.4153251253406962E-3</v>
      </c>
      <c r="R33" s="1">
        <v>6.0128939258911849E-6</v>
      </c>
      <c r="S33" s="182">
        <v>6.0128939258911849E-6</v>
      </c>
      <c r="T33" s="1">
        <v>2.4016962457271318E-3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3.7955690968844151E-4</v>
      </c>
      <c r="L34" s="188">
        <v>6.6049999999999997E-7</v>
      </c>
      <c r="M34" s="233">
        <v>660</v>
      </c>
      <c r="N34" s="195">
        <v>6.6000000000000003E-7</v>
      </c>
      <c r="O34" s="211">
        <v>1.8166899054182108E-4</v>
      </c>
      <c r="P34" s="198">
        <v>7.4249467816939405E-7</v>
      </c>
      <c r="Q34" s="198">
        <v>2.0437614949349718E-4</v>
      </c>
      <c r="R34" s="1">
        <v>7.0739928539896273E-7</v>
      </c>
      <c r="S34" s="182">
        <v>7.0739928539896273E-7</v>
      </c>
      <c r="T34" s="1">
        <v>4.0650762555918574E-4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2.7614592202240753E-4</v>
      </c>
      <c r="L35" s="188">
        <v>3.305E-7</v>
      </c>
      <c r="M35" s="233">
        <v>330</v>
      </c>
      <c r="N35" s="195">
        <v>3.3000000000000002E-7</v>
      </c>
      <c r="O35" s="211">
        <v>1.0712589205660616E-4</v>
      </c>
      <c r="P35" s="198">
        <v>3.7124733908469702E-7</v>
      </c>
      <c r="Q35" s="198">
        <v>1.2051576476693792E-4</v>
      </c>
      <c r="R35" s="1">
        <v>3.5369964269948137E-7</v>
      </c>
      <c r="S35" s="182">
        <v>3.5369964269948137E-7</v>
      </c>
      <c r="T35" s="1">
        <v>2.9553014811571675E-4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9.7724504458582791E-5</v>
      </c>
      <c r="L39" s="188">
        <v>6.2499999999999997E-8</v>
      </c>
      <c r="M39" s="233">
        <v>62</v>
      </c>
      <c r="N39" s="195">
        <v>6.1999999999999999E-8</v>
      </c>
      <c r="O39" s="211">
        <v>3.2535755277201417E-5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3.648504265991822E-4</v>
      </c>
      <c r="R48" s="1">
        <v>3.5369964269948137E-7</v>
      </c>
      <c r="S48" s="182">
        <v>3.5369964269948137E-7</v>
      </c>
      <c r="T48" s="1">
        <v>1.5833634429325218E-3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8.314919798451199E-5</v>
      </c>
      <c r="L49" s="188">
        <v>2.0549999999999998E-7</v>
      </c>
      <c r="M49" s="233">
        <v>205</v>
      </c>
      <c r="N49" s="195">
        <v>2.05E-7</v>
      </c>
      <c r="O49" s="211">
        <v>2.8873503447313147E-4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1.870422875278796E-2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1675041.8760469013</v>
      </c>
      <c r="O64" s="220" cm="1">
        <f t="array" ref="O64:O65">N66/N64:N65</f>
        <v>2.0894999999999997</v>
      </c>
    </row>
    <row r="65" spans="1:47" ht="16.8" thickBot="1">
      <c r="L65" s="180"/>
      <c r="M65" s="124" t="s">
        <v>179</v>
      </c>
      <c r="N65" s="253">
        <f>1/N49</f>
        <v>4878048.7804878047</v>
      </c>
      <c r="O65" s="220">
        <v>0.71750000000000003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0.87000000000739364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0.95615370270296507</v>
      </c>
      <c r="R68" s="216">
        <f>1-SUM(_xlfn.ANCHORARRAY(R69))</f>
        <v>3.7811601420108087E-2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795217879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1.1197068237697407</v>
      </c>
      <c r="L69" s="185" cm="1">
        <f t="array" ref="L69:L126">K69:K126*_xlfn.ANCHORARRAY(J69)*_xlfn.ANCHORARRAY(F69)</f>
        <v>0.89041088549999992</v>
      </c>
      <c r="M69" s="240" cm="1">
        <f t="array" ref="M69:M126">INT(_xlfn.ANCHORARRAY(L69)*$M$2)</f>
        <v>890410885</v>
      </c>
      <c r="N69" s="194" cm="1">
        <f t="array" ref="N69:N126">_xlfn.ANCHORARRAY(M69)/SUM(_xlfn.ANCHORARRAY(M69))</f>
        <v>0.89041088499999999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0.84686224286319678</v>
      </c>
      <c r="S69" s="182">
        <f>R69+R68</f>
        <v>0.88467384428330487</v>
      </c>
      <c r="T69" s="213" cm="1">
        <f t="array" ref="T69:T120">S69:S120/F69:F120</f>
        <v>1.1124923969212026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0.86872278128522529</v>
      </c>
      <c r="L70" s="188">
        <v>3.8680654999999997E-3</v>
      </c>
      <c r="M70" s="233">
        <v>3868065</v>
      </c>
      <c r="N70" s="195">
        <v>3.868065E-3</v>
      </c>
      <c r="O70" s="211">
        <v>2.0629680000000001E-3</v>
      </c>
      <c r="P70" s="183">
        <v>4.1935503124571009E-3</v>
      </c>
      <c r="Q70" s="183">
        <v>2.2365601666437872E-3</v>
      </c>
      <c r="R70" s="1">
        <v>4.0349854595073033E-3</v>
      </c>
      <c r="S70" s="182" cm="1">
        <f t="array" ref="S70:S120">R70:R120</f>
        <v>4.0349854595073033E-3</v>
      </c>
      <c r="T70" s="1">
        <v>0.90621107394086975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0.88550029761245164</v>
      </c>
      <c r="L71" s="188">
        <v>1.11873045E-2</v>
      </c>
      <c r="M71" s="233">
        <v>11187304</v>
      </c>
      <c r="N71" s="195">
        <v>1.1187304E-2</v>
      </c>
      <c r="O71" s="211">
        <v>1.2378389688684457E-2</v>
      </c>
      <c r="P71" s="183">
        <v>1.217001008696275E-2</v>
      </c>
      <c r="Q71" s="183">
        <v>1.3465722158944241E-2</v>
      </c>
      <c r="R71" s="1">
        <v>1.1709842516275819E-2</v>
      </c>
      <c r="S71" s="1">
        <v>1.1709842516275819E-2</v>
      </c>
      <c r="T71" s="1">
        <v>0.92686035614362483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0.7491240694116833</v>
      </c>
      <c r="L72" s="188">
        <v>5.7238555000000005E-3</v>
      </c>
      <c r="M72" s="233">
        <v>5723855</v>
      </c>
      <c r="N72" s="195">
        <v>5.7238549999999999E-3</v>
      </c>
      <c r="O72" s="211">
        <v>1.0667058063546276E-2</v>
      </c>
      <c r="P72" s="183">
        <v>6.2383985006834062E-3</v>
      </c>
      <c r="Q72" s="183">
        <v>1.1625968692486083E-2</v>
      </c>
      <c r="R72" s="1">
        <v>6.0025146630757649E-3</v>
      </c>
      <c r="S72" s="1">
        <v>6.0025146630757649E-3</v>
      </c>
      <c r="T72" s="1">
        <v>0.78559429236230993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178">
        <v>2</v>
      </c>
      <c r="I73" s="124" t="str">
        <f t="shared" si="3"/>
        <v>(3, 4]</v>
      </c>
      <c r="J73" s="160">
        <v>1</v>
      </c>
      <c r="K73" s="234">
        <v>0.74350170742160104</v>
      </c>
      <c r="L73" s="188">
        <v>1.0551459500000001E-2</v>
      </c>
      <c r="M73" s="233">
        <v>10551459</v>
      </c>
      <c r="N73" s="195">
        <v>1.0551458999999999E-2</v>
      </c>
      <c r="O73" s="211">
        <v>2.5672783220759807E-2</v>
      </c>
      <c r="P73" s="183">
        <v>1.1511074768865306E-2</v>
      </c>
      <c r="Q73" s="183">
        <v>2.8007626924298982E-2</v>
      </c>
      <c r="R73" s="1">
        <v>1.1075822597787909E-2</v>
      </c>
      <c r="S73" s="1">
        <v>1.1075822597787909E-2</v>
      </c>
      <c r="T73" s="1">
        <v>0.78045061088980749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0.8087828071341312</v>
      </c>
      <c r="L74" s="188">
        <v>9.8434335000000001E-3</v>
      </c>
      <c r="M74" s="233">
        <v>9843433</v>
      </c>
      <c r="N74" s="195">
        <v>9.8434330000000004E-3</v>
      </c>
      <c r="O74" s="211">
        <v>3.1641803911635895E-2</v>
      </c>
      <c r="P74" s="183">
        <v>1.0749479238165724E-2</v>
      </c>
      <c r="Q74" s="183">
        <v>3.4554297693319094E-2</v>
      </c>
      <c r="R74" s="1">
        <v>1.0343024213738476E-2</v>
      </c>
      <c r="S74" s="1">
        <v>1.0343024213738476E-2</v>
      </c>
      <c r="T74" s="1">
        <v>0.84983153061822336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0.6873344657079109</v>
      </c>
      <c r="L75" s="188">
        <v>8.6952634999999997E-3</v>
      </c>
      <c r="M75" s="233">
        <v>8695263</v>
      </c>
      <c r="N75" s="195">
        <v>8.695263E-3</v>
      </c>
      <c r="O75" s="211">
        <v>3.4662538773965808E-2</v>
      </c>
      <c r="P75" s="183">
        <v>9.5020382827095129E-3</v>
      </c>
      <c r="Q75" s="183">
        <v>3.7878643855410239E-2</v>
      </c>
      <c r="R75" s="1">
        <v>9.1427509984850931E-3</v>
      </c>
      <c r="S75" s="1">
        <v>9.1427509984850931E-3</v>
      </c>
      <c r="T75" s="1">
        <v>0.72270700855060011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178">
        <v>4</v>
      </c>
      <c r="I76" s="124" t="str">
        <f t="shared" si="3"/>
        <v>(6, 7]</v>
      </c>
      <c r="J76" s="160">
        <v>1</v>
      </c>
      <c r="K76" s="234">
        <v>0.70239420284929577</v>
      </c>
      <c r="L76" s="188">
        <v>1.9840515000000003E-3</v>
      </c>
      <c r="M76" s="233">
        <v>1984051</v>
      </c>
      <c r="N76" s="195">
        <v>1.9840510000000001E-3</v>
      </c>
      <c r="O76" s="211">
        <v>8.5737028116140337E-3</v>
      </c>
      <c r="P76" s="183">
        <v>2.168995422070752E-3</v>
      </c>
      <c r="Q76" s="183">
        <v>9.3729053076689918E-3</v>
      </c>
      <c r="R76" s="1">
        <v>2.0869822316893737E-3</v>
      </c>
      <c r="S76" s="1">
        <v>2.0869822316893737E-3</v>
      </c>
      <c r="T76" s="1">
        <v>0.73883375556940023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0.63937065160223838</v>
      </c>
      <c r="L77" s="188">
        <v>9.0421575000000001E-3</v>
      </c>
      <c r="M77" s="233">
        <v>9042157</v>
      </c>
      <c r="N77" s="195">
        <v>9.0421570000000003E-3</v>
      </c>
      <c r="O77" s="211">
        <v>4.6430021032233357E-2</v>
      </c>
      <c r="P77" s="183">
        <v>9.891192111875757E-3</v>
      </c>
      <c r="Q77" s="183">
        <v>5.0789679695702264E-2</v>
      </c>
      <c r="R77" s="1">
        <v>9.5171902981717928E-3</v>
      </c>
      <c r="S77" s="1">
        <v>9.5171902981717928E-3</v>
      </c>
      <c r="T77" s="1">
        <v>0.67296020472598495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0.53442080912657486</v>
      </c>
      <c r="L78" s="188">
        <v>3.4138005000000004E-3</v>
      </c>
      <c r="M78" s="233">
        <v>3413800</v>
      </c>
      <c r="N78" s="195">
        <v>3.4137999999999998E-3</v>
      </c>
      <c r="O78" s="211">
        <v>2.0333251978043945E-2</v>
      </c>
      <c r="P78" s="183">
        <v>3.7363542493568814E-3</v>
      </c>
      <c r="Q78" s="183">
        <v>2.2254447369912916E-2</v>
      </c>
      <c r="R78" s="1">
        <v>3.595076711715872E-3</v>
      </c>
      <c r="S78" s="1">
        <v>3.595076711715872E-3</v>
      </c>
      <c r="T78" s="1">
        <v>0.56279908716027849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178">
        <v>6</v>
      </c>
      <c r="I79" s="124" t="str">
        <f t="shared" si="3"/>
        <v>(9, 10]</v>
      </c>
      <c r="J79" s="160">
        <v>1</v>
      </c>
      <c r="K79" s="234">
        <v>0.93048180257174784</v>
      </c>
      <c r="L79" s="188">
        <v>7.9408415000000003E-3</v>
      </c>
      <c r="M79" s="233">
        <v>7940841</v>
      </c>
      <c r="N79" s="195">
        <v>7.9408410000000006E-3</v>
      </c>
      <c r="O79" s="211">
        <v>5.1633585771000592E-2</v>
      </c>
      <c r="P79" s="183">
        <v>8.6938875393182645E-3</v>
      </c>
      <c r="Q79" s="183">
        <v>5.6530106564886877E-2</v>
      </c>
      <c r="R79" s="1">
        <v>8.3651577288903177E-3</v>
      </c>
      <c r="S79" s="1">
        <v>8.3651577288903177E-3</v>
      </c>
      <c r="T79" s="1">
        <v>0.98020178873672914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178">
        <v>6.666666666666667</v>
      </c>
      <c r="I80" s="214" t="str">
        <f t="shared" si="3"/>
        <v>(10, 15]</v>
      </c>
      <c r="J80" s="160">
        <v>1</v>
      </c>
      <c r="K80" s="234">
        <v>0.63664752729637153</v>
      </c>
      <c r="L80" s="188">
        <v>1.3847816499999999E-2</v>
      </c>
      <c r="M80" s="233">
        <v>13847816</v>
      </c>
      <c r="N80" s="195">
        <v>1.3847816000000001E-2</v>
      </c>
      <c r="O80" s="211">
        <v>0.11787285173163348</v>
      </c>
      <c r="P80" s="183">
        <v>1.5175805614081161E-2</v>
      </c>
      <c r="Q80" s="183">
        <v>0.12917672252842466</v>
      </c>
      <c r="R80" s="1">
        <v>1.4601984100972486E-2</v>
      </c>
      <c r="S80" s="1">
        <v>1.4601984100972486E-2</v>
      </c>
      <c r="T80" s="1">
        <v>0.67132006490012808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178">
        <v>10</v>
      </c>
      <c r="I81" s="124" t="str">
        <f t="shared" si="3"/>
        <v>(15, 20]</v>
      </c>
      <c r="J81" s="160">
        <v>1</v>
      </c>
      <c r="K81" s="234">
        <v>0.61414607349693229</v>
      </c>
      <c r="L81" s="188">
        <v>8.7147204999999985E-3</v>
      </c>
      <c r="M81" s="233">
        <v>8714720</v>
      </c>
      <c r="N81" s="195">
        <v>8.7147200000000005E-3</v>
      </c>
      <c r="O81" s="211">
        <v>0.10382466567010996</v>
      </c>
      <c r="P81" s="183">
        <v>9.5617244528270352E-3</v>
      </c>
      <c r="Q81" s="183">
        <v>0.11391563292274244</v>
      </c>
      <c r="R81" s="1">
        <v>9.2001803389278377E-3</v>
      </c>
      <c r="S81" s="1">
        <v>9.2001803389278377E-3</v>
      </c>
      <c r="T81" s="1">
        <v>0.64835752685541759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0.61128451849769327</v>
      </c>
      <c r="L82" s="188">
        <v>4.8639034999999999E-3</v>
      </c>
      <c r="M82" s="233">
        <v>4863903</v>
      </c>
      <c r="N82" s="195">
        <v>4.8639030000000001E-3</v>
      </c>
      <c r="O82" s="211">
        <v>7.5377840772272275E-2</v>
      </c>
      <c r="P82" s="183">
        <v>5.3419122255182255E-3</v>
      </c>
      <c r="Q82" s="183">
        <v>8.2785740002332978E-2</v>
      </c>
      <c r="R82" s="1">
        <v>5.1399259696257278E-3</v>
      </c>
      <c r="S82" s="1">
        <v>5.1399259696257278E-3</v>
      </c>
      <c r="T82" s="1">
        <v>0.64597440542487172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0.58482007602927055</v>
      </c>
      <c r="L83" s="188">
        <v>3.2409634999999997E-3</v>
      </c>
      <c r="M83" s="233">
        <v>3240963</v>
      </c>
      <c r="N83" s="195">
        <v>3.2409629999999999E-3</v>
      </c>
      <c r="O83" s="211">
        <v>6.1443467181140396E-2</v>
      </c>
      <c r="P83" s="183">
        <v>3.5620706326137171E-3</v>
      </c>
      <c r="Q83" s="183">
        <v>6.7531153552788159E-2</v>
      </c>
      <c r="R83" s="1">
        <v>3.4273830376230548E-3</v>
      </c>
      <c r="S83" s="1">
        <v>3.4273830376230548E-3</v>
      </c>
      <c r="T83" s="1">
        <v>0.6184588035762042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178">
        <v>20</v>
      </c>
      <c r="I84" s="124" t="str">
        <f t="shared" si="3"/>
        <v>(30, 35]</v>
      </c>
      <c r="J84" s="160">
        <v>1</v>
      </c>
      <c r="K84" s="234">
        <v>0.21408159736274734</v>
      </c>
      <c r="L84" s="188">
        <v>5.818695E-4</v>
      </c>
      <c r="M84" s="233">
        <v>581869</v>
      </c>
      <c r="N84" s="195">
        <v>5.8186900000000005E-4</v>
      </c>
      <c r="O84" s="211">
        <v>1.2639096990341209E-2</v>
      </c>
      <c r="P84" s="183">
        <v>6.3983574365983657E-4</v>
      </c>
      <c r="Q84" s="183">
        <v>1.3898224552268241E-2</v>
      </c>
      <c r="R84" s="1">
        <v>6.156425295462324E-4</v>
      </c>
      <c r="S84" s="1">
        <v>6.156425295462324E-4</v>
      </c>
      <c r="T84" s="1">
        <v>0.22650738031414228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0.40477083201201147</v>
      </c>
      <c r="L85" s="188">
        <v>1.9529034999999999E-3</v>
      </c>
      <c r="M85" s="233">
        <v>1952903</v>
      </c>
      <c r="N85" s="195">
        <v>1.952903E-3</v>
      </c>
      <c r="O85" s="211">
        <v>4.9832600154095956E-2</v>
      </c>
      <c r="P85" s="183">
        <v>2.1487021242307947E-3</v>
      </c>
      <c r="Q85" s="183">
        <v>5.482884393492652E-2</v>
      </c>
      <c r="R85" s="1">
        <v>2.0674562559388405E-3</v>
      </c>
      <c r="S85" s="1">
        <v>2.0674562559388405E-3</v>
      </c>
      <c r="T85" s="1">
        <v>0.42851374318536611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0.31871892226414372</v>
      </c>
      <c r="L86" s="188">
        <v>6.6693049999999999E-4</v>
      </c>
      <c r="M86" s="233">
        <v>666930</v>
      </c>
      <c r="N86" s="195">
        <v>6.6693000000000004E-4</v>
      </c>
      <c r="O86" s="211">
        <v>1.9355404025490613E-2</v>
      </c>
      <c r="P86" s="183">
        <v>7.3413989244552143E-4</v>
      </c>
      <c r="Q86" s="183">
        <v>2.1305945495799096E-2</v>
      </c>
      <c r="R86" s="1">
        <v>7.0638088744577035E-4</v>
      </c>
      <c r="S86" s="1">
        <v>7.0638088744577035E-4</v>
      </c>
      <c r="T86" s="1">
        <v>0.33757183867690166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178">
        <v>30</v>
      </c>
      <c r="I87" s="124" t="str">
        <f t="shared" si="3"/>
        <v>(45, 50]</v>
      </c>
      <c r="J87" s="160">
        <v>1</v>
      </c>
      <c r="K87" s="234">
        <v>0.37586357344597321</v>
      </c>
      <c r="L87" s="188">
        <v>9.7347350000000004E-4</v>
      </c>
      <c r="M87" s="233">
        <v>973473</v>
      </c>
      <c r="N87" s="195">
        <v>9.7347299999999998E-4</v>
      </c>
      <c r="O87" s="211">
        <v>3.1233716492270126E-2</v>
      </c>
      <c r="P87" s="183">
        <v>1.0719636153106963E-3</v>
      </c>
      <c r="Q87" s="183">
        <v>3.4393771219790592E-2</v>
      </c>
      <c r="R87" s="1">
        <v>1.0314309543517101E-3</v>
      </c>
      <c r="S87" s="1">
        <v>1.0314309543517101E-3</v>
      </c>
      <c r="T87" s="1">
        <v>0.39824127134988702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0.22831629986743013</v>
      </c>
      <c r="L88" s="188">
        <v>9.3930649999999995E-4</v>
      </c>
      <c r="M88" s="233">
        <v>939306</v>
      </c>
      <c r="N88" s="195">
        <v>9.39306E-4</v>
      </c>
      <c r="O88" s="211">
        <v>3.55598259217135E-2</v>
      </c>
      <c r="P88" s="183">
        <v>1.0349581898378326E-3</v>
      </c>
      <c r="Q88" s="183">
        <v>3.9180983691028314E-2</v>
      </c>
      <c r="R88" s="1">
        <v>9.958247632772079E-4</v>
      </c>
      <c r="S88" s="1">
        <v>9.958247632772079E-4</v>
      </c>
      <c r="T88" s="1">
        <v>0.24205413809849249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178">
        <v>40</v>
      </c>
      <c r="I89" s="124" t="str">
        <f t="shared" si="3"/>
        <v>(60, 70]</v>
      </c>
      <c r="J89" s="160">
        <v>1</v>
      </c>
      <c r="K89" s="234">
        <v>4.3779443705010662E-2</v>
      </c>
      <c r="L89" s="188">
        <v>1.082825E-4</v>
      </c>
      <c r="M89" s="233">
        <v>108282</v>
      </c>
      <c r="N89" s="195">
        <v>1.08282E-4</v>
      </c>
      <c r="O89" s="211">
        <v>4.728336146458993E-3</v>
      </c>
      <c r="P89" s="183">
        <v>1.1937234023504414E-4</v>
      </c>
      <c r="Q89" s="183">
        <v>5.2126166049829186E-3</v>
      </c>
      <c r="R89" s="1">
        <v>1.1485868088549111E-4</v>
      </c>
      <c r="S89" s="1">
        <v>1.1485868088549111E-4</v>
      </c>
      <c r="T89" s="1">
        <v>4.6438243980866184E-2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0.11140675969258351</v>
      </c>
      <c r="L90" s="188">
        <v>3.582945E-4</v>
      </c>
      <c r="M90" s="233">
        <v>358294</v>
      </c>
      <c r="N90" s="195">
        <v>3.58294E-4</v>
      </c>
      <c r="O90" s="211">
        <v>1.8194309216243768E-2</v>
      </c>
      <c r="P90" s="183">
        <v>4.0586595679915005E-4</v>
      </c>
      <c r="Q90" s="183">
        <v>2.0610031757021807E-2</v>
      </c>
      <c r="R90" s="1">
        <v>3.9051951501066978E-4</v>
      </c>
      <c r="S90" s="1">
        <v>3.9051951501066978E-4</v>
      </c>
      <c r="T90" s="1">
        <v>0.12142668604753337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178">
        <v>53.333333333333336</v>
      </c>
      <c r="I91" s="124" t="str">
        <f t="shared" si="3"/>
        <v>(80, 90]</v>
      </c>
      <c r="J91" s="160">
        <v>1</v>
      </c>
      <c r="K91" s="234">
        <v>9.9065001494669014E-2</v>
      </c>
      <c r="L91" s="188">
        <v>2.0877849999999999E-4</v>
      </c>
      <c r="M91" s="233">
        <v>208778</v>
      </c>
      <c r="N91" s="195">
        <v>2.0877800000000001E-4</v>
      </c>
      <c r="O91" s="211">
        <v>1.2014011602840536E-2</v>
      </c>
      <c r="P91" s="183">
        <v>2.3038861665363518E-4</v>
      </c>
      <c r="Q91" s="183">
        <v>1.3257582281845563E-2</v>
      </c>
      <c r="R91" s="1">
        <v>2.2167725410899785E-4</v>
      </c>
      <c r="S91" s="1">
        <v>2.2167725410899785E-4</v>
      </c>
      <c r="T91" s="1">
        <v>0.10518543580704907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178">
        <v>60</v>
      </c>
      <c r="I92" s="124" t="str">
        <f t="shared" si="3"/>
        <v>(90, 100]</v>
      </c>
      <c r="J92" s="160">
        <v>1</v>
      </c>
      <c r="K92" s="234">
        <v>0.16722447695739145</v>
      </c>
      <c r="L92" s="188">
        <v>3.503515E-4</v>
      </c>
      <c r="M92" s="233">
        <v>350351</v>
      </c>
      <c r="N92" s="195">
        <v>3.5035099999999999E-4</v>
      </c>
      <c r="O92" s="211">
        <v>2.246588464304192E-2</v>
      </c>
      <c r="P92" s="183">
        <v>3.8676638236154301E-4</v>
      </c>
      <c r="Q92" s="183">
        <v>2.4800982243353292E-2</v>
      </c>
      <c r="R92" s="1">
        <v>3.7214212606899124E-4</v>
      </c>
      <c r="S92" s="1">
        <v>3.7214212606899124E-4</v>
      </c>
      <c r="T92" s="1">
        <v>0.17762524888775613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5.0157067155295186E-2</v>
      </c>
      <c r="L93" s="188">
        <v>1.7940250000000001E-4</v>
      </c>
      <c r="M93" s="233">
        <v>179402</v>
      </c>
      <c r="N93" s="195">
        <v>1.79402E-4</v>
      </c>
      <c r="O93" s="211">
        <v>1.3368513063286227E-2</v>
      </c>
      <c r="P93" s="183">
        <v>1.9815808479017326E-4</v>
      </c>
      <c r="Q93" s="183">
        <v>1.476616172123617E-2</v>
      </c>
      <c r="R93" s="1">
        <v>1.9066541026991525E-4</v>
      </c>
      <c r="S93" s="1">
        <v>1.9066541026991525E-4</v>
      </c>
      <c r="T93" s="1">
        <v>5.3305933791892794E-2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178">
        <v>80</v>
      </c>
      <c r="I94" s="124" t="str">
        <f t="shared" si="3"/>
        <v>(120, 140]</v>
      </c>
      <c r="J94" s="160">
        <v>1</v>
      </c>
      <c r="K94" s="234">
        <v>1.6653222632396009E-2</v>
      </c>
      <c r="L94" s="188">
        <v>4.1042499999999999E-5</v>
      </c>
      <c r="M94" s="233">
        <v>41042</v>
      </c>
      <c r="N94" s="195">
        <v>4.1041999999999998E-5</v>
      </c>
      <c r="O94" s="211">
        <v>3.5841886729730816E-3</v>
      </c>
      <c r="P94" s="183">
        <v>4.5361489289316774E-5</v>
      </c>
      <c r="Q94" s="183">
        <v>3.9614087057150962E-3</v>
      </c>
      <c r="R94" s="1">
        <v>4.3646298736486627E-5</v>
      </c>
      <c r="S94" s="1">
        <v>4.3646298736486627E-5</v>
      </c>
      <c r="T94" s="1">
        <v>1.7709728450722457E-2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5.6913801114046619E-2</v>
      </c>
      <c r="L95" s="188">
        <v>1.3278650000000001E-4</v>
      </c>
      <c r="M95" s="233">
        <v>132786</v>
      </c>
      <c r="N95" s="195">
        <v>1.32786E-4</v>
      </c>
      <c r="O95" s="211">
        <v>1.3380621353062257E-2</v>
      </c>
      <c r="P95" s="183">
        <v>1.4682797848910429E-4</v>
      </c>
      <c r="Q95" s="183">
        <v>1.4795607851718363E-2</v>
      </c>
      <c r="R95" s="1">
        <v>1.4127617748915406E-4</v>
      </c>
      <c r="S95" s="1">
        <v>1.4127617748915406E-4</v>
      </c>
      <c r="T95" s="1">
        <v>6.0552573249317246E-2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1.8067726415199652E-2</v>
      </c>
      <c r="L96" s="188">
        <v>3.2370499999999998E-5</v>
      </c>
      <c r="M96" s="233">
        <v>32370</v>
      </c>
      <c r="N96" s="195">
        <v>3.2369999999999997E-5</v>
      </c>
      <c r="O96" s="211">
        <v>3.7004982517230213E-3</v>
      </c>
      <c r="P96" s="183">
        <v>3.5811702070513243E-5</v>
      </c>
      <c r="Q96" s="183">
        <v>4.0939493637059E-3</v>
      </c>
      <c r="R96" s="1">
        <v>3.4457604265647338E-5</v>
      </c>
      <c r="S96" s="1">
        <v>3.4457604265647338E-5</v>
      </c>
      <c r="T96" s="1">
        <v>1.9232652161533883E-2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178">
        <v>120</v>
      </c>
      <c r="I97" s="124" t="str">
        <f t="shared" si="3"/>
        <v>(180, 200]</v>
      </c>
      <c r="J97" s="160">
        <v>1</v>
      </c>
      <c r="K97" s="234">
        <v>2.4420265378204329E-2</v>
      </c>
      <c r="L97" s="188">
        <v>3.9907500000000004E-5</v>
      </c>
      <c r="M97" s="233">
        <v>39907</v>
      </c>
      <c r="N97" s="195">
        <v>3.9907000000000003E-5</v>
      </c>
      <c r="O97" s="211">
        <v>5.111465469256401E-3</v>
      </c>
      <c r="P97" s="183">
        <v>4.4167765886966334E-5</v>
      </c>
      <c r="Q97" s="183">
        <v>5.6572032521970891E-3</v>
      </c>
      <c r="R97" s="1">
        <v>4.2497711927631718E-5</v>
      </c>
      <c r="S97" s="1">
        <v>4.2497711927631718E-5</v>
      </c>
      <c r="T97" s="1">
        <v>2.6005272273112719E-2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1.7371871840242668E-2</v>
      </c>
      <c r="L98" s="188">
        <v>5.4978499999999995E-5</v>
      </c>
      <c r="M98" s="233">
        <v>54978</v>
      </c>
      <c r="N98" s="195">
        <v>5.4978000000000001E-5</v>
      </c>
      <c r="O98" s="211">
        <v>8.2222570489560165E-3</v>
      </c>
      <c r="P98" s="183">
        <v>6.087989351987251E-5</v>
      </c>
      <c r="Q98" s="183">
        <v>9.1049171238215907E-3</v>
      </c>
      <c r="R98" s="1">
        <v>5.8577927251600465E-5</v>
      </c>
      <c r="S98" s="1">
        <v>5.8577927251600465E-5</v>
      </c>
      <c r="T98" s="1">
        <v>1.8509203504676587E-2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9.8518461607411539E-3</v>
      </c>
      <c r="L99" s="188">
        <v>2.1542500000000003E-5</v>
      </c>
      <c r="M99" s="233">
        <v>21542</v>
      </c>
      <c r="N99" s="195">
        <v>2.1542000000000001E-5</v>
      </c>
      <c r="O99" s="211">
        <v>3.9520241063350295E-3</v>
      </c>
      <c r="P99" s="183">
        <v>2.3874468047008827E-5</v>
      </c>
      <c r="Q99" s="183">
        <v>4.3799309835532577E-3</v>
      </c>
      <c r="R99" s="1">
        <v>2.2971736177098222E-5</v>
      </c>
      <c r="S99" s="1">
        <v>2.2971736177098222E-5</v>
      </c>
      <c r="T99" s="1">
        <v>1.0505466443630209E-2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178">
        <v>200</v>
      </c>
      <c r="I100" s="124" t="str">
        <f t="shared" si="3"/>
        <v>(300, 350]</v>
      </c>
      <c r="J100" s="160">
        <v>1</v>
      </c>
      <c r="K100" s="234">
        <v>1.403000810289238E-3</v>
      </c>
      <c r="L100" s="188">
        <v>2.1505E-6</v>
      </c>
      <c r="M100" s="233">
        <v>2150</v>
      </c>
      <c r="N100" s="195">
        <v>2.1500000000000002E-6</v>
      </c>
      <c r="O100" s="211">
        <v>4.6549387429599875E-4</v>
      </c>
      <c r="P100" s="183">
        <v>2.3874468047008827E-6</v>
      </c>
      <c r="Q100" s="183">
        <v>5.1690319199805415E-4</v>
      </c>
      <c r="R100" s="1">
        <v>2.2971736177098222E-6</v>
      </c>
      <c r="S100" s="1">
        <v>2.2971736177098222E-6</v>
      </c>
      <c r="T100" s="1">
        <v>1.4986916749695144E-3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8.1128184801305915E-4</v>
      </c>
      <c r="L101" s="188">
        <v>1.0724999999999999E-6</v>
      </c>
      <c r="M101" s="233">
        <v>1072</v>
      </c>
      <c r="N101" s="195">
        <v>1.0720000000000001E-6</v>
      </c>
      <c r="O101" s="211">
        <v>2.6883520240931168E-4</v>
      </c>
      <c r="P101" s="183">
        <v>1.1937234023504413E-6</v>
      </c>
      <c r="Q101" s="183">
        <v>2.9936088851829581E-4</v>
      </c>
      <c r="R101" s="1">
        <v>1.1485868088549111E-6</v>
      </c>
      <c r="S101" s="1">
        <v>1.1485868088549111E-6</v>
      </c>
      <c r="T101" s="1">
        <v>8.688369500151372E-4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5.3400049868523921E-3</v>
      </c>
      <c r="L102" s="188">
        <v>5.3755000000000005E-6</v>
      </c>
      <c r="M102" s="233">
        <v>5375</v>
      </c>
      <c r="N102" s="195">
        <v>5.3750000000000002E-6</v>
      </c>
      <c r="O102" s="211">
        <v>1.5242156672266114E-3</v>
      </c>
      <c r="P102" s="183">
        <v>5.9686170117522067E-6</v>
      </c>
      <c r="Q102" s="183">
        <v>1.6925506159977662E-3</v>
      </c>
      <c r="R102" s="1">
        <v>5.7429340442745555E-6</v>
      </c>
      <c r="S102" s="1">
        <v>5.7429340442745555E-6</v>
      </c>
      <c r="T102" s="1">
        <v>5.7050128240332069E-3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178">
        <v>300</v>
      </c>
      <c r="I103" s="124" t="str">
        <f t="shared" si="3"/>
        <v>(450, 500]</v>
      </c>
      <c r="J103" s="160">
        <v>1</v>
      </c>
      <c r="K103" s="234">
        <v>1.737439255724596E-2</v>
      </c>
      <c r="L103" s="188">
        <v>1.5048500000000002E-5</v>
      </c>
      <c r="M103" s="233">
        <v>15048</v>
      </c>
      <c r="N103" s="195">
        <v>1.5048000000000001E-5</v>
      </c>
      <c r="O103" s="211">
        <v>4.7887307873160064E-3</v>
      </c>
      <c r="P103" s="183">
        <v>1.6712127632906179E-5</v>
      </c>
      <c r="Q103" s="183">
        <v>5.3183067595196963E-3</v>
      </c>
      <c r="R103" s="1">
        <v>1.6080215323968754E-5</v>
      </c>
      <c r="S103" s="1">
        <v>1.6080215323968754E-5</v>
      </c>
      <c r="T103" s="1">
        <v>1.8565569554684861E-2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5.2126112070231033E-3</v>
      </c>
      <c r="L104" s="188">
        <v>4.2965000000000003E-6</v>
      </c>
      <c r="M104" s="233">
        <v>4296</v>
      </c>
      <c r="N104" s="195">
        <v>4.296E-6</v>
      </c>
      <c r="O104" s="211">
        <v>1.5030646868218539E-3</v>
      </c>
      <c r="P104" s="183">
        <v>4.7748936094017653E-6</v>
      </c>
      <c r="Q104" s="183">
        <v>1.6706177764485885E-3</v>
      </c>
      <c r="R104" s="1">
        <v>4.5943472354196444E-6</v>
      </c>
      <c r="S104" s="1">
        <v>4.5943472354196444E-6</v>
      </c>
      <c r="T104" s="1">
        <v>5.5739662256031773E-3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178">
        <v>400</v>
      </c>
      <c r="I106" s="124" t="str">
        <f t="shared" si="3"/>
        <v>(600, 650]</v>
      </c>
      <c r="J106" s="160">
        <v>1</v>
      </c>
      <c r="K106" s="234">
        <v>0</v>
      </c>
      <c r="L106" s="188">
        <v>0</v>
      </c>
      <c r="M106" s="233">
        <v>0</v>
      </c>
      <c r="N106" s="195">
        <v>0</v>
      </c>
      <c r="O106" s="211">
        <v>0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178">
        <v>433.33333333333331</v>
      </c>
      <c r="I107" s="124" t="str">
        <f t="shared" si="3"/>
        <v>(650, 700]</v>
      </c>
      <c r="J107" s="160">
        <v>1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178">
        <v>466.66666666666669</v>
      </c>
      <c r="I108" s="124" t="str">
        <f t="shared" si="3"/>
        <v>(700, 750]</v>
      </c>
      <c r="J108" s="160">
        <v>1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1.1539397658337322E-3</v>
      </c>
      <c r="R108" s="1">
        <v>2.2971736177098222E-6</v>
      </c>
      <c r="S108" s="1">
        <v>2.2971736177098222E-6</v>
      </c>
      <c r="T108" s="1">
        <v>6.6715272423141575E-3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178">
        <v>500</v>
      </c>
      <c r="I109" s="124" t="str">
        <f t="shared" si="3"/>
        <v>(750, 800]</v>
      </c>
      <c r="J109" s="160">
        <v>1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178">
        <v>533.33333333333337</v>
      </c>
      <c r="I110" s="124" t="str">
        <f t="shared" si="3"/>
        <v>(800, 850]</v>
      </c>
      <c r="J110" s="160">
        <v>1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178">
        <v>566.66666666666663</v>
      </c>
      <c r="I111" s="124" t="str">
        <f t="shared" si="3"/>
        <v>(850, 900]</v>
      </c>
      <c r="J111" s="160">
        <v>1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2.6545011871079101E-4</v>
      </c>
      <c r="L114" s="188">
        <v>9.2149999999999988E-7</v>
      </c>
      <c r="M114" s="233">
        <v>921</v>
      </c>
      <c r="N114" s="195">
        <v>9.2099999999999995E-7</v>
      </c>
      <c r="O114" s="211">
        <v>8.7079779174388191E-4</v>
      </c>
      <c r="P114" s="183">
        <v>1.1937234023504413E-6</v>
      </c>
      <c r="Q114" s="183">
        <v>1.1286554861235157E-3</v>
      </c>
      <c r="R114" s="1">
        <v>1.1485868088549111E-6</v>
      </c>
      <c r="S114" s="1">
        <v>1.1485868088549111E-6</v>
      </c>
      <c r="T114" s="1">
        <v>3.3086544195353747E-4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2.5246809861077969E-4</v>
      </c>
      <c r="L115" s="188">
        <v>4.1050000000000003E-7</v>
      </c>
      <c r="M115" s="233">
        <v>410</v>
      </c>
      <c r="N115" s="195">
        <v>4.0999999999999999E-7</v>
      </c>
      <c r="O115" s="211">
        <v>6.6118023285123518E-4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178">
        <v>2666.6666666666665</v>
      </c>
      <c r="I117" s="124" t="str">
        <f t="shared" si="3"/>
        <v>(4000, 5000]</v>
      </c>
      <c r="J117" s="160">
        <v>1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106095</v>
      </c>
      <c r="D120" s="30">
        <v>79308066020</v>
      </c>
      <c r="E120" s="187">
        <f t="shared" si="2"/>
        <v>4983.4623698886217</v>
      </c>
      <c r="F120" s="188">
        <v>1.0609500000000001E-4</v>
      </c>
      <c r="G120" s="189">
        <v>0.5287204401333333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3.1068563118935362E-2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48367.593712212816</v>
      </c>
      <c r="O129" s="220" cm="1">
        <f t="array" ref="O129:O130">N131/N129:N130</f>
        <v>72.362499999999997</v>
      </c>
    </row>
    <row r="130" spans="1:55" ht="16.8" thickBot="1">
      <c r="M130" s="124" t="s">
        <v>179</v>
      </c>
      <c r="N130" s="218">
        <f>1/SUM(N115:N120)</f>
        <v>2439024.3902439023</v>
      </c>
      <c r="O130" s="220">
        <v>1.4350000000000001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0.86999999999449262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795198269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1.0829953611229504</v>
      </c>
      <c r="L134" s="185" cm="1">
        <f t="array" ref="L134:L191">K134:K191*_xlfn.ANCHORARRAY(J134)*_xlfn.ANCHORARRAY(F134)</f>
        <v>0.86119603649999998</v>
      </c>
      <c r="M134" s="240" cm="1">
        <f t="array" ref="M134:M191">INT(_xlfn.ANCHORARRAY(L134)*$M$2)</f>
        <v>861196036</v>
      </c>
      <c r="N134" s="194" cm="1">
        <f t="array" ref="N134:N191">_xlfn.ANCHORARRAY(M134)/SUM(_xlfn.ANCHORARRAY(M134))</f>
        <v>0.86119603600000005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1.1197344356895222</v>
      </c>
      <c r="Q134" s="1" cm="1">
        <f t="array" ref="Q134:Q191">IFERROR(_xlfn.ANCHORARRAY(N4)/(_xlfn.ANCHORARRAY(J69)*_xlfn.ANCHORARRAY(F69)),0)</f>
        <v>1.1213679012365365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2.5263328818357138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1.2345690318413662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1.44735523341942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6.8649254071216195</v>
      </c>
      <c r="Q138" s="1">
        <v>0.82815986443786993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0.78753669886537114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5.6629251461439871</v>
      </c>
      <c r="Q140" s="1">
        <v>0.6047036757327775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0.65804627609748012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14.773306527143223</v>
      </c>
      <c r="L142" s="188">
        <v>3.2115336500000001E-2</v>
      </c>
      <c r="M142" s="233">
        <v>32115336</v>
      </c>
      <c r="N142" s="195">
        <v>3.2115336000000001E-2</v>
      </c>
      <c r="O142" s="211">
        <v>3.2115336000000001E-2</v>
      </c>
      <c r="P142" s="1">
        <v>4.1594630972511775</v>
      </c>
      <c r="Q142" s="1">
        <v>0.56427302588734296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0.45702709721939355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232">
        <v>1.125</v>
      </c>
      <c r="I144" s="124" t="str">
        <f t="shared" si="5"/>
        <v>(9, 10]</v>
      </c>
      <c r="J144" s="160">
        <v>1</v>
      </c>
      <c r="K144" s="234">
        <v>7.4041277334106006</v>
      </c>
      <c r="L144" s="188">
        <v>2.4198962499999997E-2</v>
      </c>
      <c r="M144" s="233">
        <v>24198962</v>
      </c>
      <c r="N144" s="195">
        <v>2.4198962000000001E-2</v>
      </c>
      <c r="O144" s="211">
        <v>3.0248702500000002E-2</v>
      </c>
      <c r="P144" s="1">
        <v>2.4296496626540902</v>
      </c>
      <c r="Q144" s="1">
        <v>0.6881323881389968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232">
        <v>1.25</v>
      </c>
      <c r="I145" s="214" t="str">
        <f t="shared" si="5"/>
        <v>(10, 15]</v>
      </c>
      <c r="J145" s="160">
        <v>1</v>
      </c>
      <c r="K145" s="234">
        <v>1.465487774607346</v>
      </c>
      <c r="L145" s="188">
        <v>3.8612115000000004E-3</v>
      </c>
      <c r="M145" s="233">
        <v>3861211</v>
      </c>
      <c r="N145" s="195">
        <v>3.8612109999999998E-3</v>
      </c>
      <c r="O145" s="211">
        <v>6.7463066994131252E-3</v>
      </c>
      <c r="P145" s="1">
        <v>5.2558128589982704</v>
      </c>
      <c r="Q145" s="1">
        <v>0.42995150003786003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232">
        <v>1.875</v>
      </c>
      <c r="I146" s="124" t="str">
        <f t="shared" si="5"/>
        <v>(15, 20]</v>
      </c>
      <c r="J146" s="160">
        <v>1</v>
      </c>
      <c r="K146" s="234">
        <v>1.4708829419434524</v>
      </c>
      <c r="L146" s="188">
        <v>1.3261839500000001E-2</v>
      </c>
      <c r="M146" s="233">
        <v>13261839</v>
      </c>
      <c r="N146" s="195">
        <v>1.3261838999999999E-2</v>
      </c>
      <c r="O146" s="211">
        <v>3.1112088339101958E-2</v>
      </c>
      <c r="P146" s="1">
        <v>0.96655769298168959</v>
      </c>
      <c r="Q146" s="1">
        <v>0.39113663303260471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232">
        <v>2.5</v>
      </c>
      <c r="I147" s="124" t="str">
        <f t="shared" si="5"/>
        <v>(20, 25]</v>
      </c>
      <c r="J147" s="160">
        <v>1</v>
      </c>
      <c r="K147" s="234">
        <v>1.4713694899978456</v>
      </c>
      <c r="L147" s="188">
        <v>8.3521215000000003E-3</v>
      </c>
      <c r="M147" s="233">
        <v>8352121</v>
      </c>
      <c r="N147" s="195">
        <v>8.3521210000000005E-3</v>
      </c>
      <c r="O147" s="211">
        <v>2.5369189377171593E-2</v>
      </c>
      <c r="P147" s="1">
        <v>0.85685995785729296</v>
      </c>
      <c r="Q147" s="1">
        <v>0.29231592323451333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232">
        <v>3.125</v>
      </c>
      <c r="I148" s="124" t="str">
        <f t="shared" si="5"/>
        <v>(25, 30]</v>
      </c>
      <c r="J148" s="160">
        <v>1</v>
      </c>
      <c r="K148" s="234">
        <v>1.4731114706749635</v>
      </c>
      <c r="L148" s="188">
        <v>6.6242964999999997E-3</v>
      </c>
      <c r="M148" s="233">
        <v>6624296</v>
      </c>
      <c r="N148" s="195">
        <v>6.624296E-3</v>
      </c>
      <c r="O148" s="211">
        <v>2.4746485244240245E-2</v>
      </c>
      <c r="P148" s="1">
        <v>0.72072555498280333</v>
      </c>
      <c r="Q148" s="1">
        <v>0.36372753826229792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232">
        <v>3.75</v>
      </c>
      <c r="I149" s="124" t="str">
        <f t="shared" si="5"/>
        <v>(30, 35]</v>
      </c>
      <c r="J149" s="160">
        <v>1</v>
      </c>
      <c r="K149" s="234">
        <v>1.4713089306864517</v>
      </c>
      <c r="L149" s="188">
        <v>4.4335054999999996E-3</v>
      </c>
      <c r="M149" s="233">
        <v>4433505</v>
      </c>
      <c r="N149" s="195">
        <v>4.4335049999999999E-3</v>
      </c>
      <c r="O149" s="211">
        <v>1.7817600636999484E-2</v>
      </c>
      <c r="P149" s="1">
        <v>0.19309980695627763</v>
      </c>
      <c r="Q149" s="1">
        <v>0.14169235976718003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232">
        <v>4.375</v>
      </c>
      <c r="I150" s="214" t="str">
        <f t="shared" si="5"/>
        <v>(35, 40]</v>
      </c>
      <c r="J150" s="160">
        <v>1</v>
      </c>
      <c r="K150" s="234">
        <v>0.36757980669252216</v>
      </c>
      <c r="L150" s="188">
        <v>3.8841015000000007E-3</v>
      </c>
      <c r="M150" s="233">
        <v>3884101</v>
      </c>
      <c r="N150" s="195">
        <v>3.884101E-3</v>
      </c>
      <c r="O150" s="211">
        <v>1.9083064575416104E-2</v>
      </c>
      <c r="P150" s="1">
        <v>0.18481692798945817</v>
      </c>
      <c r="Q150" s="1">
        <v>0.18621621924118198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232">
        <v>5</v>
      </c>
      <c r="I151" s="124" t="str">
        <f t="shared" si="5"/>
        <v>(40, 45]</v>
      </c>
      <c r="J151" s="160">
        <v>1</v>
      </c>
      <c r="K151" s="234">
        <v>3.6600662254887388</v>
      </c>
      <c r="L151" s="188">
        <v>8.2502174999999987E-3</v>
      </c>
      <c r="M151" s="233">
        <v>8250217</v>
      </c>
      <c r="N151" s="195">
        <v>8.2502170000000007E-3</v>
      </c>
      <c r="O151" s="211">
        <v>4.6030642124476405E-2</v>
      </c>
      <c r="P151" s="1">
        <v>0.29587195340791983</v>
      </c>
      <c r="Q151" s="1">
        <v>9.9705381271997837E-2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232">
        <v>5.625</v>
      </c>
      <c r="I152" s="124" t="str">
        <f t="shared" si="5"/>
        <v>(45, 50]</v>
      </c>
      <c r="J152" s="160">
        <v>1</v>
      </c>
      <c r="K152" s="234">
        <v>0.36757200698487158</v>
      </c>
      <c r="L152" s="188">
        <v>2.8126484999999998E-3</v>
      </c>
      <c r="M152" s="233">
        <v>2812648</v>
      </c>
      <c r="N152" s="195">
        <v>2.8126480000000001E-3</v>
      </c>
      <c r="O152" s="211">
        <v>1.7255377267241124E-2</v>
      </c>
      <c r="P152" s="1">
        <v>0.12721867818022192</v>
      </c>
      <c r="Q152" s="1">
        <v>0.4027093030214694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232">
        <v>6.25</v>
      </c>
      <c r="I153" s="214" t="str">
        <f t="shared" si="5"/>
        <v>(50, 60]</v>
      </c>
      <c r="J153" s="160">
        <v>1</v>
      </c>
      <c r="K153" s="234">
        <v>0.3671329805592875</v>
      </c>
      <c r="L153" s="188">
        <v>2.9198655000000004E-3</v>
      </c>
      <c r="M153" s="233">
        <v>2919865</v>
      </c>
      <c r="N153" s="195">
        <v>2.9198649999999998E-3</v>
      </c>
      <c r="O153" s="211">
        <v>2.1621798934730145E-2</v>
      </c>
      <c r="P153" s="1">
        <v>0.11810482758100402</v>
      </c>
      <c r="Q153" s="1">
        <v>9.8830400543696739E-2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232">
        <v>7.5</v>
      </c>
      <c r="I154" s="124" t="str">
        <f t="shared" si="5"/>
        <v>(60, 70]</v>
      </c>
      <c r="J154" s="160">
        <v>1</v>
      </c>
      <c r="K154" s="234">
        <v>0.3663604546423439</v>
      </c>
      <c r="L154" s="188">
        <v>7.9921349999999996E-4</v>
      </c>
      <c r="M154" s="233">
        <v>799213</v>
      </c>
      <c r="N154" s="195">
        <v>7.9921300000000001E-4</v>
      </c>
      <c r="O154" s="211">
        <v>6.5736311544841389E-3</v>
      </c>
      <c r="P154" s="1">
        <v>4.9636602421733726E-2</v>
      </c>
      <c r="Q154" s="1">
        <v>1.6898038460978652E-2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232">
        <v>8.75</v>
      </c>
      <c r="I155" s="214" t="str">
        <f t="shared" si="5"/>
        <v>(70, 80]</v>
      </c>
      <c r="J155" s="160">
        <v>1</v>
      </c>
      <c r="K155" s="234">
        <v>0.14646351570127428</v>
      </c>
      <c r="L155" s="188">
        <v>1.4928225000000002E-3</v>
      </c>
      <c r="M155" s="233">
        <v>1492822</v>
      </c>
      <c r="N155" s="195">
        <v>1.492822E-3</v>
      </c>
      <c r="O155" s="211">
        <v>1.4522597338152846E-2</v>
      </c>
      <c r="P155" s="1">
        <v>3.5152872424332002E-2</v>
      </c>
      <c r="Q155" s="1">
        <v>5.570019274940121E-2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178">
        <v>10</v>
      </c>
      <c r="I156" s="124" t="str">
        <f t="shared" si="5"/>
        <v>(80, 90]</v>
      </c>
      <c r="J156" s="160">
        <v>1</v>
      </c>
      <c r="K156" s="234">
        <v>5.8651844562996001</v>
      </c>
      <c r="L156" s="188">
        <v>1.40252455E-2</v>
      </c>
      <c r="M156" s="233">
        <v>14025245</v>
      </c>
      <c r="N156" s="195">
        <v>1.4025245E-2</v>
      </c>
      <c r="O156" s="211">
        <v>0.15402131606618616</v>
      </c>
      <c r="P156" s="1">
        <v>8.7308381191424991E-2</v>
      </c>
      <c r="Q156" s="1">
        <v>3.2701460030652579E-2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178">
        <v>11.25</v>
      </c>
      <c r="I157" s="124" t="str">
        <f t="shared" si="5"/>
        <v>(90, 100]</v>
      </c>
      <c r="J157" s="160">
        <v>1</v>
      </c>
      <c r="K157" s="234">
        <v>0.25518002159263564</v>
      </c>
      <c r="L157" s="188">
        <v>2.1120984999999999E-3</v>
      </c>
      <c r="M157" s="233">
        <v>2112098</v>
      </c>
      <c r="N157" s="195">
        <v>2.1120980000000002E-3</v>
      </c>
      <c r="O157" s="211">
        <v>2.6166616084309837E-2</v>
      </c>
      <c r="P157" s="1">
        <v>4.232879088972484E-2</v>
      </c>
      <c r="Q157" s="1">
        <v>6.204056423163222E-2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178">
        <v>12.5</v>
      </c>
      <c r="I158" s="124" t="str">
        <f t="shared" si="5"/>
        <v>(100, 120]</v>
      </c>
      <c r="J158" s="160">
        <v>1</v>
      </c>
      <c r="K158" s="234">
        <v>8.7435769594571763E-2</v>
      </c>
      <c r="L158" s="188">
        <v>5.7977050000000002E-4</v>
      </c>
      <c r="M158" s="233">
        <v>579770</v>
      </c>
      <c r="N158" s="195">
        <v>5.7976999999999996E-4</v>
      </c>
      <c r="O158" s="211">
        <v>8.4648097584946545E-3</v>
      </c>
      <c r="P158" s="1">
        <v>2.705579524450686E-2</v>
      </c>
      <c r="Q158" s="1">
        <v>2.2911451364258806E-2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178">
        <v>15</v>
      </c>
      <c r="I159" s="124" t="str">
        <f t="shared" si="5"/>
        <v>(120, 140]</v>
      </c>
      <c r="J159" s="160">
        <v>1</v>
      </c>
      <c r="K159" s="234">
        <v>3.4344241011455945E-2</v>
      </c>
      <c r="L159" s="188">
        <v>8.2269500000000016E-5</v>
      </c>
      <c r="M159" s="233">
        <v>82269</v>
      </c>
      <c r="N159" s="195">
        <v>8.2268999999999994E-5</v>
      </c>
      <c r="O159" s="211">
        <v>1.3618689102153237E-3</v>
      </c>
      <c r="P159" s="1">
        <v>1.7133401073206652E-2</v>
      </c>
      <c r="Q159" s="1">
        <v>8.055870917794734E-3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178">
        <v>17.5</v>
      </c>
      <c r="I160" s="124" t="str">
        <f t="shared" si="5"/>
        <v>(140, 160]</v>
      </c>
      <c r="J160" s="160">
        <v>1</v>
      </c>
      <c r="K160" s="234">
        <v>1.8526231023217311E-2</v>
      </c>
      <c r="L160" s="188">
        <v>1.4461549999999999E-4</v>
      </c>
      <c r="M160" s="233">
        <v>144615</v>
      </c>
      <c r="N160" s="195">
        <v>1.4461500000000001E-4</v>
      </c>
      <c r="O160" s="211">
        <v>2.7966592651187823E-3</v>
      </c>
      <c r="P160" s="1">
        <v>1.7010791461834547E-2</v>
      </c>
      <c r="Q160" s="1">
        <v>5.7266762561312846E-3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178">
        <v>20</v>
      </c>
      <c r="I161" s="124" t="str">
        <f t="shared" si="5"/>
        <v>(160, 180]</v>
      </c>
      <c r="J161" s="160">
        <v>1</v>
      </c>
      <c r="K161" s="234">
        <v>2.1934225126484006</v>
      </c>
      <c r="L161" s="188">
        <v>4.8113995000000007E-3</v>
      </c>
      <c r="M161" s="233">
        <v>4811399</v>
      </c>
      <c r="N161" s="195">
        <v>4.8113990000000001E-3</v>
      </c>
      <c r="O161" s="211">
        <v>0.10505709417818962</v>
      </c>
      <c r="P161" s="1">
        <v>1.4756847094993612E-2</v>
      </c>
      <c r="Q161" s="1">
        <v>6.644824237282459E-3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178">
        <v>22.5</v>
      </c>
      <c r="I162" s="124" t="str">
        <f t="shared" si="5"/>
        <v>(180, 200]</v>
      </c>
      <c r="J162" s="160">
        <v>1</v>
      </c>
      <c r="K162" s="234">
        <v>9.7400815684433317E-3</v>
      </c>
      <c r="L162" s="188">
        <v>7.6675500000000001E-5</v>
      </c>
      <c r="M162" s="233">
        <v>76675</v>
      </c>
      <c r="N162" s="195">
        <v>7.6674999999999993E-5</v>
      </c>
      <c r="O162" s="211">
        <v>1.9057010260511184E-3</v>
      </c>
      <c r="P162" s="1">
        <v>5.0693824644360728E-3</v>
      </c>
      <c r="Q162" s="1">
        <v>3.2340062024383857E-3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178">
        <v>25</v>
      </c>
      <c r="I163" s="124" t="str">
        <f t="shared" si="5"/>
        <v>(200, 250]</v>
      </c>
      <c r="J163" s="160">
        <v>1</v>
      </c>
      <c r="K163" s="234">
        <v>4.6498613406942089E-3</v>
      </c>
      <c r="L163" s="188">
        <v>2.9654499999999999E-5</v>
      </c>
      <c r="M163" s="233">
        <v>29654</v>
      </c>
      <c r="N163" s="195">
        <v>2.9654000000000001E-5</v>
      </c>
      <c r="O163" s="211">
        <v>8.6630862011552489E-4</v>
      </c>
      <c r="P163" s="1">
        <v>8.6206166615079068E-3</v>
      </c>
      <c r="Q163" s="1">
        <v>1.7757836198179981E-3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178">
        <v>31.25</v>
      </c>
      <c r="I164" s="124" t="str">
        <f t="shared" si="5"/>
        <v>(250, 300]</v>
      </c>
      <c r="J164" s="160">
        <v>1</v>
      </c>
      <c r="K164" s="234">
        <v>0.32791290178807692</v>
      </c>
      <c r="L164" s="188">
        <v>2.0571065000000001E-3</v>
      </c>
      <c r="M164" s="233">
        <v>2057106</v>
      </c>
      <c r="N164" s="195">
        <v>2.057106E-3</v>
      </c>
      <c r="O164" s="211">
        <v>7.3843385015261234E-2</v>
      </c>
      <c r="P164" s="1">
        <v>3.4339008361106986E-3</v>
      </c>
      <c r="Q164" s="1">
        <v>3.018321209743141E-4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178">
        <v>37.5</v>
      </c>
      <c r="I165" s="124" t="str">
        <f t="shared" si="5"/>
        <v>(300, 350]</v>
      </c>
      <c r="J165" s="160">
        <v>1</v>
      </c>
      <c r="K165" s="234">
        <v>0.16941205724326189</v>
      </c>
      <c r="L165" s="188">
        <v>6.1658450000000005E-4</v>
      </c>
      <c r="M165" s="233">
        <v>616584</v>
      </c>
      <c r="N165" s="195">
        <v>6.1658399999999999E-4</v>
      </c>
      <c r="O165" s="211">
        <v>2.5141577089745584E-2</v>
      </c>
      <c r="P165" s="1">
        <v>5.9073155921534368E-4</v>
      </c>
      <c r="Q165" s="1">
        <v>2.1529424198811839E-4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1.7688931233784803E-4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178">
        <v>50</v>
      </c>
      <c r="I167" s="124" t="str">
        <f t="shared" si="5"/>
        <v>(400, 450]</v>
      </c>
      <c r="J167" s="160">
        <v>1</v>
      </c>
      <c r="K167" s="234">
        <v>0.32807426163797965</v>
      </c>
      <c r="L167" s="188">
        <v>8.0006650000000006E-4</v>
      </c>
      <c r="M167" s="233">
        <v>800066</v>
      </c>
      <c r="N167" s="195">
        <v>8.0006599999999999E-4</v>
      </c>
      <c r="O167" s="211">
        <v>4.3132241848352487E-2</v>
      </c>
      <c r="P167" s="1">
        <v>2.2040657324161688E-3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3.0438364637772742E-3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2.3795663052081817E-3</v>
      </c>
      <c r="Q169" s="1">
        <v>7.5219805617463608E-5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0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178">
        <v>100</v>
      </c>
      <c r="I175" s="124" t="str">
        <f t="shared" si="5"/>
        <v>(800, 850]</v>
      </c>
      <c r="J175" s="160">
        <v>1</v>
      </c>
      <c r="K175" s="234">
        <v>0.25531301521064836</v>
      </c>
      <c r="L175" s="188">
        <v>2.7410149999999996E-4</v>
      </c>
      <c r="M175" s="233">
        <v>274101</v>
      </c>
      <c r="N175" s="195">
        <v>2.7410100000000001E-4</v>
      </c>
      <c r="O175" s="211">
        <v>2.8366170116785504E-2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4.6723377313847165E-5</v>
      </c>
      <c r="Q179" s="1">
        <v>5.9052929284549278E-5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178">
        <v>250</v>
      </c>
      <c r="I180" s="124" t="str">
        <f t="shared" si="5"/>
        <v>(2000, 3000]</v>
      </c>
      <c r="J180" s="160">
        <v>1</v>
      </c>
      <c r="K180" s="234">
        <v>1.0858928741267041E-2</v>
      </c>
      <c r="L180" s="188">
        <v>9.213750000000001E-5</v>
      </c>
      <c r="M180" s="233">
        <v>92137</v>
      </c>
      <c r="N180" s="195">
        <v>9.2137000000000002E-5</v>
      </c>
      <c r="O180" s="211">
        <v>2.8916175821195197E-2</v>
      </c>
      <c r="P180" s="1">
        <v>4.832083336230619E-5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178">
        <v>500</v>
      </c>
      <c r="I182" s="124" t="str">
        <f t="shared" si="5"/>
        <v>(4000, 5000]</v>
      </c>
      <c r="J182" s="160">
        <v>1</v>
      </c>
      <c r="K182" s="234">
        <v>2.1696586299060069E-2</v>
      </c>
      <c r="L182" s="188">
        <v>5.7749499999999993E-5</v>
      </c>
      <c r="M182" s="233">
        <v>57749</v>
      </c>
      <c r="N182" s="195">
        <v>5.7748999999999999E-5</v>
      </c>
      <c r="O182" s="211">
        <v>3.2550272772124043E-2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807723</v>
      </c>
      <c r="D185" s="30">
        <v>606952896100</v>
      </c>
      <c r="E185" s="187">
        <f t="shared" si="4"/>
        <v>939.29616975745398</v>
      </c>
      <c r="F185" s="188">
        <v>8.0772299999999999E-4</v>
      </c>
      <c r="G185" s="189">
        <v>0.75869112012499995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>
        <v>1000</v>
      </c>
      <c r="I186" s="124" t="str">
        <f t="shared" si="5"/>
        <v>(8000, 9000]</v>
      </c>
      <c r="J186" s="160">
        <v>1</v>
      </c>
      <c r="K186" s="234">
        <v>5.6887188562703868E-2</v>
      </c>
      <c r="L186" s="188">
        <v>3.2787500000000004E-5</v>
      </c>
      <c r="M186" s="233">
        <v>32787</v>
      </c>
      <c r="N186" s="195">
        <v>3.2787000000000003E-5</v>
      </c>
      <c r="O186" s="211">
        <v>3.4798245347813866E-2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>
        <v>1250</v>
      </c>
      <c r="I188" s="124" t="str">
        <f t="shared" si="5"/>
        <v>(10000, 20000]</v>
      </c>
      <c r="J188" s="160">
        <v>1</v>
      </c>
      <c r="K188" s="234">
        <v>3.6060266290201845E-3</v>
      </c>
      <c r="L188" s="188">
        <v>5.5735000000000001E-6</v>
      </c>
      <c r="M188" s="233">
        <v>5573</v>
      </c>
      <c r="N188" s="195">
        <v>5.5729999999999998E-6</v>
      </c>
      <c r="O188" s="211">
        <v>9.3687378831062811E-3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>
        <v>2500</v>
      </c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30499.893250373621</v>
      </c>
      <c r="O192" s="10">
        <f>SUM(O175:O185)</f>
        <v>8.9832618710104756E-2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f>1/SUM(N181:N185)</f>
        <v>17316.317165665208</v>
      </c>
      <c r="O194" s="220" cm="1">
        <f t="array" ref="O194:O195">N196/N194:N195</f>
        <v>202.12149999999997</v>
      </c>
    </row>
    <row r="195" spans="1:20" ht="16.8" thickBot="1">
      <c r="M195" s="124" t="s">
        <v>179</v>
      </c>
      <c r="N195" s="218">
        <f>1/SUM(N192)</f>
        <v>3.2787000000000003E-5</v>
      </c>
      <c r="O195" s="220">
        <v>106749626376.30768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0.88000000001022793</v>
      </c>
      <c r="P197" s="34"/>
    </row>
    <row r="198" spans="1:20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 cm="1">
        <f t="array" ref="A199:B256">_xlfn.ANCHORARRAY(A134)</f>
        <v>-1</v>
      </c>
      <c r="B199" s="256">
        <v>0</v>
      </c>
      <c r="C199" s="158"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P199" s="198"/>
      <c r="Q199" s="1">
        <v>0</v>
      </c>
      <c r="R199" s="1" cm="1">
        <f t="array" ref="R199:R256">IFERROR(Q199:Q256/_xlfn.ANCHORARRAY(J199)/_xlfn.ANCHORARRAY(F199),0)</f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>
        <v>4.0000000000000001E-3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>
        <v>8.0000000000000002E-3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>
        <v>1.2E-2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>
        <v>1.6E-2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>
        <v>0.02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>
        <v>2.4E-2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>
        <v>2.8000000000000001E-2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>
        <v>3.2000000000000001E-2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>
        <v>3.5999999999999997E-2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8.6453561019490408</v>
      </c>
      <c r="S212" s="182"/>
    </row>
    <row r="213" spans="1:24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8.1562449902039518</v>
      </c>
      <c r="S213" s="182"/>
    </row>
    <row r="214" spans="1:24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6.7442846681866548</v>
      </c>
    </row>
    <row r="215" spans="1:24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18.721609703286742</v>
      </c>
    </row>
    <row r="216" spans="1:24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8.4295425228393697</v>
      </c>
    </row>
    <row r="217" spans="1:24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14.75558697522488</v>
      </c>
    </row>
    <row r="218" spans="1:24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>
        <v>0.2</v>
      </c>
      <c r="I218" s="274" t="str">
        <f t="shared" si="7"/>
        <v>(50, 60]</v>
      </c>
      <c r="J218" s="160">
        <v>1</v>
      </c>
      <c r="K218" s="234">
        <v>7.3505869239680406</v>
      </c>
      <c r="L218" s="188">
        <v>9.2582428499999994E-2</v>
      </c>
      <c r="M218" s="233">
        <v>92582428</v>
      </c>
      <c r="N218" s="195">
        <v>9.2582427999999994E-2</v>
      </c>
      <c r="O218" s="211">
        <v>2.0722198105231498E-2</v>
      </c>
      <c r="Q218" s="1">
        <v>0.11195442178961326</v>
      </c>
      <c r="R218" s="1">
        <v>8.8886273801635465</v>
      </c>
    </row>
    <row r="219" spans="1:24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>
        <v>0.24</v>
      </c>
      <c r="I219" s="274" t="str">
        <f t="shared" si="7"/>
        <v>(60, 70]</v>
      </c>
      <c r="J219" s="160">
        <v>1</v>
      </c>
      <c r="K219" s="234">
        <v>6.5254339344710148</v>
      </c>
      <c r="L219" s="188">
        <v>7.2278590500000003E-2</v>
      </c>
      <c r="M219" s="233">
        <v>72278590</v>
      </c>
      <c r="N219" s="195">
        <v>7.2278590000000004E-2</v>
      </c>
      <c r="O219" s="211">
        <v>1.8938124188815946E-2</v>
      </c>
      <c r="Q219" s="1">
        <v>4.2150854631160924E-2</v>
      </c>
      <c r="R219" s="1">
        <v>3.8054507603760235</v>
      </c>
    </row>
    <row r="220" spans="1:24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5.0652016853823367</v>
      </c>
      <c r="L220" s="188">
        <v>6.2011653499999993E-2</v>
      </c>
      <c r="M220" s="233">
        <v>62011653</v>
      </c>
      <c r="N220" s="195">
        <v>6.2011653E-2</v>
      </c>
      <c r="O220" s="211">
        <v>1.8787171178083633E-2</v>
      </c>
      <c r="Q220" s="1">
        <v>3.6385840192037056E-2</v>
      </c>
      <c r="R220" s="1">
        <v>2.9720481339004849</v>
      </c>
    </row>
    <row r="221" spans="1:24" thickBot="1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>
        <v>0.32</v>
      </c>
      <c r="I221" s="274" t="str">
        <f t="shared" si="7"/>
        <v>(80, 90]</v>
      </c>
      <c r="J221" s="160">
        <v>1</v>
      </c>
      <c r="K221" s="276">
        <v>6.8864679566116118</v>
      </c>
      <c r="L221" s="188">
        <v>7.4825468499999992E-2</v>
      </c>
      <c r="M221" s="233">
        <v>74825468</v>
      </c>
      <c r="N221" s="195">
        <v>7.4825468000000006E-2</v>
      </c>
      <c r="O221" s="211">
        <v>2.5643505745320351E-2</v>
      </c>
      <c r="Q221" s="1">
        <v>4.4133565457011449E-2</v>
      </c>
      <c r="R221" s="1">
        <v>4.0617772320494119</v>
      </c>
    </row>
    <row r="222" spans="1:24" ht="16.8" thickBot="1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>
        <v>0.36</v>
      </c>
      <c r="I222" s="274" t="str">
        <f t="shared" si="7"/>
        <v>(90, 100]</v>
      </c>
      <c r="J222" s="160">
        <v>1</v>
      </c>
      <c r="K222" s="276">
        <v>12.241972700415015</v>
      </c>
      <c r="L222" s="188">
        <v>0.13759199950000001</v>
      </c>
      <c r="M222" s="233">
        <v>137591999</v>
      </c>
      <c r="N222" s="195">
        <v>0.13759199899999999</v>
      </c>
      <c r="O222" s="211">
        <v>5.2678887026306034E-2</v>
      </c>
      <c r="Q222" s="1">
        <v>8.1534868779438843E-2</v>
      </c>
      <c r="R222" s="1">
        <v>7.2544017192642869</v>
      </c>
      <c r="U222" s="301" t="s">
        <v>290</v>
      </c>
      <c r="V222" s="184" t="s">
        <v>291</v>
      </c>
      <c r="W222" s="299" t="s">
        <v>256</v>
      </c>
      <c r="X222" s="300" t="s">
        <v>292</v>
      </c>
    </row>
    <row r="223" spans="1:24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>
        <v>0.4</v>
      </c>
      <c r="I223" s="274" t="str">
        <f t="shared" si="7"/>
        <v>(100, 120]</v>
      </c>
      <c r="J223" s="160">
        <v>1</v>
      </c>
      <c r="K223" s="276">
        <v>7.0335650774029199</v>
      </c>
      <c r="L223" s="188">
        <v>0.15113370850000002</v>
      </c>
      <c r="M223" s="233">
        <v>151133708</v>
      </c>
      <c r="N223" s="195">
        <v>0.15113370800000001</v>
      </c>
      <c r="O223" s="211">
        <v>6.6955757406809979E-2</v>
      </c>
      <c r="Q223" s="1">
        <v>9.0112979805137619E-2</v>
      </c>
      <c r="R223" s="1">
        <v>4.1937401925006723</v>
      </c>
      <c r="U223" s="128" t="s">
        <v>271</v>
      </c>
      <c r="V223" s="185">
        <f>SUM(N199:N228)</f>
        <v>0.76784115799999997</v>
      </c>
      <c r="W223" s="296" cm="1">
        <f t="array" ref="W223:W228">1/V223:V228</f>
        <v>1.3023526931073941</v>
      </c>
      <c r="X223" s="302"/>
    </row>
    <row r="224" spans="1:24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>
        <v>0.48</v>
      </c>
      <c r="I224" s="274" t="str">
        <f t="shared" si="7"/>
        <v>(120, 140]</v>
      </c>
      <c r="J224" s="160">
        <v>1</v>
      </c>
      <c r="K224" s="276">
        <v>3.8910812603117928</v>
      </c>
      <c r="L224" s="188">
        <v>7.906511749999999E-2</v>
      </c>
      <c r="M224" s="233">
        <v>79065117</v>
      </c>
      <c r="N224" s="195">
        <v>7.9065117000000004E-2</v>
      </c>
      <c r="O224" s="211">
        <v>4.1300200300109634E-2</v>
      </c>
      <c r="Q224" s="1">
        <v>4.747126106777233E-2</v>
      </c>
      <c r="R224" s="272">
        <v>2.3362329708063445</v>
      </c>
      <c r="U224" s="124" t="s">
        <v>275</v>
      </c>
      <c r="V224" s="188">
        <f>SUM(N229:N256)</f>
        <v>0.23215884199999992</v>
      </c>
      <c r="W224" s="297">
        <v>4.3073957097012068</v>
      </c>
      <c r="X224" s="303">
        <v>2500</v>
      </c>
    </row>
    <row r="225" spans="1:24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1.7848252243852867</v>
      </c>
      <c r="L225" s="188">
        <v>3.58446075E-2</v>
      </c>
      <c r="M225" s="233">
        <v>35844607</v>
      </c>
      <c r="N225" s="195">
        <v>3.5844607000000001E-2</v>
      </c>
      <c r="O225" s="211">
        <v>2.159293021329501E-2</v>
      </c>
      <c r="Q225" s="1">
        <v>2.1651011757170088E-2</v>
      </c>
      <c r="R225" s="272">
        <v>1.0780776973958937</v>
      </c>
      <c r="U225" s="124" t="s">
        <v>272</v>
      </c>
      <c r="V225" s="188">
        <f>SUM(N234:N256)</f>
        <v>0.11621841399999996</v>
      </c>
      <c r="W225" s="297">
        <v>8.6044884419090444</v>
      </c>
      <c r="X225" s="303">
        <v>5000</v>
      </c>
    </row>
    <row r="226" spans="1:24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>
        <v>0.64</v>
      </c>
      <c r="I226" s="124" t="str">
        <f t="shared" si="7"/>
        <v>(160, 180]</v>
      </c>
      <c r="J226" s="160">
        <v>1</v>
      </c>
      <c r="K226" s="276">
        <v>1.0549904123732845</v>
      </c>
      <c r="L226" s="188">
        <v>2.0331473499999999E-2</v>
      </c>
      <c r="M226" s="233">
        <v>20331473</v>
      </c>
      <c r="N226" s="195">
        <v>2.0331472999999999E-2</v>
      </c>
      <c r="O226" s="211">
        <v>1.3872532154768451E-2</v>
      </c>
      <c r="Q226" s="1">
        <v>1.2345605360363113E-2</v>
      </c>
      <c r="R226" s="272">
        <v>0.64060754328147018</v>
      </c>
      <c r="U226" s="124" t="s">
        <v>287</v>
      </c>
      <c r="V226" s="188">
        <f>SUM(N245:N256)</f>
        <v>4.688378E-3</v>
      </c>
      <c r="W226" s="297">
        <v>213.29338206091745</v>
      </c>
      <c r="X226" s="303">
        <v>12500</v>
      </c>
    </row>
    <row r="227" spans="1:24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>
        <v>0.72</v>
      </c>
      <c r="I227" s="124" t="str">
        <f t="shared" si="7"/>
        <v>(180, 200]</v>
      </c>
      <c r="J227" s="160">
        <v>1</v>
      </c>
      <c r="K227" s="276">
        <v>1.5797530405996738</v>
      </c>
      <c r="L227" s="188">
        <v>2.9684537500000004E-2</v>
      </c>
      <c r="M227" s="233">
        <v>29684537</v>
      </c>
      <c r="N227" s="195">
        <v>2.9684537E-2</v>
      </c>
      <c r="O227" s="211">
        <v>2.2638667311111176E-2</v>
      </c>
      <c r="Q227" s="1">
        <v>1.8109825476012021E-2</v>
      </c>
      <c r="R227" s="272">
        <v>0.96376949987714722</v>
      </c>
      <c r="U227" s="124" t="s">
        <v>288</v>
      </c>
      <c r="V227" s="188">
        <f>SUM(N246:N256)</f>
        <v>3.2711960000000001E-3</v>
      </c>
      <c r="W227" s="297">
        <v>305.69858852847705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>
        <v>0.8</v>
      </c>
      <c r="I228" s="124" t="str">
        <f t="shared" si="7"/>
        <v>(200, 250]</v>
      </c>
      <c r="J228" s="160">
        <v>1</v>
      </c>
      <c r="K228" s="276">
        <v>0.28198249184498619</v>
      </c>
      <c r="L228" s="188">
        <v>1.2491578499999999E-2</v>
      </c>
      <c r="M228" s="233">
        <v>12491578</v>
      </c>
      <c r="N228" s="195">
        <v>1.2491578E-2</v>
      </c>
      <c r="O228" s="211">
        <v>1.1253693207178044E-2</v>
      </c>
      <c r="Q228" s="1">
        <v>7.674595432961279E-3</v>
      </c>
      <c r="R228" s="272">
        <v>0.17324484204206636</v>
      </c>
      <c r="U228" s="125" t="s">
        <v>273</v>
      </c>
      <c r="V228" s="191">
        <f>SUM(N253)</f>
        <v>1.6558600000000001E-4</v>
      </c>
      <c r="W228" s="298">
        <v>6039.1578998224486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>
        <v>1</v>
      </c>
      <c r="I229" s="275" t="str">
        <f t="shared" si="7"/>
        <v>(250, 300]</v>
      </c>
      <c r="J229" s="160">
        <v>1</v>
      </c>
      <c r="K229" s="276">
        <v>1.733334236378649</v>
      </c>
      <c r="L229" s="188">
        <v>7.1850744500000008E-2</v>
      </c>
      <c r="M229" s="233">
        <v>71850744</v>
      </c>
      <c r="N229" s="195">
        <v>7.1850743999999994E-2</v>
      </c>
      <c r="O229" s="211">
        <v>7.9088506478603174E-2</v>
      </c>
      <c r="P229" s="1" cm="1">
        <f t="array" ref="P229:P256">2*K229:K256</f>
        <v>3.4666684727572981</v>
      </c>
      <c r="Q229" s="1">
        <v>1.1129664251999793E-2</v>
      </c>
      <c r="R229" s="272">
        <v>0.26849308551549955</v>
      </c>
    </row>
    <row r="230" spans="1:24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>
        <v>1.2</v>
      </c>
      <c r="I230" s="124" t="str">
        <f t="shared" si="7"/>
        <v>(300, 350]</v>
      </c>
      <c r="J230" s="160">
        <v>1</v>
      </c>
      <c r="K230" s="276">
        <v>0.27907014245497619</v>
      </c>
      <c r="L230" s="188">
        <v>1.0721110500000002E-2</v>
      </c>
      <c r="M230" s="233">
        <v>10721110</v>
      </c>
      <c r="N230" s="195">
        <v>1.0721110000000001E-2</v>
      </c>
      <c r="O230" s="211">
        <v>1.3941988823347816E-2</v>
      </c>
      <c r="P230" s="1">
        <v>0.55814028490995238</v>
      </c>
      <c r="Q230" s="1">
        <v>1.6724255706989108E-3</v>
      </c>
      <c r="R230" s="272">
        <v>4.3533180845425463E-2</v>
      </c>
    </row>
    <row r="231" spans="1:24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>
        <v>1.4</v>
      </c>
      <c r="I231" s="124" t="str">
        <f t="shared" si="7"/>
        <v>(350, 400]</v>
      </c>
      <c r="J231" s="160">
        <v>1</v>
      </c>
      <c r="K231" s="276">
        <v>0.33811186060253645</v>
      </c>
      <c r="L231" s="188">
        <v>1.2204847500000001E-2</v>
      </c>
      <c r="M231" s="233">
        <v>12204847</v>
      </c>
      <c r="N231" s="195">
        <v>1.2204847E-2</v>
      </c>
      <c r="O231" s="211">
        <v>1.8315080908274491E-2</v>
      </c>
      <c r="P231" s="1">
        <v>0.6762237212050729</v>
      </c>
      <c r="Q231" s="1">
        <v>1.915424125577387E-3</v>
      </c>
      <c r="R231" s="272">
        <v>5.3063146830958495E-2</v>
      </c>
    </row>
    <row r="232" spans="1:24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>
        <v>1.6</v>
      </c>
      <c r="I232" s="124" t="str">
        <f t="shared" si="7"/>
        <v>(400, 450]</v>
      </c>
      <c r="J232" s="160">
        <v>1</v>
      </c>
      <c r="K232" s="276">
        <v>0.28163919006842458</v>
      </c>
      <c r="L232" s="188">
        <v>9.4560175000000003E-3</v>
      </c>
      <c r="M232" s="233">
        <v>9456017</v>
      </c>
      <c r="N232" s="195">
        <v>9.4560170000000006E-3</v>
      </c>
      <c r="O232" s="211">
        <v>1.6079518768208782E-2</v>
      </c>
      <c r="P232" s="1">
        <v>0.56327838013684917</v>
      </c>
      <c r="Q232" s="1">
        <v>1.4918749622586027E-3</v>
      </c>
      <c r="R232" s="272">
        <v>4.4434187653932991E-2</v>
      </c>
    </row>
    <row r="233" spans="1:24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>
        <v>1.8</v>
      </c>
      <c r="I233" s="124" t="str">
        <f t="shared" si="7"/>
        <v>(450, 500]</v>
      </c>
      <c r="J233" s="160">
        <v>1</v>
      </c>
      <c r="K233" s="276">
        <v>0.37166086612075061</v>
      </c>
      <c r="L233" s="188">
        <v>1.1707710499999999E-2</v>
      </c>
      <c r="M233" s="233">
        <v>11707710</v>
      </c>
      <c r="N233" s="195">
        <v>1.170771E-2</v>
      </c>
      <c r="O233" s="211">
        <v>2.225070018424017E-2</v>
      </c>
      <c r="P233" s="1">
        <v>0.74332173224150122</v>
      </c>
      <c r="Q233" s="1">
        <v>1.8558185333071217E-3</v>
      </c>
      <c r="R233" s="272">
        <v>5.8912895348058526E-2</v>
      </c>
    </row>
    <row r="234" spans="1:24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>
        <v>2</v>
      </c>
      <c r="I234" s="275" t="str">
        <f t="shared" si="7"/>
        <v>(500, 550]</v>
      </c>
      <c r="J234" s="160">
        <v>1</v>
      </c>
      <c r="K234" s="276">
        <v>1.1425504084818217</v>
      </c>
      <c r="L234" s="188">
        <v>3.3606182499999998E-2</v>
      </c>
      <c r="M234" s="233">
        <v>33606182</v>
      </c>
      <c r="N234" s="195">
        <v>3.3606181999999998E-2</v>
      </c>
      <c r="O234" s="211">
        <v>7.0576623022742244E-2</v>
      </c>
      <c r="P234" s="1">
        <v>2.2851008169636433</v>
      </c>
      <c r="Q234" s="1">
        <v>5.3495038293716922E-3</v>
      </c>
      <c r="R234" s="272">
        <v>0.18187361166129762</v>
      </c>
    </row>
    <row r="235" spans="1:24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0.63656466106062615</v>
      </c>
      <c r="L235" s="188">
        <v>1.7630041499999999E-2</v>
      </c>
      <c r="M235" s="233">
        <v>17630041</v>
      </c>
      <c r="N235" s="195">
        <v>1.7630040999999999E-2</v>
      </c>
      <c r="O235" s="211">
        <v>4.0555057077398801E-2</v>
      </c>
      <c r="P235" s="1">
        <v>1.2731293221212523</v>
      </c>
      <c r="Q235" s="1">
        <v>2.8171970608689904E-3</v>
      </c>
      <c r="R235" s="272">
        <v>0.10172001536088619</v>
      </c>
    </row>
    <row r="236" spans="1:24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>
        <v>2.4</v>
      </c>
      <c r="I236" s="124" t="str">
        <f t="shared" si="7"/>
        <v>(600, 650]</v>
      </c>
      <c r="J236" s="160">
        <v>1</v>
      </c>
      <c r="K236" s="276">
        <v>0.44884061618302495</v>
      </c>
      <c r="L236" s="188">
        <v>1.16052315E-2</v>
      </c>
      <c r="M236" s="233">
        <v>11605231</v>
      </c>
      <c r="N236" s="195">
        <v>1.1605231000000001E-2</v>
      </c>
      <c r="O236" s="211">
        <v>2.9016563964849276E-2</v>
      </c>
      <c r="P236" s="1">
        <v>0.89768123236604991</v>
      </c>
      <c r="Q236" s="1">
        <v>1.8609975223638686E-3</v>
      </c>
      <c r="R236" s="272">
        <v>7.1975408215931014E-2</v>
      </c>
    </row>
    <row r="237" spans="1:24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>
        <v>2.6</v>
      </c>
      <c r="I237" s="124" t="str">
        <f t="shared" si="7"/>
        <v>(650, 700]</v>
      </c>
      <c r="J237" s="160">
        <v>1</v>
      </c>
      <c r="K237" s="276">
        <v>0.22422838472536222</v>
      </c>
      <c r="L237" s="188">
        <v>5.4467224999999999E-3</v>
      </c>
      <c r="M237" s="233">
        <v>5446722</v>
      </c>
      <c r="N237" s="195">
        <v>5.4467220000000002E-3</v>
      </c>
      <c r="O237" s="211">
        <v>1.4707091194467786E-2</v>
      </c>
      <c r="P237" s="1">
        <v>0.44845676945072444</v>
      </c>
      <c r="Q237" s="1">
        <v>8.762685323830589E-4</v>
      </c>
      <c r="R237" s="272">
        <v>3.607385498378466E-2</v>
      </c>
    </row>
    <row r="238" spans="1:24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>
        <v>2.8</v>
      </c>
      <c r="I238" s="124" t="str">
        <f t="shared" si="7"/>
        <v>(700, 750]</v>
      </c>
      <c r="J238" s="160">
        <v>1</v>
      </c>
      <c r="K238" s="276">
        <v>0.20168898627274626</v>
      </c>
      <c r="L238" s="188">
        <v>4.5929934999999998E-3</v>
      </c>
      <c r="M238" s="233">
        <v>4592993</v>
      </c>
      <c r="N238" s="195">
        <v>4.5929930000000001E-3</v>
      </c>
      <c r="O238" s="211">
        <v>1.3319918838087159E-2</v>
      </c>
      <c r="P238" s="1">
        <v>0.40337797254549251</v>
      </c>
      <c r="Q238" s="1">
        <v>7.4115146154725073E-4</v>
      </c>
      <c r="R238" s="272">
        <v>3.2545677879585344E-2</v>
      </c>
    </row>
    <row r="239" spans="1:24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>
        <v>3</v>
      </c>
      <c r="I239" s="124" t="str">
        <f t="shared" si="7"/>
        <v>(750, 800]</v>
      </c>
      <c r="J239" s="160">
        <v>1</v>
      </c>
      <c r="K239" s="276">
        <v>0.35072844695555111</v>
      </c>
      <c r="L239" s="188">
        <v>7.5329775000000003E-3</v>
      </c>
      <c r="M239" s="233">
        <v>7532977</v>
      </c>
      <c r="N239" s="195">
        <v>7.5329769999999997E-3</v>
      </c>
      <c r="O239" s="211">
        <v>2.3355274694710045E-2</v>
      </c>
      <c r="P239" s="1">
        <v>0.70145689391110222</v>
      </c>
      <c r="Q239" s="1">
        <v>1.2189966059970045E-3</v>
      </c>
      <c r="R239" s="272">
        <v>5.6755351581153302E-2</v>
      </c>
    </row>
    <row r="240" spans="1:24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>
        <v>3.2</v>
      </c>
      <c r="I240" s="124" t="str">
        <f t="shared" si="7"/>
        <v>(800, 850]</v>
      </c>
      <c r="J240" s="160">
        <v>1</v>
      </c>
      <c r="K240" s="276">
        <v>0.20968953923383038</v>
      </c>
      <c r="L240" s="188">
        <v>4.2150965000000004E-3</v>
      </c>
      <c r="M240" s="233">
        <v>4215096</v>
      </c>
      <c r="N240" s="195">
        <v>4.2150959999999998E-3</v>
      </c>
      <c r="O240" s="211">
        <v>1.3910050169667339E-2</v>
      </c>
      <c r="P240" s="1">
        <v>0.41937907846766076</v>
      </c>
      <c r="Q240" s="1">
        <v>6.8389177127303735E-4</v>
      </c>
      <c r="R240" s="272">
        <v>3.4021747877907731E-2</v>
      </c>
    </row>
    <row r="241" spans="1:19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>
        <v>3.4</v>
      </c>
      <c r="I241" s="124" t="str">
        <f t="shared" si="7"/>
        <v>(850, 900]</v>
      </c>
      <c r="J241" s="160">
        <v>1</v>
      </c>
      <c r="K241" s="276">
        <v>0.21574133947094704</v>
      </c>
      <c r="L241" s="188">
        <v>4.0867594999999994E-3</v>
      </c>
      <c r="M241" s="233">
        <v>4086759</v>
      </c>
      <c r="N241" s="195">
        <v>4.0867589999999997E-3</v>
      </c>
      <c r="O241" s="211">
        <v>1.4304208405284877E-2</v>
      </c>
      <c r="P241" s="1">
        <v>0.43148267894189407</v>
      </c>
      <c r="Q241" s="1">
        <v>6.6471945033239174E-4</v>
      </c>
      <c r="R241" s="272">
        <v>3.5090752119644394E-2</v>
      </c>
    </row>
    <row r="242" spans="1:19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>
        <v>3.6</v>
      </c>
      <c r="I242" s="124" t="str">
        <f t="shared" si="7"/>
        <v>(900, 950]</v>
      </c>
      <c r="J242" s="160">
        <v>1</v>
      </c>
      <c r="K242" s="276">
        <v>0.17653642462728444</v>
      </c>
      <c r="L242" s="188">
        <v>3.1331065000000003E-3</v>
      </c>
      <c r="M242" s="233">
        <v>3133106</v>
      </c>
      <c r="N242" s="195">
        <v>3.1331060000000001E-3</v>
      </c>
      <c r="O242" s="211">
        <v>1.1592523960733701E-2</v>
      </c>
      <c r="P242" s="1">
        <v>0.35307284925456889</v>
      </c>
      <c r="Q242" s="1">
        <v>5.1080162542589203E-4</v>
      </c>
      <c r="R242" s="272">
        <v>2.8781368474545106E-2</v>
      </c>
    </row>
    <row r="243" spans="1:19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>
        <v>3.8</v>
      </c>
      <c r="I243" s="124" t="str">
        <f t="shared" si="7"/>
        <v>(950, 1000]</v>
      </c>
      <c r="J243" s="160">
        <v>1</v>
      </c>
      <c r="K243" s="276">
        <v>0.34031838359465066</v>
      </c>
      <c r="L243" s="188">
        <v>5.7069544999999999E-3</v>
      </c>
      <c r="M243" s="233">
        <v>5706954</v>
      </c>
      <c r="N243" s="195">
        <v>5.7069540000000002E-3</v>
      </c>
      <c r="O243" s="211">
        <v>2.2258904276828081E-2</v>
      </c>
      <c r="P243" s="1">
        <v>0.68063676718930133</v>
      </c>
      <c r="Q243" s="1">
        <v>9.3249869117555866E-4</v>
      </c>
      <c r="R243" s="272">
        <v>5.5606969932035281E-2</v>
      </c>
    </row>
    <row r="244" spans="1:19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>
        <v>4</v>
      </c>
      <c r="I244" s="275" t="str">
        <f t="shared" si="7"/>
        <v>(1000, 2000]</v>
      </c>
      <c r="J244" s="160">
        <v>1</v>
      </c>
      <c r="K244" s="276">
        <v>7.3283934539637399E-2</v>
      </c>
      <c r="L244" s="188">
        <v>1.3973975500000001E-2</v>
      </c>
      <c r="M244" s="233">
        <v>13973975</v>
      </c>
      <c r="N244" s="195">
        <v>1.3973975E-2</v>
      </c>
      <c r="O244" s="211">
        <v>7.8570509999350446E-2</v>
      </c>
      <c r="P244" s="1">
        <v>0.1465678690792748</v>
      </c>
      <c r="Q244" s="1">
        <v>2.3188292455711568E-3</v>
      </c>
      <c r="R244" s="272">
        <v>1.2160671860418922E-2</v>
      </c>
    </row>
    <row r="245" spans="1:19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>
        <v>8</v>
      </c>
      <c r="I245" s="124" t="str">
        <f t="shared" si="7"/>
        <v>(2000, 3000]</v>
      </c>
      <c r="J245" s="160">
        <v>1</v>
      </c>
      <c r="K245" s="276">
        <v>2.2375238937804673E-2</v>
      </c>
      <c r="L245" s="188">
        <v>1.4171825000000001E-3</v>
      </c>
      <c r="M245" s="233">
        <v>1417182</v>
      </c>
      <c r="N245" s="195">
        <v>1.4171819999999999E-3</v>
      </c>
      <c r="O245" s="211">
        <v>1.3692376645314438E-2</v>
      </c>
      <c r="P245" s="1">
        <v>4.4750477875609346E-2</v>
      </c>
      <c r="Q245" s="1">
        <v>2.4060234572901006E-4</v>
      </c>
      <c r="R245" s="272">
        <v>3.7987591398305352E-3</v>
      </c>
    </row>
    <row r="246" spans="1:19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>
        <v>12</v>
      </c>
      <c r="I246" s="124" t="str">
        <f t="shared" si="7"/>
        <v>(3000, 4000]</v>
      </c>
      <c r="J246" s="160">
        <v>1</v>
      </c>
      <c r="K246" s="276">
        <v>4.7096957786354601E-2</v>
      </c>
      <c r="L246" s="188">
        <v>1.1293914999999999E-3</v>
      </c>
      <c r="M246" s="233">
        <v>1129391</v>
      </c>
      <c r="N246" s="195">
        <v>1.129391E-3</v>
      </c>
      <c r="O246" s="211">
        <v>1.5477744284519881E-2</v>
      </c>
      <c r="P246" s="1">
        <v>9.4193915572709203E-2</v>
      </c>
      <c r="Q246" s="1">
        <v>1.9459292360516313E-4</v>
      </c>
      <c r="R246" s="272">
        <v>8.1147544572061098E-3</v>
      </c>
    </row>
    <row r="247" spans="1:19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>
        <v>16</v>
      </c>
      <c r="I247" s="124" t="str">
        <f t="shared" si="7"/>
        <v>(4000, 5000]</v>
      </c>
      <c r="J247" s="160">
        <v>1</v>
      </c>
      <c r="K247" s="276">
        <v>8.4723891075925845E-2</v>
      </c>
      <c r="L247" s="188">
        <v>8.8822350000000011E-4</v>
      </c>
      <c r="M247" s="233">
        <v>888223</v>
      </c>
      <c r="N247" s="195">
        <v>8.8822300000000005E-4</v>
      </c>
      <c r="O247" s="211">
        <v>1.576719127530295E-2</v>
      </c>
      <c r="P247" s="1">
        <v>0.16944778215185169</v>
      </c>
      <c r="Q247" s="1">
        <v>1.5472097419784935E-4</v>
      </c>
      <c r="R247" s="272">
        <v>1.4758180756419664E-2</v>
      </c>
    </row>
    <row r="248" spans="1:19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>
        <v>20</v>
      </c>
      <c r="I248" s="124" t="str">
        <f t="shared" si="7"/>
        <v>(5000, 6000]</v>
      </c>
      <c r="J248" s="160">
        <v>1</v>
      </c>
      <c r="K248" s="276">
        <v>5.5051647512697088E-2</v>
      </c>
      <c r="L248" s="188">
        <v>2.9218750000000002E-4</v>
      </c>
      <c r="M248" s="233">
        <v>292187</v>
      </c>
      <c r="N248" s="195">
        <v>2.9218700000000001E-4</v>
      </c>
      <c r="O248" s="211">
        <v>6.3690829225076977E-3</v>
      </c>
      <c r="P248" s="1">
        <v>0.11010329502539418</v>
      </c>
      <c r="Q248" s="1">
        <v>5.1339773931655664E-5</v>
      </c>
      <c r="R248" s="272">
        <v>9.6730323435022456E-3</v>
      </c>
    </row>
    <row r="249" spans="1:19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>
        <v>24</v>
      </c>
      <c r="I249" s="124" t="str">
        <f t="shared" si="7"/>
        <v>(6000, 7000]</v>
      </c>
      <c r="J249" s="160">
        <v>1</v>
      </c>
      <c r="K249" s="276">
        <v>8.8136105916018878E-2</v>
      </c>
      <c r="L249" s="188">
        <v>2.7417749999999997E-4</v>
      </c>
      <c r="M249" s="233">
        <v>274177</v>
      </c>
      <c r="N249" s="195">
        <v>2.7417700000000001E-4</v>
      </c>
      <c r="O249" s="211">
        <v>7.0850084313290717E-3</v>
      </c>
      <c r="P249" s="1">
        <v>0.17627221183203776</v>
      </c>
      <c r="Q249" s="1">
        <v>4.8522573340460124E-5</v>
      </c>
      <c r="R249" s="272">
        <v>1.559789064840327E-2</v>
      </c>
    </row>
    <row r="250" spans="1:19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>
        <v>28</v>
      </c>
      <c r="I250" s="124" t="str">
        <f t="shared" si="7"/>
        <v>(7000, 8000]</v>
      </c>
      <c r="J250" s="160">
        <v>1</v>
      </c>
      <c r="K250" s="276">
        <v>0.12527098974628062</v>
      </c>
      <c r="L250" s="188">
        <v>2.5401850000000001E-4</v>
      </c>
      <c r="M250" s="233">
        <v>254018</v>
      </c>
      <c r="N250" s="195">
        <v>2.5401800000000001E-4</v>
      </c>
      <c r="O250" s="211">
        <v>7.5882347142436392E-3</v>
      </c>
      <c r="P250" s="1">
        <v>0.25054197949256124</v>
      </c>
      <c r="Q250" s="1">
        <v>4.5230985118384998E-5</v>
      </c>
      <c r="R250" s="272">
        <v>2.230597485214415E-2</v>
      </c>
    </row>
    <row r="251" spans="1:19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>
        <v>32</v>
      </c>
      <c r="I251" s="124" t="str">
        <f t="shared" si="7"/>
        <v>(8000, 9000]</v>
      </c>
      <c r="J251" s="160">
        <v>1</v>
      </c>
      <c r="K251" s="276">
        <v>0.14234396221216075</v>
      </c>
      <c r="L251" s="188">
        <v>2.0353450000000001E-4</v>
      </c>
      <c r="M251" s="233">
        <v>203534</v>
      </c>
      <c r="N251" s="195">
        <v>2.0353400000000001E-4</v>
      </c>
      <c r="O251" s="211">
        <v>6.897751848741758E-3</v>
      </c>
      <c r="P251" s="198">
        <v>0.2846879244243215</v>
      </c>
      <c r="Q251" s="198">
        <v>3.6435176505648529E-5</v>
      </c>
      <c r="R251" s="272">
        <v>2.548131834020002E-2</v>
      </c>
      <c r="S251" s="182"/>
    </row>
    <row r="252" spans="1:19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>
        <v>36</v>
      </c>
      <c r="I252" s="124" t="str">
        <f t="shared" si="7"/>
        <v>(9000, 10000]</v>
      </c>
      <c r="J252" s="160">
        <v>1</v>
      </c>
      <c r="K252" s="276">
        <v>6.1468164477855622E-2</v>
      </c>
      <c r="L252" s="188">
        <v>6.4080500000000004E-5</v>
      </c>
      <c r="M252" s="233">
        <v>64080</v>
      </c>
      <c r="N252" s="195">
        <v>6.4079999999999996E-5</v>
      </c>
      <c r="O252" s="211">
        <v>2.4285062696700597E-3</v>
      </c>
      <c r="P252" s="198">
        <v>0.12293632895571124</v>
      </c>
      <c r="Q252" s="198">
        <v>1.1525633621686288E-5</v>
      </c>
      <c r="R252" s="272">
        <v>1.1055774270945382E-2</v>
      </c>
      <c r="S252" s="182"/>
    </row>
    <row r="253" spans="1:19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>
        <v>40</v>
      </c>
      <c r="I253" s="275" t="str">
        <f t="shared" si="7"/>
        <v>(10000, 20000]</v>
      </c>
      <c r="J253" s="160">
        <v>1</v>
      </c>
      <c r="K253" s="276">
        <v>5.8014034514858377E-2</v>
      </c>
      <c r="L253" s="188">
        <v>1.6558650000000002E-4</v>
      </c>
      <c r="M253" s="233">
        <v>165586</v>
      </c>
      <c r="N253" s="195">
        <v>1.6558600000000001E-4</v>
      </c>
      <c r="O253" s="211">
        <v>8.4679160147744306E-3</v>
      </c>
      <c r="P253" s="198">
        <v>0.11602806902971675</v>
      </c>
      <c r="Q253" s="198">
        <v>3.0161344925913713E-5</v>
      </c>
      <c r="R253" s="272">
        <v>1.0567173685937601E-2</v>
      </c>
      <c r="S253" s="182"/>
    </row>
    <row r="254" spans="1:19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>
        <f>1/N251</f>
        <v>4913.184038047697</v>
      </c>
      <c r="O257" s="10">
        <f>SUM(O240:O250)</f>
        <v>0.20661583508508216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f>1/SUM(N244:N253)</f>
        <v>53.583811216088336</v>
      </c>
      <c r="O259" s="220" cm="1">
        <f t="array" ref="O259:O260">N261/N259:N260</f>
        <v>261.27294200000006</v>
      </c>
    </row>
    <row r="260" spans="13:15" ht="16.8" thickBot="1">
      <c r="M260" s="124" t="s">
        <v>179</v>
      </c>
      <c r="N260" s="218">
        <f>1/SUM(N257)</f>
        <v>2.0353400000000001E-4</v>
      </c>
      <c r="O260" s="220">
        <v>68784576.532667756</v>
      </c>
    </row>
    <row r="261" spans="13:15" ht="16.8" thickBot="1">
      <c r="M261" s="114" t="s">
        <v>177</v>
      </c>
      <c r="N261" s="184">
        <f>N196/250</f>
        <v>14000</v>
      </c>
      <c r="O261" s="165"/>
    </row>
  </sheetData>
  <phoneticPr fontId="2" type="noConversion"/>
  <conditionalFormatting sqref="J4:O61 C4:G61">
    <cfRule type="cellIs" dxfId="93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2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1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90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9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258"/>
  <sheetViews>
    <sheetView topLeftCell="G1" zoomScale="70" zoomScaleNormal="70" workbookViewId="0">
      <selection activeCell="L27" sqref="L27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0.87999999993722955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 cm="1">
        <f t="array" ref="C4:D61">'Multiplier Weight'!C4:D61</f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 cm="1">
        <f t="array" ref="H4:H18">18*(K4:K18/SUM(K4:K18))</f>
        <v>2.1240993008091831</v>
      </c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54">
        <v>1.1361090753579779</v>
      </c>
      <c r="L4" s="185" cm="1">
        <f t="array" ref="L4:L61">K4:K61*_xlfn.ANCHORARRAY(J4)*_xlfn.ANCHORARRAY(F4)</f>
        <v>0.90342134750000003</v>
      </c>
      <c r="M4" s="240" cm="1">
        <f t="array" ref="M4:M61">INT(_xlfn.ANCHORARRAY(L4)*$M$2)</f>
        <v>903421347</v>
      </c>
      <c r="N4" s="194" cm="1">
        <f t="array" ref="N4:N61">_xlfn.ANCHORARRAY(M4)/SUM(_xlfn.ANCHORARRAY(M4))</f>
        <v>0.90342134699999999</v>
      </c>
      <c r="O4" s="210" cm="1">
        <f t="array" ref="O4:O61">_xlfn.ANCHORARRAY(N4)*E4:E61</f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>
        <v>0.8291016164718007</v>
      </c>
      <c r="I5" s="124" t="str">
        <f t="shared" ref="I5:I61" si="1">"("&amp;$A5&amp;", "&amp;$B5&amp;"]"</f>
        <v>(0, 1]</v>
      </c>
      <c r="J5" s="160">
        <v>1</v>
      </c>
      <c r="K5" s="234">
        <v>0.44345849109255076</v>
      </c>
      <c r="L5" s="188">
        <v>5.4206295000000003E-3</v>
      </c>
      <c r="M5" s="233">
        <v>5420629</v>
      </c>
      <c r="N5" s="195">
        <v>5.4206289999999997E-3</v>
      </c>
      <c r="O5" s="211">
        <v>4.069749904533574E-3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>
        <v>0.8274095565201347</v>
      </c>
      <c r="I6" s="214" t="str">
        <f t="shared" si="1"/>
        <v>(1, 2]</v>
      </c>
      <c r="J6" s="160">
        <v>1</v>
      </c>
      <c r="K6" s="234">
        <v>0.44255346529342482</v>
      </c>
      <c r="L6" s="188">
        <v>8.7865605000000003E-3</v>
      </c>
      <c r="M6" s="233">
        <v>8786560</v>
      </c>
      <c r="N6" s="195">
        <v>8.7865600000000006E-3</v>
      </c>
      <c r="O6" s="211">
        <v>1.5088507533540126E-2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>
        <v>0.82615465468267768</v>
      </c>
      <c r="I7" s="124" t="str">
        <f t="shared" si="1"/>
        <v>(2, 3]</v>
      </c>
      <c r="J7" s="160">
        <v>1</v>
      </c>
      <c r="K7" s="234">
        <v>0.44188226062532143</v>
      </c>
      <c r="L7" s="188">
        <v>6.1955945000000002E-3</v>
      </c>
      <c r="M7" s="233">
        <v>6195594</v>
      </c>
      <c r="N7" s="195">
        <v>6.1955939999999996E-3</v>
      </c>
      <c r="O7" s="211">
        <v>1.7033288919095377E-2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>
        <v>0.82519239883506557</v>
      </c>
      <c r="I8" s="124" t="str">
        <f t="shared" si="1"/>
        <v>(3, 4]</v>
      </c>
      <c r="J8" s="160">
        <v>1</v>
      </c>
      <c r="K8" s="234">
        <v>0.44136758242695662</v>
      </c>
      <c r="L8" s="188">
        <v>8.1490425000000002E-3</v>
      </c>
      <c r="M8" s="233">
        <v>8149042</v>
      </c>
      <c r="N8" s="195">
        <v>8.1490420000000004E-3</v>
      </c>
      <c r="O8" s="211">
        <v>3.0138576956786341E-2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>
        <v>0.82654401811351108</v>
      </c>
      <c r="I9" s="124" t="str">
        <f t="shared" si="1"/>
        <v>(4, 5]</v>
      </c>
      <c r="J9" s="160">
        <v>1</v>
      </c>
      <c r="K9" s="234">
        <v>0.44209051799220339</v>
      </c>
      <c r="L9" s="188">
        <v>5.5708255000000003E-3</v>
      </c>
      <c r="M9" s="233">
        <v>5570825</v>
      </c>
      <c r="N9" s="195">
        <v>5.5708249999999997E-3</v>
      </c>
      <c r="O9" s="211">
        <v>2.677069421847042E-2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>
        <v>0.82554806974743367</v>
      </c>
      <c r="I10" s="124" t="str">
        <f t="shared" si="1"/>
        <v>(5, 6]</v>
      </c>
      <c r="J10" s="160">
        <v>1</v>
      </c>
      <c r="K10" s="234">
        <v>0.44155781880207728</v>
      </c>
      <c r="L10" s="188">
        <v>5.5387824999999996E-3</v>
      </c>
      <c r="M10" s="233">
        <v>5538782</v>
      </c>
      <c r="N10" s="195">
        <v>5.5387819999999999E-3</v>
      </c>
      <c r="O10" s="211">
        <v>3.2966886315760342E-2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>
        <v>0.82559314002774487</v>
      </c>
      <c r="I11" s="124" t="str">
        <f t="shared" si="1"/>
        <v>(6, 7]</v>
      </c>
      <c r="J11" s="160">
        <v>1</v>
      </c>
      <c r="K11" s="234">
        <v>0.44158192537490604</v>
      </c>
      <c r="L11" s="188">
        <v>1.3950125000000001E-3</v>
      </c>
      <c r="M11" s="233">
        <v>1395012</v>
      </c>
      <c r="N11" s="195">
        <v>1.3950119999999999E-3</v>
      </c>
      <c r="O11" s="211">
        <v>9.106375859797634E-3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>
        <v>2.0648418064180403</v>
      </c>
      <c r="I12" s="214" t="str">
        <f t="shared" si="1"/>
        <v>(7, 8]</v>
      </c>
      <c r="J12" s="160">
        <v>1</v>
      </c>
      <c r="K12" s="234">
        <v>1.1044142402176882</v>
      </c>
      <c r="L12" s="188">
        <v>1.4520405499999998E-2</v>
      </c>
      <c r="M12" s="233">
        <v>14520405</v>
      </c>
      <c r="N12" s="195">
        <v>1.4520405E-2</v>
      </c>
      <c r="O12" s="211">
        <v>0.11201154004675398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>
        <v>1.0274096461285118</v>
      </c>
      <c r="I13" s="124" t="str">
        <f t="shared" si="1"/>
        <v>(8, 9]</v>
      </c>
      <c r="J13" s="160">
        <v>1</v>
      </c>
      <c r="K13" s="234">
        <v>0.54952676771385556</v>
      </c>
      <c r="L13" s="188">
        <v>3.1654275000000003E-3</v>
      </c>
      <c r="M13" s="233">
        <v>3165427</v>
      </c>
      <c r="N13" s="195">
        <v>3.1654270000000002E-3</v>
      </c>
      <c r="O13" s="211">
        <v>2.8239445591323999E-2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>
        <v>1.0307881370352097</v>
      </c>
      <c r="I14" s="124" t="str">
        <f t="shared" si="1"/>
        <v>(9, 10]</v>
      </c>
      <c r="J14" s="160">
        <v>1</v>
      </c>
      <c r="K14" s="234">
        <v>0.55133380855165981</v>
      </c>
      <c r="L14" s="188">
        <v>3.9345214999999996E-3</v>
      </c>
      <c r="M14" s="233">
        <v>3934521</v>
      </c>
      <c r="N14" s="195">
        <v>3.9345209999999999E-3</v>
      </c>
      <c r="O14" s="211">
        <v>3.8363005857414666E-2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>
        <v>2.0596087634075264</v>
      </c>
      <c r="I15" s="214" t="str">
        <f t="shared" si="1"/>
        <v>(10, 15]</v>
      </c>
      <c r="J15" s="160">
        <v>1</v>
      </c>
      <c r="K15" s="234">
        <v>1.1016152620090336</v>
      </c>
      <c r="L15" s="188">
        <v>1.9729627500000003E-2</v>
      </c>
      <c r="M15" s="233">
        <v>19729627</v>
      </c>
      <c r="N15" s="195">
        <v>1.9729627E-2</v>
      </c>
      <c r="O15" s="211">
        <v>0.25116569361024793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>
        <v>0.82148232694163359</v>
      </c>
      <c r="I16" s="124" t="str">
        <f t="shared" si="1"/>
        <v>(15, 20]</v>
      </c>
      <c r="J16" s="160">
        <v>1</v>
      </c>
      <c r="K16" s="234">
        <v>0.43938319010275934</v>
      </c>
      <c r="L16" s="188">
        <v>4.9515154999999998E-3</v>
      </c>
      <c r="M16" s="233">
        <v>4951515</v>
      </c>
      <c r="N16" s="195">
        <v>4.9515150000000001E-3</v>
      </c>
      <c r="O16" s="211">
        <v>8.8371863602378489E-2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>
        <v>2.0581274551295281</v>
      </c>
      <c r="I17" s="124" t="str">
        <f t="shared" si="1"/>
        <v>(20, 25]</v>
      </c>
      <c r="J17" s="160">
        <v>1</v>
      </c>
      <c r="K17" s="234">
        <v>1.100822960172017</v>
      </c>
      <c r="L17" s="188">
        <v>6.8408154999999998E-3</v>
      </c>
      <c r="M17" s="233">
        <v>6840815</v>
      </c>
      <c r="N17" s="195">
        <v>6.8408150000000001E-3</v>
      </c>
      <c r="O17" s="211">
        <v>0.15900184663054059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>
        <v>1.0280991097319987</v>
      </c>
      <c r="I18" s="124" t="str">
        <f t="shared" si="1"/>
        <v>(25, 30]</v>
      </c>
      <c r="J18" s="160">
        <v>1</v>
      </c>
      <c r="K18" s="234">
        <v>0.54989553854144912</v>
      </c>
      <c r="L18" s="188">
        <v>2.3798995000000002E-3</v>
      </c>
      <c r="M18" s="233">
        <v>2379899</v>
      </c>
      <c r="N18" s="195">
        <v>2.379899E-3</v>
      </c>
      <c r="O18" s="211">
        <v>6.7672524890586089E-2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f>SUM(O28:O55)</f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f>1/SUM(N35:N55)</f>
        <v>#DIV/0!</v>
      </c>
      <c r="O64" s="220" t="e" cm="1">
        <f t="array" ref="O64:O65">N66/N64:N65</f>
        <v>#DIV/0!</v>
      </c>
    </row>
    <row r="65" spans="1:20" ht="16.8" thickBot="1">
      <c r="L65" s="180"/>
      <c r="M65" s="124" t="s">
        <v>179</v>
      </c>
      <c r="N65" s="253" t="e">
        <f>1/N49</f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0.87999999998288503</v>
      </c>
      <c r="P67" s="222"/>
    </row>
    <row r="68" spans="1:20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 cm="1">
        <f t="array" ref="A69:B126">A4:B61</f>
        <v>-1</v>
      </c>
      <c r="B69" s="200">
        <v>0</v>
      </c>
      <c r="C69" s="158" cm="1">
        <f t="array" ref="C69:D126">'Multiplier Weight'!C69:D126</f>
        <v>795217879</v>
      </c>
      <c r="D69" s="166">
        <v>0</v>
      </c>
      <c r="E69" s="187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232" cm="1">
        <f t="array" ref="H69:H126">A69:A126/1.5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17">
        <v>1.0987013088773876</v>
      </c>
      <c r="L69" s="185" cm="1">
        <f t="array" ref="L69:L126">K69:K126*_xlfn.ANCHORARRAY(J69)*_xlfn.ANCHORARRAY(F69)</f>
        <v>0.87370692449999998</v>
      </c>
      <c r="M69" s="207" cm="1">
        <f t="array" ref="M69:M126">INT(_xlfn.ANCHORARRAY(L69)*$M$2)</f>
        <v>873706924</v>
      </c>
      <c r="N69" s="194" cm="1">
        <f t="array" ref="N69:N126">_xlfn.ANCHORARRAY(M69)/SUM(_xlfn.ANCHORARRAY(M69))</f>
        <v>0.87370692400000005</v>
      </c>
      <c r="O69" s="210" cm="1">
        <f t="array" ref="O69:O126">_xlfn.ANCHORARRAY(N69)*E69:E126</f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232">
        <v>0</v>
      </c>
      <c r="I70" s="124" t="str">
        <f t="shared" ref="I70:I126" si="3">"("&amp;$A70&amp;", "&amp;$B70&amp;"]"</f>
        <v>(0, 1]</v>
      </c>
      <c r="J70" s="160">
        <v>1</v>
      </c>
      <c r="K70" s="205">
        <v>2.1896441598359964</v>
      </c>
      <c r="L70" s="188">
        <v>9.7495854999999996E-3</v>
      </c>
      <c r="M70" s="208">
        <v>9749585</v>
      </c>
      <c r="N70" s="195">
        <v>9.7495849999999998E-3</v>
      </c>
      <c r="O70" s="211">
        <v>5.1997786666666667E-3</v>
      </c>
      <c r="Q70" s="183"/>
      <c r="S70" s="182"/>
    </row>
    <row r="71" spans="1:20" ht="15.6">
      <c r="A71" s="201">
        <v>1</v>
      </c>
      <c r="B71" s="202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232">
        <v>0.66666666666666663</v>
      </c>
      <c r="I71" s="214" t="str">
        <f t="shared" si="3"/>
        <v>(1, 2]</v>
      </c>
      <c r="J71" s="160">
        <v>1</v>
      </c>
      <c r="K71" s="205">
        <v>1.2511714928430537</v>
      </c>
      <c r="L71" s="188">
        <v>1.5807150499999999E-2</v>
      </c>
      <c r="M71" s="208">
        <v>15807150</v>
      </c>
      <c r="N71" s="195">
        <v>1.5807149999999999E-2</v>
      </c>
      <c r="O71" s="211">
        <v>1.7490099720852182E-2</v>
      </c>
      <c r="Q71" s="183"/>
    </row>
    <row r="72" spans="1:20" ht="15.6">
      <c r="A72" s="201">
        <v>2</v>
      </c>
      <c r="B72" s="202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232">
        <v>1.3333333333333333</v>
      </c>
      <c r="I72" s="124" t="str">
        <f t="shared" si="3"/>
        <v>(2, 3]</v>
      </c>
      <c r="J72" s="160">
        <v>1</v>
      </c>
      <c r="K72" s="205">
        <v>1.4585173198742372</v>
      </c>
      <c r="L72" s="188">
        <v>1.1144138500000001E-2</v>
      </c>
      <c r="M72" s="208">
        <v>11144138</v>
      </c>
      <c r="N72" s="195">
        <v>1.1144138E-2</v>
      </c>
      <c r="O72" s="211">
        <v>2.0768375004987454E-2</v>
      </c>
      <c r="Q72" s="183"/>
    </row>
    <row r="73" spans="1:20" ht="15.6">
      <c r="A73" s="201">
        <v>3</v>
      </c>
      <c r="B73" s="202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232">
        <v>2</v>
      </c>
      <c r="I73" s="124" t="str">
        <f t="shared" si="3"/>
        <v>(3, 4]</v>
      </c>
      <c r="J73" s="160">
        <v>1</v>
      </c>
      <c r="K73" s="205">
        <v>0.85663475383350707</v>
      </c>
      <c r="L73" s="188">
        <v>1.21569955E-2</v>
      </c>
      <c r="M73" s="208">
        <v>12156995</v>
      </c>
      <c r="N73" s="195">
        <v>1.2156995E-2</v>
      </c>
      <c r="O73" s="211">
        <v>2.9579217172796757E-2</v>
      </c>
      <c r="Q73" s="183"/>
    </row>
    <row r="74" spans="1:20" ht="15.6">
      <c r="A74" s="201">
        <v>4</v>
      </c>
      <c r="B74" s="202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232">
        <v>2.6666666666666665</v>
      </c>
      <c r="I74" s="124" t="str">
        <f t="shared" si="3"/>
        <v>(4, 5]</v>
      </c>
      <c r="J74" s="160">
        <v>1</v>
      </c>
      <c r="K74" s="205">
        <v>0.68280632070067426</v>
      </c>
      <c r="L74" s="188">
        <v>8.3102144999999995E-3</v>
      </c>
      <c r="M74" s="208">
        <v>8310214</v>
      </c>
      <c r="N74" s="195">
        <v>8.3102139999999998E-3</v>
      </c>
      <c r="O74" s="211">
        <v>2.6713257646161798E-2</v>
      </c>
      <c r="Q74" s="183"/>
    </row>
    <row r="75" spans="1:20" ht="15.6">
      <c r="A75" s="201">
        <v>5</v>
      </c>
      <c r="B75" s="202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232">
        <v>3.3333333333333335</v>
      </c>
      <c r="I75" s="124" t="str">
        <f t="shared" si="3"/>
        <v>(5, 6]</v>
      </c>
      <c r="J75" s="160">
        <v>1</v>
      </c>
      <c r="K75" s="205">
        <v>0.65310774848700093</v>
      </c>
      <c r="L75" s="188">
        <v>8.2622714999999996E-3</v>
      </c>
      <c r="M75" s="208">
        <v>8262271</v>
      </c>
      <c r="N75" s="195">
        <v>8.2622709999999999E-3</v>
      </c>
      <c r="O75" s="211">
        <v>3.2936472295146596E-2</v>
      </c>
      <c r="Q75" s="183"/>
    </row>
    <row r="76" spans="1:20" ht="15.6">
      <c r="A76" s="201">
        <v>6</v>
      </c>
      <c r="B76" s="202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232">
        <v>4</v>
      </c>
      <c r="I76" s="124" t="str">
        <f t="shared" si="3"/>
        <v>(6, 7]</v>
      </c>
      <c r="J76" s="160">
        <v>1</v>
      </c>
      <c r="K76" s="205">
        <v>0.73671964224140063</v>
      </c>
      <c r="L76" s="188">
        <v>2.0810105000000001E-3</v>
      </c>
      <c r="M76" s="208">
        <v>2081010</v>
      </c>
      <c r="N76" s="195">
        <v>2.0810099999999999E-3</v>
      </c>
      <c r="O76" s="211">
        <v>8.9926928733167228E-3</v>
      </c>
      <c r="Q76" s="183"/>
    </row>
    <row r="77" spans="1:20" ht="15.6">
      <c r="A77" s="201">
        <v>7</v>
      </c>
      <c r="B77" s="202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232">
        <v>4.666666666666667</v>
      </c>
      <c r="I77" s="214" t="str">
        <f t="shared" si="3"/>
        <v>(7, 8]</v>
      </c>
      <c r="J77" s="160">
        <v>1</v>
      </c>
      <c r="K77" s="205">
        <v>0.61263860744358156</v>
      </c>
      <c r="L77" s="188">
        <v>8.6641054999999998E-3</v>
      </c>
      <c r="M77" s="208">
        <v>8664105</v>
      </c>
      <c r="N77" s="195">
        <v>8.6641050000000001E-3</v>
      </c>
      <c r="O77" s="211">
        <v>4.448878485249462E-2</v>
      </c>
      <c r="Q77" s="183"/>
    </row>
    <row r="78" spans="1:20" ht="15.6">
      <c r="A78" s="201">
        <v>8</v>
      </c>
      <c r="B78" s="202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232">
        <v>5.333333333333333</v>
      </c>
      <c r="I78" s="124" t="str">
        <f t="shared" si="3"/>
        <v>(8, 9]</v>
      </c>
      <c r="J78" s="160">
        <v>1</v>
      </c>
      <c r="K78" s="205">
        <v>0.59135075317191965</v>
      </c>
      <c r="L78" s="188">
        <v>3.7774605E-3</v>
      </c>
      <c r="M78" s="208">
        <v>3777460</v>
      </c>
      <c r="N78" s="195">
        <v>3.7774599999999998E-3</v>
      </c>
      <c r="O78" s="211">
        <v>2.249928115794185E-2</v>
      </c>
      <c r="Q78" s="183"/>
    </row>
    <row r="79" spans="1:20" ht="15.6">
      <c r="A79" s="201">
        <v>9</v>
      </c>
      <c r="B79" s="202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232">
        <v>6</v>
      </c>
      <c r="I79" s="124" t="str">
        <f t="shared" si="3"/>
        <v>(9, 10]</v>
      </c>
      <c r="J79" s="160">
        <v>1</v>
      </c>
      <c r="K79" s="205">
        <v>0.55017314032920561</v>
      </c>
      <c r="L79" s="188">
        <v>4.6952424999999994E-3</v>
      </c>
      <c r="M79" s="208">
        <v>4695242</v>
      </c>
      <c r="N79" s="195">
        <v>4.6952419999999996E-3</v>
      </c>
      <c r="O79" s="211">
        <v>3.0529786520420737E-2</v>
      </c>
      <c r="Q79" s="183"/>
    </row>
    <row r="80" spans="1:20" ht="15.6">
      <c r="A80" s="201">
        <v>10</v>
      </c>
      <c r="B80" s="202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232">
        <v>6.666666666666667</v>
      </c>
      <c r="I80" s="214" t="str">
        <f t="shared" si="3"/>
        <v>(10, 15]</v>
      </c>
      <c r="J80" s="160">
        <v>1</v>
      </c>
      <c r="K80" s="205">
        <v>0.32628785943327782</v>
      </c>
      <c r="L80" s="188">
        <v>7.0971365000000002E-3</v>
      </c>
      <c r="M80" s="208">
        <v>7097136</v>
      </c>
      <c r="N80" s="195">
        <v>7.0971360000000004E-3</v>
      </c>
      <c r="O80" s="211">
        <v>6.0410945628338666E-2</v>
      </c>
      <c r="Q80" s="183"/>
    </row>
    <row r="81" spans="1:17" ht="15.6">
      <c r="A81" s="201">
        <v>15</v>
      </c>
      <c r="B81" s="202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232">
        <v>10</v>
      </c>
      <c r="I81" s="124" t="str">
        <f t="shared" si="3"/>
        <v>(15, 20]</v>
      </c>
      <c r="J81" s="160">
        <v>1</v>
      </c>
      <c r="K81" s="205">
        <v>1.2551999016207211</v>
      </c>
      <c r="L81" s="188">
        <v>1.7811261500000002E-2</v>
      </c>
      <c r="M81" s="208">
        <v>17811261</v>
      </c>
      <c r="N81" s="195">
        <v>1.7811260999999998E-2</v>
      </c>
      <c r="O81" s="211">
        <v>0.21219823683240174</v>
      </c>
      <c r="Q81" s="183"/>
    </row>
    <row r="82" spans="1:17" ht="15.6">
      <c r="A82" s="201">
        <v>20</v>
      </c>
      <c r="B82" s="202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232">
        <v>13.333333333333334</v>
      </c>
      <c r="I82" s="124" t="str">
        <f t="shared" si="3"/>
        <v>(20, 25]</v>
      </c>
      <c r="J82" s="160">
        <v>1</v>
      </c>
      <c r="K82" s="205">
        <v>0.30925508652474215</v>
      </c>
      <c r="L82" s="188">
        <v>2.4606985E-3</v>
      </c>
      <c r="M82" s="208">
        <v>2460698</v>
      </c>
      <c r="N82" s="195">
        <v>2.4606979999999999E-3</v>
      </c>
      <c r="O82" s="211">
        <v>3.8134416338617118E-2</v>
      </c>
      <c r="Q82" s="183"/>
    </row>
    <row r="83" spans="1:17" ht="15.6">
      <c r="A83" s="201">
        <v>25</v>
      </c>
      <c r="B83" s="202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232">
        <v>16.666666666666668</v>
      </c>
      <c r="I83" s="124" t="str">
        <f t="shared" si="3"/>
        <v>(25, 30]</v>
      </c>
      <c r="J83" s="160">
        <v>1</v>
      </c>
      <c r="K83" s="205">
        <v>0.30894519537198384</v>
      </c>
      <c r="L83" s="188">
        <v>1.7121164999999998E-3</v>
      </c>
      <c r="M83" s="208">
        <v>1712116</v>
      </c>
      <c r="N83" s="195">
        <v>1.7121160000000001E-3</v>
      </c>
      <c r="O83" s="211">
        <v>3.245897693256769E-2</v>
      </c>
      <c r="Q83" s="183"/>
    </row>
    <row r="84" spans="1:17" ht="15.6">
      <c r="A84" s="201">
        <v>30</v>
      </c>
      <c r="B84" s="202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232">
        <v>20</v>
      </c>
      <c r="I84" s="124" t="str">
        <f t="shared" si="3"/>
        <v>(30, 35]</v>
      </c>
      <c r="J84" s="160">
        <v>1</v>
      </c>
      <c r="K84" s="205">
        <v>3.1150742463152783</v>
      </c>
      <c r="L84" s="188">
        <v>8.4667095000000008E-3</v>
      </c>
      <c r="M84" s="208">
        <v>8466709</v>
      </c>
      <c r="N84" s="195">
        <v>8.4667089999999993E-3</v>
      </c>
      <c r="O84" s="211">
        <v>0.18391004889415799</v>
      </c>
      <c r="Q84" s="183"/>
    </row>
    <row r="85" spans="1:17" ht="15.6">
      <c r="A85" s="201">
        <v>35</v>
      </c>
      <c r="B85" s="202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232">
        <v>23.333333333333332</v>
      </c>
      <c r="I85" s="214" t="str">
        <f t="shared" si="3"/>
        <v>(35, 40]</v>
      </c>
      <c r="J85" s="160">
        <v>1</v>
      </c>
      <c r="K85" s="205">
        <v>0.30823536897731141</v>
      </c>
      <c r="L85" s="188">
        <v>1.4871475E-3</v>
      </c>
      <c r="M85" s="208">
        <v>1487147</v>
      </c>
      <c r="N85" s="195">
        <v>1.4871470000000001E-3</v>
      </c>
      <c r="O85" s="211">
        <v>3.7947815032985936E-2</v>
      </c>
      <c r="Q85" s="183"/>
    </row>
    <row r="86" spans="1:17" ht="15.6">
      <c r="A86" s="201">
        <v>40</v>
      </c>
      <c r="B86" s="202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232">
        <v>26.666666666666668</v>
      </c>
      <c r="I86" s="124" t="str">
        <f t="shared" si="3"/>
        <v>(40, 45]</v>
      </c>
      <c r="J86" s="160">
        <v>1</v>
      </c>
      <c r="K86" s="205">
        <v>1.2472142640385944</v>
      </c>
      <c r="L86" s="188">
        <v>2.6098394999999998E-3</v>
      </c>
      <c r="M86" s="208">
        <v>2609839</v>
      </c>
      <c r="N86" s="195">
        <v>2.6098390000000001E-3</v>
      </c>
      <c r="O86" s="211">
        <v>7.5741814413030448E-2</v>
      </c>
      <c r="Q86" s="183"/>
    </row>
    <row r="87" spans="1:17" ht="15.6">
      <c r="A87" s="201">
        <v>45</v>
      </c>
      <c r="B87" s="202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232">
        <v>30</v>
      </c>
      <c r="I87" s="124" t="str">
        <f t="shared" si="3"/>
        <v>(45, 50]</v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232">
        <v>33.333333333333336</v>
      </c>
      <c r="I88" s="214" t="str">
        <f t="shared" si="3"/>
        <v>(50, 60]</v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232">
        <v>40</v>
      </c>
      <c r="I89" s="124" t="str">
        <f t="shared" si="3"/>
        <v>(60, 70]</v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232">
        <v>46.666666666666664</v>
      </c>
      <c r="I90" s="214" t="str">
        <f t="shared" si="3"/>
        <v>(70, 80]</v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232">
        <v>53.333333333333336</v>
      </c>
      <c r="I91" s="124" t="str">
        <f t="shared" si="3"/>
        <v>(80, 90]</v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232">
        <v>60</v>
      </c>
      <c r="I92" s="124" t="str">
        <f t="shared" si="3"/>
        <v>(90, 100]</v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232">
        <v>66.666666666666671</v>
      </c>
      <c r="I93" s="124" t="str">
        <f t="shared" si="3"/>
        <v>(100, 120]</v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232">
        <v>80</v>
      </c>
      <c r="I94" s="124" t="str">
        <f t="shared" si="3"/>
        <v>(120, 140]</v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232">
        <v>93.333333333333329</v>
      </c>
      <c r="I95" s="124" t="str">
        <f t="shared" si="3"/>
        <v>(140, 160]</v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232">
        <v>106.66666666666667</v>
      </c>
      <c r="I96" s="124" t="str">
        <f t="shared" si="3"/>
        <v>(160, 180]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232">
        <v>120</v>
      </c>
      <c r="I97" s="124" t="str">
        <f t="shared" si="3"/>
        <v>(180, 200]</v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232">
        <v>133.33333333333334</v>
      </c>
      <c r="I98" s="124" t="str">
        <f t="shared" si="3"/>
        <v>(200, 250]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232">
        <v>166.66666666666666</v>
      </c>
      <c r="I99" s="124" t="str">
        <f t="shared" si="3"/>
        <v>(250, 300]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232">
        <v>200</v>
      </c>
      <c r="I100" s="124" t="str">
        <f t="shared" si="3"/>
        <v>(300, 350]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232">
        <v>233.33333333333334</v>
      </c>
      <c r="I101" s="124" t="str">
        <f t="shared" si="3"/>
        <v>(350, 400]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232">
        <v>266.66666666666669</v>
      </c>
      <c r="I102" s="124" t="str">
        <f t="shared" si="3"/>
        <v>(400, 450]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232">
        <v>300</v>
      </c>
      <c r="I103" s="124" t="str">
        <f t="shared" si="3"/>
        <v>(450, 500]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232">
        <v>333.33333333333331</v>
      </c>
      <c r="I104" s="124" t="str">
        <f t="shared" si="3"/>
        <v>(500, 550]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232">
        <v>366.66666666666669</v>
      </c>
      <c r="I105" s="124" t="str">
        <f t="shared" si="3"/>
        <v>(550, 600]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232">
        <v>400</v>
      </c>
      <c r="I106" s="124" t="str">
        <f t="shared" si="3"/>
        <v>(600, 650]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232">
        <v>433.33333333333331</v>
      </c>
      <c r="I107" s="124" t="str">
        <f t="shared" si="3"/>
        <v>(650, 700]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232">
        <v>466.66666666666669</v>
      </c>
      <c r="I108" s="124" t="str">
        <f t="shared" si="3"/>
        <v>(700, 750]</v>
      </c>
      <c r="J108" s="160">
        <v>1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232">
        <v>500</v>
      </c>
      <c r="I109" s="124" t="str">
        <f t="shared" si="3"/>
        <v>(750, 800]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232">
        <v>533.33333333333337</v>
      </c>
      <c r="I110" s="124" t="str">
        <f t="shared" si="3"/>
        <v>(800, 850]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232">
        <v>566.66666666666663</v>
      </c>
      <c r="I111" s="124" t="str">
        <f t="shared" si="3"/>
        <v>(850, 900]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232">
        <v>600</v>
      </c>
      <c r="I112" s="124" t="str">
        <f t="shared" si="3"/>
        <v>(900, 950]</v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232">
        <v>633.33333333333337</v>
      </c>
      <c r="I113" s="124" t="str">
        <f t="shared" si="3"/>
        <v>(950, 1000]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232">
        <v>666.66666666666663</v>
      </c>
      <c r="I114" s="124" t="str">
        <f t="shared" si="3"/>
        <v>(1000, 2000]</v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232">
        <v>1333.3333333333333</v>
      </c>
      <c r="I115" s="124" t="str">
        <f t="shared" si="3"/>
        <v>(2000, 3000]</v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232">
        <v>2000</v>
      </c>
      <c r="I116" s="124" t="str">
        <f t="shared" si="3"/>
        <v>(3000, 4000]</v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232">
        <v>2666.6666666666665</v>
      </c>
      <c r="I117" s="124" t="str">
        <f t="shared" si="3"/>
        <v>(4000, 5000]</v>
      </c>
      <c r="J117" s="160">
        <v>1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232">
        <v>3333.3333333333335</v>
      </c>
      <c r="I118" s="124" t="str">
        <f t="shared" si="3"/>
        <v>(5000, 6000]</v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232">
        <v>4000</v>
      </c>
      <c r="I119" s="124" t="str">
        <f t="shared" si="3"/>
        <v>(6000, 7000]</v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106095</v>
      </c>
      <c r="D120" s="167">
        <v>79308066020</v>
      </c>
      <c r="E120" s="190">
        <f t="shared" si="2"/>
        <v>4983.4623698886217</v>
      </c>
      <c r="F120" s="191">
        <v>1.0609500000000001E-4</v>
      </c>
      <c r="G120" s="192">
        <v>0.5287204401333333</v>
      </c>
      <c r="H120" s="232">
        <v>4666.666666666667</v>
      </c>
      <c r="I120" s="125" t="str">
        <f t="shared" si="3"/>
        <v>(7000, 8000]</v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>
        <v>5333.333333333333</v>
      </c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>
        <v>6000</v>
      </c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>
        <v>6666.666666666667</v>
      </c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>
        <v>13333.333333333334</v>
      </c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>
        <v>20000</v>
      </c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>
        <v>66666.666666666672</v>
      </c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f>SUM(O96:O120)</f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f>1/SUM(N103:N120)</f>
        <v>#DIV/0!</v>
      </c>
      <c r="O129" s="220" t="e" cm="1">
        <f t="array" ref="O129:O130">N131/N129:N130</f>
        <v>#DIV/0!</v>
      </c>
    </row>
    <row r="130" spans="1:65" ht="16.8" thickBot="1">
      <c r="M130" s="124" t="s">
        <v>179</v>
      </c>
      <c r="N130" s="218" t="e">
        <f>1/SUM(N115:N120)</f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0.87999999996614198</v>
      </c>
    </row>
    <row r="133" spans="1:6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 cm="1">
        <f t="array" ref="A134:B191">_xlfn.ANCHORARRAY(A69)</f>
        <v>-1</v>
      </c>
      <c r="B134" s="200">
        <v>0</v>
      </c>
      <c r="C134" s="158" cm="1">
        <f t="array" ref="C134:D191">'Multiplier Weight'!C134:D191</f>
        <v>795198269</v>
      </c>
      <c r="D134" s="166">
        <v>0</v>
      </c>
      <c r="E134" s="187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93" cm="1">
        <f t="array" ref="H134:H168">A134:A168/8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17">
        <v>1.1036915329351653</v>
      </c>
      <c r="L134" s="185" cm="1">
        <f t="array" ref="L134:L191">K134:K191*_xlfn.ANCHORARRAY(J134)*_xlfn.ANCHORARRAY(F134)</f>
        <v>0.87765359649999997</v>
      </c>
      <c r="M134" s="207" cm="1">
        <f t="array" ref="M134:M191">INT(_xlfn.ANCHORARRAY(L134)*$M$2)</f>
        <v>877653596</v>
      </c>
      <c r="N134" s="194" cm="1">
        <f t="array" ref="N134:N191">_xlfn.ANCHORARRAY(M134)/SUM(_xlfn.ANCHORARRAY(M134))</f>
        <v>0.87765359600000004</v>
      </c>
      <c r="O134" s="210" cm="1">
        <f t="array" ref="O134:O191">_xlfn.ANCHORARRAY(N134)*E134:E191</f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93">
        <v>0</v>
      </c>
      <c r="I135" s="124" t="str">
        <f t="shared" ref="I135:I191" si="5">"("&amp;$A135&amp;", "&amp;$B135&amp;"]"</f>
        <v>(0, 1]</v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93">
        <v>0.125</v>
      </c>
      <c r="I136" s="214" t="str">
        <f t="shared" si="5"/>
        <v>(1, 2]</v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93">
        <v>0.25</v>
      </c>
      <c r="I137" s="124" t="str">
        <f t="shared" si="5"/>
        <v>(2, 3]</v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93">
        <v>0.375</v>
      </c>
      <c r="I138" s="124" t="str">
        <f t="shared" si="5"/>
        <v>(3, 4]</v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93">
        <v>0.5</v>
      </c>
      <c r="I139" s="124" t="str">
        <f t="shared" si="5"/>
        <v>(4, 5]</v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93">
        <v>0.625</v>
      </c>
      <c r="I140" s="124" t="str">
        <f t="shared" si="5"/>
        <v>(5, 6]</v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93">
        <v>0.75</v>
      </c>
      <c r="I141" s="124" t="str">
        <f t="shared" si="5"/>
        <v>(6, 7]</v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93">
        <v>0.875</v>
      </c>
      <c r="I142" s="214" t="str">
        <f t="shared" si="5"/>
        <v>(7, 8]</v>
      </c>
      <c r="J142" s="160">
        <v>1</v>
      </c>
      <c r="K142" s="205">
        <v>14.488501414064096</v>
      </c>
      <c r="L142" s="188">
        <v>3.1496205499999999E-2</v>
      </c>
      <c r="M142" s="208">
        <v>31496205</v>
      </c>
      <c r="N142" s="195">
        <v>3.1496204999999999E-2</v>
      </c>
      <c r="O142" s="211">
        <v>3.1496204999999999E-2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93">
        <v>1</v>
      </c>
      <c r="I143" s="124" t="str">
        <f t="shared" si="5"/>
        <v>(8, 9]</v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93">
        <v>1.125</v>
      </c>
      <c r="I144" s="124" t="str">
        <f t="shared" si="5"/>
        <v>(9, 10]</v>
      </c>
      <c r="J144" s="160">
        <v>1</v>
      </c>
      <c r="K144" s="205">
        <v>1.4524573425935814</v>
      </c>
      <c r="L144" s="188">
        <v>4.7470765E-3</v>
      </c>
      <c r="M144" s="208">
        <v>4747076</v>
      </c>
      <c r="N144" s="195">
        <v>4.7470760000000002E-3</v>
      </c>
      <c r="O144" s="211">
        <v>5.9338450000000001E-3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93">
        <v>1.25</v>
      </c>
      <c r="I145" s="214" t="str">
        <f t="shared" si="5"/>
        <v>(10, 15]</v>
      </c>
      <c r="J145" s="160">
        <v>1</v>
      </c>
      <c r="K145" s="205">
        <v>1.4380382364706945</v>
      </c>
      <c r="L145" s="188">
        <v>3.7888885E-3</v>
      </c>
      <c r="M145" s="208">
        <v>3788888</v>
      </c>
      <c r="N145" s="195">
        <v>3.7888879999999998E-3</v>
      </c>
      <c r="O145" s="211">
        <v>6.6199439755366893E-3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93">
        <v>1.875</v>
      </c>
      <c r="I146" s="124" t="str">
        <f t="shared" si="5"/>
        <v>(15, 20]</v>
      </c>
      <c r="J146" s="160">
        <v>1</v>
      </c>
      <c r="K146" s="205">
        <v>1.4436652890050448</v>
      </c>
      <c r="L146" s="188">
        <v>1.30164385E-2</v>
      </c>
      <c r="M146" s="208">
        <v>13016438</v>
      </c>
      <c r="N146" s="195">
        <v>1.3016438E-2</v>
      </c>
      <c r="O146" s="211">
        <v>3.0536381034066515E-2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93">
        <v>2.5</v>
      </c>
      <c r="I147" s="124" t="str">
        <f t="shared" si="5"/>
        <v>(20, 25]</v>
      </c>
      <c r="J147" s="160">
        <v>1</v>
      </c>
      <c r="K147" s="205">
        <v>1.4446107560266344</v>
      </c>
      <c r="L147" s="188">
        <v>8.2002275000000006E-3</v>
      </c>
      <c r="M147" s="208">
        <v>8200227</v>
      </c>
      <c r="N147" s="195">
        <v>8.2002269999999992E-3</v>
      </c>
      <c r="O147" s="211">
        <v>2.4907818229500701E-2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93">
        <v>3.125</v>
      </c>
      <c r="I148" s="124" t="str">
        <f t="shared" si="5"/>
        <v>(25, 30]</v>
      </c>
      <c r="J148" s="160">
        <v>1</v>
      </c>
      <c r="K148" s="205">
        <v>1.4466142190701579</v>
      </c>
      <c r="L148" s="188">
        <v>6.5051435000000003E-3</v>
      </c>
      <c r="M148" s="208">
        <v>6505143</v>
      </c>
      <c r="N148" s="195">
        <v>6.5051429999999997E-3</v>
      </c>
      <c r="O148" s="211">
        <v>2.430136353526061E-2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93">
        <v>3.75</v>
      </c>
      <c r="I149" s="124" t="str">
        <f t="shared" si="5"/>
        <v>(30, 35]</v>
      </c>
      <c r="J149" s="160">
        <v>1</v>
      </c>
      <c r="K149" s="205">
        <v>1.4449495189172561</v>
      </c>
      <c r="L149" s="188">
        <v>4.3540764999999999E-3</v>
      </c>
      <c r="M149" s="208">
        <v>4354076</v>
      </c>
      <c r="N149" s="195">
        <v>4.3540760000000001E-3</v>
      </c>
      <c r="O149" s="211">
        <v>1.7498387237895111E-2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93">
        <v>4.375</v>
      </c>
      <c r="I150" s="214" t="str">
        <f t="shared" si="5"/>
        <v>(35, 40]</v>
      </c>
      <c r="J150" s="160">
        <v>1</v>
      </c>
      <c r="K150" s="205">
        <v>0.28885344311732841</v>
      </c>
      <c r="L150" s="188">
        <v>3.0522244999999998E-3</v>
      </c>
      <c r="M150" s="208">
        <v>3052224</v>
      </c>
      <c r="N150" s="195">
        <v>3.0522240000000001E-3</v>
      </c>
      <c r="O150" s="211">
        <v>1.4995950849536312E-2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93">
        <v>5</v>
      </c>
      <c r="I151" s="124" t="str">
        <f t="shared" si="5"/>
        <v>(40, 45]</v>
      </c>
      <c r="J151" s="160">
        <v>1</v>
      </c>
      <c r="K151" s="205">
        <v>1.4382667359325181</v>
      </c>
      <c r="L151" s="188">
        <v>3.2420214999999996E-3</v>
      </c>
      <c r="M151" s="208">
        <v>3242021</v>
      </c>
      <c r="N151" s="195">
        <v>3.2420209999999999E-3</v>
      </c>
      <c r="O151" s="211">
        <v>1.8088288879072767E-2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93">
        <v>5.625</v>
      </c>
      <c r="I152" s="124" t="str">
        <f t="shared" si="5"/>
        <v>(45, 50]</v>
      </c>
      <c r="J152" s="160">
        <v>1</v>
      </c>
      <c r="K152" s="205">
        <v>0.28891143792327356</v>
      </c>
      <c r="L152" s="188">
        <v>2.2107404999999998E-3</v>
      </c>
      <c r="M152" s="208">
        <v>2210740</v>
      </c>
      <c r="N152" s="195">
        <v>2.2107400000000001E-3</v>
      </c>
      <c r="O152" s="211">
        <v>1.3562718384874554E-2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93">
        <v>6.25</v>
      </c>
      <c r="I153" s="214" t="str">
        <f t="shared" si="5"/>
        <v>(50, 60]</v>
      </c>
      <c r="J153" s="160">
        <v>1</v>
      </c>
      <c r="K153" s="205">
        <v>0.28862036512553824</v>
      </c>
      <c r="L153" s="188">
        <v>2.2954425000000001E-3</v>
      </c>
      <c r="M153" s="208">
        <v>2295442</v>
      </c>
      <c r="N153" s="195">
        <v>2.295442E-3</v>
      </c>
      <c r="O153" s="211">
        <v>1.6997904146368013E-2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93">
        <v>7.5</v>
      </c>
      <c r="I154" s="124" t="str">
        <f t="shared" si="5"/>
        <v>(60, 70]</v>
      </c>
      <c r="J154" s="160">
        <v>1</v>
      </c>
      <c r="K154" s="205">
        <v>0.28804352061315747</v>
      </c>
      <c r="L154" s="188">
        <v>6.2836549999999993E-4</v>
      </c>
      <c r="M154" s="208">
        <v>628365</v>
      </c>
      <c r="N154" s="195">
        <v>6.2836499999999998E-4</v>
      </c>
      <c r="O154" s="211">
        <v>5.1683840733164066E-3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93">
        <v>8.75</v>
      </c>
      <c r="I155" s="214" t="str">
        <f t="shared" si="5"/>
        <v>(70, 80]</v>
      </c>
      <c r="J155" s="160">
        <v>1</v>
      </c>
      <c r="K155" s="205">
        <v>0.28793309127841943</v>
      </c>
      <c r="L155" s="188">
        <v>2.9347445000000002E-3</v>
      </c>
      <c r="M155" s="208">
        <v>2934744</v>
      </c>
      <c r="N155" s="195">
        <v>2.934744E-3</v>
      </c>
      <c r="O155" s="211">
        <v>2.8550024987949025E-2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93">
        <v>10</v>
      </c>
      <c r="I156" s="124" t="str">
        <f t="shared" si="5"/>
        <v>(80, 90]</v>
      </c>
      <c r="J156" s="160">
        <v>1</v>
      </c>
      <c r="K156" s="205">
        <v>5.7658820351185627</v>
      </c>
      <c r="L156" s="188">
        <v>1.37877865E-2</v>
      </c>
      <c r="M156" s="208">
        <v>13787786</v>
      </c>
      <c r="N156" s="195">
        <v>1.3787786E-2</v>
      </c>
      <c r="O156" s="211">
        <v>0.15141360777362081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93">
        <v>11.25</v>
      </c>
      <c r="I157" s="124" t="str">
        <f t="shared" si="5"/>
        <v>(90, 100]</v>
      </c>
      <c r="J157" s="160">
        <v>1</v>
      </c>
      <c r="K157" s="205">
        <v>0.28767046245355743</v>
      </c>
      <c r="L157" s="188">
        <v>2.3810184999999997E-3</v>
      </c>
      <c r="M157" s="208">
        <v>2381018</v>
      </c>
      <c r="N157" s="195">
        <v>2.3810179999999999E-3</v>
      </c>
      <c r="O157" s="211">
        <v>2.949824482378717E-2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93">
        <v>12.5</v>
      </c>
      <c r="I158" s="124" t="str">
        <f t="shared" si="5"/>
        <v>(100, 120]</v>
      </c>
      <c r="J158" s="160">
        <v>1</v>
      </c>
      <c r="K158" s="205">
        <v>0.2878016069213804</v>
      </c>
      <c r="L158" s="188">
        <v>1.9083595000000001E-3</v>
      </c>
      <c r="M158" s="208">
        <v>1908359</v>
      </c>
      <c r="N158" s="195">
        <v>1.9083590000000001E-3</v>
      </c>
      <c r="O158" s="211">
        <v>2.7862593590408442E-2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93">
        <v>15</v>
      </c>
      <c r="I159" s="124" t="str">
        <f t="shared" si="5"/>
        <v>(120, 140]</v>
      </c>
      <c r="J159" s="160">
        <v>1</v>
      </c>
      <c r="K159" s="205">
        <v>0.28801308988168345</v>
      </c>
      <c r="L159" s="188">
        <v>6.8991750000000013E-4</v>
      </c>
      <c r="M159" s="208">
        <v>689917</v>
      </c>
      <c r="N159" s="195">
        <v>6.8991699999999996E-4</v>
      </c>
      <c r="O159" s="211">
        <v>1.1420784413679826E-2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93">
        <v>17.5</v>
      </c>
      <c r="I160" s="124" t="str">
        <f t="shared" si="5"/>
        <v>(140, 160]</v>
      </c>
      <c r="J160" s="160">
        <v>1</v>
      </c>
      <c r="K160" s="205">
        <v>0.2881039627793337</v>
      </c>
      <c r="L160" s="188">
        <v>2.2489354999999998E-3</v>
      </c>
      <c r="M160" s="208">
        <v>2248935</v>
      </c>
      <c r="N160" s="195">
        <v>2.2489350000000001E-3</v>
      </c>
      <c r="O160" s="211">
        <v>4.3491372986204119E-2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93">
        <v>20</v>
      </c>
      <c r="I161" s="124" t="str">
        <f t="shared" si="5"/>
        <v>(160, 180]</v>
      </c>
      <c r="J161" s="160">
        <v>1</v>
      </c>
      <c r="K161" s="205">
        <v>2.8770228551057233</v>
      </c>
      <c r="L161" s="188">
        <v>6.3109165000000004E-3</v>
      </c>
      <c r="M161" s="208">
        <v>6310916</v>
      </c>
      <c r="N161" s="195">
        <v>6.3109159999999997E-3</v>
      </c>
      <c r="O161" s="211">
        <v>0.13779910927417235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93">
        <v>22.5</v>
      </c>
      <c r="I162" s="124" t="str">
        <f t="shared" si="5"/>
        <v>(180, 200]</v>
      </c>
      <c r="J162" s="160">
        <v>1</v>
      </c>
      <c r="K162" s="205">
        <v>0.28729483717433663</v>
      </c>
      <c r="L162" s="188">
        <v>2.2616315000000002E-3</v>
      </c>
      <c r="M162" s="208">
        <v>2261631</v>
      </c>
      <c r="N162" s="195">
        <v>2.2616310000000001E-3</v>
      </c>
      <c r="O162" s="211">
        <v>5.6211183791966317E-2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93">
        <v>25</v>
      </c>
      <c r="I163" s="124" t="str">
        <f t="shared" si="5"/>
        <v>(200, 250]</v>
      </c>
      <c r="J163" s="160">
        <v>1</v>
      </c>
      <c r="K163" s="205">
        <v>0.98569212522395133</v>
      </c>
      <c r="L163" s="188">
        <v>6.2862535000000001E-3</v>
      </c>
      <c r="M163" s="208">
        <v>6286253</v>
      </c>
      <c r="N163" s="195">
        <v>6.2862530000000003E-3</v>
      </c>
      <c r="O163" s="211">
        <v>0.18364588797892623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93">
        <v>31.25</v>
      </c>
      <c r="I164" s="124" t="str">
        <f t="shared" si="5"/>
        <v>(250, 300]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93">
        <v>37.5</v>
      </c>
      <c r="I165" s="124" t="str">
        <f t="shared" si="5"/>
        <v>(300, 350]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93">
        <v>43.75</v>
      </c>
      <c r="I166" s="124" t="str">
        <f t="shared" si="5"/>
        <v>(350, 400]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93">
        <v>50</v>
      </c>
      <c r="I167" s="124" t="str">
        <f t="shared" si="5"/>
        <v>(400, 450]</v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93">
        <v>56.25</v>
      </c>
      <c r="I168" s="124" t="str">
        <f t="shared" si="5"/>
        <v>(450, 500]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93"/>
      <c r="I169" s="124" t="str">
        <f t="shared" si="5"/>
        <v>(500, 550]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93"/>
      <c r="I170" s="124" t="str">
        <f t="shared" si="5"/>
        <v>(550, 600]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93"/>
      <c r="I171" s="124" t="str">
        <f t="shared" si="5"/>
        <v>(600, 650]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93"/>
      <c r="I172" s="124" t="str">
        <f t="shared" si="5"/>
        <v>(650, 700]</v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93"/>
      <c r="I173" s="124" t="str">
        <f t="shared" si="5"/>
        <v>(700, 750]</v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93"/>
      <c r="I174" s="124" t="str">
        <f t="shared" si="5"/>
        <v>(750, 800]</v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93"/>
      <c r="I175" s="124" t="str">
        <f t="shared" si="5"/>
        <v>(800, 850]</v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93"/>
      <c r="I176" s="124" t="str">
        <f t="shared" si="5"/>
        <v>(850, 900]</v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93"/>
      <c r="I177" s="124" t="str">
        <f t="shared" si="5"/>
        <v>(900, 950]</v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93"/>
      <c r="I178" s="124" t="str">
        <f t="shared" si="5"/>
        <v>(950, 1000]</v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93"/>
      <c r="I179" s="124" t="str">
        <f t="shared" si="5"/>
        <v>(1000, 2000]</v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93"/>
      <c r="I180" s="124" t="str">
        <f t="shared" si="5"/>
        <v>(2000, 3000]</v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93"/>
      <c r="I181" s="124" t="str">
        <f t="shared" si="5"/>
        <v>(3000, 4000]</v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93"/>
      <c r="I182" s="124" t="str">
        <f t="shared" si="5"/>
        <v>(4000, 5000]</v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93"/>
      <c r="I183" s="124" t="str">
        <f t="shared" si="5"/>
        <v>(5000, 6000]</v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93"/>
      <c r="I184" s="124" t="str">
        <f t="shared" si="5"/>
        <v>(6000, 7000]</v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807723</v>
      </c>
      <c r="D185" s="167">
        <v>606952896100</v>
      </c>
      <c r="E185" s="190">
        <f t="shared" si="4"/>
        <v>939.29616975745398</v>
      </c>
      <c r="F185" s="191">
        <v>8.0772299999999999E-4</v>
      </c>
      <c r="G185" s="192">
        <v>0.75869112012499995</v>
      </c>
      <c r="H185" s="93"/>
      <c r="I185" s="125" t="str">
        <f t="shared" si="5"/>
        <v>(7000, 8000]</v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f>SUM(O175:O185)</f>
        <v>0</v>
      </c>
    </row>
    <row r="193" spans="1:15" ht="16.8" thickBot="1">
      <c r="M193" s="114"/>
      <c r="N193" s="164" t="s">
        <v>181</v>
      </c>
      <c r="O193" s="219" t="s">
        <v>180</v>
      </c>
    </row>
    <row r="194" spans="1:15">
      <c r="M194" s="128" t="s">
        <v>178</v>
      </c>
      <c r="N194" s="218" t="e">
        <f>1/SUM(N181:N185)</f>
        <v>#DIV/0!</v>
      </c>
      <c r="O194" s="220" t="e" cm="1">
        <f t="array" ref="O194:O195">N196/N194:N195</f>
        <v>#DIV/0!</v>
      </c>
    </row>
    <row r="195" spans="1:15" ht="16.8" thickBot="1">
      <c r="M195" s="124" t="s">
        <v>179</v>
      </c>
      <c r="N195" s="218" t="e">
        <f>1/SUM(N192)</f>
        <v>#DIV/0!</v>
      </c>
      <c r="O195" s="220" t="e">
        <v>#DIV/0!</v>
      </c>
    </row>
    <row r="196" spans="1:15" ht="16.8" thickBot="1">
      <c r="D196" s="1" t="s">
        <v>183</v>
      </c>
      <c r="E196" s="1">
        <v>250</v>
      </c>
      <c r="M196" s="128" t="s">
        <v>177</v>
      </c>
      <c r="N196" s="166">
        <f>N131</f>
        <v>3500000</v>
      </c>
      <c r="O196" s="165"/>
    </row>
    <row r="197" spans="1:15" ht="16.8" thickBot="1">
      <c r="A197" s="229" t="s">
        <v>129</v>
      </c>
      <c r="B197" s="327"/>
      <c r="C197" s="327"/>
      <c r="D197" s="327"/>
      <c r="E197" s="327"/>
      <c r="F197" s="328"/>
      <c r="G197" s="327"/>
      <c r="H197" s="327"/>
      <c r="I197" s="327"/>
      <c r="J197" s="229">
        <v>3000</v>
      </c>
      <c r="K197" s="327"/>
      <c r="L197" s="327"/>
      <c r="M197" s="327"/>
      <c r="N197" s="327"/>
      <c r="O197" s="231">
        <f>SUM(_xlfn.ANCHORARRAY(O199))</f>
        <v>0.88000000001022793</v>
      </c>
    </row>
    <row r="198" spans="1:15" thickBot="1">
      <c r="A198" s="164" t="str" cm="1">
        <f t="array" ref="A198:G198">A133:G133</f>
        <v>Lower</v>
      </c>
      <c r="B198" s="163" t="str">
        <v>Upper</v>
      </c>
      <c r="C198" s="310" t="str">
        <v>Count</v>
      </c>
      <c r="D198" s="311" t="str">
        <v>Pay</v>
      </c>
      <c r="E198" s="311" t="str">
        <v>Multi.</v>
      </c>
      <c r="F198" s="311" t="str">
        <v>Prob.</v>
      </c>
      <c r="G198" s="312" t="str">
        <v>RTP</v>
      </c>
      <c r="I198" s="125" t="s">
        <v>159</v>
      </c>
      <c r="J198" s="164" t="s">
        <v>173</v>
      </c>
      <c r="K198" s="167" t="s">
        <v>161</v>
      </c>
      <c r="L198" s="167" t="s">
        <v>163</v>
      </c>
      <c r="M198" s="167" t="s">
        <v>162</v>
      </c>
      <c r="N198" s="167" t="s">
        <v>164</v>
      </c>
      <c r="O198" s="114" t="s">
        <v>165</v>
      </c>
    </row>
    <row r="199" spans="1:15" ht="15.6">
      <c r="A199" s="255" cm="1">
        <f t="array" ref="A199:B256">_xlfn.ANCHORARRAY(A134)</f>
        <v>-1</v>
      </c>
      <c r="B199" s="256">
        <v>0</v>
      </c>
      <c r="C199" s="158" cm="1">
        <f t="array" ref="C199:D256">'Multiplier Weight'!C199:D256</f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</row>
    <row r="200" spans="1:15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</row>
    <row r="201" spans="1:15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>
        <v>4.0000000000000001E-3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</row>
    <row r="202" spans="1:15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>
        <v>8.0000000000000002E-3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</row>
    <row r="203" spans="1:15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>
        <v>1.2E-2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</row>
    <row r="204" spans="1:15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>
        <v>1.6E-2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</row>
    <row r="205" spans="1:15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>
        <v>0.02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</row>
    <row r="206" spans="1:15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>
        <v>2.4E-2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</row>
    <row r="207" spans="1:15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>
        <v>2.8000000000000001E-2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</row>
    <row r="208" spans="1:15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>
        <v>3.2000000000000001E-2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</row>
    <row r="209" spans="1:15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>
        <v>3.5999999999999997E-2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</row>
    <row r="210" spans="1:15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</row>
    <row r="211" spans="1:15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</row>
    <row r="212" spans="1:15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</row>
    <row r="213" spans="1:15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</row>
    <row r="214" spans="1:15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</row>
    <row r="215" spans="1:15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</row>
    <row r="216" spans="1:15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</row>
    <row r="217" spans="1:15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</row>
    <row r="218" spans="1:15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>
        <v>0.2</v>
      </c>
      <c r="I218" s="274" t="str">
        <f t="shared" si="7"/>
        <v>(50, 60]</v>
      </c>
      <c r="J218" s="160">
        <v>1</v>
      </c>
      <c r="K218" s="234">
        <v>7.3505869239680406</v>
      </c>
      <c r="L218" s="188">
        <v>9.2582428499999994E-2</v>
      </c>
      <c r="M218" s="233">
        <v>92582428</v>
      </c>
      <c r="N218" s="195">
        <v>9.2582427999999994E-2</v>
      </c>
      <c r="O218" s="211">
        <v>2.0722198105231498E-2</v>
      </c>
    </row>
    <row r="219" spans="1:15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>
        <v>0.24</v>
      </c>
      <c r="I219" s="274" t="str">
        <f t="shared" si="7"/>
        <v>(60, 70]</v>
      </c>
      <c r="J219" s="160">
        <v>1</v>
      </c>
      <c r="K219" s="234">
        <v>6.5254339344710148</v>
      </c>
      <c r="L219" s="188">
        <v>7.2278590500000003E-2</v>
      </c>
      <c r="M219" s="233">
        <v>72278590</v>
      </c>
      <c r="N219" s="195">
        <v>7.2278590000000004E-2</v>
      </c>
      <c r="O219" s="211">
        <v>1.8938124188815946E-2</v>
      </c>
    </row>
    <row r="220" spans="1:15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5.0652016853823367</v>
      </c>
      <c r="L220" s="188">
        <v>6.2011653499999993E-2</v>
      </c>
      <c r="M220" s="233">
        <v>62011653</v>
      </c>
      <c r="N220" s="195">
        <v>6.2011653E-2</v>
      </c>
      <c r="O220" s="211">
        <v>1.8787171178083633E-2</v>
      </c>
    </row>
    <row r="221" spans="1:15" ht="15.6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>
        <v>0.32</v>
      </c>
      <c r="I221" s="274" t="str">
        <f t="shared" si="7"/>
        <v>(80, 90]</v>
      </c>
      <c r="J221" s="160">
        <v>1</v>
      </c>
      <c r="K221" s="276">
        <v>6.8864679566116118</v>
      </c>
      <c r="L221" s="188">
        <v>7.4825468499999992E-2</v>
      </c>
      <c r="M221" s="233">
        <v>74825468</v>
      </c>
      <c r="N221" s="195">
        <v>7.4825468000000006E-2</v>
      </c>
      <c r="O221" s="211">
        <v>2.5643505745320351E-2</v>
      </c>
    </row>
    <row r="222" spans="1:15" ht="15.6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>
        <v>0.36</v>
      </c>
      <c r="I222" s="274" t="str">
        <f t="shared" si="7"/>
        <v>(90, 100]</v>
      </c>
      <c r="J222" s="160">
        <v>1</v>
      </c>
      <c r="K222" s="276">
        <v>12.241972700415015</v>
      </c>
      <c r="L222" s="188">
        <v>0.13759199950000001</v>
      </c>
      <c r="M222" s="233">
        <v>137591999</v>
      </c>
      <c r="N222" s="195">
        <v>0.13759199899999999</v>
      </c>
      <c r="O222" s="211">
        <v>5.2678887026306034E-2</v>
      </c>
    </row>
    <row r="223" spans="1:15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>
        <v>0.4</v>
      </c>
      <c r="I223" s="274" t="str">
        <f t="shared" si="7"/>
        <v>(100, 120]</v>
      </c>
      <c r="J223" s="160">
        <v>1</v>
      </c>
      <c r="K223" s="276">
        <v>7.0335650774029199</v>
      </c>
      <c r="L223" s="188">
        <v>0.15113370850000002</v>
      </c>
      <c r="M223" s="233">
        <v>151133708</v>
      </c>
      <c r="N223" s="195">
        <v>0.15113370800000001</v>
      </c>
      <c r="O223" s="211">
        <v>6.6955757406809979E-2</v>
      </c>
    </row>
    <row r="224" spans="1:15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>
        <v>0.48</v>
      </c>
      <c r="I224" s="274" t="str">
        <f t="shared" si="7"/>
        <v>(120, 140]</v>
      </c>
      <c r="J224" s="160">
        <v>1</v>
      </c>
      <c r="K224" s="276">
        <v>3.8910812603117928</v>
      </c>
      <c r="L224" s="188">
        <v>7.906511749999999E-2</v>
      </c>
      <c r="M224" s="233">
        <v>79065117</v>
      </c>
      <c r="N224" s="195">
        <v>7.9065117000000004E-2</v>
      </c>
      <c r="O224" s="211">
        <v>4.1300200300109634E-2</v>
      </c>
    </row>
    <row r="225" spans="1:15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1.7848252243852867</v>
      </c>
      <c r="L225" s="188">
        <v>3.58446075E-2</v>
      </c>
      <c r="M225" s="233">
        <v>35844607</v>
      </c>
      <c r="N225" s="195">
        <v>3.5844607000000001E-2</v>
      </c>
      <c r="O225" s="211">
        <v>2.159293021329501E-2</v>
      </c>
    </row>
    <row r="226" spans="1:15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>
        <v>0.64</v>
      </c>
      <c r="I226" s="124" t="str">
        <f t="shared" si="7"/>
        <v>(160, 180]</v>
      </c>
      <c r="J226" s="160">
        <v>1</v>
      </c>
      <c r="K226" s="276">
        <v>1.0549904123732845</v>
      </c>
      <c r="L226" s="188">
        <v>2.0331473499999999E-2</v>
      </c>
      <c r="M226" s="233">
        <v>20331473</v>
      </c>
      <c r="N226" s="195">
        <v>2.0331472999999999E-2</v>
      </c>
      <c r="O226" s="211">
        <v>1.3872532154768451E-2</v>
      </c>
    </row>
    <row r="227" spans="1:15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>
        <v>0.72</v>
      </c>
      <c r="I227" s="124" t="str">
        <f t="shared" si="7"/>
        <v>(180, 200]</v>
      </c>
      <c r="J227" s="160">
        <v>1</v>
      </c>
      <c r="K227" s="276">
        <v>1.5797530405996738</v>
      </c>
      <c r="L227" s="188">
        <v>2.9684537500000004E-2</v>
      </c>
      <c r="M227" s="233">
        <v>29684537</v>
      </c>
      <c r="N227" s="195">
        <v>2.9684537E-2</v>
      </c>
      <c r="O227" s="211">
        <v>2.2638667311111176E-2</v>
      </c>
    </row>
    <row r="228" spans="1:15" ht="15.6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>
        <v>0.8</v>
      </c>
      <c r="I228" s="124" t="str">
        <f t="shared" si="7"/>
        <v>(200, 250]</v>
      </c>
      <c r="J228" s="160">
        <v>1</v>
      </c>
      <c r="K228" s="276">
        <v>0.28198249184498619</v>
      </c>
      <c r="L228" s="188">
        <v>1.2491578499999999E-2</v>
      </c>
      <c r="M228" s="233">
        <v>12491578</v>
      </c>
      <c r="N228" s="195">
        <v>1.2491578E-2</v>
      </c>
      <c r="O228" s="211">
        <v>1.1253693207178044E-2</v>
      </c>
    </row>
    <row r="229" spans="1:15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>
        <v>1</v>
      </c>
      <c r="I229" s="275" t="str">
        <f t="shared" si="7"/>
        <v>(250, 300]</v>
      </c>
      <c r="J229" s="160">
        <v>1</v>
      </c>
      <c r="K229" s="276">
        <v>1.733334236378649</v>
      </c>
      <c r="L229" s="188">
        <v>7.1850744500000008E-2</v>
      </c>
      <c r="M229" s="233">
        <v>71850744</v>
      </c>
      <c r="N229" s="195">
        <v>7.1850743999999994E-2</v>
      </c>
      <c r="O229" s="211">
        <v>7.9088506478603174E-2</v>
      </c>
    </row>
    <row r="230" spans="1:15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>
        <v>1.2</v>
      </c>
      <c r="I230" s="124" t="str">
        <f t="shared" si="7"/>
        <v>(300, 350]</v>
      </c>
      <c r="J230" s="160">
        <v>1</v>
      </c>
      <c r="K230" s="276">
        <v>0.27907014245497619</v>
      </c>
      <c r="L230" s="188">
        <v>1.0721110500000002E-2</v>
      </c>
      <c r="M230" s="233">
        <v>10721110</v>
      </c>
      <c r="N230" s="195">
        <v>1.0721110000000001E-2</v>
      </c>
      <c r="O230" s="211">
        <v>1.3941988823347816E-2</v>
      </c>
    </row>
    <row r="231" spans="1:15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>
        <v>1.4</v>
      </c>
      <c r="I231" s="124" t="str">
        <f t="shared" si="7"/>
        <v>(350, 400]</v>
      </c>
      <c r="J231" s="160">
        <v>1</v>
      </c>
      <c r="K231" s="276">
        <v>0.33811186060253645</v>
      </c>
      <c r="L231" s="188">
        <v>1.2204847500000001E-2</v>
      </c>
      <c r="M231" s="233">
        <v>12204847</v>
      </c>
      <c r="N231" s="195">
        <v>1.2204847E-2</v>
      </c>
      <c r="O231" s="211">
        <v>1.8315080908274491E-2</v>
      </c>
    </row>
    <row r="232" spans="1:15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>
        <v>1.6</v>
      </c>
      <c r="I232" s="124" t="str">
        <f t="shared" si="7"/>
        <v>(400, 450]</v>
      </c>
      <c r="J232" s="160">
        <v>1</v>
      </c>
      <c r="K232" s="276">
        <v>0.28163919006842458</v>
      </c>
      <c r="L232" s="188">
        <v>9.4560175000000003E-3</v>
      </c>
      <c r="M232" s="233">
        <v>9456017</v>
      </c>
      <c r="N232" s="195">
        <v>9.4560170000000006E-3</v>
      </c>
      <c r="O232" s="211">
        <v>1.6079518768208782E-2</v>
      </c>
    </row>
    <row r="233" spans="1:15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>
        <v>1.8</v>
      </c>
      <c r="I233" s="124" t="str">
        <f t="shared" si="7"/>
        <v>(450, 500]</v>
      </c>
      <c r="J233" s="160">
        <v>1</v>
      </c>
      <c r="K233" s="276">
        <v>0.37166086612075061</v>
      </c>
      <c r="L233" s="188">
        <v>1.1707710499999999E-2</v>
      </c>
      <c r="M233" s="233">
        <v>11707710</v>
      </c>
      <c r="N233" s="195">
        <v>1.170771E-2</v>
      </c>
      <c r="O233" s="211">
        <v>2.225070018424017E-2</v>
      </c>
    </row>
    <row r="234" spans="1:15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>
        <v>2</v>
      </c>
      <c r="I234" s="275" t="str">
        <f t="shared" si="7"/>
        <v>(500, 550]</v>
      </c>
      <c r="J234" s="160">
        <v>1</v>
      </c>
      <c r="K234" s="276">
        <v>1.1425504084818217</v>
      </c>
      <c r="L234" s="188">
        <v>3.3606182499999998E-2</v>
      </c>
      <c r="M234" s="233">
        <v>33606182</v>
      </c>
      <c r="N234" s="195">
        <v>3.3606181999999998E-2</v>
      </c>
      <c r="O234" s="211">
        <v>7.0576623022742244E-2</v>
      </c>
    </row>
    <row r="235" spans="1:15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0.63656466106062615</v>
      </c>
      <c r="L235" s="188">
        <v>1.7630041499999999E-2</v>
      </c>
      <c r="M235" s="233">
        <v>17630041</v>
      </c>
      <c r="N235" s="195">
        <v>1.7630040999999999E-2</v>
      </c>
      <c r="O235" s="211">
        <v>4.0555057077398801E-2</v>
      </c>
    </row>
    <row r="236" spans="1:15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>
        <v>2.4</v>
      </c>
      <c r="I236" s="124" t="str">
        <f t="shared" si="7"/>
        <v>(600, 650]</v>
      </c>
      <c r="J236" s="160">
        <v>1</v>
      </c>
      <c r="K236" s="276">
        <v>0.44884061618302495</v>
      </c>
      <c r="L236" s="188">
        <v>1.16052315E-2</v>
      </c>
      <c r="M236" s="233">
        <v>11605231</v>
      </c>
      <c r="N236" s="195">
        <v>1.1605231000000001E-2</v>
      </c>
      <c r="O236" s="211">
        <v>2.9016563964849276E-2</v>
      </c>
    </row>
    <row r="237" spans="1:15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>
        <v>2.6</v>
      </c>
      <c r="I237" s="124" t="str">
        <f t="shared" si="7"/>
        <v>(650, 700]</v>
      </c>
      <c r="J237" s="160">
        <v>1</v>
      </c>
      <c r="K237" s="276">
        <v>0.22422838472536222</v>
      </c>
      <c r="L237" s="188">
        <v>5.4467224999999999E-3</v>
      </c>
      <c r="M237" s="233">
        <v>5446722</v>
      </c>
      <c r="N237" s="195">
        <v>5.4467220000000002E-3</v>
      </c>
      <c r="O237" s="211">
        <v>1.4707091194467786E-2</v>
      </c>
    </row>
    <row r="238" spans="1:15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>
        <v>2.8</v>
      </c>
      <c r="I238" s="124" t="str">
        <f t="shared" si="7"/>
        <v>(700, 750]</v>
      </c>
      <c r="J238" s="160">
        <v>1</v>
      </c>
      <c r="K238" s="276">
        <v>0.20168898627274626</v>
      </c>
      <c r="L238" s="188">
        <v>4.5929934999999998E-3</v>
      </c>
      <c r="M238" s="233">
        <v>4592993</v>
      </c>
      <c r="N238" s="195">
        <v>4.5929930000000001E-3</v>
      </c>
      <c r="O238" s="211">
        <v>1.3319918838087159E-2</v>
      </c>
    </row>
    <row r="239" spans="1:15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>
        <v>3</v>
      </c>
      <c r="I239" s="124" t="str">
        <f t="shared" si="7"/>
        <v>(750, 800]</v>
      </c>
      <c r="J239" s="160">
        <v>1</v>
      </c>
      <c r="K239" s="276">
        <v>0.35072844695555111</v>
      </c>
      <c r="L239" s="188">
        <v>7.5329775000000003E-3</v>
      </c>
      <c r="M239" s="233">
        <v>7532977</v>
      </c>
      <c r="N239" s="195">
        <v>7.5329769999999997E-3</v>
      </c>
      <c r="O239" s="211">
        <v>2.3355274694710045E-2</v>
      </c>
    </row>
    <row r="240" spans="1:15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>
        <v>3.2</v>
      </c>
      <c r="I240" s="124" t="str">
        <f t="shared" si="7"/>
        <v>(800, 850]</v>
      </c>
      <c r="J240" s="160">
        <v>1</v>
      </c>
      <c r="K240" s="276">
        <v>0.20968953923383038</v>
      </c>
      <c r="L240" s="188">
        <v>4.2150965000000004E-3</v>
      </c>
      <c r="M240" s="233">
        <v>4215096</v>
      </c>
      <c r="N240" s="195">
        <v>4.2150959999999998E-3</v>
      </c>
      <c r="O240" s="211">
        <v>1.3910050169667339E-2</v>
      </c>
    </row>
    <row r="241" spans="1:15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>
        <v>3.4</v>
      </c>
      <c r="I241" s="124" t="str">
        <f t="shared" si="7"/>
        <v>(850, 900]</v>
      </c>
      <c r="J241" s="160">
        <v>1</v>
      </c>
      <c r="K241" s="276">
        <v>0.21574133947094704</v>
      </c>
      <c r="L241" s="188">
        <v>4.0867594999999994E-3</v>
      </c>
      <c r="M241" s="233">
        <v>4086759</v>
      </c>
      <c r="N241" s="195">
        <v>4.0867589999999997E-3</v>
      </c>
      <c r="O241" s="211">
        <v>1.4304208405284877E-2</v>
      </c>
    </row>
    <row r="242" spans="1:15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>
        <v>3.6</v>
      </c>
      <c r="I242" s="124" t="str">
        <f t="shared" si="7"/>
        <v>(900, 950]</v>
      </c>
      <c r="J242" s="160">
        <v>1</v>
      </c>
      <c r="K242" s="276">
        <v>0.17653642462728444</v>
      </c>
      <c r="L242" s="188">
        <v>3.1331065000000003E-3</v>
      </c>
      <c r="M242" s="233">
        <v>3133106</v>
      </c>
      <c r="N242" s="195">
        <v>3.1331060000000001E-3</v>
      </c>
      <c r="O242" s="211">
        <v>1.1592523960733701E-2</v>
      </c>
    </row>
    <row r="243" spans="1:15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>
        <v>3.8</v>
      </c>
      <c r="I243" s="124" t="str">
        <f t="shared" si="7"/>
        <v>(950, 1000]</v>
      </c>
      <c r="J243" s="160">
        <v>1</v>
      </c>
      <c r="K243" s="276">
        <v>0.34031838359465066</v>
      </c>
      <c r="L243" s="188">
        <v>5.7069544999999999E-3</v>
      </c>
      <c r="M243" s="233">
        <v>5706954</v>
      </c>
      <c r="N243" s="195">
        <v>5.7069540000000002E-3</v>
      </c>
      <c r="O243" s="211">
        <v>2.2258904276828081E-2</v>
      </c>
    </row>
    <row r="244" spans="1:15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>
        <v>4</v>
      </c>
      <c r="I244" s="275" t="str">
        <f t="shared" si="7"/>
        <v>(1000, 2000]</v>
      </c>
      <c r="J244" s="160">
        <v>1</v>
      </c>
      <c r="K244" s="276">
        <v>7.3283934539637399E-2</v>
      </c>
      <c r="L244" s="188">
        <v>1.3973975500000001E-2</v>
      </c>
      <c r="M244" s="233">
        <v>13973975</v>
      </c>
      <c r="N244" s="195">
        <v>1.3973975E-2</v>
      </c>
      <c r="O244" s="211">
        <v>7.8570509999350446E-2</v>
      </c>
    </row>
    <row r="245" spans="1:15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>
        <v>8</v>
      </c>
      <c r="I245" s="124" t="str">
        <f t="shared" si="7"/>
        <v>(2000, 3000]</v>
      </c>
      <c r="J245" s="160">
        <v>1</v>
      </c>
      <c r="K245" s="276">
        <v>2.2375238937804673E-2</v>
      </c>
      <c r="L245" s="188">
        <v>1.4171825000000001E-3</v>
      </c>
      <c r="M245" s="233">
        <v>1417182</v>
      </c>
      <c r="N245" s="195">
        <v>1.4171819999999999E-3</v>
      </c>
      <c r="O245" s="211">
        <v>1.3692376645314438E-2</v>
      </c>
    </row>
    <row r="246" spans="1:15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>
        <v>12</v>
      </c>
      <c r="I246" s="124" t="str">
        <f t="shared" si="7"/>
        <v>(3000, 4000]</v>
      </c>
      <c r="J246" s="160">
        <v>1</v>
      </c>
      <c r="K246" s="276">
        <v>4.7096957786354601E-2</v>
      </c>
      <c r="L246" s="188">
        <v>1.1293914999999999E-3</v>
      </c>
      <c r="M246" s="233">
        <v>1129391</v>
      </c>
      <c r="N246" s="195">
        <v>1.129391E-3</v>
      </c>
      <c r="O246" s="211">
        <v>1.5477744284519881E-2</v>
      </c>
    </row>
    <row r="247" spans="1:15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>
        <v>16</v>
      </c>
      <c r="I247" s="124" t="str">
        <f t="shared" si="7"/>
        <v>(4000, 5000]</v>
      </c>
      <c r="J247" s="160">
        <v>1</v>
      </c>
      <c r="K247" s="276">
        <v>8.4723891075925845E-2</v>
      </c>
      <c r="L247" s="188">
        <v>8.8822350000000011E-4</v>
      </c>
      <c r="M247" s="233">
        <v>888223</v>
      </c>
      <c r="N247" s="195">
        <v>8.8822300000000005E-4</v>
      </c>
      <c r="O247" s="211">
        <v>1.576719127530295E-2</v>
      </c>
    </row>
    <row r="248" spans="1:15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>
        <v>20</v>
      </c>
      <c r="I248" s="124" t="str">
        <f t="shared" si="7"/>
        <v>(5000, 6000]</v>
      </c>
      <c r="J248" s="160">
        <v>1</v>
      </c>
      <c r="K248" s="276">
        <v>5.5051647512697088E-2</v>
      </c>
      <c r="L248" s="188">
        <v>2.9218750000000002E-4</v>
      </c>
      <c r="M248" s="233">
        <v>292187</v>
      </c>
      <c r="N248" s="195">
        <v>2.9218700000000001E-4</v>
      </c>
      <c r="O248" s="211">
        <v>6.3690829225076977E-3</v>
      </c>
    </row>
    <row r="249" spans="1:15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>
        <v>24</v>
      </c>
      <c r="I249" s="124" t="str">
        <f t="shared" si="7"/>
        <v>(6000, 7000]</v>
      </c>
      <c r="J249" s="160">
        <v>1</v>
      </c>
      <c r="K249" s="276">
        <v>8.8136105916018878E-2</v>
      </c>
      <c r="L249" s="188">
        <v>2.7417749999999997E-4</v>
      </c>
      <c r="M249" s="233">
        <v>274177</v>
      </c>
      <c r="N249" s="195">
        <v>2.7417700000000001E-4</v>
      </c>
      <c r="O249" s="211">
        <v>7.0850084313290717E-3</v>
      </c>
    </row>
    <row r="250" spans="1:15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>
        <v>28</v>
      </c>
      <c r="I250" s="124" t="str">
        <f t="shared" si="7"/>
        <v>(7000, 8000]</v>
      </c>
      <c r="J250" s="160">
        <v>1</v>
      </c>
      <c r="K250" s="276">
        <v>0.12527098974628062</v>
      </c>
      <c r="L250" s="188">
        <v>2.5401850000000001E-4</v>
      </c>
      <c r="M250" s="233">
        <v>254018</v>
      </c>
      <c r="N250" s="195">
        <v>2.5401800000000001E-4</v>
      </c>
      <c r="O250" s="211">
        <v>7.5882347142436392E-3</v>
      </c>
    </row>
    <row r="251" spans="1:15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>
        <v>32</v>
      </c>
      <c r="I251" s="124" t="str">
        <f t="shared" si="7"/>
        <v>(8000, 9000]</v>
      </c>
      <c r="J251" s="160">
        <v>1</v>
      </c>
      <c r="K251" s="276">
        <v>0.14234396221216075</v>
      </c>
      <c r="L251" s="188">
        <v>2.0353450000000001E-4</v>
      </c>
      <c r="M251" s="233">
        <v>203534</v>
      </c>
      <c r="N251" s="195">
        <v>2.0353400000000001E-4</v>
      </c>
      <c r="O251" s="211">
        <v>6.897751848741758E-3</v>
      </c>
    </row>
    <row r="252" spans="1:15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>
        <v>36</v>
      </c>
      <c r="I252" s="124" t="str">
        <f t="shared" si="7"/>
        <v>(9000, 10000]</v>
      </c>
      <c r="J252" s="160">
        <v>1</v>
      </c>
      <c r="K252" s="276">
        <v>6.1468164477855622E-2</v>
      </c>
      <c r="L252" s="188">
        <v>6.4080500000000004E-5</v>
      </c>
      <c r="M252" s="233">
        <v>64080</v>
      </c>
      <c r="N252" s="195">
        <v>6.4079999999999996E-5</v>
      </c>
      <c r="O252" s="211">
        <v>2.4285062696700597E-3</v>
      </c>
    </row>
    <row r="253" spans="1:15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>
        <v>40</v>
      </c>
      <c r="I253" s="275" t="str">
        <f t="shared" si="7"/>
        <v>(10000, 20000]</v>
      </c>
      <c r="J253" s="160">
        <v>1</v>
      </c>
      <c r="K253" s="276">
        <v>5.8014034514858377E-2</v>
      </c>
      <c r="L253" s="188">
        <v>1.6558650000000002E-4</v>
      </c>
      <c r="M253" s="233">
        <v>165586</v>
      </c>
      <c r="N253" s="195">
        <v>1.6558600000000001E-4</v>
      </c>
      <c r="O253" s="211">
        <v>8.4679160147744306E-3</v>
      </c>
    </row>
    <row r="254" spans="1:15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</row>
    <row r="255" spans="1:15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</row>
    <row r="256" spans="1:15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</row>
    <row r="257" spans="13:15" ht="16.8" thickBot="1">
      <c r="N257" s="1">
        <f>1/N251</f>
        <v>4913.184038047697</v>
      </c>
      <c r="O257" s="10">
        <f>SUM(O240:O250)</f>
        <v>0.20661583508508216</v>
      </c>
    </row>
    <row r="258" spans="13:15" ht="16.8" thickBot="1">
      <c r="M258" s="114"/>
      <c r="N258" s="164" t="s">
        <v>181</v>
      </c>
      <c r="O258" s="219" t="s">
        <v>180</v>
      </c>
    </row>
  </sheetData>
  <phoneticPr fontId="2" type="noConversion"/>
  <conditionalFormatting sqref="J4:O61 C4:G61">
    <cfRule type="cellIs" dxfId="88" priority="25" operator="equal">
      <formula>0</formula>
    </cfRule>
  </conditionalFormatting>
  <conditionalFormatting sqref="J135:O185 J134:L134 N134:O134 C135:G185 D134:G134">
    <cfRule type="cellIs" dxfId="87" priority="23" operator="equal">
      <formula>0</formula>
    </cfRule>
  </conditionalFormatting>
  <conditionalFormatting sqref="C70:D120 J70:O120 K69:L69 N69:O69 F69:G120 D69">
    <cfRule type="cellIs" dxfId="86" priority="24" operator="equal">
      <formula>0</formula>
    </cfRule>
  </conditionalFormatting>
  <conditionalFormatting sqref="M134">
    <cfRule type="cellIs" dxfId="85" priority="21" operator="equal">
      <formula>0</formula>
    </cfRule>
  </conditionalFormatting>
  <conditionalFormatting sqref="E69:E120">
    <cfRule type="cellIs" dxfId="84" priority="19" operator="equal">
      <formula>0</formula>
    </cfRule>
  </conditionalFormatting>
  <conditionalFormatting sqref="M69">
    <cfRule type="cellIs" dxfId="83" priority="18" operator="equal">
      <formula>0</formula>
    </cfRule>
  </conditionalFormatting>
  <conditionalFormatting sqref="J69">
    <cfRule type="cellIs" dxfId="82" priority="17" operator="equal">
      <formula>0</formula>
    </cfRule>
  </conditionalFormatting>
  <conditionalFormatting sqref="O4:O6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1" priority="14" operator="equal">
      <formula>0</formula>
    </cfRule>
  </conditionalFormatting>
  <conditionalFormatting sqref="O121:O1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80" priority="11" operator="equal">
      <formula>0</formula>
    </cfRule>
  </conditionalFormatting>
  <conditionalFormatting sqref="O186:O19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9" priority="7" operator="equal">
      <formula>0</formula>
    </cfRule>
  </conditionalFormatting>
  <conditionalFormatting sqref="C134">
    <cfRule type="cellIs" dxfId="78" priority="6" operator="equal">
      <formula>0</formula>
    </cfRule>
  </conditionalFormatting>
  <conditionalFormatting sqref="C199:G256 J199:O256">
    <cfRule type="cellIs" dxfId="77" priority="2" operator="equal">
      <formula>0</formula>
    </cfRule>
  </conditionalFormatting>
  <conditionalFormatting sqref="O199:O25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{B396E34E-E9D7-4DF4-9399-42E80BA074CF}</x14:id>
        </ext>
      </extLst>
    </cfRule>
  </conditionalFormatting>
  <conditionalFormatting sqref="N200:N2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{84A94C93-E2C2-4C92-AC0A-8DB7804BF13B}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{ACFAB8C5-8725-4C41-8225-718CFE264C1A}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  <x14:conditionalFormatting xmlns:xm="http://schemas.microsoft.com/office/excel/2006/main">
          <x14:cfRule type="dataBar" id="{B396E34E-E9D7-4DF4-9399-42E80BA07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84A94C93-E2C2-4C92-AC0A-8DB7804BF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ACFAB8C5-8725-4C41-8225-718CFE264C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C9FC-501F-45FC-9AD0-EF905B397BB0}">
  <dimension ref="B4:D12"/>
  <sheetViews>
    <sheetView tabSelected="1" workbookViewId="0"/>
  </sheetViews>
  <sheetFormatPr defaultRowHeight="16.2"/>
  <cols>
    <col min="2" max="2" width="14.77734375" customWidth="1"/>
    <col min="3" max="3" width="18.77734375" customWidth="1"/>
    <col min="4" max="4" width="80.77734375" customWidth="1"/>
  </cols>
  <sheetData>
    <row r="4" spans="2:4">
      <c r="B4" s="308" t="s">
        <v>295</v>
      </c>
      <c r="C4" s="308" t="s">
        <v>296</v>
      </c>
      <c r="D4" s="308" t="s">
        <v>297</v>
      </c>
    </row>
    <row r="5" spans="2:4">
      <c r="B5" t="s">
        <v>298</v>
      </c>
      <c r="C5" s="309">
        <v>1885411900</v>
      </c>
      <c r="D5" t="s">
        <v>299</v>
      </c>
    </row>
    <row r="6" spans="2:4">
      <c r="B6" t="s">
        <v>300</v>
      </c>
      <c r="C6" s="309">
        <v>1867514800</v>
      </c>
      <c r="D6" t="s">
        <v>301</v>
      </c>
    </row>
    <row r="7" spans="2:4">
      <c r="B7" t="s">
        <v>302</v>
      </c>
      <c r="C7" s="309">
        <v>2401322900</v>
      </c>
      <c r="D7" t="s">
        <v>303</v>
      </c>
    </row>
    <row r="8" spans="2:4">
      <c r="B8" t="s">
        <v>304</v>
      </c>
      <c r="C8" s="309">
        <v>2427009600</v>
      </c>
      <c r="D8" t="s">
        <v>305</v>
      </c>
    </row>
    <row r="9" spans="2:4">
      <c r="B9" t="s">
        <v>306</v>
      </c>
      <c r="C9" s="309">
        <v>2718761700</v>
      </c>
      <c r="D9" t="s">
        <v>307</v>
      </c>
    </row>
    <row r="10" spans="2:4">
      <c r="B10" t="s">
        <v>308</v>
      </c>
      <c r="C10" s="309">
        <v>2658855200</v>
      </c>
      <c r="D10" t="s">
        <v>309</v>
      </c>
    </row>
    <row r="11" spans="2:4">
      <c r="B11" t="s">
        <v>310</v>
      </c>
      <c r="C11" s="309">
        <v>18021846400</v>
      </c>
      <c r="D11" t="s">
        <v>311</v>
      </c>
    </row>
    <row r="12" spans="2:4">
      <c r="B12" t="s">
        <v>312</v>
      </c>
      <c r="C12" s="309">
        <v>18023844300</v>
      </c>
      <c r="D12" t="s">
        <v>313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0.91999568089489026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'[2]Raw Data'!$S$1:$T$58</f>
        <v>31805001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0.31805000999999999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f t="shared" ref="E200:E256" si="6">IFERROR((D200/$E$196)/(C200),0)</f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f t="shared" si="6"/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f t="shared" si="6"/>
        <v>2.7948522677978697E-2</v>
      </c>
      <c r="F202" s="188">
        <v>1.45229E-3</v>
      </c>
      <c r="G202" s="189">
        <v>4.0589360000001679E-5</v>
      </c>
      <c r="H202" s="232">
        <v>0.02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f t="shared" si="6"/>
        <v>3.8126438931218067E-2</v>
      </c>
      <c r="F203" s="188">
        <v>5.0263E-3</v>
      </c>
      <c r="G203" s="189">
        <v>1.9163491999998138E-4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f t="shared" si="6"/>
        <v>4.899611263774363E-2</v>
      </c>
      <c r="F204" s="188">
        <v>4.07217E-3</v>
      </c>
      <c r="G204" s="189">
        <v>1.9952050000004046E-4</v>
      </c>
      <c r="H204" s="232">
        <v>0.04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f t="shared" si="6"/>
        <v>5.9891129114498252E-2</v>
      </c>
      <c r="F205" s="188">
        <v>4.41275E-3</v>
      </c>
      <c r="G205" s="189">
        <v>2.6428458000000217E-4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f t="shared" si="6"/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f t="shared" si="6"/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f t="shared" si="6"/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f t="shared" si="6"/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f t="shared" si="6"/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f t="shared" si="6"/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f t="shared" si="6"/>
        <v>0.23614802047933836</v>
      </c>
      <c r="F212" s="188">
        <v>1.064096E-2</v>
      </c>
      <c r="G212" s="189">
        <v>2.5128416399998201E-3</v>
      </c>
      <c r="H212" s="232">
        <v>0.2</v>
      </c>
      <c r="I212" s="274" t="str">
        <f t="shared" si="7"/>
        <v>(20, 25]</v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f t="shared" si="6"/>
        <v>0.28969559275609086</v>
      </c>
      <c r="F213" s="188">
        <v>1.058825E-2</v>
      </c>
      <c r="G213" s="189">
        <v>3.0673693599996793E-3</v>
      </c>
      <c r="H213" s="232">
        <v>0.25</v>
      </c>
      <c r="I213" s="274" t="str">
        <f t="shared" si="7"/>
        <v>(25, 30]</v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f t="shared" si="6"/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str">
        <f t="shared" si="7"/>
        <v>(30, 35]</v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f t="shared" si="6"/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str">
        <f t="shared" si="7"/>
        <v>(35, 40]</v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f t="shared" si="6"/>
        <v>0.43767921851894387</v>
      </c>
      <c r="F216" s="188">
        <v>6.64789E-3</v>
      </c>
      <c r="G216" s="189">
        <v>2.9096432999999016E-3</v>
      </c>
      <c r="H216" s="232">
        <v>0.4</v>
      </c>
      <c r="I216" s="274" t="str">
        <f t="shared" si="7"/>
        <v>(40, 45]</v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f t="shared" si="6"/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str">
        <f t="shared" si="7"/>
        <v>(45, 50]</v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f t="shared" si="6"/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str">
        <f t="shared" si="7"/>
        <v>(50, 60]</v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f t="shared" si="6"/>
        <v>0.6561532336148449</v>
      </c>
      <c r="F219" s="188">
        <v>1.05965E-2</v>
      </c>
      <c r="G219" s="189">
        <v>6.9529277399997041E-3</v>
      </c>
      <c r="H219" s="232">
        <v>0.6</v>
      </c>
      <c r="I219" s="274" t="str">
        <f t="shared" si="7"/>
        <v>(60, 70]</v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f t="shared" si="6"/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str">
        <f t="shared" si="7"/>
        <v>(70, 80]</v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f t="shared" si="6"/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str">
        <f t="shared" si="7"/>
        <v>(80, 90]</v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f t="shared" si="6"/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str">
        <f t="shared" si="7"/>
        <v>(90, 100]</v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f>O197</f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f t="shared" si="6"/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str">
        <f t="shared" si="7"/>
        <v>(100, 120]</v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 cm="1">
        <f t="array" ref="P223:P224">1.1*K223:K224</f>
        <v>4.629494275061516</v>
      </c>
      <c r="Q223" s="1">
        <v>9.0112979805137619E-2</v>
      </c>
      <c r="R223" s="1">
        <v>4.2086311591468322</v>
      </c>
      <c r="T223" s="1" t="s">
        <v>271</v>
      </c>
      <c r="U223" s="180">
        <f>SUM(N199:N222)</f>
        <v>0.76034376417931238</v>
      </c>
      <c r="V223" s="1" cm="1">
        <f t="array" ref="V223:V228">1/U223:U228</f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f t="shared" si="6"/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str">
        <f t="shared" si="7"/>
        <v>(120, 140]</v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275</v>
      </c>
      <c r="U224" s="180">
        <f>SUM(N223:N256)</f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f t="shared" si="6"/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str">
        <f t="shared" si="7"/>
        <v>(140, 160]</v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272</v>
      </c>
      <c r="U225" s="180">
        <f>SUM(N228:N256)</f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f t="shared" si="6"/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str">
        <f t="shared" si="7"/>
        <v>(160, 180]</v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287</v>
      </c>
      <c r="U226" s="180">
        <f>SUM(N234:N256)</f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f t="shared" si="6"/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str">
        <f t="shared" si="7"/>
        <v>(180, 200]</v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288</v>
      </c>
      <c r="U227" s="180">
        <f>SUM(N244:N256)</f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f t="shared" si="6"/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str">
        <f t="shared" si="7"/>
        <v>(200, 250]</v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289</v>
      </c>
      <c r="U228" s="180">
        <f>SUM(N253)</f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f t="shared" si="6"/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str">
        <f t="shared" si="7"/>
        <v>(250, 300]</v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f t="shared" si="6"/>
        <v>3.2507338186277512</v>
      </c>
      <c r="F230" s="188">
        <v>2.384532E-2</v>
      </c>
      <c r="G230" s="189">
        <v>7.7514788140000693E-2</v>
      </c>
      <c r="H230" s="232">
        <v>3</v>
      </c>
      <c r="I230" s="124" t="str">
        <f t="shared" si="7"/>
        <v>(300, 350]</v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f t="shared" si="6"/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str">
        <f t="shared" si="7"/>
        <v>(350, 400]</v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f t="shared" si="6"/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str">
        <f t="shared" si="7"/>
        <v>(400, 450]</v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f t="shared" si="6"/>
        <v>4.7763078209330683</v>
      </c>
      <c r="F233" s="188">
        <v>1.851531E-2</v>
      </c>
      <c r="G233" s="189">
        <v>8.8434819960000244E-2</v>
      </c>
      <c r="H233" s="232">
        <v>4.5</v>
      </c>
      <c r="I233" s="124" t="str">
        <f t="shared" si="7"/>
        <v>(450, 500]</v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f t="shared" si="6"/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str">
        <f t="shared" si="7"/>
        <v>(500, 550]</v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f t="shared" si="6"/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str">
        <f t="shared" si="7"/>
        <v>(550, 600]</v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f t="shared" si="6"/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str">
        <f t="shared" si="7"/>
        <v>(600, 650]</v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f t="shared" si="6"/>
        <v>6.7548459861811097</v>
      </c>
      <c r="F237" s="188">
        <v>1.085039E-2</v>
      </c>
      <c r="G237" s="189">
        <v>7.3292713339999649E-2</v>
      </c>
      <c r="H237" s="232">
        <v>6.5</v>
      </c>
      <c r="I237" s="124" t="str">
        <f t="shared" si="7"/>
        <v>(650, 700]</v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f t="shared" si="6"/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str">
        <f t="shared" si="7"/>
        <v>(700, 750]</v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f t="shared" si="6"/>
        <v>7.8020729980121608</v>
      </c>
      <c r="F239" s="188">
        <v>1.09666E-2</v>
      </c>
      <c r="G239" s="189">
        <v>8.5562213740000156E-2</v>
      </c>
      <c r="H239" s="232">
        <v>7.5</v>
      </c>
      <c r="I239" s="124" t="str">
        <f t="shared" si="7"/>
        <v>(750, 800]</v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f t="shared" si="6"/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str">
        <f t="shared" si="7"/>
        <v>(800, 850]</v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f t="shared" si="6"/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str">
        <f t="shared" si="7"/>
        <v>(850, 900]</v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f t="shared" si="6"/>
        <v>9.2521148783910885</v>
      </c>
      <c r="F242" s="188">
        <v>6.95344E-3</v>
      </c>
      <c r="G242" s="189">
        <v>6.4334025679999726E-2</v>
      </c>
      <c r="H242" s="232">
        <v>9</v>
      </c>
      <c r="I242" s="124" t="str">
        <f t="shared" si="7"/>
        <v>(900, 950]</v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f t="shared" si="6"/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str">
        <f t="shared" si="7"/>
        <v>(950, 1000]</v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f t="shared" si="6"/>
        <v>14.158510576583121</v>
      </c>
      <c r="F244" s="188">
        <v>7.6109170000000004E-2</v>
      </c>
      <c r="G244" s="189">
        <v>1.0775924884199628</v>
      </c>
      <c r="H244" s="232">
        <v>10</v>
      </c>
      <c r="I244" s="275" t="str">
        <f t="shared" si="7"/>
        <v>(1000, 2000]</v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f t="shared" si="6"/>
        <v>24.476142752831912</v>
      </c>
      <c r="F245" s="188">
        <v>2.895228E-2</v>
      </c>
      <c r="G245" s="189">
        <v>0.70864013829996031</v>
      </c>
      <c r="H245" s="232">
        <v>20</v>
      </c>
      <c r="I245" s="124" t="str">
        <f t="shared" si="7"/>
        <v>(2000, 3000]</v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 cm="1">
        <f t="array" ref="P245:P251">K245:K251*0.5</f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f t="shared" si="6"/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str">
        <f t="shared" si="7"/>
        <v>(3000, 4000]</v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f t="shared" si="6"/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str">
        <f t="shared" si="7"/>
        <v>(4000, 5000]</v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f t="shared" si="6"/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str">
        <f t="shared" si="7"/>
        <v>(5000, 6000]</v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f t="shared" si="6"/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str">
        <f t="shared" si="7"/>
        <v>(6000, 7000]</v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f t="shared" si="6"/>
        <v>74.735913679370711</v>
      </c>
      <c r="F250" s="188">
        <v>2.2618E-3</v>
      </c>
      <c r="G250" s="189">
        <v>0.16903768956000068</v>
      </c>
      <c r="H250" s="232">
        <v>70</v>
      </c>
      <c r="I250" s="124" t="str">
        <f t="shared" si="7"/>
        <v>(7000, 8000]</v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f t="shared" si="6"/>
        <v>84.710201637936763</v>
      </c>
      <c r="F251" s="188">
        <v>1.5141E-3</v>
      </c>
      <c r="G251" s="189">
        <v>0.12825971630000005</v>
      </c>
      <c r="H251" s="232">
        <v>80</v>
      </c>
      <c r="I251" s="124" t="str">
        <f t="shared" si="7"/>
        <v>(8000, 9000]</v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f t="shared" si="6"/>
        <v>94.750004935626436</v>
      </c>
      <c r="F252" s="188">
        <v>1.04546E-3</v>
      </c>
      <c r="G252" s="189">
        <v>9.9057340160000021E-2</v>
      </c>
      <c r="H252" s="232">
        <v>90</v>
      </c>
      <c r="I252" s="124" t="str">
        <f t="shared" si="7"/>
        <v>(9000, 10000]</v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f t="shared" si="6"/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str">
        <f t="shared" si="7"/>
        <v>(10000, 20000]</v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f t="shared" si="6"/>
        <v>231.18636638078894</v>
      </c>
      <c r="F254" s="188">
        <v>1.166E-4</v>
      </c>
      <c r="G254" s="189">
        <v>2.6956330319999992E-2</v>
      </c>
      <c r="H254" s="232">
        <v>200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f t="shared" si="6"/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27642.423686016195</v>
      </c>
      <c r="O257" s="10">
        <f>SUM(O240:O250)</f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318.83896372368076</v>
      </c>
      <c r="O259" s="220" cm="1">
        <f t="array" ref="O259:O260">N261/N259:N260</f>
        <v>43.909313455594429</v>
      </c>
      <c r="Q259" s="1">
        <v>0</v>
      </c>
    </row>
    <row r="260" spans="13:17" ht="16.8" thickBot="1">
      <c r="M260" s="124" t="s">
        <v>179</v>
      </c>
      <c r="N260" s="218">
        <f>1/SUM(N257)</f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0.91999636854734979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'[3]Raw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f t="shared" si="6"/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f t="shared" si="6"/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f t="shared" si="6"/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f t="shared" si="6"/>
        <v>1.8526751980499696E-2</v>
      </c>
      <c r="F204" s="188">
        <v>1.641E-5</v>
      </c>
      <c r="G204" s="189">
        <v>3.0402400000000005E-7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f t="shared" si="6"/>
        <v>2.2479453755431422E-2</v>
      </c>
      <c r="F205" s="188">
        <v>3.222E-5</v>
      </c>
      <c r="G205" s="189">
        <v>7.242880000000004E-7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f t="shared" si="6"/>
        <v>2.6414360258818631E-2</v>
      </c>
      <c r="F206" s="188">
        <v>4.791E-5</v>
      </c>
      <c r="G206" s="189">
        <v>1.2655120000000005E-6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f t="shared" si="6"/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f t="shared" si="6"/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f t="shared" si="6"/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f t="shared" si="6"/>
        <v>5.1925434166769056E-2</v>
      </c>
      <c r="F210" s="188">
        <v>1.29904E-3</v>
      </c>
      <c r="G210" s="189">
        <v>6.7453215999999672E-5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f t="shared" si="6"/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f t="shared" si="6"/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f t="shared" si="6"/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f t="shared" si="6"/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f t="shared" si="6"/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f t="shared" si="6"/>
        <v>0.17112829565522597</v>
      </c>
      <c r="F216" s="188">
        <v>5.40765E-3</v>
      </c>
      <c r="G216" s="189">
        <v>9.254019279999827E-4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f t="shared" si="6"/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f t="shared" si="6"/>
        <v>0.22165931662099195</v>
      </c>
      <c r="F218" s="188">
        <v>1.334223E-2</v>
      </c>
      <c r="G218" s="189">
        <v>2.9574295840000975E-3</v>
      </c>
      <c r="H218" s="232">
        <v>0.2</v>
      </c>
      <c r="I218" s="274" t="str">
        <f t="shared" si="7"/>
        <v>(50, 60]</v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f t="shared" si="6"/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f t="shared" si="6"/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f t="shared" si="6"/>
        <v>0.34196370074816468</v>
      </c>
      <c r="F221" s="188">
        <v>1.448118E-2</v>
      </c>
      <c r="G221" s="189">
        <v>4.9520379040003072E-3</v>
      </c>
      <c r="H221" s="232">
        <v>0.32</v>
      </c>
      <c r="I221" s="274" t="str">
        <f t="shared" si="7"/>
        <v>(80, 90]</v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 cm="1">
        <f t="array" ref="P221:P228">K221:K228*1.1</f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f t="shared" si="6"/>
        <v>0.38172022514022308</v>
      </c>
      <c r="F222" s="188">
        <v>1.470195E-2</v>
      </c>
      <c r="G222" s="189">
        <v>5.6120316640003026E-3</v>
      </c>
      <c r="H222" s="232">
        <v>0.36</v>
      </c>
      <c r="I222" s="274" t="str">
        <f t="shared" si="7"/>
        <v>(90, 100]</v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f>O197</f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f t="shared" si="6"/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str">
        <f t="shared" si="7"/>
        <v>(100, 120]</v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271</v>
      </c>
      <c r="U223" s="180">
        <f>SUM(N221:N228)</f>
        <v>0.80114184708065661</v>
      </c>
      <c r="V223" s="1" cm="1">
        <f t="array" ref="V223:V227">1/U223:U227</f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f t="shared" si="6"/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str">
        <f t="shared" si="7"/>
        <v>(120, 140]</v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275</v>
      </c>
      <c r="U224" s="180">
        <f>SUM(N229:N256)</f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f t="shared" si="6"/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272</v>
      </c>
      <c r="U225" s="180">
        <f>SUM(N234:N256)</f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f t="shared" si="6"/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str">
        <f t="shared" si="7"/>
        <v>(160, 180]</v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274</v>
      </c>
      <c r="U226" s="180">
        <f>SUM(N244:N256)</f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f t="shared" si="6"/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str">
        <f t="shared" si="7"/>
        <v>(180, 200]</v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273</v>
      </c>
      <c r="U227" s="180">
        <f>SUM(N253)</f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f t="shared" si="6"/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str">
        <f t="shared" si="7"/>
        <v>(200, 250]</v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f t="shared" si="6"/>
        <v>1.099263442389077</v>
      </c>
      <c r="F229" s="188">
        <v>5.214129E-2</v>
      </c>
      <c r="G229" s="189">
        <v>5.7317013936007161E-2</v>
      </c>
      <c r="H229" s="232">
        <v>1</v>
      </c>
      <c r="I229" s="275" t="str">
        <f t="shared" si="7"/>
        <v>(250, 300]</v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 cm="1">
        <f t="array" ref="P229:P252">0.9*K229:K252</f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f t="shared" si="6"/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str">
        <f t="shared" si="7"/>
        <v>(300, 350]</v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f t="shared" si="6"/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str">
        <f t="shared" si="7"/>
        <v>(350, 400]</v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f t="shared" si="6"/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str">
        <f t="shared" si="7"/>
        <v>(400, 450]</v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f t="shared" si="6"/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str">
        <f t="shared" si="7"/>
        <v>(450, 500]</v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f t="shared" si="6"/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f t="shared" si="6"/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f t="shared" si="6"/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f t="shared" si="6"/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f t="shared" si="6"/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f t="shared" si="6"/>
        <v>3.101671759546647</v>
      </c>
      <c r="F239" s="188">
        <v>1.55972E-2</v>
      </c>
      <c r="G239" s="189">
        <v>4.8377394768000966E-2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f t="shared" si="6"/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f t="shared" si="6"/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f t="shared" si="6"/>
        <v>3.7006069805983017</v>
      </c>
      <c r="F242" s="188">
        <v>1.366731E-2</v>
      </c>
      <c r="G242" s="189">
        <v>5.0577342792000976E-2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f t="shared" si="6"/>
        <v>3.9020361636894032</v>
      </c>
      <c r="F243" s="188">
        <v>1.165036E-2</v>
      </c>
      <c r="G243" s="189">
        <v>4.5460126040000479E-2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f t="shared" si="6"/>
        <v>5.5961388195745663</v>
      </c>
      <c r="F244" s="188">
        <v>0.15050794000000001</v>
      </c>
      <c r="G244" s="189">
        <v>0.84226332568819973</v>
      </c>
      <c r="H244" s="232">
        <v>4</v>
      </c>
      <c r="I244" s="275" t="str">
        <f t="shared" si="7"/>
        <v>(1000, 2000]</v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f t="shared" si="6"/>
        <v>9.6116713840855894</v>
      </c>
      <c r="F245" s="188">
        <v>7.5942809999999999E-2</v>
      </c>
      <c r="G245" s="189">
        <v>0.7299373337040489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f t="shared" si="6"/>
        <v>13.664085829392524</v>
      </c>
      <c r="F246" s="188">
        <v>3.3375139999999998E-2</v>
      </c>
      <c r="G246" s="189">
        <v>0.4560407775279916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f t="shared" si="6"/>
        <v>17.68048287106236</v>
      </c>
      <c r="F247" s="188">
        <v>2.1426489999999999E-2</v>
      </c>
      <c r="G247" s="189">
        <v>0.37883068943198894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f t="shared" si="6"/>
        <v>21.698805730756433</v>
      </c>
      <c r="F248" s="188">
        <v>9.84931E-3</v>
      </c>
      <c r="G248" s="189">
        <v>0.21371826427199664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f t="shared" si="6"/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f t="shared" si="6"/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f t="shared" si="6"/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f t="shared" si="6"/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f t="shared" si="6"/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str">
        <f t="shared" si="7"/>
        <v>(10000, 20000]</v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f t="shared" si="6"/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f t="shared" si="6"/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0.92000339110669394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'[4]Raw Data'!$S$1:$T$58</f>
        <v>31795820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0.31795820000000002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0.01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0.02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f t="shared" si="6"/>
        <v>0.04</v>
      </c>
      <c r="F203" s="188">
        <v>1.9547399999999999E-3</v>
      </c>
      <c r="G203" s="189">
        <v>7.8189599999999994E-5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0.04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f t="shared" si="6"/>
        <v>0.06</v>
      </c>
      <c r="F205" s="188">
        <v>1.95487E-3</v>
      </c>
      <c r="G205" s="189">
        <v>1.172922E-4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0.06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f t="shared" si="6"/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0.08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f t="shared" si="6"/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f t="shared" si="6"/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f t="shared" si="6"/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f t="shared" si="6"/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str">
        <f t="shared" si="7"/>
        <v>(20, 25]</v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f t="shared" si="6"/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str">
        <f t="shared" si="7"/>
        <v>(25, 30]</v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f t="shared" si="6"/>
        <v>0.32273011898699838</v>
      </c>
      <c r="F214" s="188">
        <v>4.4971300000000002E-3</v>
      </c>
      <c r="G214" s="189">
        <v>1.4513593E-3</v>
      </c>
      <c r="H214" s="232">
        <v>0.3</v>
      </c>
      <c r="I214" s="274" t="str">
        <f t="shared" si="7"/>
        <v>(30, 35]</v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f t="shared" si="6"/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str">
        <f t="shared" si="7"/>
        <v>(35, 40]</v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f t="shared" si="6"/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str">
        <f t="shared" si="7"/>
        <v>(40, 45]</v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f t="shared" si="6"/>
        <v>0.48964704583463042</v>
      </c>
      <c r="F217" s="188">
        <v>1.105016E-2</v>
      </c>
      <c r="G217" s="189">
        <v>5.4106781999999996E-3</v>
      </c>
      <c r="H217" s="232">
        <v>0.45</v>
      </c>
      <c r="I217" s="274" t="str">
        <f t="shared" si="7"/>
        <v>(45, 50]</v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f t="shared" si="6"/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str">
        <f t="shared" si="7"/>
        <v>(50, 60]</v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f t="shared" si="6"/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str">
        <f t="shared" si="7"/>
        <v>(60, 70]</v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f t="shared" si="6"/>
        <v>0.77715192982200809</v>
      </c>
      <c r="F220" s="188">
        <v>1.6490640000000001E-2</v>
      </c>
      <c r="G220" s="189">
        <v>1.28157327E-2</v>
      </c>
      <c r="H220" s="232">
        <v>0.7</v>
      </c>
      <c r="I220" s="274" t="str">
        <f t="shared" si="7"/>
        <v>(70, 80]</v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f t="shared" si="6"/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str">
        <f t="shared" si="7"/>
        <v>(80, 90]</v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f t="shared" si="6"/>
        <v>0.98795948442038206</v>
      </c>
      <c r="F222" s="188">
        <v>1.5397040000000001E-2</v>
      </c>
      <c r="G222" s="189">
        <v>1.52116517E-2</v>
      </c>
      <c r="H222" s="232">
        <v>0.9</v>
      </c>
      <c r="I222" s="274" t="str">
        <f t="shared" si="7"/>
        <v>(90, 100]</v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f>O197</f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f t="shared" si="6"/>
        <v>1.1506467735367072</v>
      </c>
      <c r="F223" s="188">
        <v>1.458594E-2</v>
      </c>
      <c r="G223" s="189">
        <v>1.6783264799999999E-2</v>
      </c>
      <c r="H223" s="232">
        <v>1</v>
      </c>
      <c r="I223" s="274" t="str">
        <f t="shared" si="7"/>
        <v>(100, 120]</v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 cm="1">
        <f t="array" ref="P223:P224">1.1*K223:K224</f>
        <v>15.400000000000002</v>
      </c>
      <c r="Q223" s="1">
        <v>0.25624162875535339</v>
      </c>
      <c r="R223" s="1">
        <v>17.5677144397518</v>
      </c>
      <c r="T223" s="1" t="s">
        <v>271</v>
      </c>
      <c r="U223" s="180">
        <f>SUM(N199:N222)</f>
        <v>0.76578152612945605</v>
      </c>
      <c r="V223" s="1" cm="1">
        <f t="array" ref="V223:V228">1/U223:U228</f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f t="shared" si="6"/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str">
        <f t="shared" si="7"/>
        <v>(120, 140]</v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275</v>
      </c>
      <c r="U224" s="180">
        <f>SUM(N223:N256)</f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f t="shared" si="6"/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str">
        <f t="shared" si="7"/>
        <v>(140, 160]</v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272</v>
      </c>
      <c r="U225" s="180">
        <f>SUM(N228:N256)</f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f t="shared" si="6"/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str">
        <f t="shared" si="7"/>
        <v>(160, 180]</v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287</v>
      </c>
      <c r="U226" s="180">
        <f>SUM(N234:N256)</f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f t="shared" si="6"/>
        <v>1.973081078687295</v>
      </c>
      <c r="F227" s="188">
        <v>2.077451E-2</v>
      </c>
      <c r="G227" s="189">
        <v>4.0989792599999998E-2</v>
      </c>
      <c r="H227" s="232">
        <v>1.8</v>
      </c>
      <c r="I227" s="124" t="str">
        <f t="shared" si="7"/>
        <v>(180, 200]</v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288</v>
      </c>
      <c r="U227" s="180">
        <f>SUM(N244:N256)</f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f t="shared" si="6"/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str">
        <f t="shared" si="7"/>
        <v>(200, 250]</v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289</v>
      </c>
      <c r="U228" s="180">
        <f>SUM(N253)</f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f t="shared" si="6"/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str">
        <f t="shared" si="7"/>
        <v>(250, 300]</v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f t="shared" si="6"/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str">
        <f t="shared" si="7"/>
        <v>(300, 350]</v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f t="shared" si="6"/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str">
        <f t="shared" si="7"/>
        <v>(350, 400]</v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f t="shared" si="6"/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str">
        <f t="shared" si="7"/>
        <v>(400, 450]</v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f t="shared" si="6"/>
        <v>4.832560277440038</v>
      </c>
      <c r="F233" s="188">
        <v>2.060265E-2</v>
      </c>
      <c r="G233" s="189">
        <v>9.9563548000000002E-2</v>
      </c>
      <c r="H233" s="232">
        <v>4.5</v>
      </c>
      <c r="I233" s="124" t="str">
        <f t="shared" si="7"/>
        <v>(450, 500]</v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f t="shared" si="6"/>
        <v>5.2632373044941598</v>
      </c>
      <c r="F234" s="188">
        <v>1.21224E-2</v>
      </c>
      <c r="G234" s="189">
        <v>6.380306790000001E-2</v>
      </c>
      <c r="H234" s="232">
        <v>5</v>
      </c>
      <c r="I234" s="275" t="str">
        <f t="shared" si="7"/>
        <v>(500, 550]</v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f t="shared" si="6"/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str">
        <f t="shared" si="7"/>
        <v>(550, 600]</v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f t="shared" si="6"/>
        <v>6.2903077381435546</v>
      </c>
      <c r="F236" s="188">
        <v>1.084136E-2</v>
      </c>
      <c r="G236" s="189">
        <v>6.81954907E-2</v>
      </c>
      <c r="H236" s="232">
        <v>6</v>
      </c>
      <c r="I236" s="124" t="str">
        <f t="shared" si="7"/>
        <v>(600, 650]</v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f t="shared" si="6"/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str">
        <f t="shared" si="7"/>
        <v>(650, 700]</v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f t="shared" si="6"/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str">
        <f t="shared" si="7"/>
        <v>(700, 750]</v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f t="shared" si="6"/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str">
        <f t="shared" si="7"/>
        <v>(750, 800]</v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f t="shared" si="6"/>
        <v>8.2822020022589324</v>
      </c>
      <c r="F240" s="188">
        <v>7.6673399999999999E-3</v>
      </c>
      <c r="G240" s="189">
        <v>6.35024587E-2</v>
      </c>
      <c r="H240" s="232">
        <v>8</v>
      </c>
      <c r="I240" s="124" t="str">
        <f t="shared" si="7"/>
        <v>(800, 850]</v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f t="shared" si="6"/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str">
        <f t="shared" si="7"/>
        <v>(850, 900]</v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f t="shared" si="6"/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str">
        <f t="shared" si="7"/>
        <v>(900, 950]</v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f t="shared" si="6"/>
        <v>9.8706479064949555</v>
      </c>
      <c r="F243" s="188">
        <v>1.334174E-2</v>
      </c>
      <c r="G243" s="189">
        <v>0.13169161800000001</v>
      </c>
      <c r="H243" s="232">
        <v>9.5</v>
      </c>
      <c r="I243" s="124" t="str">
        <f t="shared" si="7"/>
        <v>(950, 1000]</v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f t="shared" si="6"/>
        <v>14.586105489213271</v>
      </c>
      <c r="F244" s="188">
        <v>0.10509302</v>
      </c>
      <c r="G244" s="189">
        <v>1.5328978759</v>
      </c>
      <c r="H244" s="232">
        <v>10</v>
      </c>
      <c r="I244" s="275" t="str">
        <f t="shared" si="7"/>
        <v>(1000, 2000]</v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f t="shared" si="6"/>
        <v>24.792023938752251</v>
      </c>
      <c r="F245" s="188">
        <v>4.9183850000000001E-2</v>
      </c>
      <c r="G245" s="189">
        <v>1.2193671866</v>
      </c>
      <c r="H245" s="232">
        <v>20</v>
      </c>
      <c r="I245" s="124" t="str">
        <f t="shared" si="7"/>
        <v>(2000, 3000]</v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 cm="1">
        <f t="array" ref="P245:P251">K245:K251*0.5</f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f t="shared" si="6"/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str">
        <f t="shared" si="7"/>
        <v>(3000, 4000]</v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f t="shared" si="6"/>
        <v>44.835270279094303</v>
      </c>
      <c r="F247" s="188">
        <v>1.761161E-2</v>
      </c>
      <c r="G247" s="189">
        <v>0.78962129439999995</v>
      </c>
      <c r="H247" s="232">
        <v>40</v>
      </c>
      <c r="I247" s="124" t="str">
        <f t="shared" si="7"/>
        <v>(4000, 5000]</v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f t="shared" si="6"/>
        <v>54.970647671710452</v>
      </c>
      <c r="F248" s="188">
        <v>1.179471E-2</v>
      </c>
      <c r="G248" s="189">
        <v>0.64836284779999998</v>
      </c>
      <c r="H248" s="232">
        <v>50</v>
      </c>
      <c r="I248" s="124" t="str">
        <f t="shared" si="7"/>
        <v>(5000, 6000]</v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f t="shared" si="6"/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str">
        <f t="shared" si="7"/>
        <v>(6000, 7000]</v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f t="shared" si="6"/>
        <v>74.910065527350625</v>
      </c>
      <c r="F250" s="188">
        <v>5.3962200000000002E-3</v>
      </c>
      <c r="G250" s="189">
        <v>0.4042311938</v>
      </c>
      <c r="H250" s="232">
        <v>70</v>
      </c>
      <c r="I250" s="124" t="str">
        <f t="shared" si="7"/>
        <v>(7000, 8000]</v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f t="shared" si="6"/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str">
        <f t="shared" si="7"/>
        <v>(8000, 9000]</v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f t="shared" si="6"/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str">
        <f t="shared" si="7"/>
        <v>(9000, 10000]</v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f t="shared" si="6"/>
        <v>128.62376807650216</v>
      </c>
      <c r="F253" s="188">
        <v>6.83484E-3</v>
      </c>
      <c r="G253" s="189">
        <v>0.87912287499999997</v>
      </c>
      <c r="H253" s="232">
        <v>100</v>
      </c>
      <c r="I253" s="275" t="str">
        <f t="shared" si="7"/>
        <v>(10000, 20000]</v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f t="shared" si="6"/>
        <v>232.94099632972919</v>
      </c>
      <c r="F254" s="188">
        <v>5.0405000000000003E-4</v>
      </c>
      <c r="G254" s="189">
        <v>0.1174139092</v>
      </c>
      <c r="H254" s="232">
        <v>200</v>
      </c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f t="shared" si="6"/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f t="shared" si="6"/>
        <v>1038.5650000000001</v>
      </c>
      <c r="F256" s="191">
        <v>2E-8</v>
      </c>
      <c r="G256" s="192">
        <v>2.0771300000000002E-5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27446.003996850966</v>
      </c>
      <c r="O257" s="10">
        <f>SUM(O240:O250)</f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319.28878025246877</v>
      </c>
      <c r="O259" s="220" cm="1">
        <f t="array" ref="O259:O260">N261/N259:N260</f>
        <v>43.847453671657007</v>
      </c>
      <c r="Q259" s="1">
        <v>0</v>
      </c>
    </row>
    <row r="260" spans="13:17" ht="16.8" thickBot="1">
      <c r="M260" s="124" t="s">
        <v>179</v>
      </c>
      <c r="N260" s="218">
        <f>1/SUM(N257)</f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0.91999811825738909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'[5]Raw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f t="shared" si="6"/>
        <v>0</v>
      </c>
      <c r="F203" s="188">
        <v>0</v>
      </c>
      <c r="G203" s="189">
        <v>0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f t="shared" si="6"/>
        <v>0</v>
      </c>
      <c r="F205" s="188">
        <v>0</v>
      </c>
      <c r="G205" s="189">
        <v>0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f t="shared" si="6"/>
        <v>0</v>
      </c>
      <c r="F207" s="188">
        <v>0</v>
      </c>
      <c r="G207" s="189">
        <v>0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f t="shared" si="6"/>
        <v>0</v>
      </c>
      <c r="F209" s="188">
        <v>0</v>
      </c>
      <c r="G209" s="189">
        <v>0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f t="shared" si="6"/>
        <v>0</v>
      </c>
      <c r="F210" s="188">
        <v>0</v>
      </c>
      <c r="G210" s="189">
        <v>0</v>
      </c>
      <c r="H210" s="232">
        <v>0.04</v>
      </c>
      <c r="I210" s="274" t="str">
        <f t="shared" si="7"/>
        <v>(10, 15]</v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f t="shared" si="6"/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str">
        <f t="shared" si="7"/>
        <v>(15, 20]</v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f t="shared" si="6"/>
        <v>9.3028571428571419E-2</v>
      </c>
      <c r="F212" s="188">
        <v>1.4000000000000001E-7</v>
      </c>
      <c r="G212" s="189">
        <v>1.3024E-8</v>
      </c>
      <c r="H212" s="232">
        <v>0.08</v>
      </c>
      <c r="I212" s="274" t="str">
        <f t="shared" si="7"/>
        <v>(20, 25]</v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f t="shared" si="6"/>
        <v>0.11405454545454545</v>
      </c>
      <c r="F213" s="188">
        <v>8.8000000000000004E-7</v>
      </c>
      <c r="G213" s="189">
        <v>1.00368E-7</v>
      </c>
      <c r="H213" s="232">
        <v>0.1</v>
      </c>
      <c r="I213" s="274" t="str">
        <f t="shared" si="7"/>
        <v>(25, 30]</v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f t="shared" si="6"/>
        <v>0.13223650385604113</v>
      </c>
      <c r="F214" s="188">
        <v>3.89E-6</v>
      </c>
      <c r="G214" s="189">
        <v>5.144E-7</v>
      </c>
      <c r="H214" s="232">
        <v>0.12</v>
      </c>
      <c r="I214" s="274" t="str">
        <f t="shared" si="7"/>
        <v>(30, 35]</v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f t="shared" si="6"/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str">
        <f t="shared" si="7"/>
        <v>(35, 40]</v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f t="shared" si="6"/>
        <v>0.17162815057283146</v>
      </c>
      <c r="F216" s="188">
        <v>2.444E-5</v>
      </c>
      <c r="G216" s="189">
        <v>4.1945920000000011E-6</v>
      </c>
      <c r="H216" s="232">
        <v>0.16</v>
      </c>
      <c r="I216" s="274" t="str">
        <f t="shared" si="7"/>
        <v>(40, 45]</v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f t="shared" si="6"/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str">
        <f t="shared" si="7"/>
        <v>(45, 50]</v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f t="shared" si="6"/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str">
        <f t="shared" si="7"/>
        <v>(50, 60]</v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f t="shared" si="6"/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f t="shared" si="6"/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f t="shared" si="6"/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str">
        <f t="shared" si="7"/>
        <v>(80, 90]</v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f t="shared" si="6"/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str">
        <f t="shared" si="7"/>
        <v>(90, 100]</v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f>O197</f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f t="shared" si="6"/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str">
        <f t="shared" si="7"/>
        <v>(100, 120]</v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 cm="1">
        <f t="array" ref="P223:P228">K223:K228*1.1</f>
        <v>16.247517000000006</v>
      </c>
      <c r="Q223" s="1">
        <v>7.7400253083603543E-2</v>
      </c>
      <c r="R223" s="1">
        <v>12.206605279040435</v>
      </c>
      <c r="T223" s="1" t="s">
        <v>271</v>
      </c>
      <c r="U223" s="180">
        <f>SUM(N221:N228)</f>
        <v>0.82708000308103513</v>
      </c>
      <c r="V223" s="1" cm="1">
        <f t="array" ref="V223:V227">1/U223:U227</f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f t="shared" si="6"/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str">
        <f t="shared" si="7"/>
        <v>(120, 140]</v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275</v>
      </c>
      <c r="U224" s="180">
        <f>SUM(N229:N256)</f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f t="shared" si="6"/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272</v>
      </c>
      <c r="U225" s="180">
        <f>SUM(N234:N256)</f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f t="shared" si="6"/>
        <v>0.68138970614473304</v>
      </c>
      <c r="F226" s="188">
        <v>1.5021E-2</v>
      </c>
      <c r="G226" s="189">
        <v>1.0235154776000035E-2</v>
      </c>
      <c r="H226" s="232">
        <v>0.64</v>
      </c>
      <c r="I226" s="124" t="str">
        <f t="shared" si="7"/>
        <v>(160, 180]</v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274</v>
      </c>
      <c r="U226" s="180">
        <f>SUM(N244:N256)</f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f t="shared" si="6"/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str">
        <f t="shared" si="7"/>
        <v>(180, 200]</v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273</v>
      </c>
      <c r="U227" s="180">
        <f>SUM(N253)</f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f t="shared" si="6"/>
        <v>0.90211931138862622</v>
      </c>
      <c r="F228" s="188">
        <v>4.766985E-2</v>
      </c>
      <c r="G228" s="189">
        <v>4.3003892255999106E-2</v>
      </c>
      <c r="H228" s="232">
        <v>0.8</v>
      </c>
      <c r="I228" s="124" t="str">
        <f t="shared" si="7"/>
        <v>(200, 250]</v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f t="shared" si="6"/>
        <v>1.1004610017389815</v>
      </c>
      <c r="F229" s="188">
        <v>4.986848E-2</v>
      </c>
      <c r="G229" s="189">
        <v>5.4878317456000365E-2</v>
      </c>
      <c r="H229" s="232">
        <v>1</v>
      </c>
      <c r="I229" s="275" t="str">
        <f t="shared" si="7"/>
        <v>(250, 300]</v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 cm="1">
        <f t="array" ref="P229:P252">0.9*K229:K252</f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f t="shared" si="6"/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str">
        <f t="shared" si="7"/>
        <v>(300, 350]</v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f t="shared" si="6"/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str">
        <f t="shared" si="7"/>
        <v>(350, 400]</v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f t="shared" si="6"/>
        <v>1.6989194160784327</v>
      </c>
      <c r="F232" s="188">
        <v>4.191727E-2</v>
      </c>
      <c r="G232" s="189">
        <v>7.1214063872002006E-2</v>
      </c>
      <c r="H232" s="232">
        <v>1.6</v>
      </c>
      <c r="I232" s="124" t="str">
        <f t="shared" si="7"/>
        <v>(400, 450]</v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f t="shared" si="6"/>
        <v>1.8990211968592789</v>
      </c>
      <c r="F233" s="188">
        <v>3.840201E-2</v>
      </c>
      <c r="G233" s="189">
        <v>7.2926230992002003E-2</v>
      </c>
      <c r="H233" s="232">
        <v>1.8</v>
      </c>
      <c r="I233" s="124" t="str">
        <f t="shared" si="7"/>
        <v>(450, 500]</v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f t="shared" si="6"/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f t="shared" si="6"/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f t="shared" si="6"/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f t="shared" si="6"/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f t="shared" si="6"/>
        <v>2.8990282629766786</v>
      </c>
      <c r="F238" s="188">
        <v>2.603045E-2</v>
      </c>
      <c r="G238" s="189">
        <v>7.5463010248001283E-2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f t="shared" si="6"/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f t="shared" si="6"/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f t="shared" si="6"/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f t="shared" si="6"/>
        <v>3.6994819406753141</v>
      </c>
      <c r="F242" s="188">
        <v>1.878171E-2</v>
      </c>
      <c r="G242" s="189">
        <v>6.9482596960000947E-2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f t="shared" si="6"/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f t="shared" si="6"/>
        <v>5.6535820840281614</v>
      </c>
      <c r="F244" s="188">
        <v>0.20388956999999999</v>
      </c>
      <c r="G244" s="189">
        <v>1.1527064200722057</v>
      </c>
      <c r="H244" s="232">
        <v>4</v>
      </c>
      <c r="I244" s="275" t="str">
        <f t="shared" si="7"/>
        <v>(1000, 2000]</v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f t="shared" si="6"/>
        <v>9.7914309642225135</v>
      </c>
      <c r="F245" s="188">
        <v>9.4042860000000006E-2</v>
      </c>
      <c r="G245" s="189">
        <v>0.92081417136804289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f t="shared" si="6"/>
        <v>13.770958567429192</v>
      </c>
      <c r="F246" s="188">
        <v>4.6900879999999999E-2</v>
      </c>
      <c r="G246" s="189">
        <v>0.6458700752559684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f t="shared" si="6"/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f t="shared" si="6"/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f t="shared" si="6"/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f t="shared" si="6"/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f t="shared" si="6"/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f t="shared" si="6"/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f t="shared" si="6"/>
        <v>47.82315928270355</v>
      </c>
      <c r="F253" s="188">
        <v>2.0995499999999999E-3</v>
      </c>
      <c r="G253" s="189">
        <v>0.10040711407200023</v>
      </c>
      <c r="H253" s="232">
        <v>40</v>
      </c>
      <c r="I253" s="275" t="str">
        <f t="shared" si="7"/>
        <v>(10000, 20000]</v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f t="shared" si="6"/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f t="shared" si="6"/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f>10^9</f>
        <v>1000000000</v>
      </c>
      <c r="N2" s="145"/>
      <c r="O2" s="215">
        <f>SUM(_xlfn.ANCHORARRAY(O4))</f>
        <v>0.91999952044871214</v>
      </c>
      <c r="P2" s="215">
        <v>0.92</v>
      </c>
      <c r="Q2" s="181">
        <f>P2-O2</f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f>SUM(_xlfn.ANCHORARRAY(Q4))</f>
        <v>0.96560905671221797</v>
      </c>
      <c r="R3" s="216">
        <f>1-SUM(_xlfn.ANCHORARRAY(R4))</f>
        <v>4.723345995480932E-2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_xlfn._xlws.SORT(_xlfn.UNIQUE(Y3:Y141))</f>
        <v>30</v>
      </c>
      <c r="AC3" s="1" cm="1">
        <f t="array" ref="AC3:AC14">COUNTIF(Y3:Y141,_xlfn.ANCHORARRAY(AB3))</f>
        <v>1</v>
      </c>
      <c r="AD3" s="197" cm="1">
        <f t="array" ref="AD3:AD14">_xlfn.ANCHORARRAY(AC3)/10000000</f>
        <v>9.9999999999999995E-8</v>
      </c>
    </row>
    <row r="4" spans="1:30" ht="15.6">
      <c r="A4" s="199">
        <v>-1</v>
      </c>
      <c r="B4" s="200">
        <v>0</v>
      </c>
      <c r="C4" s="158" cm="1">
        <f t="array" ref="C4:D55">'[6]Raw Data'!$S$1:$T$52</f>
        <v>79528431</v>
      </c>
      <c r="D4" s="166">
        <v>0</v>
      </c>
      <c r="E4" s="187">
        <f>(D4/$E$1)/(C4)</f>
        <v>0</v>
      </c>
      <c r="F4" s="185" cm="1">
        <f t="array" ref="F4:F55">C4:C55/SUM(C4:C55)</f>
        <v>0.79532407620381018</v>
      </c>
      <c r="G4" s="186" cm="1">
        <f t="array" ref="G4:G55">E4:E55*_xlfn.ANCHORARRAY(F4)</f>
        <v>0</v>
      </c>
      <c r="H4" s="178"/>
      <c r="I4" s="128" t="str">
        <f>"("&amp;$A4&amp;", "&amp;$B4&amp;"]"</f>
        <v>(-1, 0]</v>
      </c>
      <c r="J4" s="158" cm="1">
        <f t="array" ref="J4:J55">IF(1/F4:F55&lt;$J$2,1,0)</f>
        <v>1</v>
      </c>
      <c r="K4" s="217">
        <v>1.1139704033446383</v>
      </c>
      <c r="L4" s="185" cm="1">
        <f t="array" ref="L4:L55">K4:K55*_xlfn.ANCHORARRAY(J4)*_xlfn.ANCHORARRAY(F4)</f>
        <v>0.8859674819584602</v>
      </c>
      <c r="M4" s="207" cm="1">
        <f t="array" ref="M4:M55">INT(_xlfn.ANCHORARRAY(L4)*$M$2)</f>
        <v>885967481</v>
      </c>
      <c r="N4" s="194" cm="1">
        <f t="array" ref="N4:N55">M4:M55/SUM(M4:M55)</f>
        <v>0.89958566974849696</v>
      </c>
      <c r="O4" s="210" cm="1">
        <f t="array" ref="O4:O55">_xlfn.ANCHORARRAY(N4)*E4:E55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0.83873402200365088</v>
      </c>
      <c r="S4" s="182">
        <f>R4+R3</f>
        <v>0.8859674819584602</v>
      </c>
      <c r="T4" s="213" cm="1">
        <f t="array" ref="T4:T55">S4:S55/_xlfn.ANCHORARRAY(F4)</f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f t="shared" ref="E5:E55" si="0">(D5/$E$1)/(C5)</f>
        <v>0.75105149732007825</v>
      </c>
      <c r="F5" s="188">
        <v>1.2227461373068653E-2</v>
      </c>
      <c r="G5" s="189">
        <v>9.1834531726666321E-3</v>
      </c>
      <c r="H5" s="178"/>
      <c r="I5" s="124" t="str">
        <f t="shared" ref="I5:I55" si="1">"("&amp;$A5&amp;", "&amp;$B5&amp;"]"</f>
        <v>(0, 1]</v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 cm="1">
        <f t="array" ref="S5:S55">R5:R55</f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f t="shared" si="0"/>
        <v>1.717273378500515</v>
      </c>
      <c r="F6" s="188">
        <v>1.9837701885094254E-2</v>
      </c>
      <c r="G6" s="189">
        <v>3.4066757337901842E-2</v>
      </c>
      <c r="H6" s="178"/>
      <c r="I6" s="214" t="str">
        <f t="shared" si="1"/>
        <v>(1, 2]</v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f t="shared" si="0"/>
        <v>2.7494699949180514</v>
      </c>
      <c r="F7" s="188">
        <v>1.4015660783039152E-2</v>
      </c>
      <c r="G7" s="189">
        <v>3.8535638781915793E-2</v>
      </c>
      <c r="H7" s="178"/>
      <c r="I7" s="124" t="str">
        <f t="shared" si="1"/>
        <v>(2, 3]</v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f t="shared" si="0"/>
        <v>3.698438811411831</v>
      </c>
      <c r="F8" s="188">
        <v>1.8456732836641832E-2</v>
      </c>
      <c r="G8" s="189">
        <v>6.8261097054895331E-2</v>
      </c>
      <c r="H8" s="178"/>
      <c r="I8" s="124" t="str">
        <f t="shared" si="1"/>
        <v>(3, 4]</v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f t="shared" si="0"/>
        <v>4.8055508642666016</v>
      </c>
      <c r="F9" s="188">
        <v>1.2600830041502075E-2</v>
      </c>
      <c r="G9" s="189">
        <v>6.0553929696416854E-2</v>
      </c>
      <c r="H9" s="178"/>
      <c r="I9" s="124" t="str">
        <f t="shared" si="1"/>
        <v>(4, 5]</v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f t="shared" si="0"/>
        <v>5.9517432565539101</v>
      </c>
      <c r="F10" s="188">
        <v>1.2416750837541877E-2</v>
      </c>
      <c r="G10" s="189">
        <v>7.3901313065649982E-2</v>
      </c>
      <c r="H10" s="178"/>
      <c r="I10" s="124" t="str">
        <f t="shared" si="1"/>
        <v>(5, 6]</v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f t="shared" si="0"/>
        <v>6.5083349597449649</v>
      </c>
      <c r="F11" s="188">
        <v>3.2793639681984099E-3</v>
      </c>
      <c r="G11" s="189">
        <v>2.1343199159953686E-2</v>
      </c>
      <c r="H11" s="178"/>
      <c r="I11" s="124" t="str">
        <f t="shared" si="1"/>
        <v>(6, 7]</v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f t="shared" si="0"/>
        <v>7.7139557273921682</v>
      </c>
      <c r="F12" s="188">
        <v>1.3139706985349267E-2</v>
      </c>
      <c r="G12" s="189">
        <v>0.10135911795588985</v>
      </c>
      <c r="H12" s="178"/>
      <c r="I12" s="214" t="str">
        <f t="shared" si="1"/>
        <v>(7, 8]</v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f t="shared" si="0"/>
        <v>8.921149234057598</v>
      </c>
      <c r="F13" s="188">
        <v>5.7585579278963952E-3</v>
      </c>
      <c r="G13" s="189">
        <v>5.1372954647729237E-2</v>
      </c>
      <c r="H13" s="178"/>
      <c r="I13" s="124" t="str">
        <f t="shared" si="1"/>
        <v>(8, 9]</v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f t="shared" si="0"/>
        <v>9.7502539596468267</v>
      </c>
      <c r="F14" s="188">
        <v>7.1215660783039156E-3</v>
      </c>
      <c r="G14" s="189">
        <v>6.9437077853869281E-2</v>
      </c>
      <c r="H14" s="178"/>
      <c r="I14" s="124" t="str">
        <f t="shared" si="1"/>
        <v>(9, 10]</v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f t="shared" si="0"/>
        <v>12.731126001910377</v>
      </c>
      <c r="F15" s="188">
        <v>1.7879193959697986E-2</v>
      </c>
      <c r="G15" s="189">
        <v>0.22762227111350999</v>
      </c>
      <c r="H15" s="178"/>
      <c r="I15" s="214" t="str">
        <f t="shared" si="1"/>
        <v>(10, 15]</v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f t="shared" si="0"/>
        <v>17.847063130953664</v>
      </c>
      <c r="F16" s="188">
        <v>1.1253362668133407E-2</v>
      </c>
      <c r="G16" s="189">
        <v>0.20083947397369409</v>
      </c>
      <c r="H16" s="178"/>
      <c r="I16" s="124" t="str">
        <f t="shared" si="1"/>
        <v>(15, 20]</v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f t="shared" si="0"/>
        <v>23.241782548536509</v>
      </c>
      <c r="F17" s="188">
        <v>6.2085004250212513E-3</v>
      </c>
      <c r="G17" s="189">
        <v>0.14429661683084041</v>
      </c>
      <c r="H17" s="178"/>
      <c r="I17" s="124" t="str">
        <f t="shared" si="1"/>
        <v>(20, 25]</v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f t="shared" si="0"/>
        <v>28.433287523969451</v>
      </c>
      <c r="F18" s="188">
        <v>4.3443072153607678E-3</v>
      </c>
      <c r="G18" s="189">
        <v>0.12352293614680779</v>
      </c>
      <c r="H18" s="178"/>
      <c r="I18" s="124" t="str">
        <f t="shared" si="1"/>
        <v>(25, 30]</v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f t="shared" si="0"/>
        <v>32.582622782446222</v>
      </c>
      <c r="F19" s="188">
        <v>2.1421071053552678E-3</v>
      </c>
      <c r="G19" s="189">
        <v>6.9795467773388478E-2</v>
      </c>
      <c r="H19" s="178"/>
      <c r="I19" s="124" t="str">
        <f t="shared" si="1"/>
        <v>(30, 35]</v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f t="shared" si="0"/>
        <v>38.267587849280773</v>
      </c>
      <c r="F20" s="188">
        <v>3.7793889694484723E-3</v>
      </c>
      <c r="G20" s="189">
        <v>0.14462809940497215</v>
      </c>
      <c r="H20" s="178"/>
      <c r="I20" s="214" t="str">
        <f t="shared" si="1"/>
        <v>(35, 40]</v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f t="shared" si="0"/>
        <v>43.525381157212756</v>
      </c>
      <c r="F21" s="188">
        <v>1.6483524176208811E-3</v>
      </c>
      <c r="G21" s="189">
        <v>7.1745167258361983E-2</v>
      </c>
      <c r="H21" s="178"/>
      <c r="I21" s="124" t="str">
        <f t="shared" si="1"/>
        <v>(40, 45]</v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f t="shared" si="0"/>
        <v>48.130052383806699</v>
      </c>
      <c r="F22" s="188">
        <v>2.0350817540877044E-3</v>
      </c>
      <c r="G22" s="189">
        <v>9.7948591429570436E-2</v>
      </c>
      <c r="H22" s="178"/>
      <c r="I22" s="124" t="str">
        <f t="shared" si="1"/>
        <v>(45, 50]</v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f t="shared" si="0"/>
        <v>56.771263274294917</v>
      </c>
      <c r="F23" s="188">
        <v>3.2376218810940549E-3</v>
      </c>
      <c r="G23" s="189">
        <v>0.18380388419420854</v>
      </c>
      <c r="H23" s="178"/>
      <c r="I23" s="214" t="str">
        <f t="shared" si="1"/>
        <v>(50, 60]</v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f t="shared" si="0"/>
        <v>65.508577269300474</v>
      </c>
      <c r="F24" s="188">
        <v>1.9763688184409219E-3</v>
      </c>
      <c r="G24" s="189">
        <v>0.12946910945547321</v>
      </c>
      <c r="H24" s="178"/>
      <c r="I24" s="124" t="str">
        <f t="shared" si="1"/>
        <v>(60, 70]</v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f t="shared" si="0"/>
        <v>76.157327020438984</v>
      </c>
      <c r="F25" s="188">
        <v>2.5599679983999198E-3</v>
      </c>
      <c r="G25" s="189">
        <v>0.1949603200160013</v>
      </c>
      <c r="H25" s="178"/>
      <c r="I25" s="214" t="str">
        <f t="shared" si="1"/>
        <v>(70, 80]</v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f t="shared" si="0"/>
        <v>86.294624850755881</v>
      </c>
      <c r="F26" s="188">
        <v>1.6919445972298614E-3</v>
      </c>
      <c r="G26" s="189">
        <v>0.14600572428621414</v>
      </c>
      <c r="H26" s="178"/>
      <c r="I26" s="124" t="str">
        <f t="shared" si="1"/>
        <v>(80, 90]</v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f t="shared" si="0"/>
        <v>96.165184680157765</v>
      </c>
      <c r="F27" s="188">
        <v>1.672163608180409E-3</v>
      </c>
      <c r="G27" s="189">
        <v>0.16080392219610801</v>
      </c>
      <c r="H27" s="178"/>
      <c r="I27" s="124" t="str">
        <f t="shared" si="1"/>
        <v>(90, 100]</v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f t="shared" si="0"/>
        <v>111.75100472833959</v>
      </c>
      <c r="F28" s="188">
        <v>2.8531526576328816E-3</v>
      </c>
      <c r="G28" s="189">
        <v>0.31884267613380685</v>
      </c>
      <c r="H28" s="178"/>
      <c r="I28" s="124" t="str">
        <f t="shared" si="1"/>
        <v>(100, 120]</v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f t="shared" si="0"/>
        <v>131.00934039187027</v>
      </c>
      <c r="F29" s="188">
        <v>1.9721786089304466E-3</v>
      </c>
      <c r="G29" s="189">
        <v>0.25837381869093407</v>
      </c>
      <c r="H29" s="178"/>
      <c r="I29" s="124" t="str">
        <f t="shared" si="1"/>
        <v>(120, 140]</v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f t="shared" si="0"/>
        <v>151.15136594214763</v>
      </c>
      <c r="F30" s="188">
        <v>1.8413120656032801E-3</v>
      </c>
      <c r="G30" s="189">
        <v>0.27831683384169315</v>
      </c>
      <c r="H30" s="178"/>
      <c r="I30" s="124" t="str">
        <f t="shared" si="1"/>
        <v>(140, 160]</v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f t="shared" si="0"/>
        <v>171.46626032245393</v>
      </c>
      <c r="F31" s="188">
        <v>1.424151207560378E-3</v>
      </c>
      <c r="G31" s="189">
        <v>0.2441938816940849</v>
      </c>
      <c r="H31" s="178"/>
      <c r="I31" s="124" t="str">
        <f t="shared" si="1"/>
        <v>(160, 180]</v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f t="shared" si="0"/>
        <v>192.09828141617407</v>
      </c>
      <c r="F32" s="188">
        <v>1.2976448822441121E-3</v>
      </c>
      <c r="G32" s="189">
        <v>0.24927535176758753</v>
      </c>
      <c r="H32" s="178"/>
      <c r="I32" s="124" t="str">
        <f t="shared" si="1"/>
        <v>(180, 200]</v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f t="shared" si="0"/>
        <v>224.26117884396203</v>
      </c>
      <c r="F33" s="188">
        <v>2.5083454172708636E-3</v>
      </c>
      <c r="G33" s="189">
        <v>0.56252450022501366</v>
      </c>
      <c r="H33" s="178"/>
      <c r="I33" s="124" t="str">
        <f t="shared" si="1"/>
        <v>(200, 250]</v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f t="shared" si="0"/>
        <v>275.21834595291244</v>
      </c>
      <c r="F34" s="188">
        <v>1.7381269063453174E-3</v>
      </c>
      <c r="G34" s="189">
        <v>0.47836441222061099</v>
      </c>
      <c r="H34" s="178"/>
      <c r="I34" s="124" t="str">
        <f t="shared" si="1"/>
        <v>(250, 300]</v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f t="shared" si="0"/>
        <v>324.64630543517291</v>
      </c>
      <c r="F35" s="188">
        <v>1.1976298814940748E-3</v>
      </c>
      <c r="G35" s="189">
        <v>0.3888061163058153</v>
      </c>
      <c r="H35" s="178"/>
      <c r="I35" s="124" t="str">
        <f t="shared" si="1"/>
        <v>(300, 350]</v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f t="shared" si="0"/>
        <v>376.11708703445095</v>
      </c>
      <c r="F36" s="188">
        <v>1.0098804940247012E-3</v>
      </c>
      <c r="G36" s="189">
        <v>0.3798333096654829</v>
      </c>
      <c r="H36" s="178"/>
      <c r="I36" s="124" t="str">
        <f t="shared" si="1"/>
        <v>(350, 400]</v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f t="shared" si="0"/>
        <v>425.33552600825783</v>
      </c>
      <c r="F37" s="188">
        <v>7.7017850892544632E-4</v>
      </c>
      <c r="G37" s="189">
        <v>0.32758428121406041</v>
      </c>
      <c r="H37" s="178"/>
      <c r="I37" s="124" t="str">
        <f t="shared" si="1"/>
        <v>(400, 450]</v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f t="shared" si="0"/>
        <v>477.42476826547244</v>
      </c>
      <c r="F38" s="188">
        <v>6.6782339116955845E-4</v>
      </c>
      <c r="G38" s="189">
        <v>0.3188354277713884</v>
      </c>
      <c r="H38" s="178"/>
      <c r="I38" s="124" t="str">
        <f t="shared" si="1"/>
        <v>(450, 500]</v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f t="shared" si="0"/>
        <v>524.75644336327343</v>
      </c>
      <c r="F39" s="188">
        <v>6.4131206560328019E-4</v>
      </c>
      <c r="G39" s="189">
        <v>0.33653263863193161</v>
      </c>
      <c r="H39" s="178"/>
      <c r="I39" s="124" t="str">
        <f t="shared" si="1"/>
        <v>(500, 550]</v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f t="shared" si="0"/>
        <v>576.01047946179938</v>
      </c>
      <c r="F40" s="188">
        <v>4.9203460173008647E-4</v>
      </c>
      <c r="G40" s="189">
        <v>0.28341708685434258</v>
      </c>
      <c r="H40" s="178"/>
      <c r="I40" s="124" t="str">
        <f t="shared" si="1"/>
        <v>(550, 600]</v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f t="shared" si="0"/>
        <v>625.76298938288005</v>
      </c>
      <c r="F41" s="188">
        <v>3.6169808490424523E-4</v>
      </c>
      <c r="G41" s="189">
        <v>0.22633727486374325</v>
      </c>
      <c r="H41" s="178"/>
      <c r="I41" s="124" t="str">
        <f t="shared" si="1"/>
        <v>(600, 650]</v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f t="shared" si="0"/>
        <v>675.1052960732037</v>
      </c>
      <c r="F42" s="188">
        <v>3.0382519125956295E-4</v>
      </c>
      <c r="G42" s="189">
        <v>0.205113995699785</v>
      </c>
      <c r="H42" s="178"/>
      <c r="I42" s="124" t="str">
        <f t="shared" si="1"/>
        <v>(650, 700]</v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f t="shared" si="0"/>
        <v>724.87623818311965</v>
      </c>
      <c r="F43" s="188">
        <v>2.6552327616380817E-4</v>
      </c>
      <c r="G43" s="189">
        <v>0.19247151357567888</v>
      </c>
      <c r="H43" s="178"/>
      <c r="I43" s="124" t="str">
        <f t="shared" si="1"/>
        <v>(700, 750]</v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f t="shared" si="0"/>
        <v>781.51301097556802</v>
      </c>
      <c r="F44" s="188">
        <v>2.9430471523576179E-4</v>
      </c>
      <c r="G44" s="189">
        <v>0.23000296414820734</v>
      </c>
      <c r="H44" s="178"/>
      <c r="I44" s="124" t="str">
        <f t="shared" si="1"/>
        <v>(750, 800]</v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f t="shared" si="0"/>
        <v>827.00298706663932</v>
      </c>
      <c r="F45" s="188">
        <v>3.1470573528676434E-4</v>
      </c>
      <c r="G45" s="189">
        <v>0.26026258312915718</v>
      </c>
      <c r="H45" s="178"/>
      <c r="I45" s="124" t="str">
        <f t="shared" si="1"/>
        <v>(800, 850]</v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f t="shared" si="0"/>
        <v>874.48899115044242</v>
      </c>
      <c r="F46" s="188">
        <v>2.5426271313565681E-4</v>
      </c>
      <c r="G46" s="189">
        <v>0.22234994349717488</v>
      </c>
      <c r="H46" s="178"/>
      <c r="I46" s="124" t="str">
        <f t="shared" si="1"/>
        <v>(850, 900]</v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f t="shared" si="0"/>
        <v>924.64540842501322</v>
      </c>
      <c r="F47" s="188">
        <v>1.7543877193859693E-4</v>
      </c>
      <c r="G47" s="189">
        <v>0.1622186549327467</v>
      </c>
      <c r="H47" s="178"/>
      <c r="I47" s="124" t="str">
        <f t="shared" si="1"/>
        <v>(900, 950]</v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f t="shared" si="0"/>
        <v>982.86701077199302</v>
      </c>
      <c r="F48" s="188">
        <v>2.2281114055702785E-4</v>
      </c>
      <c r="G48" s="189">
        <v>0.21899371968598436</v>
      </c>
      <c r="H48" s="178"/>
      <c r="I48" s="124" t="str">
        <f t="shared" si="1"/>
        <v>(950, 1000]</v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f t="shared" si="0"/>
        <v>1408.7033005674721</v>
      </c>
      <c r="F49" s="188">
        <v>2.4742437121856092E-3</v>
      </c>
      <c r="G49" s="189">
        <v>3.485475283764182</v>
      </c>
      <c r="H49" s="178"/>
      <c r="I49" s="124" t="str">
        <f t="shared" si="1"/>
        <v>(1000, 2000]</v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f t="shared" si="0"/>
        <v>2409.495451068618</v>
      </c>
      <c r="F50" s="188">
        <v>1.111305565278264E-3</v>
      </c>
      <c r="G50" s="189">
        <v>2.6776857042852162</v>
      </c>
      <c r="H50" s="178"/>
      <c r="I50" s="124" t="str">
        <f t="shared" si="1"/>
        <v>(2000, 3000]</v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f t="shared" si="0"/>
        <v>3436.4085551693847</v>
      </c>
      <c r="F51" s="188">
        <v>5.2368618430921545E-4</v>
      </c>
      <c r="G51" s="189">
        <v>1.7995996839841992</v>
      </c>
      <c r="H51" s="178"/>
      <c r="I51" s="124" t="str">
        <f t="shared" si="1"/>
        <v>(3000, 4000]</v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f t="shared" si="0"/>
        <v>4444.7431769484137</v>
      </c>
      <c r="F52" s="188">
        <v>3.1270563528176408E-4</v>
      </c>
      <c r="G52" s="189">
        <v>1.38989623881194</v>
      </c>
      <c r="H52" s="178"/>
      <c r="I52" s="124" t="str">
        <f t="shared" si="1"/>
        <v>(4000, 5000]</v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f t="shared" si="0"/>
        <v>5457.435445057502</v>
      </c>
      <c r="F53" s="188">
        <v>1.5043752187609381E-4</v>
      </c>
      <c r="G53" s="189">
        <v>0.82100306415320767</v>
      </c>
      <c r="H53" s="178"/>
      <c r="I53" s="124" t="str">
        <f t="shared" si="1"/>
        <v>(5000, 6000]</v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f t="shared" si="0"/>
        <v>6449.1874077030525</v>
      </c>
      <c r="F54" s="188">
        <v>1.0022501125056253E-4</v>
      </c>
      <c r="G54" s="189">
        <v>0.64636988049402466</v>
      </c>
      <c r="H54" s="178"/>
      <c r="I54" s="124" t="str">
        <f t="shared" si="1"/>
        <v>(6000, 7000]</v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f t="shared" si="0"/>
        <v>8179.7236436821868</v>
      </c>
      <c r="F55" s="191">
        <v>1.1428571428571428E-4</v>
      </c>
      <c r="G55" s="192">
        <v>0.93482555927796418</v>
      </c>
      <c r="H55" s="178"/>
      <c r="I55" s="125" t="str">
        <f t="shared" si="1"/>
        <v>(7000, 8000]</v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f>SUM(O28:O49)</f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f>1/SUM(N35:N55)</f>
        <v>29096.59979910187</v>
      </c>
      <c r="O58" s="220" cm="1">
        <f t="array" ref="O58:O59">N60/N58:N59</f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f>1/N49</f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f>SUM(_xlfn.ANCHORARRAY(O63))</f>
        <v>1.149088164397527</v>
      </c>
      <c r="Y61" s="1">
        <v>160</v>
      </c>
      <c r="Z61" s="1">
        <v>180</v>
      </c>
    </row>
    <row r="62" spans="1:26" thickBot="1">
      <c r="A62" s="164" t="str" cm="1">
        <f t="array" ref="A62:G62">A3:G3</f>
        <v>Lower</v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f>SUM(_xlfn.ANCHORARRAY(Q63))</f>
        <v>0.64351799419609779</v>
      </c>
      <c r="Y62" s="1">
        <v>90</v>
      </c>
      <c r="Z62" s="1">
        <v>100</v>
      </c>
    </row>
    <row r="63" spans="1:26" ht="15.6">
      <c r="A63" s="199" cm="1">
        <f t="array" ref="A63:B114">A4:B55</f>
        <v>-1</v>
      </c>
      <c r="B63" s="200">
        <v>0</v>
      </c>
      <c r="C63" s="158" cm="1">
        <f t="array" ref="C63:D114">'[1]Raw Data'!$S$1:$T$52</f>
        <v>79519285</v>
      </c>
      <c r="D63" s="166">
        <v>0</v>
      </c>
      <c r="E63" s="187">
        <f>(D63/$E$60)/(C63)</f>
        <v>0</v>
      </c>
      <c r="F63" s="185" cm="1">
        <f t="array" ref="F63:F114">C63:C114/SUM(C63:C114)</f>
        <v>0.79521482178552594</v>
      </c>
      <c r="G63" s="186" cm="1">
        <f t="array" ref="G63:G114">E63:E114*_xlfn.ANCHORARRAY(F63)</f>
        <v>0</v>
      </c>
      <c r="H63" s="178"/>
      <c r="I63" s="128" t="str">
        <f>"("&amp;$A63&amp;", "&amp;$B63&amp;"]"</f>
        <v>(-1, 0]</v>
      </c>
      <c r="J63" s="158" cm="1">
        <f t="array" ref="J63:J114">IF(1/F63:F114&lt;$J$2,1,0)</f>
        <v>1</v>
      </c>
      <c r="K63" s="217">
        <v>1.014521</v>
      </c>
      <c r="L63" s="185" cm="1">
        <f t="array" ref="L63:L114">K63:K114*_xlfn.ANCHORARRAY(J63)*_xlfn.ANCHORARRAY(F63)</f>
        <v>0.80676213621267356</v>
      </c>
      <c r="M63" s="207" cm="1">
        <f t="array" ref="M63:M114">INT(_xlfn.ANCHORARRAY(L63)*$M$2)</f>
        <v>806762136</v>
      </c>
      <c r="N63" s="194" cm="1">
        <f t="array" ref="N63:N114">M63:M114/SUM(M63:M114)</f>
        <v>0.86459485841215344</v>
      </c>
      <c r="O63" s="210" cm="1">
        <f t="array" ref="O63:O114">_xlfn.ANCHORARRAY(N63)*E63:E114</f>
        <v>0</v>
      </c>
      <c r="P63" s="1">
        <v>0.880141814340199</v>
      </c>
      <c r="Q63" s="183" cm="1">
        <f t="array" ref="Q63:Q114">P63:P114*E63:E114</f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f t="shared" ref="E64:E114" si="2">(D64/$E$60)/(C64)</f>
        <v>0.44439708542617345</v>
      </c>
      <c r="F64" s="188">
        <v>8.9155963379268163E-3</v>
      </c>
      <c r="G64" s="189">
        <v>3.9620650274109423E-3</v>
      </c>
      <c r="H64" s="178"/>
      <c r="I64" s="124" t="str">
        <f t="shared" ref="I64:I114" si="3">"("&amp;$A64&amp;", "&amp;$B64&amp;"]"</f>
        <v>(0, 1]</v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f t="shared" si="2"/>
        <v>1.0390732787553683</v>
      </c>
      <c r="F65" s="188">
        <v>1.581053684513303E-2</v>
      </c>
      <c r="G65" s="189">
        <v>1.6428306358554932E-2</v>
      </c>
      <c r="H65" s="178"/>
      <c r="I65" s="214" t="str">
        <f t="shared" si="3"/>
        <v>(1, 2]</v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f t="shared" si="2"/>
        <v>1.6236618324415635</v>
      </c>
      <c r="F66" s="188">
        <v>1.4263514100894608E-2</v>
      </c>
      <c r="G66" s="189">
        <v>2.3159123442114619E-2</v>
      </c>
      <c r="H66" s="178"/>
      <c r="I66" s="124" t="str">
        <f t="shared" si="3"/>
        <v>(2, 3]</v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f t="shared" si="2"/>
        <v>2.4062899860360325</v>
      </c>
      <c r="F67" s="188">
        <v>2.4748733807515102E-2</v>
      </c>
      <c r="G67" s="189">
        <v>5.9552630328094998E-2</v>
      </c>
      <c r="H67" s="178"/>
      <c r="I67" s="124" t="str">
        <f t="shared" si="3"/>
        <v>(3, 4]</v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f t="shared" si="2"/>
        <v>3.0870550717567014</v>
      </c>
      <c r="F68" s="188">
        <v>7.9776304219285575E-3</v>
      </c>
      <c r="G68" s="189">
        <v>2.4627384454615108E-2</v>
      </c>
      <c r="H68" s="178"/>
      <c r="I68" s="124" t="str">
        <f t="shared" si="3"/>
        <v>(4, 5]</v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f t="shared" si="2"/>
        <v>3.7252433141251236</v>
      </c>
      <c r="F69" s="188">
        <v>1.5388055171964402E-2</v>
      </c>
      <c r="G69" s="189">
        <v>5.7324249646748919E-2</v>
      </c>
      <c r="H69" s="178"/>
      <c r="I69" s="124" t="str">
        <f t="shared" si="3"/>
        <v>(5, 6]</v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f t="shared" si="2"/>
        <v>4.3572190813674814</v>
      </c>
      <c r="F70" s="188">
        <v>9.4527411792387824E-3</v>
      </c>
      <c r="G70" s="189">
        <v>4.118766423740737E-2</v>
      </c>
      <c r="H70" s="178"/>
      <c r="I70" s="124" t="str">
        <f t="shared" si="3"/>
        <v>(6, 7]</v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f t="shared" si="2"/>
        <v>5.2880383555234669</v>
      </c>
      <c r="F71" s="188">
        <v>1.2157935923769573E-2</v>
      </c>
      <c r="G71" s="189">
        <v>6.4291631488890139E-2</v>
      </c>
      <c r="H71" s="178"/>
      <c r="I71" s="214" t="str">
        <f t="shared" si="3"/>
        <v>(7, 8]</v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f t="shared" si="2"/>
        <v>5.7445200522193458</v>
      </c>
      <c r="F72" s="188">
        <v>1.6503755998778246E-3</v>
      </c>
      <c r="G72" s="189">
        <v>9.4806157271916953E-3</v>
      </c>
      <c r="H72" s="178"/>
      <c r="I72" s="124" t="str">
        <f t="shared" si="3"/>
        <v>(8, 9]</v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f t="shared" si="2"/>
        <v>6.4687183218484181</v>
      </c>
      <c r="F73" s="188">
        <v>7.0461046838724154E-3</v>
      </c>
      <c r="G73" s="189">
        <v>4.5579266466227453E-2</v>
      </c>
      <c r="H73" s="178"/>
      <c r="I73" s="124" t="str">
        <f t="shared" si="3"/>
        <v>(9, 10]</v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f t="shared" si="2"/>
        <v>8.1705673645478747</v>
      </c>
      <c r="F74" s="188">
        <v>1.6575867991232597E-2</v>
      </c>
      <c r="G74" s="189">
        <v>0.1354342460482188</v>
      </c>
      <c r="H74" s="178"/>
      <c r="I74" s="214" t="str">
        <f t="shared" si="3"/>
        <v>(10, 15]</v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f t="shared" si="2"/>
        <v>11.65259385727545</v>
      </c>
      <c r="F75" s="188">
        <v>1.1117127166223604E-2</v>
      </c>
      <c r="G75" s="189">
        <v>0.12954336772768721</v>
      </c>
      <c r="H75" s="178"/>
      <c r="I75" s="124" t="str">
        <f t="shared" si="3"/>
        <v>(15, 20]</v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f t="shared" si="2"/>
        <v>15.117297407830995</v>
      </c>
      <c r="F76" s="188">
        <v>4.5807165651986963E-3</v>
      </c>
      <c r="G76" s="189">
        <v>6.9248054657086749E-2</v>
      </c>
      <c r="H76" s="178"/>
      <c r="I76" s="124" t="str">
        <f t="shared" si="3"/>
        <v>(20, 25]</v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f t="shared" si="2"/>
        <v>18.337044563682891</v>
      </c>
      <c r="F77" s="188">
        <v>5.063629908094361E-3</v>
      </c>
      <c r="G77" s="189">
        <v>9.2852007278723794E-2</v>
      </c>
      <c r="H77" s="178"/>
      <c r="I77" s="124" t="str">
        <f t="shared" si="3"/>
        <v>(25, 30]</v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f t="shared" si="2"/>
        <v>21.675010362958648</v>
      </c>
      <c r="F78" s="188">
        <v>3.2461596913922731E-3</v>
      </c>
      <c r="G78" s="189">
        <v>7.0360544950746173E-2</v>
      </c>
      <c r="H78" s="178"/>
      <c r="I78" s="124" t="str">
        <f t="shared" si="3"/>
        <v>(30, 35]</v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f t="shared" si="2"/>
        <v>25.68022496144777</v>
      </c>
      <c r="F79" s="188">
        <v>3.4649857375559285E-3</v>
      </c>
      <c r="G79" s="189">
        <v>8.8981613228644271E-2</v>
      </c>
      <c r="H79" s="178"/>
      <c r="I79" s="214" t="str">
        <f t="shared" si="3"/>
        <v>(35, 40]</v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f t="shared" si="2"/>
        <v>28.512905334906151</v>
      </c>
      <c r="F80" s="188">
        <v>1.7912294916708549E-3</v>
      </c>
      <c r="G80" s="189">
        <v>5.107315692910315E-2</v>
      </c>
      <c r="H80" s="178"/>
      <c r="I80" s="124" t="str">
        <f t="shared" si="3"/>
        <v>(40, 45]</v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f t="shared" si="2"/>
        <v>31.830310337513016</v>
      </c>
      <c r="F81" s="188">
        <v>2.0901477507823539E-3</v>
      </c>
      <c r="G81" s="189">
        <v>6.6530051558657141E-2</v>
      </c>
      <c r="H81" s="178"/>
      <c r="I81" s="124" t="str">
        <f t="shared" si="3"/>
        <v>(45, 50]</v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f t="shared" si="2"/>
        <v>36.810085374899749</v>
      </c>
      <c r="F82" s="188">
        <v>3.9151281749914748E-3</v>
      </c>
      <c r="G82" s="189">
        <v>0.14411620237511164</v>
      </c>
      <c r="H82" s="178"/>
      <c r="I82" s="214" t="str">
        <f t="shared" si="3"/>
        <v>(50, 60]</v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f t="shared" si="2"/>
        <v>43.572010729356776</v>
      </c>
      <c r="F83" s="188">
        <v>2.8835496724774505E-3</v>
      </c>
      <c r="G83" s="189">
        <v>0.12564205726782068</v>
      </c>
      <c r="H83" s="178"/>
      <c r="I83" s="124" t="str">
        <f t="shared" si="3"/>
        <v>(60, 70]</v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f t="shared" si="2"/>
        <v>50.76488961873612</v>
      </c>
      <c r="F84" s="188">
        <v>2.789097062751844E-3</v>
      </c>
      <c r="G84" s="189">
        <v>0.1415882045265385</v>
      </c>
      <c r="H84" s="178"/>
      <c r="I84" s="214" t="str">
        <f t="shared" si="3"/>
        <v>(70, 80]</v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f t="shared" si="2"/>
        <v>57.088624031221492</v>
      </c>
      <c r="F85" s="188">
        <v>1.8073099359735309E-3</v>
      </c>
      <c r="G85" s="189">
        <v>0.1031768374426839</v>
      </c>
      <c r="H85" s="178"/>
      <c r="I85" s="124" t="str">
        <f t="shared" si="3"/>
        <v>(80, 90]</v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f t="shared" si="2"/>
        <v>63.651592584162103</v>
      </c>
      <c r="F86" s="188">
        <v>1.8014197732283343E-3</v>
      </c>
      <c r="G86" s="189">
        <v>0.11466323747858362</v>
      </c>
      <c r="H86" s="178"/>
      <c r="I86" s="124" t="str">
        <f t="shared" si="3"/>
        <v>(90, 100]</v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f t="shared" si="2"/>
        <v>73.549167794014167</v>
      </c>
      <c r="F87" s="188">
        <v>2.9544116303933479E-3</v>
      </c>
      <c r="G87" s="189">
        <v>0.21729451673638731</v>
      </c>
      <c r="H87" s="178"/>
      <c r="I87" s="124" t="str">
        <f t="shared" si="3"/>
        <v>(100, 120]</v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f t="shared" si="2"/>
        <v>87.293352863929982</v>
      </c>
      <c r="F88" s="188">
        <v>2.3598952039044839E-3</v>
      </c>
      <c r="G88" s="189">
        <v>0.2060031647563301</v>
      </c>
      <c r="H88" s="178"/>
      <c r="I88" s="124" t="str">
        <f t="shared" si="3"/>
        <v>(120, 140]</v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f t="shared" si="2"/>
        <v>100.55729301157619</v>
      </c>
      <c r="F89" s="188">
        <v>2.0034953565767023E-3</v>
      </c>
      <c r="G89" s="189">
        <v>0.20146606961861577</v>
      </c>
      <c r="H89" s="178"/>
      <c r="I89" s="124" t="str">
        <f t="shared" si="3"/>
        <v>(140, 160]</v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f t="shared" si="2"/>
        <v>113.69933478280186</v>
      </c>
      <c r="F90" s="188">
        <v>1.3721879135520515E-3</v>
      </c>
      <c r="G90" s="189">
        <v>0.15601685296786907</v>
      </c>
      <c r="H90" s="178"/>
      <c r="I90" s="124" t="str">
        <f t="shared" si="3"/>
        <v>(160, 180]</v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f t="shared" si="2"/>
        <v>127.27371710771909</v>
      </c>
      <c r="F91" s="188">
        <v>1.250074539559528E-3</v>
      </c>
      <c r="G91" s="189">
        <v>0.15910163331146157</v>
      </c>
      <c r="H91" s="178"/>
      <c r="I91" s="124" t="str">
        <f t="shared" si="3"/>
        <v>(180, 200]</v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f t="shared" si="2"/>
        <v>149.31687817284643</v>
      </c>
      <c r="F92" s="188">
        <v>2.1949006451048242E-3</v>
      </c>
      <c r="G92" s="189">
        <v>0.32773571222661907</v>
      </c>
      <c r="H92" s="178"/>
      <c r="I92" s="124" t="str">
        <f t="shared" si="3"/>
        <v>(200, 250]</v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f t="shared" si="2"/>
        <v>182.74785748803723</v>
      </c>
      <c r="F93" s="188">
        <v>1.673886249477073E-3</v>
      </c>
      <c r="G93" s="189">
        <v>0.30589912577062128</v>
      </c>
      <c r="H93" s="178"/>
      <c r="I93" s="124" t="str">
        <f t="shared" si="3"/>
        <v>(250, 300]</v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f t="shared" si="2"/>
        <v>217.55177703618702</v>
      </c>
      <c r="F94" s="188">
        <v>1.2975458511918685E-3</v>
      </c>
      <c r="G94" s="189">
        <v>0.28228340571272287</v>
      </c>
      <c r="H94" s="178"/>
      <c r="I94" s="124" t="str">
        <f t="shared" si="3"/>
        <v>(300, 350]</v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f t="shared" si="2"/>
        <v>249.48935359945841</v>
      </c>
      <c r="F95" s="188">
        <v>1.0305384737780306E-3</v>
      </c>
      <c r="G95" s="189">
        <v>0.25710837768225325</v>
      </c>
      <c r="H95" s="178"/>
      <c r="I95" s="124" t="str">
        <f t="shared" si="3"/>
        <v>(350, 400]</v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f t="shared" si="2"/>
        <v>282.9494607285784</v>
      </c>
      <c r="F96" s="188">
        <v>6.918991171726075E-4</v>
      </c>
      <c r="G96" s="189">
        <v>0.19577248208256878</v>
      </c>
      <c r="H96" s="178"/>
      <c r="I96" s="124" t="str">
        <f t="shared" si="3"/>
        <v>(400, 450]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f t="shared" si="2"/>
        <v>316.2553474761653</v>
      </c>
      <c r="F97" s="188">
        <v>5.4147496095317111E-4</v>
      </c>
      <c r="G97" s="189">
        <v>0.17124435192588816</v>
      </c>
      <c r="H97" s="178"/>
      <c r="I97" s="124" t="str">
        <f t="shared" si="3"/>
        <v>(450, 500]</v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f t="shared" si="2"/>
        <v>352.07043623857021</v>
      </c>
      <c r="F98" s="188">
        <v>5.8929628225627879E-4</v>
      </c>
      <c r="G98" s="189">
        <v>0.20747379916773567</v>
      </c>
      <c r="H98" s="178"/>
      <c r="I98" s="124" t="str">
        <f t="shared" si="3"/>
        <v>(500, 550]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f t="shared" si="2"/>
        <v>382.25266558966086</v>
      </c>
      <c r="F99" s="188">
        <v>5.6949573516716266E-4</v>
      </c>
      <c r="G99" s="189">
        <v>0.2176912628095915</v>
      </c>
      <c r="H99" s="178"/>
      <c r="I99" s="124" t="str">
        <f t="shared" si="3"/>
        <v>(550, 600]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f t="shared" si="2"/>
        <v>416.42566995331805</v>
      </c>
      <c r="F100" s="188">
        <v>3.5869991087853756E-4</v>
      </c>
      <c r="G100" s="189">
        <v>0.14937185069979048</v>
      </c>
      <c r="H100" s="178"/>
      <c r="I100" s="124" t="str">
        <f t="shared" si="3"/>
        <v>(600, 650]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f t="shared" si="2"/>
        <v>450.96206121593497</v>
      </c>
      <c r="F101" s="188">
        <v>5.3001464430462212E-4</v>
      </c>
      <c r="G101" s="189">
        <v>0.23901649647024301</v>
      </c>
      <c r="H101" s="178"/>
      <c r="I101" s="124" t="str">
        <f t="shared" si="3"/>
        <v>(650, 700]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f t="shared" si="2"/>
        <v>482.18389245776831</v>
      </c>
      <c r="F102" s="188">
        <v>3.7361032285322042E-4</v>
      </c>
      <c r="G102" s="189">
        <v>0.18014887973576932</v>
      </c>
      <c r="H102" s="178"/>
      <c r="I102" s="124" t="str">
        <f t="shared" si="3"/>
        <v>(700, 750]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f t="shared" si="2"/>
        <v>520.08166555109335</v>
      </c>
      <c r="F103" s="188">
        <v>3.1872880647692295E-4</v>
      </c>
      <c r="G103" s="189">
        <v>0.1657650085316302</v>
      </c>
      <c r="H103" s="178"/>
      <c r="I103" s="124" t="str">
        <f t="shared" si="3"/>
        <v>(750, 800]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f t="shared" si="2"/>
        <v>551.21706722195108</v>
      </c>
      <c r="F104" s="188">
        <v>3.4577955388907398E-4</v>
      </c>
      <c r="G104" s="189">
        <v>0.19059959160004994</v>
      </c>
      <c r="H104" s="178"/>
      <c r="I104" s="124" t="str">
        <f t="shared" si="3"/>
        <v>(800, 850]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f t="shared" si="2"/>
        <v>582.22571064571991</v>
      </c>
      <c r="F105" s="188">
        <v>2.7647763907716772E-4</v>
      </c>
      <c r="G105" s="189">
        <v>0.16097238988935483</v>
      </c>
      <c r="H105" s="178"/>
      <c r="I105" s="124" t="str">
        <f t="shared" si="3"/>
        <v>(850, 900]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f t="shared" si="2"/>
        <v>616.29579643634349</v>
      </c>
      <c r="F106" s="188">
        <v>2.0628569967388199E-4</v>
      </c>
      <c r="G106" s="189">
        <v>0.12713300957394347</v>
      </c>
      <c r="H106" s="178"/>
      <c r="I106" s="124" t="str">
        <f t="shared" si="3"/>
        <v>(900, 950]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f t="shared" si="2"/>
        <v>654.65105949308463</v>
      </c>
      <c r="F107" s="188">
        <v>2.5185695880777185E-4</v>
      </c>
      <c r="G107" s="189">
        <v>0.16487842492421401</v>
      </c>
      <c r="H107" s="178"/>
      <c r="I107" s="124" t="str">
        <f t="shared" si="3"/>
        <v>(950, 1000]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f t="shared" si="2"/>
        <v>934.2175517251211</v>
      </c>
      <c r="F108" s="188">
        <v>2.9919126665469767E-3</v>
      </c>
      <c r="G108" s="189">
        <v>2.795097326316895</v>
      </c>
      <c r="H108" s="178"/>
      <c r="I108" s="124" t="str">
        <f t="shared" si="3"/>
        <v>(1000, 2000]</v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f t="shared" si="2"/>
        <v>1625.7169629424934</v>
      </c>
      <c r="F109" s="188">
        <v>1.1219209986771935E-3</v>
      </c>
      <c r="G109" s="189">
        <v>1.823925998630896</v>
      </c>
      <c r="H109" s="178"/>
      <c r="I109" s="124" t="str">
        <f t="shared" si="3"/>
        <v>(2000, 3000]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f t="shared" si="2"/>
        <v>2291.9540180597805</v>
      </c>
      <c r="F110" s="188">
        <v>4.6021271567733417E-4</v>
      </c>
      <c r="G110" s="189">
        <v>1.0547863828588695</v>
      </c>
      <c r="H110" s="178"/>
      <c r="I110" s="124" t="str">
        <f t="shared" si="3"/>
        <v>(3000, 4000]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f t="shared" si="2"/>
        <v>2958.29411348857</v>
      </c>
      <c r="F111" s="188">
        <v>2.294763404312861E-4</v>
      </c>
      <c r="G111" s="189">
        <v>0.67885850708277284</v>
      </c>
      <c r="H111" s="178"/>
      <c r="I111" s="124" t="str">
        <f t="shared" si="3"/>
        <v>(4000, 5000]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f t="shared" si="2"/>
        <v>3630.8375992738834</v>
      </c>
      <c r="F112" s="188">
        <v>1.1752324716731924E-4</v>
      </c>
      <c r="G112" s="189">
        <v>0.42670782460386059</v>
      </c>
      <c r="H112" s="178"/>
      <c r="I112" s="124" t="str">
        <f t="shared" si="3"/>
        <v>(5000, 6000]</v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f t="shared" si="2"/>
        <v>4312.8285994123398</v>
      </c>
      <c r="F113" s="188">
        <v>6.1261692660568207E-5</v>
      </c>
      <c r="G113" s="189">
        <v>0.26421118015490758</v>
      </c>
      <c r="H113" s="178"/>
      <c r="I113" s="124" t="str">
        <f t="shared" si="3"/>
        <v>(6000, 7000]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f t="shared" si="2"/>
        <v>5396.2888056150359</v>
      </c>
      <c r="F114" s="191">
        <v>7.4722064570644086E-5</v>
      </c>
      <c r="G114" s="192">
        <v>0.40322184057501059</v>
      </c>
      <c r="H114" s="178"/>
      <c r="I114" s="125" t="str">
        <f t="shared" si="3"/>
        <v>(7000, 8000]</v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f>SUM(_xlfn.ANCHORARRAY(O122))</f>
        <v>0.31268236163167618</v>
      </c>
    </row>
    <row r="121" spans="1:26" thickBot="1">
      <c r="A121" s="164" t="str" cm="1">
        <f t="array" ref="A121:G121">A62:G62</f>
        <v>Lower</v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 cm="1">
        <f t="array" ref="A122:B173">A63:B114</f>
        <v>-1</v>
      </c>
      <c r="B122" s="200">
        <v>0</v>
      </c>
      <c r="C122" s="158">
        <v>8559881</v>
      </c>
      <c r="D122" s="166">
        <v>0</v>
      </c>
      <c r="E122" s="187">
        <f>IFERROR((D122/$E$119)/(C122),0)</f>
        <v>0</v>
      </c>
      <c r="F122" s="185" cm="1">
        <f t="array" ref="F122:F173">C122:C173/SUM(C122:C173)</f>
        <v>0.85598810000000003</v>
      </c>
      <c r="G122" s="186" cm="1">
        <f t="array" ref="G122:G173">E122:E173*_xlfn.ANCHORARRAY(F122)</f>
        <v>0</v>
      </c>
      <c r="H122" s="178"/>
      <c r="I122" s="128" t="str">
        <f>"("&amp;$A122&amp;", "&amp;$B122&amp;"]"</f>
        <v>(-1, 0]</v>
      </c>
      <c r="J122" s="158" cm="1">
        <f t="array" ref="J122:J173">IFERROR(IF(1/F122:F173&lt;$J$2,1,0),0)</f>
        <v>1</v>
      </c>
      <c r="K122" s="217">
        <v>1.014521</v>
      </c>
      <c r="L122" s="185" cm="1">
        <f t="array" ref="L122:L173">K122:K173*_xlfn.ANCHORARRAY(J122)*_xlfn.ANCHORARRAY(F122)</f>
        <v>0.86841790320010004</v>
      </c>
      <c r="M122" s="207" cm="1">
        <f t="array" ref="M122:M173">INT(_xlfn.ANCHORARRAY(L122)*$M$2)</f>
        <v>868417903</v>
      </c>
      <c r="N122" s="194" cm="1">
        <f t="array" ref="N122:N173">M122:M173/SUM(M122:M173)</f>
        <v>0.92526831663311015</v>
      </c>
      <c r="O122" s="210" cm="1">
        <f t="array" ref="O122:O173">_xlfn.ANCHORARRAY(N122)*E122:E173</f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f t="shared" ref="E123:E173" si="4">IFERROR((D123/$E$119)/(C123),0)</f>
        <v>0</v>
      </c>
      <c r="F123" s="188">
        <v>0</v>
      </c>
      <c r="G123" s="189">
        <v>0</v>
      </c>
      <c r="H123" s="178"/>
      <c r="I123" s="124" t="str">
        <f t="shared" ref="I123:I173" si="5">"("&amp;$A123&amp;", "&amp;$B123&amp;"]"</f>
        <v>(0, 1]</v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f t="shared" si="4"/>
        <v>0</v>
      </c>
      <c r="F124" s="188">
        <v>0</v>
      </c>
      <c r="G124" s="189">
        <v>0</v>
      </c>
      <c r="H124" s="178"/>
      <c r="I124" s="214" t="str">
        <f t="shared" si="5"/>
        <v>(1, 2]</v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f t="shared" si="4"/>
        <v>0</v>
      </c>
      <c r="F125" s="188">
        <v>0</v>
      </c>
      <c r="G125" s="189">
        <v>0</v>
      </c>
      <c r="H125" s="178"/>
      <c r="I125" s="124" t="str">
        <f t="shared" si="5"/>
        <v>(2, 3]</v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f t="shared" si="4"/>
        <v>0.5</v>
      </c>
      <c r="F126" s="188">
        <v>4.2658000000000001E-3</v>
      </c>
      <c r="G126" s="189">
        <v>2.1329000000000001E-3</v>
      </c>
      <c r="H126" s="178"/>
      <c r="I126" s="124" t="str">
        <f t="shared" si="5"/>
        <v>(3, 4]</v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f t="shared" si="4"/>
        <v>0</v>
      </c>
      <c r="F127" s="188">
        <v>0</v>
      </c>
      <c r="G127" s="189">
        <v>0</v>
      </c>
      <c r="H127" s="178"/>
      <c r="I127" s="124" t="str">
        <f t="shared" si="5"/>
        <v>(4, 5]</v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f t="shared" si="4"/>
        <v>0.75</v>
      </c>
      <c r="F128" s="188">
        <v>2.1307000000000001E-3</v>
      </c>
      <c r="G128" s="189">
        <v>1.5980250000000001E-3</v>
      </c>
      <c r="H128" s="178"/>
      <c r="I128" s="124" t="str">
        <f t="shared" si="5"/>
        <v>(5, 6]</v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f t="shared" si="4"/>
        <v>0</v>
      </c>
      <c r="F129" s="188">
        <v>0</v>
      </c>
      <c r="G129" s="189">
        <v>0</v>
      </c>
      <c r="H129" s="178"/>
      <c r="I129" s="124" t="str">
        <f t="shared" si="5"/>
        <v>(6, 7]</v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f t="shared" si="4"/>
        <v>1</v>
      </c>
      <c r="F130" s="188">
        <v>2.4784999999999998E-3</v>
      </c>
      <c r="G130" s="189">
        <v>2.4784999999999998E-3</v>
      </c>
      <c r="H130" s="178"/>
      <c r="I130" s="214" t="str">
        <f t="shared" si="5"/>
        <v>(7, 8]</v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f t="shared" si="4"/>
        <v>0</v>
      </c>
      <c r="F131" s="188">
        <v>0</v>
      </c>
      <c r="G131" s="189">
        <v>0</v>
      </c>
      <c r="H131" s="178"/>
      <c r="I131" s="124" t="str">
        <f t="shared" si="5"/>
        <v>(8, 9]</v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f t="shared" si="4"/>
        <v>1.25</v>
      </c>
      <c r="F132" s="188">
        <v>6.6981000000000002E-3</v>
      </c>
      <c r="G132" s="189">
        <v>8.3726249999999999E-3</v>
      </c>
      <c r="H132" s="178"/>
      <c r="I132" s="124" t="str">
        <f t="shared" si="5"/>
        <v>(9, 10]</v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f t="shared" si="4"/>
        <v>1.7505035012703725</v>
      </c>
      <c r="F133" s="188">
        <v>4.8411000000000001E-3</v>
      </c>
      <c r="G133" s="189">
        <v>8.4743625000000006E-3</v>
      </c>
      <c r="H133" s="178"/>
      <c r="I133" s="214" t="str">
        <f t="shared" si="5"/>
        <v>(10, 15]</v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f t="shared" si="4"/>
        <v>2.2987904035964539</v>
      </c>
      <c r="F134" s="188">
        <v>1.5926800000000001E-2</v>
      </c>
      <c r="G134" s="189">
        <v>3.6612375000000003E-2</v>
      </c>
      <c r="H134" s="178"/>
      <c r="I134" s="124" t="str">
        <f t="shared" si="5"/>
        <v>(15, 20]</v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f t="shared" si="4"/>
        <v>3.0068907288375639</v>
      </c>
      <c r="F135" s="188">
        <v>8.2611000000000004E-3</v>
      </c>
      <c r="G135" s="189">
        <v>2.4840225E-2</v>
      </c>
      <c r="H135" s="178"/>
      <c r="I135" s="124" t="str">
        <f t="shared" si="5"/>
        <v>(20, 25]</v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f t="shared" si="4"/>
        <v>3.7365225699824398</v>
      </c>
      <c r="F136" s="188">
        <v>9.6810000000000004E-3</v>
      </c>
      <c r="G136" s="189">
        <v>3.6173274999999998E-2</v>
      </c>
      <c r="H136" s="178"/>
      <c r="I136" s="124" t="str">
        <f t="shared" si="5"/>
        <v>(25, 30]</v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f t="shared" si="4"/>
        <v>4.0412890358738736</v>
      </c>
      <c r="F137" s="188">
        <v>3.9611000000000004E-3</v>
      </c>
      <c r="G137" s="189">
        <v>1.6007950000000003E-2</v>
      </c>
      <c r="H137" s="178"/>
      <c r="I137" s="124" t="str">
        <f t="shared" si="5"/>
        <v>(30, 35]</v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f t="shared" si="4"/>
        <v>4.8869978230754008</v>
      </c>
      <c r="F138" s="188">
        <v>1.1116600000000001E-2</v>
      </c>
      <c r="G138" s="189">
        <v>5.4326800000000001E-2</v>
      </c>
      <c r="H138" s="178"/>
      <c r="I138" s="214" t="str">
        <f t="shared" si="5"/>
        <v>(35, 40]</v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f t="shared" si="4"/>
        <v>5.5889814843340826</v>
      </c>
      <c r="F139" s="188">
        <v>3.2458999999999999E-3</v>
      </c>
      <c r="G139" s="189">
        <v>1.8141274999999998E-2</v>
      </c>
      <c r="H139" s="178"/>
      <c r="I139" s="124" t="str">
        <f t="shared" si="5"/>
        <v>(40, 45]</v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f t="shared" si="4"/>
        <v>6.0676394212934337</v>
      </c>
      <c r="F140" s="188">
        <v>6.4695999999999998E-3</v>
      </c>
      <c r="G140" s="189">
        <v>3.9255199999999997E-2</v>
      </c>
      <c r="H140" s="178"/>
      <c r="I140" s="124" t="str">
        <f t="shared" si="5"/>
        <v>(45, 50]</v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f t="shared" si="4"/>
        <v>7.3878309419463291</v>
      </c>
      <c r="F141" s="188">
        <v>8.3285000000000008E-3</v>
      </c>
      <c r="G141" s="189">
        <v>6.1529550000000009E-2</v>
      </c>
      <c r="H141" s="178"/>
      <c r="I141" s="214" t="str">
        <f t="shared" si="5"/>
        <v>(50, 60]</v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f t="shared" si="4"/>
        <v>8.2692786346059819</v>
      </c>
      <c r="F142" s="188">
        <v>2.2499E-3</v>
      </c>
      <c r="G142" s="189">
        <v>1.8605049999999998E-2</v>
      </c>
      <c r="H142" s="178"/>
      <c r="I142" s="124" t="str">
        <f t="shared" si="5"/>
        <v>(60, 70]</v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f t="shared" si="4"/>
        <v>9.6238211597355399</v>
      </c>
      <c r="F143" s="188">
        <v>6.9877999999999997E-3</v>
      </c>
      <c r="G143" s="189">
        <v>6.7249337500000006E-2</v>
      </c>
      <c r="H143" s="178"/>
      <c r="I143" s="214" t="str">
        <f t="shared" si="5"/>
        <v>(70, 80]</v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f t="shared" si="4"/>
        <v>11.065238218539617</v>
      </c>
      <c r="F144" s="188">
        <v>2.8965000000000002E-3</v>
      </c>
      <c r="G144" s="189">
        <v>3.2050462500000002E-2</v>
      </c>
      <c r="H144" s="178"/>
      <c r="I144" s="124" t="str">
        <f t="shared" si="5"/>
        <v>(80, 90]</v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f t="shared" si="4"/>
        <v>12.285835899561768</v>
      </c>
      <c r="F145" s="188">
        <v>3.3771999999999999E-3</v>
      </c>
      <c r="G145" s="189">
        <v>4.1491725E-2</v>
      </c>
      <c r="H145" s="178"/>
      <c r="I145" s="124" t="str">
        <f t="shared" si="5"/>
        <v>(90, 100]</v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f t="shared" si="4"/>
        <v>14.458421804818293</v>
      </c>
      <c r="F146" s="188">
        <v>4.8979999999999996E-3</v>
      </c>
      <c r="G146" s="189">
        <v>7.0817350000000001E-2</v>
      </c>
      <c r="H146" s="178"/>
      <c r="I146" s="124" t="str">
        <f t="shared" si="5"/>
        <v>(100, 120]</v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f t="shared" si="4"/>
        <v>16.682318588469183</v>
      </c>
      <c r="F147" s="188">
        <v>2.0119999999999999E-3</v>
      </c>
      <c r="G147" s="189">
        <v>3.3564824999999993E-2</v>
      </c>
      <c r="H147" s="178"/>
      <c r="I147" s="124" t="str">
        <f t="shared" si="5"/>
        <v>(120, 140]</v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f t="shared" si="4"/>
        <v>19.200110560370415</v>
      </c>
      <c r="F148" s="188">
        <v>3.3692000000000001E-3</v>
      </c>
      <c r="G148" s="189">
        <v>6.4689012500000004E-2</v>
      </c>
      <c r="H148" s="178"/>
      <c r="I148" s="124" t="str">
        <f t="shared" si="5"/>
        <v>(140, 160]</v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f t="shared" si="4"/>
        <v>21.853203959364418</v>
      </c>
      <c r="F149" s="188">
        <v>1.9195E-3</v>
      </c>
      <c r="G149" s="189">
        <v>4.1947224999999998E-2</v>
      </c>
      <c r="H149" s="178"/>
      <c r="I149" s="124" t="str">
        <f t="shared" si="5"/>
        <v>(160, 180]</v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f t="shared" si="4"/>
        <v>24.651910552652883</v>
      </c>
      <c r="F150" s="188">
        <v>2.7177999999999998E-3</v>
      </c>
      <c r="G150" s="189">
        <v>6.6998962499999995E-2</v>
      </c>
      <c r="H150" s="178"/>
      <c r="I150" s="124" t="str">
        <f t="shared" si="5"/>
        <v>(180, 200]</v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f t="shared" si="4"/>
        <v>28.633721185993313</v>
      </c>
      <c r="F151" s="188">
        <v>3.4098000000000002E-3</v>
      </c>
      <c r="G151" s="189">
        <v>9.76352625E-2</v>
      </c>
      <c r="H151" s="178"/>
      <c r="I151" s="124" t="str">
        <f t="shared" si="5"/>
        <v>(200, 250]</v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f t="shared" si="4"/>
        <v>35.111324086836667</v>
      </c>
      <c r="F152" s="188">
        <v>2.9020000000000001E-3</v>
      </c>
      <c r="G152" s="189">
        <v>0.10189306250000001</v>
      </c>
      <c r="H152" s="178"/>
      <c r="I152" s="124" t="str">
        <f t="shared" si="5"/>
        <v>(250, 300]</v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f t="shared" si="4"/>
        <v>40.815030846887268</v>
      </c>
      <c r="F153" s="188">
        <v>1.7830000000000001E-3</v>
      </c>
      <c r="G153" s="189">
        <v>7.2773199999999996E-2</v>
      </c>
      <c r="H153" s="178"/>
      <c r="I153" s="124" t="str">
        <f t="shared" si="5"/>
        <v>(300, 350]</v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f t="shared" si="4"/>
        <v>47.91929731719663</v>
      </c>
      <c r="F154" s="188">
        <v>2.1730999999999999E-3</v>
      </c>
      <c r="G154" s="189">
        <v>0.10413342499999999</v>
      </c>
      <c r="H154" s="178"/>
      <c r="I154" s="124" t="str">
        <f t="shared" si="5"/>
        <v>(350, 400]</v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f t="shared" si="4"/>
        <v>53.621677740863788</v>
      </c>
      <c r="F155" s="188">
        <v>1.1739000000000001E-3</v>
      </c>
      <c r="G155" s="189">
        <v>6.2946487500000009E-2</v>
      </c>
      <c r="H155" s="178"/>
      <c r="I155" s="124" t="str">
        <f t="shared" si="5"/>
        <v>(400, 450]</v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f t="shared" si="4"/>
        <v>60.793366763815072</v>
      </c>
      <c r="F156" s="188">
        <v>1.7499E-3</v>
      </c>
      <c r="G156" s="189">
        <v>0.10638231249999999</v>
      </c>
      <c r="H156" s="178"/>
      <c r="I156" s="124" t="str">
        <f t="shared" si="5"/>
        <v>(450, 500]</v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f t="shared" si="4"/>
        <v>65.771043165467631</v>
      </c>
      <c r="F157" s="188">
        <v>8.34E-4</v>
      </c>
      <c r="G157" s="189">
        <v>5.4853050000000007E-2</v>
      </c>
      <c r="H157" s="178"/>
      <c r="I157" s="124" t="str">
        <f t="shared" si="5"/>
        <v>(500, 550]</v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f t="shared" si="4"/>
        <v>72.785261978785655</v>
      </c>
      <c r="F158" s="188">
        <v>1.0935999999999999E-3</v>
      </c>
      <c r="G158" s="189">
        <v>7.959796249999998E-2</v>
      </c>
      <c r="H158" s="178"/>
      <c r="I158" s="124" t="str">
        <f t="shared" si="5"/>
        <v>(550, 600]</v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f t="shared" si="4"/>
        <v>78.721911842336795</v>
      </c>
      <c r="F159" s="188">
        <v>5.6829999999999999E-4</v>
      </c>
      <c r="G159" s="189">
        <v>4.4737662499999997E-2</v>
      </c>
      <c r="H159" s="178"/>
      <c r="I159" s="124" t="str">
        <f t="shared" si="5"/>
        <v>(600, 650]</v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f t="shared" si="4"/>
        <v>84.769766093176102</v>
      </c>
      <c r="F160" s="188">
        <v>5.1730000000000005E-4</v>
      </c>
      <c r="G160" s="189">
        <v>4.3851399999999999E-2</v>
      </c>
      <c r="H160" s="178"/>
      <c r="I160" s="124" t="str">
        <f t="shared" si="5"/>
        <v>(650, 700]</v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f t="shared" si="4"/>
        <v>90.823120820843897</v>
      </c>
      <c r="F161" s="188">
        <v>4.3370000000000003E-4</v>
      </c>
      <c r="G161" s="189">
        <v>3.9389987500000001E-2</v>
      </c>
      <c r="H161" s="178"/>
      <c r="I161" s="124" t="str">
        <f t="shared" si="5"/>
        <v>(700, 750]</v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f t="shared" si="4"/>
        <v>99.041420118343197</v>
      </c>
      <c r="F162" s="188">
        <v>1.0478E-3</v>
      </c>
      <c r="G162" s="189">
        <v>0.1037756</v>
      </c>
      <c r="H162" s="178"/>
      <c r="I162" s="124" t="str">
        <f t="shared" si="5"/>
        <v>(750, 800]</v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f t="shared" si="4"/>
        <v>103.56180961663418</v>
      </c>
      <c r="F163" s="188">
        <v>3.078E-4</v>
      </c>
      <c r="G163" s="189">
        <v>3.1876324999999997E-2</v>
      </c>
      <c r="H163" s="178"/>
      <c r="I163" s="124" t="str">
        <f t="shared" si="5"/>
        <v>(800, 850]</v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f t="shared" si="4"/>
        <v>110.14350577875619</v>
      </c>
      <c r="F164" s="188">
        <v>3.634E-4</v>
      </c>
      <c r="G164" s="189">
        <v>4.0026150000000003E-2</v>
      </c>
      <c r="H164" s="178"/>
      <c r="I164" s="124" t="str">
        <f t="shared" si="5"/>
        <v>(850, 900]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f t="shared" si="4"/>
        <v>115.84538612565446</v>
      </c>
      <c r="F165" s="188">
        <v>2.2919999999999999E-4</v>
      </c>
      <c r="G165" s="189">
        <v>2.6551762499999999E-2</v>
      </c>
      <c r="H165" s="178"/>
      <c r="I165" s="124" t="str">
        <f t="shared" si="5"/>
        <v>(900, 950]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f t="shared" si="4"/>
        <v>124.16207969224924</v>
      </c>
      <c r="F166" s="188">
        <v>1.0528E-3</v>
      </c>
      <c r="G166" s="189">
        <v>0.13071783749999999</v>
      </c>
      <c r="H166" s="178"/>
      <c r="I166" s="124" t="str">
        <f t="shared" si="5"/>
        <v>(950, 1000]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f t="shared" si="4"/>
        <v>184.24305290411874</v>
      </c>
      <c r="F167" s="188">
        <v>4.1906000000000001E-3</v>
      </c>
      <c r="G167" s="189">
        <v>0.77208893749999996</v>
      </c>
      <c r="H167" s="178"/>
      <c r="I167" s="124" t="str">
        <f t="shared" si="5"/>
        <v>(1000, 2000]</v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f t="shared" si="4"/>
        <v>315.17001534949623</v>
      </c>
      <c r="F168" s="188">
        <v>1.2704000000000001E-3</v>
      </c>
      <c r="G168" s="189">
        <v>0.40039198750000005</v>
      </c>
      <c r="H168" s="178"/>
      <c r="I168" s="124" t="str">
        <f t="shared" si="5"/>
        <v>(2000, 3000]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f t="shared" si="4"/>
        <v>450.11724246797763</v>
      </c>
      <c r="F169" s="188">
        <v>5.5429999999999998E-4</v>
      </c>
      <c r="G169" s="189">
        <v>0.24949998749999999</v>
      </c>
      <c r="H169" s="178"/>
      <c r="I169" s="124" t="str">
        <f t="shared" si="5"/>
        <v>(3000, 4000]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f t="shared" si="4"/>
        <v>564.56770623742455</v>
      </c>
      <c r="F170" s="188">
        <v>2.4850000000000002E-4</v>
      </c>
      <c r="G170" s="189">
        <v>0.14029507500000002</v>
      </c>
      <c r="H170" s="178"/>
      <c r="I170" s="124" t="str">
        <f t="shared" si="5"/>
        <v>(4000, 5000]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f t="shared" si="4"/>
        <v>703.2355941302792</v>
      </c>
      <c r="F171" s="188">
        <v>1.3970000000000001E-4</v>
      </c>
      <c r="G171" s="189">
        <v>9.8242012500000003E-2</v>
      </c>
      <c r="H171" s="178"/>
      <c r="I171" s="124" t="str">
        <f t="shared" si="5"/>
        <v>(5000, 6000]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f t="shared" si="4"/>
        <v>812.42524038461534</v>
      </c>
      <c r="F172" s="188">
        <v>5.1999999999999997E-5</v>
      </c>
      <c r="G172" s="189">
        <v>4.2246112499999995E-2</v>
      </c>
      <c r="H172" s="178"/>
      <c r="I172" s="124" t="str">
        <f t="shared" si="5"/>
        <v>(6000, 7000]</v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f t="shared" si="4"/>
        <v>1164.0126337693223</v>
      </c>
      <c r="F173" s="191">
        <v>8.4099999999999998E-5</v>
      </c>
      <c r="G173" s="192">
        <v>9.78934625E-2</v>
      </c>
      <c r="H173" s="178"/>
      <c r="I173" s="125" t="str">
        <f t="shared" si="5"/>
        <v>(7000, 8000]</v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f>SUM(_xlfn.ANCHORARRAY(O181))</f>
        <v>0.31268236163167618</v>
      </c>
    </row>
    <row r="180" spans="1:15" thickBot="1">
      <c r="A180" s="164" t="str" cm="1">
        <f t="array" ref="A180:G180">A121:G121</f>
        <v>Lower</v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 cm="1">
        <f t="array" ref="A181:B232">A122:B173</f>
        <v>-1</v>
      </c>
      <c r="B181" s="200">
        <v>0</v>
      </c>
      <c r="C181" s="158">
        <v>8559881</v>
      </c>
      <c r="D181" s="166">
        <v>0</v>
      </c>
      <c r="E181" s="187">
        <f>IFERROR((D181/$E$119)/(C181),0)</f>
        <v>0</v>
      </c>
      <c r="F181" s="185" cm="1">
        <f t="array" ref="F181:F232">C181:C232/SUM(C181:C232)</f>
        <v>0.85598810000000003</v>
      </c>
      <c r="G181" s="186" cm="1">
        <f t="array" ref="G181:G232">E181:E232*_xlfn.ANCHORARRAY(F181)</f>
        <v>0</v>
      </c>
      <c r="H181" s="178"/>
      <c r="I181" s="128" t="str">
        <f>"("&amp;$A181&amp;", "&amp;$B181&amp;"]"</f>
        <v>(-1, 0]</v>
      </c>
      <c r="J181" s="158" cm="1">
        <f t="array" ref="J181:J232">IFERROR(IF(1/F181:F232&lt;$J$2,1,0),0)</f>
        <v>1</v>
      </c>
      <c r="K181" s="217">
        <v>1.014521</v>
      </c>
      <c r="L181" s="185" cm="1">
        <f t="array" ref="L181:L232">K181:K232*_xlfn.ANCHORARRAY(J181)*_xlfn.ANCHORARRAY(F181)</f>
        <v>0.86841790320010004</v>
      </c>
      <c r="M181" s="207" cm="1">
        <f t="array" ref="M181:M232">INT(_xlfn.ANCHORARRAY(L181)*$M$2)</f>
        <v>868417903</v>
      </c>
      <c r="N181" s="194" cm="1">
        <f t="array" ref="N181:N232">M181:M232/SUM(M181:M232)</f>
        <v>0.92526831663311015</v>
      </c>
      <c r="O181" s="210" cm="1">
        <f t="array" ref="O181:O232">_xlfn.ANCHORARRAY(N181)*E181:E232</f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f t="shared" ref="E182:E232" si="6">IFERROR((D182/$E$119)/(C182),0)</f>
        <v>0</v>
      </c>
      <c r="F182" s="188">
        <v>0</v>
      </c>
      <c r="G182" s="189">
        <v>0</v>
      </c>
      <c r="H182" s="178"/>
      <c r="I182" s="124" t="str">
        <f t="shared" ref="I182:I232" si="7">"("&amp;$A182&amp;", "&amp;$B182&amp;"]"</f>
        <v>(0, 1]</v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f t="shared" si="6"/>
        <v>0</v>
      </c>
      <c r="F183" s="188">
        <v>0</v>
      </c>
      <c r="G183" s="189">
        <v>0</v>
      </c>
      <c r="H183" s="178"/>
      <c r="I183" s="214" t="str">
        <f t="shared" si="7"/>
        <v>(1, 2]</v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f t="shared" si="6"/>
        <v>0</v>
      </c>
      <c r="F184" s="188">
        <v>0</v>
      </c>
      <c r="G184" s="189">
        <v>0</v>
      </c>
      <c r="H184" s="178"/>
      <c r="I184" s="124" t="str">
        <f t="shared" si="7"/>
        <v>(2, 3]</v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f t="shared" si="6"/>
        <v>0.5</v>
      </c>
      <c r="F185" s="188">
        <v>4.2658000000000001E-3</v>
      </c>
      <c r="G185" s="189">
        <v>2.1329000000000001E-3</v>
      </c>
      <c r="H185" s="178"/>
      <c r="I185" s="124" t="str">
        <f t="shared" si="7"/>
        <v>(3, 4]</v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f t="shared" si="6"/>
        <v>0</v>
      </c>
      <c r="F186" s="188">
        <v>0</v>
      </c>
      <c r="G186" s="189">
        <v>0</v>
      </c>
      <c r="H186" s="178"/>
      <c r="I186" s="124" t="str">
        <f t="shared" si="7"/>
        <v>(4, 5]</v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f t="shared" si="6"/>
        <v>0.75</v>
      </c>
      <c r="F187" s="188">
        <v>2.1307000000000001E-3</v>
      </c>
      <c r="G187" s="189">
        <v>1.5980250000000001E-3</v>
      </c>
      <c r="H187" s="178"/>
      <c r="I187" s="124" t="str">
        <f t="shared" si="7"/>
        <v>(5, 6]</v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f t="shared" si="6"/>
        <v>0</v>
      </c>
      <c r="F188" s="188">
        <v>0</v>
      </c>
      <c r="G188" s="189">
        <v>0</v>
      </c>
      <c r="H188" s="178"/>
      <c r="I188" s="124" t="str">
        <f t="shared" si="7"/>
        <v>(6, 7]</v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f t="shared" si="6"/>
        <v>1</v>
      </c>
      <c r="F189" s="188">
        <v>2.4784999999999998E-3</v>
      </c>
      <c r="G189" s="189">
        <v>2.4784999999999998E-3</v>
      </c>
      <c r="H189" s="178"/>
      <c r="I189" s="214" t="str">
        <f t="shared" si="7"/>
        <v>(7, 8]</v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f t="shared" si="6"/>
        <v>0</v>
      </c>
      <c r="F190" s="188">
        <v>0</v>
      </c>
      <c r="G190" s="189">
        <v>0</v>
      </c>
      <c r="H190" s="178"/>
      <c r="I190" s="124" t="str">
        <f t="shared" si="7"/>
        <v>(8, 9]</v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f t="shared" si="6"/>
        <v>1.25</v>
      </c>
      <c r="F191" s="188">
        <v>6.6981000000000002E-3</v>
      </c>
      <c r="G191" s="189">
        <v>8.3726249999999999E-3</v>
      </c>
      <c r="H191" s="178"/>
      <c r="I191" s="124" t="str">
        <f t="shared" si="7"/>
        <v>(9, 10]</v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f t="shared" si="6"/>
        <v>1.7505035012703725</v>
      </c>
      <c r="F192" s="188">
        <v>4.8411000000000001E-3</v>
      </c>
      <c r="G192" s="189">
        <v>8.4743625000000006E-3</v>
      </c>
      <c r="H192" s="178"/>
      <c r="I192" s="214" t="str">
        <f t="shared" si="7"/>
        <v>(10, 15]</v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f t="shared" si="6"/>
        <v>2.2987904035964539</v>
      </c>
      <c r="F193" s="188">
        <v>1.5926800000000001E-2</v>
      </c>
      <c r="G193" s="189">
        <v>3.6612375000000003E-2</v>
      </c>
      <c r="H193" s="178"/>
      <c r="I193" s="124" t="str">
        <f t="shared" si="7"/>
        <v>(15, 20]</v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f t="shared" si="6"/>
        <v>3.0068907288375639</v>
      </c>
      <c r="F194" s="188">
        <v>8.2611000000000004E-3</v>
      </c>
      <c r="G194" s="189">
        <v>2.4840225E-2</v>
      </c>
      <c r="H194" s="178"/>
      <c r="I194" s="124" t="str">
        <f t="shared" si="7"/>
        <v>(20, 25]</v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f t="shared" si="6"/>
        <v>3.7365225699824398</v>
      </c>
      <c r="F195" s="188">
        <v>9.6810000000000004E-3</v>
      </c>
      <c r="G195" s="189">
        <v>3.6173274999999998E-2</v>
      </c>
      <c r="H195" s="178"/>
      <c r="I195" s="124" t="str">
        <f t="shared" si="7"/>
        <v>(25, 30]</v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f t="shared" si="6"/>
        <v>4.0412890358738736</v>
      </c>
      <c r="F196" s="188">
        <v>3.9611000000000004E-3</v>
      </c>
      <c r="G196" s="189">
        <v>1.6007950000000003E-2</v>
      </c>
      <c r="H196" s="178"/>
      <c r="I196" s="124" t="str">
        <f t="shared" si="7"/>
        <v>(30, 35]</v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f t="shared" si="6"/>
        <v>4.8869978230754008</v>
      </c>
      <c r="F197" s="188">
        <v>1.1116600000000001E-2</v>
      </c>
      <c r="G197" s="189">
        <v>5.4326800000000001E-2</v>
      </c>
      <c r="H197" s="178"/>
      <c r="I197" s="214" t="str">
        <f t="shared" si="7"/>
        <v>(35, 40]</v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f t="shared" si="6"/>
        <v>5.5889814843340826</v>
      </c>
      <c r="F198" s="188">
        <v>3.2458999999999999E-3</v>
      </c>
      <c r="G198" s="189">
        <v>1.8141274999999998E-2</v>
      </c>
      <c r="H198" s="178"/>
      <c r="I198" s="124" t="str">
        <f t="shared" si="7"/>
        <v>(40, 45]</v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f t="shared" si="6"/>
        <v>6.0676394212934337</v>
      </c>
      <c r="F199" s="188">
        <v>6.4695999999999998E-3</v>
      </c>
      <c r="G199" s="189">
        <v>3.9255199999999997E-2</v>
      </c>
      <c r="H199" s="178"/>
      <c r="I199" s="124" t="str">
        <f t="shared" si="7"/>
        <v>(45, 50]</v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f t="shared" si="6"/>
        <v>7.3878309419463291</v>
      </c>
      <c r="F200" s="188">
        <v>8.3285000000000008E-3</v>
      </c>
      <c r="G200" s="189">
        <v>6.1529550000000009E-2</v>
      </c>
      <c r="H200" s="178"/>
      <c r="I200" s="214" t="str">
        <f t="shared" si="7"/>
        <v>(50, 60]</v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f t="shared" si="6"/>
        <v>8.2692786346059819</v>
      </c>
      <c r="F201" s="188">
        <v>2.2499E-3</v>
      </c>
      <c r="G201" s="189">
        <v>1.8605049999999998E-2</v>
      </c>
      <c r="H201" s="178"/>
      <c r="I201" s="124" t="str">
        <f t="shared" si="7"/>
        <v>(60, 70]</v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f t="shared" si="6"/>
        <v>9.6238211597355399</v>
      </c>
      <c r="F202" s="188">
        <v>6.9877999999999997E-3</v>
      </c>
      <c r="G202" s="189">
        <v>6.7249337500000006E-2</v>
      </c>
      <c r="H202" s="178"/>
      <c r="I202" s="214" t="str">
        <f t="shared" si="7"/>
        <v>(70, 80]</v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f t="shared" si="6"/>
        <v>11.065238218539617</v>
      </c>
      <c r="F203" s="188">
        <v>2.8965000000000002E-3</v>
      </c>
      <c r="G203" s="189">
        <v>3.2050462500000002E-2</v>
      </c>
      <c r="H203" s="178"/>
      <c r="I203" s="124" t="str">
        <f t="shared" si="7"/>
        <v>(80, 90]</v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f t="shared" si="6"/>
        <v>12.285835899561768</v>
      </c>
      <c r="F204" s="188">
        <v>3.3771999999999999E-3</v>
      </c>
      <c r="G204" s="189">
        <v>4.1491725E-2</v>
      </c>
      <c r="H204" s="178"/>
      <c r="I204" s="124" t="str">
        <f t="shared" si="7"/>
        <v>(90, 100]</v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f t="shared" si="6"/>
        <v>14.458421804818293</v>
      </c>
      <c r="F205" s="188">
        <v>4.8979999999999996E-3</v>
      </c>
      <c r="G205" s="189">
        <v>7.0817350000000001E-2</v>
      </c>
      <c r="H205" s="178"/>
      <c r="I205" s="124" t="str">
        <f t="shared" si="7"/>
        <v>(100, 120]</v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f t="shared" si="6"/>
        <v>16.682318588469183</v>
      </c>
      <c r="F206" s="188">
        <v>2.0119999999999999E-3</v>
      </c>
      <c r="G206" s="189">
        <v>3.3564824999999993E-2</v>
      </c>
      <c r="H206" s="178"/>
      <c r="I206" s="124" t="str">
        <f t="shared" si="7"/>
        <v>(120, 140]</v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f t="shared" si="6"/>
        <v>19.200110560370415</v>
      </c>
      <c r="F207" s="188">
        <v>3.3692000000000001E-3</v>
      </c>
      <c r="G207" s="189">
        <v>6.4689012500000004E-2</v>
      </c>
      <c r="H207" s="178"/>
      <c r="I207" s="124" t="str">
        <f t="shared" si="7"/>
        <v>(140, 160]</v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f t="shared" si="6"/>
        <v>21.853203959364418</v>
      </c>
      <c r="F208" s="188">
        <v>1.9195E-3</v>
      </c>
      <c r="G208" s="189">
        <v>4.1947224999999998E-2</v>
      </c>
      <c r="H208" s="178"/>
      <c r="I208" s="124" t="str">
        <f t="shared" si="7"/>
        <v>(160, 180]</v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f t="shared" si="6"/>
        <v>24.651910552652883</v>
      </c>
      <c r="F209" s="188">
        <v>2.7177999999999998E-3</v>
      </c>
      <c r="G209" s="189">
        <v>6.6998962499999995E-2</v>
      </c>
      <c r="H209" s="178"/>
      <c r="I209" s="124" t="str">
        <f t="shared" si="7"/>
        <v>(180, 200]</v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f t="shared" si="6"/>
        <v>28.633721185993313</v>
      </c>
      <c r="F210" s="188">
        <v>3.4098000000000002E-3</v>
      </c>
      <c r="G210" s="189">
        <v>9.76352625E-2</v>
      </c>
      <c r="H210" s="178"/>
      <c r="I210" s="124" t="str">
        <f t="shared" si="7"/>
        <v>(200, 250]</v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f t="shared" si="6"/>
        <v>35.111324086836667</v>
      </c>
      <c r="F211" s="188">
        <v>2.9020000000000001E-3</v>
      </c>
      <c r="G211" s="189">
        <v>0.10189306250000001</v>
      </c>
      <c r="H211" s="178"/>
      <c r="I211" s="124" t="str">
        <f t="shared" si="7"/>
        <v>(250, 300]</v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f t="shared" si="6"/>
        <v>40.815030846887268</v>
      </c>
      <c r="F212" s="188">
        <v>1.7830000000000001E-3</v>
      </c>
      <c r="G212" s="189">
        <v>7.2773199999999996E-2</v>
      </c>
      <c r="H212" s="178"/>
      <c r="I212" s="124" t="str">
        <f t="shared" si="7"/>
        <v>(300, 350]</v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f t="shared" si="6"/>
        <v>47.91929731719663</v>
      </c>
      <c r="F213" s="188">
        <v>2.1730999999999999E-3</v>
      </c>
      <c r="G213" s="189">
        <v>0.10413342499999999</v>
      </c>
      <c r="H213" s="178"/>
      <c r="I213" s="124" t="str">
        <f t="shared" si="7"/>
        <v>(350, 400]</v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f t="shared" si="6"/>
        <v>53.621677740863788</v>
      </c>
      <c r="F214" s="188">
        <v>1.1739000000000001E-3</v>
      </c>
      <c r="G214" s="189">
        <v>6.2946487500000009E-2</v>
      </c>
      <c r="H214" s="178"/>
      <c r="I214" s="124" t="str">
        <f t="shared" si="7"/>
        <v>(400, 450]</v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f t="shared" si="6"/>
        <v>60.793366763815072</v>
      </c>
      <c r="F215" s="188">
        <v>1.7499E-3</v>
      </c>
      <c r="G215" s="189">
        <v>0.10638231249999999</v>
      </c>
      <c r="H215" s="178"/>
      <c r="I215" s="124" t="str">
        <f t="shared" si="7"/>
        <v>(450, 500]</v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f t="shared" si="6"/>
        <v>65.771043165467631</v>
      </c>
      <c r="F216" s="188">
        <v>8.34E-4</v>
      </c>
      <c r="G216" s="189">
        <v>5.4853050000000007E-2</v>
      </c>
      <c r="H216" s="178"/>
      <c r="I216" s="124" t="str">
        <f t="shared" si="7"/>
        <v>(500, 550]</v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f t="shared" si="6"/>
        <v>72.785261978785655</v>
      </c>
      <c r="F217" s="188">
        <v>1.0935999999999999E-3</v>
      </c>
      <c r="G217" s="189">
        <v>7.959796249999998E-2</v>
      </c>
      <c r="H217" s="178"/>
      <c r="I217" s="124" t="str">
        <f t="shared" si="7"/>
        <v>(550, 600]</v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f t="shared" si="6"/>
        <v>78.721911842336795</v>
      </c>
      <c r="F218" s="188">
        <v>5.6829999999999999E-4</v>
      </c>
      <c r="G218" s="189">
        <v>4.4737662499999997E-2</v>
      </c>
      <c r="H218" s="178"/>
      <c r="I218" s="124" t="str">
        <f t="shared" si="7"/>
        <v>(600, 650]</v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f t="shared" si="6"/>
        <v>84.769766093176102</v>
      </c>
      <c r="F219" s="188">
        <v>5.1730000000000005E-4</v>
      </c>
      <c r="G219" s="189">
        <v>4.3851399999999999E-2</v>
      </c>
      <c r="H219" s="178"/>
      <c r="I219" s="124" t="str">
        <f t="shared" si="7"/>
        <v>(650, 700]</v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f t="shared" si="6"/>
        <v>90.823120820843897</v>
      </c>
      <c r="F220" s="188">
        <v>4.3370000000000003E-4</v>
      </c>
      <c r="G220" s="189">
        <v>3.9389987500000001E-2</v>
      </c>
      <c r="H220" s="178"/>
      <c r="I220" s="124" t="str">
        <f t="shared" si="7"/>
        <v>(700, 750]</v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f t="shared" si="6"/>
        <v>99.041420118343197</v>
      </c>
      <c r="F221" s="188">
        <v>1.0478E-3</v>
      </c>
      <c r="G221" s="189">
        <v>0.1037756</v>
      </c>
      <c r="H221" s="178"/>
      <c r="I221" s="124" t="str">
        <f t="shared" si="7"/>
        <v>(750, 800]</v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f t="shared" si="6"/>
        <v>103.56180961663418</v>
      </c>
      <c r="F222" s="188">
        <v>3.078E-4</v>
      </c>
      <c r="G222" s="189">
        <v>3.1876324999999997E-2</v>
      </c>
      <c r="H222" s="178"/>
      <c r="I222" s="124" t="str">
        <f t="shared" si="7"/>
        <v>(800, 850]</v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f t="shared" si="6"/>
        <v>110.14350577875619</v>
      </c>
      <c r="F223" s="188">
        <v>3.634E-4</v>
      </c>
      <c r="G223" s="189">
        <v>4.0026150000000003E-2</v>
      </c>
      <c r="H223" s="178"/>
      <c r="I223" s="124" t="str">
        <f t="shared" si="7"/>
        <v>(850, 900]</v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f t="shared" si="6"/>
        <v>115.84538612565446</v>
      </c>
      <c r="F224" s="188">
        <v>2.2919999999999999E-4</v>
      </c>
      <c r="G224" s="189">
        <v>2.6551762499999999E-2</v>
      </c>
      <c r="H224" s="178"/>
      <c r="I224" s="124" t="str">
        <f t="shared" si="7"/>
        <v>(900, 950]</v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f t="shared" si="6"/>
        <v>124.16207969224924</v>
      </c>
      <c r="F225" s="188">
        <v>1.0528E-3</v>
      </c>
      <c r="G225" s="189">
        <v>0.13071783749999999</v>
      </c>
      <c r="H225" s="178"/>
      <c r="I225" s="124" t="str">
        <f t="shared" si="7"/>
        <v>(950, 1000]</v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f t="shared" si="6"/>
        <v>184.24305290411874</v>
      </c>
      <c r="F226" s="188">
        <v>4.1906000000000001E-3</v>
      </c>
      <c r="G226" s="189">
        <v>0.77208893749999996</v>
      </c>
      <c r="H226" s="178"/>
      <c r="I226" s="124" t="str">
        <f t="shared" si="7"/>
        <v>(1000, 2000]</v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f t="shared" si="6"/>
        <v>315.17001534949623</v>
      </c>
      <c r="F227" s="188">
        <v>1.2704000000000001E-3</v>
      </c>
      <c r="G227" s="189">
        <v>0.40039198750000005</v>
      </c>
      <c r="H227" s="178"/>
      <c r="I227" s="124" t="str">
        <f t="shared" si="7"/>
        <v>(2000, 3000]</v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f t="shared" si="6"/>
        <v>450.11724246797763</v>
      </c>
      <c r="F228" s="188">
        <v>5.5429999999999998E-4</v>
      </c>
      <c r="G228" s="189">
        <v>0.24949998749999999</v>
      </c>
      <c r="H228" s="178"/>
      <c r="I228" s="124" t="str">
        <f t="shared" si="7"/>
        <v>(3000, 4000]</v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f t="shared" si="6"/>
        <v>564.56770623742455</v>
      </c>
      <c r="F229" s="188">
        <v>2.4850000000000002E-4</v>
      </c>
      <c r="G229" s="189">
        <v>0.14029507500000002</v>
      </c>
      <c r="H229" s="178"/>
      <c r="I229" s="124" t="str">
        <f t="shared" si="7"/>
        <v>(4000, 5000]</v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f t="shared" si="6"/>
        <v>703.2355941302792</v>
      </c>
      <c r="F230" s="188">
        <v>1.3970000000000001E-4</v>
      </c>
      <c r="G230" s="189">
        <v>9.8242012500000003E-2</v>
      </c>
      <c r="H230" s="178"/>
      <c r="I230" s="124" t="str">
        <f t="shared" si="7"/>
        <v>(5000, 6000]</v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f t="shared" si="6"/>
        <v>812.42524038461534</v>
      </c>
      <c r="F231" s="188">
        <v>5.1999999999999997E-5</v>
      </c>
      <c r="G231" s="189">
        <v>4.2246112499999995E-2</v>
      </c>
      <c r="H231" s="178"/>
      <c r="I231" s="124" t="str">
        <f t="shared" si="7"/>
        <v>(6000, 7000]</v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f t="shared" si="6"/>
        <v>1164.0126337693223</v>
      </c>
      <c r="F232" s="191">
        <v>8.4099999999999998E-5</v>
      </c>
      <c r="G232" s="192">
        <v>9.78934625E-2</v>
      </c>
      <c r="H232" s="178"/>
      <c r="I232" s="125" t="str">
        <f t="shared" si="7"/>
        <v>(7000, 8000]</v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22" t="s">
        <v>138</v>
      </c>
      <c r="B1" s="322"/>
      <c r="C1" s="322"/>
      <c r="D1" s="322"/>
      <c r="E1" s="322"/>
      <c r="F1" s="322"/>
      <c r="G1" s="1"/>
      <c r="H1" s="322" t="s">
        <v>139</v>
      </c>
      <c r="I1" s="322"/>
      <c r="J1" s="322"/>
      <c r="K1" s="322"/>
      <c r="L1" s="322"/>
      <c r="M1" s="322"/>
      <c r="N1" s="1"/>
      <c r="O1" s="322" t="s">
        <v>140</v>
      </c>
      <c r="P1" s="322"/>
      <c r="Q1" s="322"/>
      <c r="R1" s="322"/>
      <c r="S1" s="322"/>
      <c r="T1" s="322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100</v>
      </c>
      <c r="BL3" s="29">
        <v>467</v>
      </c>
      <c r="BM3" s="29">
        <v>100</v>
      </c>
      <c r="BN3" s="65"/>
      <c r="BO3" s="29">
        <f ca="1">OFFSET(BK$2,COUNTA(BK$3:BK$211),0)</f>
        <v>100</v>
      </c>
      <c r="BP3" s="29">
        <f t="shared" ref="BP3" ca="1" si="11">OFFSET(BL$2,COUNTA(BL$3:BL$211),0)</f>
        <v>584</v>
      </c>
      <c r="BQ3" s="29">
        <f t="shared" ref="BQ3" ca="1" si="12">OFFSET(BM$2,COUNTA(BM$3:BM$211),0)</f>
        <v>100</v>
      </c>
      <c r="BR3" s="65"/>
      <c r="BS3" s="29">
        <f ca="1">OFFSET(BK$2,COUNTA(BK$3:BK$211)-1,0)</f>
        <v>447</v>
      </c>
      <c r="BT3" s="29">
        <f t="shared" ref="BT3" ca="1" si="13">OFFSET(BL$2,COUNTA(BL$3:BL$211)-1,0)</f>
        <v>701</v>
      </c>
      <c r="BU3" s="29">
        <f t="shared" ref="BU3" ca="1" si="14">OFFSET(BM$2,COUNTA(BM$3:BM$211)-1,0)</f>
        <v>100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5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5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447</v>
      </c>
      <c r="BL4" s="29">
        <v>584</v>
      </c>
      <c r="BM4" s="29">
        <v>677</v>
      </c>
      <c r="BN4" s="65"/>
      <c r="BO4" s="29">
        <f>IF(BK3="","",BK3)</f>
        <v>100</v>
      </c>
      <c r="BP4" s="29">
        <f t="shared" ref="BP4:BP67" si="37">IF(BL3="","",BL3)</f>
        <v>467</v>
      </c>
      <c r="BQ4" s="29">
        <f t="shared" ref="BQ4:BQ67" si="38">IF(BM3="","",BM3)</f>
        <v>100</v>
      </c>
      <c r="BR4" s="65"/>
      <c r="BS4" s="29">
        <f ca="1">OFFSET(BK$2,COUNTA(BK$3:BK$211),0)</f>
        <v>100</v>
      </c>
      <c r="BT4" s="29">
        <f t="shared" ref="BT4" ca="1" si="39">OFFSET(BL$2,COUNTA(BL$3:BL$211),0)</f>
        <v>584</v>
      </c>
      <c r="BU4" s="29">
        <f t="shared" ref="BU4" ca="1" si="40">OFFSET(BM$2,COUNTA(BM$3:BM$211),0)</f>
        <v>100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373</v>
      </c>
      <c r="BL5" s="29">
        <v>701</v>
      </c>
      <c r="BM5" s="29">
        <v>564</v>
      </c>
      <c r="BN5" s="65"/>
      <c r="BO5" s="29">
        <f t="shared" ref="BO5:BO68" si="51">IF(BK4="","",BK4)</f>
        <v>447</v>
      </c>
      <c r="BP5" s="29">
        <f t="shared" si="37"/>
        <v>584</v>
      </c>
      <c r="BQ5" s="29">
        <f t="shared" si="38"/>
        <v>677</v>
      </c>
      <c r="BR5" s="65"/>
      <c r="BS5" s="29">
        <f>IF(BK3="","",BK3)</f>
        <v>100</v>
      </c>
      <c r="BT5" s="29">
        <f t="shared" ref="BT5:BT68" si="52">IF(BL3="","",BL3)</f>
        <v>467</v>
      </c>
      <c r="BU5" s="29">
        <f t="shared" ref="BU5:BU68" si="53">IF(BM3="","",BM3)</f>
        <v>100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298</v>
      </c>
      <c r="BL6" s="29">
        <v>100</v>
      </c>
      <c r="BM6" s="29">
        <v>451</v>
      </c>
      <c r="BN6" s="65"/>
      <c r="BO6" s="29">
        <f t="shared" si="51"/>
        <v>373</v>
      </c>
      <c r="BP6" s="29">
        <f t="shared" si="37"/>
        <v>701</v>
      </c>
      <c r="BQ6" s="29">
        <f t="shared" si="38"/>
        <v>564</v>
      </c>
      <c r="BR6" s="65"/>
      <c r="BS6" s="29">
        <f t="shared" ref="BS6:BS69" si="59">IF(BK4="","",BK4)</f>
        <v>447</v>
      </c>
      <c r="BT6" s="29">
        <f t="shared" si="52"/>
        <v>584</v>
      </c>
      <c r="BU6" s="29">
        <f t="shared" si="53"/>
        <v>677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373</v>
      </c>
      <c r="BL7" s="29">
        <v>100</v>
      </c>
      <c r="BM7" s="29">
        <v>564</v>
      </c>
      <c r="BN7" s="65"/>
      <c r="BO7" s="29">
        <f t="shared" si="51"/>
        <v>298</v>
      </c>
      <c r="BP7" s="29">
        <f t="shared" si="37"/>
        <v>100</v>
      </c>
      <c r="BQ7" s="29">
        <f t="shared" si="38"/>
        <v>451</v>
      </c>
      <c r="BR7" s="65"/>
      <c r="BS7" s="29">
        <f t="shared" si="59"/>
        <v>373</v>
      </c>
      <c r="BT7" s="29">
        <f t="shared" si="52"/>
        <v>701</v>
      </c>
      <c r="BU7" s="29">
        <f t="shared" si="53"/>
        <v>564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447</v>
      </c>
      <c r="BL8" s="29">
        <v>100</v>
      </c>
      <c r="BM8" s="29">
        <v>677</v>
      </c>
      <c r="BN8" s="65"/>
      <c r="BO8" s="29">
        <f t="shared" si="51"/>
        <v>373</v>
      </c>
      <c r="BP8" s="29">
        <f t="shared" si="37"/>
        <v>100</v>
      </c>
      <c r="BQ8" s="29">
        <f t="shared" si="38"/>
        <v>564</v>
      </c>
      <c r="BR8" s="65"/>
      <c r="BS8" s="29">
        <f t="shared" si="59"/>
        <v>298</v>
      </c>
      <c r="BT8" s="29">
        <f t="shared" si="52"/>
        <v>100</v>
      </c>
      <c r="BU8" s="29">
        <f t="shared" si="53"/>
        <v>451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100</v>
      </c>
      <c r="BL9" s="29">
        <v>100</v>
      </c>
      <c r="BM9" s="29">
        <v>100</v>
      </c>
      <c r="BN9" s="65"/>
      <c r="BO9" s="29">
        <f t="shared" si="51"/>
        <v>447</v>
      </c>
      <c r="BP9" s="29">
        <f t="shared" si="37"/>
        <v>100</v>
      </c>
      <c r="BQ9" s="29">
        <f t="shared" si="38"/>
        <v>677</v>
      </c>
      <c r="BR9" s="65"/>
      <c r="BS9" s="29">
        <f t="shared" si="59"/>
        <v>373</v>
      </c>
      <c r="BT9" s="29">
        <f t="shared" si="52"/>
        <v>100</v>
      </c>
      <c r="BU9" s="29">
        <f t="shared" si="53"/>
        <v>564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100</v>
      </c>
      <c r="BL10" s="29">
        <v>100</v>
      </c>
      <c r="BM10" s="29">
        <v>100</v>
      </c>
      <c r="BN10" s="65"/>
      <c r="BO10" s="29">
        <f t="shared" si="51"/>
        <v>100</v>
      </c>
      <c r="BP10" s="29">
        <f t="shared" si="37"/>
        <v>100</v>
      </c>
      <c r="BQ10" s="29">
        <f t="shared" si="38"/>
        <v>100</v>
      </c>
      <c r="BR10" s="65"/>
      <c r="BS10" s="29">
        <f t="shared" si="59"/>
        <v>447</v>
      </c>
      <c r="BT10" s="29">
        <f t="shared" si="52"/>
        <v>100</v>
      </c>
      <c r="BU10" s="29">
        <f t="shared" si="53"/>
        <v>677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100</v>
      </c>
      <c r="BL11" s="29">
        <v>100</v>
      </c>
      <c r="BM11" s="29">
        <v>100</v>
      </c>
      <c r="BN11" s="65"/>
      <c r="BO11" s="29">
        <f t="shared" si="51"/>
        <v>100</v>
      </c>
      <c r="BP11" s="29">
        <f t="shared" si="37"/>
        <v>100</v>
      </c>
      <c r="BQ11" s="29">
        <f t="shared" si="38"/>
        <v>100</v>
      </c>
      <c r="BR11" s="65"/>
      <c r="BS11" s="29">
        <f t="shared" si="59"/>
        <v>100</v>
      </c>
      <c r="BT11" s="29">
        <f t="shared" si="52"/>
        <v>100</v>
      </c>
      <c r="BU11" s="29">
        <f t="shared" si="53"/>
        <v>100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100</v>
      </c>
      <c r="BL12" s="29">
        <v>100</v>
      </c>
      <c r="BM12" s="29">
        <v>100</v>
      </c>
      <c r="BN12" s="65"/>
      <c r="BO12" s="29">
        <f t="shared" si="51"/>
        <v>100</v>
      </c>
      <c r="BP12" s="29">
        <f t="shared" si="37"/>
        <v>100</v>
      </c>
      <c r="BQ12" s="29">
        <f t="shared" si="38"/>
        <v>100</v>
      </c>
      <c r="BR12" s="65"/>
      <c r="BS12" s="29">
        <f t="shared" si="59"/>
        <v>100</v>
      </c>
      <c r="BT12" s="29">
        <f t="shared" si="52"/>
        <v>100</v>
      </c>
      <c r="BU12" s="29">
        <f t="shared" si="53"/>
        <v>100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100</v>
      </c>
      <c r="BL13" s="29">
        <v>100</v>
      </c>
      <c r="BM13" s="29">
        <v>100</v>
      </c>
      <c r="BN13" s="65"/>
      <c r="BO13" s="29">
        <f t="shared" si="51"/>
        <v>100</v>
      </c>
      <c r="BP13" s="29">
        <f t="shared" si="37"/>
        <v>100</v>
      </c>
      <c r="BQ13" s="29">
        <f t="shared" si="38"/>
        <v>100</v>
      </c>
      <c r="BR13" s="65"/>
      <c r="BS13" s="29">
        <f t="shared" si="59"/>
        <v>100</v>
      </c>
      <c r="BT13" s="29">
        <f t="shared" si="52"/>
        <v>100</v>
      </c>
      <c r="BU13" s="29">
        <f t="shared" si="53"/>
        <v>100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>
      <c r="A14" s="60" t="s">
        <v>10</v>
      </c>
      <c r="B14" s="106"/>
      <c r="C14" s="106">
        <f>SUM(C3:C13)</f>
        <v>123</v>
      </c>
      <c r="D14" s="106">
        <f>SUM(D3:D13)</f>
        <v>209</v>
      </c>
      <c r="E14" s="106">
        <f>SUM(E3:E13)</f>
        <v>203</v>
      </c>
      <c r="F14" s="106"/>
      <c r="H14" s="60" t="s">
        <v>10</v>
      </c>
      <c r="I14" s="155"/>
      <c r="J14" s="155">
        <f ca="1">SUM(J3:J13)</f>
        <v>123</v>
      </c>
      <c r="K14" s="155">
        <f ca="1">SUM(K3:K13)</f>
        <v>209</v>
      </c>
      <c r="L14" s="155">
        <f ca="1">SUM(L3:L13)</f>
        <v>203</v>
      </c>
      <c r="M14" s="155"/>
      <c r="O14" s="60" t="s">
        <v>10</v>
      </c>
      <c r="P14" s="155"/>
      <c r="Q14" s="155">
        <f ca="1">SUM(Q3:Q13)</f>
        <v>123</v>
      </c>
      <c r="R14" s="155">
        <f ca="1">SUM(R3:R13)</f>
        <v>209</v>
      </c>
      <c r="S14" s="155">
        <f ca="1">SUM(S3:S13)</f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100</v>
      </c>
      <c r="BL14" s="29">
        <v>100</v>
      </c>
      <c r="BM14" s="29">
        <v>100</v>
      </c>
      <c r="BN14" s="65"/>
      <c r="BO14" s="29">
        <f t="shared" si="51"/>
        <v>100</v>
      </c>
      <c r="BP14" s="29">
        <f t="shared" si="37"/>
        <v>100</v>
      </c>
      <c r="BQ14" s="29">
        <f t="shared" si="38"/>
        <v>100</v>
      </c>
      <c r="BR14" s="65"/>
      <c r="BS14" s="29">
        <f t="shared" si="59"/>
        <v>100</v>
      </c>
      <c r="BT14" s="29">
        <f t="shared" si="52"/>
        <v>100</v>
      </c>
      <c r="BU14" s="29">
        <f t="shared" si="53"/>
        <v>100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100</v>
      </c>
      <c r="BL15" s="29">
        <v>100</v>
      </c>
      <c r="BM15" s="29">
        <v>100</v>
      </c>
      <c r="BN15" s="65"/>
      <c r="BO15" s="29">
        <f t="shared" si="51"/>
        <v>100</v>
      </c>
      <c r="BP15" s="29">
        <f t="shared" si="37"/>
        <v>100</v>
      </c>
      <c r="BQ15" s="29">
        <f t="shared" si="38"/>
        <v>100</v>
      </c>
      <c r="BR15" s="65"/>
      <c r="BS15" s="29">
        <f t="shared" si="59"/>
        <v>100</v>
      </c>
      <c r="BT15" s="29">
        <f t="shared" si="52"/>
        <v>100</v>
      </c>
      <c r="BU15" s="29">
        <f t="shared" si="53"/>
        <v>100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100</v>
      </c>
      <c r="BL16" s="29">
        <v>100</v>
      </c>
      <c r="BM16" s="29">
        <v>100</v>
      </c>
      <c r="BN16" s="65"/>
      <c r="BO16" s="29">
        <f t="shared" si="51"/>
        <v>100</v>
      </c>
      <c r="BP16" s="29">
        <f t="shared" si="37"/>
        <v>100</v>
      </c>
      <c r="BQ16" s="29">
        <f t="shared" si="38"/>
        <v>100</v>
      </c>
      <c r="BR16" s="65"/>
      <c r="BS16" s="29">
        <f t="shared" si="59"/>
        <v>100</v>
      </c>
      <c r="BT16" s="29">
        <f t="shared" si="52"/>
        <v>100</v>
      </c>
      <c r="BU16" s="29">
        <f t="shared" si="53"/>
        <v>100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100</v>
      </c>
      <c r="BL17" s="29">
        <v>100</v>
      </c>
      <c r="BM17" s="29">
        <v>100</v>
      </c>
      <c r="BN17" s="65"/>
      <c r="BO17" s="29">
        <f t="shared" si="51"/>
        <v>100</v>
      </c>
      <c r="BP17" s="29">
        <f t="shared" si="37"/>
        <v>100</v>
      </c>
      <c r="BQ17" s="29">
        <f t="shared" si="38"/>
        <v>100</v>
      </c>
      <c r="BR17" s="65"/>
      <c r="BS17" s="29">
        <f t="shared" si="59"/>
        <v>100</v>
      </c>
      <c r="BT17" s="29">
        <f t="shared" si="52"/>
        <v>100</v>
      </c>
      <c r="BU17" s="29">
        <f t="shared" si="53"/>
        <v>100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>
      <c r="A18" s="41" t="s">
        <v>6</v>
      </c>
      <c r="B18" s="43" t="s">
        <v>33</v>
      </c>
      <c r="C18" s="106">
        <f>SUM(C3:C13)</f>
        <v>123</v>
      </c>
      <c r="D18" s="106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5">
        <f ca="1">SUM(J3:J13)</f>
        <v>123</v>
      </c>
      <c r="K18" s="155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5">
        <f ca="1">SUM(Q3:Q13)</f>
        <v>123</v>
      </c>
      <c r="R18" s="155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100</v>
      </c>
      <c r="BL18" s="29">
        <v>100</v>
      </c>
      <c r="BM18" s="29">
        <v>100</v>
      </c>
      <c r="BN18" s="65"/>
      <c r="BO18" s="29">
        <f t="shared" si="51"/>
        <v>100</v>
      </c>
      <c r="BP18" s="29">
        <f t="shared" si="37"/>
        <v>100</v>
      </c>
      <c r="BQ18" s="29">
        <f t="shared" si="38"/>
        <v>100</v>
      </c>
      <c r="BR18" s="65"/>
      <c r="BS18" s="29">
        <f t="shared" si="59"/>
        <v>100</v>
      </c>
      <c r="BT18" s="29">
        <f t="shared" si="52"/>
        <v>100</v>
      </c>
      <c r="BU18" s="29">
        <f t="shared" si="53"/>
        <v>100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>
      <c r="A19" s="78" t="s">
        <v>19</v>
      </c>
      <c r="B19" s="48" t="s">
        <v>20</v>
      </c>
      <c r="C19" s="106">
        <f>C$3+C$4</f>
        <v>23</v>
      </c>
      <c r="D19" s="106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5">
        <f>J$3+J$4</f>
        <v>23</v>
      </c>
      <c r="K19" s="155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5">
        <f>Q$3+Q$4</f>
        <v>23</v>
      </c>
      <c r="R19" s="155">
        <f ca="1">R$3+R$4</f>
        <v>45</v>
      </c>
      <c r="S19" s="84">
        <f ca="1">S$3+S$4</f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100</v>
      </c>
      <c r="BL19" s="29">
        <v>100</v>
      </c>
      <c r="BM19" s="29">
        <v>100</v>
      </c>
      <c r="BN19" s="65"/>
      <c r="BO19" s="29">
        <f t="shared" si="51"/>
        <v>100</v>
      </c>
      <c r="BP19" s="29">
        <f t="shared" si="37"/>
        <v>100</v>
      </c>
      <c r="BQ19" s="29">
        <f t="shared" si="38"/>
        <v>100</v>
      </c>
      <c r="BR19" s="65"/>
      <c r="BS19" s="29">
        <f t="shared" si="59"/>
        <v>100</v>
      </c>
      <c r="BT19" s="29">
        <f t="shared" si="52"/>
        <v>100</v>
      </c>
      <c r="BU19" s="29">
        <f t="shared" si="53"/>
        <v>100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>
      <c r="A20" s="78" t="s">
        <v>21</v>
      </c>
      <c r="B20" s="48" t="s">
        <v>22</v>
      </c>
      <c r="C20" s="106">
        <f>C$3+C$5</f>
        <v>22</v>
      </c>
      <c r="D20" s="106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5">
        <f>J$3+J$5</f>
        <v>22</v>
      </c>
      <c r="K20" s="155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5">
        <f>Q$3+Q$5</f>
        <v>22</v>
      </c>
      <c r="R20" s="155">
        <f ca="1">R$3+R$5</f>
        <v>47</v>
      </c>
      <c r="S20" s="84">
        <f>S$3+S$5</f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100</v>
      </c>
      <c r="BL20" s="29">
        <v>100</v>
      </c>
      <c r="BM20" s="29">
        <v>100</v>
      </c>
      <c r="BN20" s="65"/>
      <c r="BO20" s="29">
        <f t="shared" si="51"/>
        <v>100</v>
      </c>
      <c r="BP20" s="29">
        <f t="shared" si="37"/>
        <v>100</v>
      </c>
      <c r="BQ20" s="29">
        <f t="shared" si="38"/>
        <v>100</v>
      </c>
      <c r="BR20" s="65"/>
      <c r="BS20" s="29">
        <f t="shared" si="59"/>
        <v>100</v>
      </c>
      <c r="BT20" s="29">
        <f t="shared" si="52"/>
        <v>100</v>
      </c>
      <c r="BU20" s="29">
        <f t="shared" si="53"/>
        <v>100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>
      <c r="A21" s="78" t="s">
        <v>23</v>
      </c>
      <c r="B21" s="48" t="s">
        <v>24</v>
      </c>
      <c r="C21" s="106">
        <f>C$3+C$6</f>
        <v>23</v>
      </c>
      <c r="D21" s="106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5">
        <f>J$3+J$6</f>
        <v>23</v>
      </c>
      <c r="K21" s="155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5">
        <f>Q$3+Q$6</f>
        <v>23</v>
      </c>
      <c r="R21" s="155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100</v>
      </c>
      <c r="BL21" s="29">
        <v>100</v>
      </c>
      <c r="BM21" s="29">
        <v>100</v>
      </c>
      <c r="BN21" s="65"/>
      <c r="BO21" s="29">
        <f t="shared" si="51"/>
        <v>100</v>
      </c>
      <c r="BP21" s="29">
        <f t="shared" si="37"/>
        <v>100</v>
      </c>
      <c r="BQ21" s="29">
        <f t="shared" si="38"/>
        <v>100</v>
      </c>
      <c r="BR21" s="65"/>
      <c r="BS21" s="29">
        <f t="shared" si="59"/>
        <v>100</v>
      </c>
      <c r="BT21" s="29">
        <f t="shared" si="52"/>
        <v>100</v>
      </c>
      <c r="BU21" s="29">
        <f t="shared" si="53"/>
        <v>100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>
      <c r="A22" s="78" t="s">
        <v>55</v>
      </c>
      <c r="B22" s="48" t="s">
        <v>34</v>
      </c>
      <c r="C22" s="106">
        <f>C$3+C$7</f>
        <v>27</v>
      </c>
      <c r="D22" s="106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5">
        <f>J$3+J$7</f>
        <v>27</v>
      </c>
      <c r="K22" s="155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5">
        <f>Q$3+Q$7</f>
        <v>27</v>
      </c>
      <c r="R22" s="155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100</v>
      </c>
      <c r="BL22" s="29">
        <v>100</v>
      </c>
      <c r="BM22" s="29">
        <v>100</v>
      </c>
      <c r="BN22" s="65"/>
      <c r="BO22" s="29">
        <f t="shared" si="51"/>
        <v>100</v>
      </c>
      <c r="BP22" s="29">
        <f t="shared" si="37"/>
        <v>100</v>
      </c>
      <c r="BQ22" s="29">
        <f t="shared" si="38"/>
        <v>100</v>
      </c>
      <c r="BR22" s="65"/>
      <c r="BS22" s="29">
        <f t="shared" si="59"/>
        <v>100</v>
      </c>
      <c r="BT22" s="29">
        <f t="shared" si="52"/>
        <v>100</v>
      </c>
      <c r="BU22" s="29">
        <f t="shared" si="53"/>
        <v>100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>
      <c r="A23" s="78" t="s">
        <v>56</v>
      </c>
      <c r="B23" s="48" t="s">
        <v>35</v>
      </c>
      <c r="C23" s="106">
        <f>C$3+C$8</f>
        <v>28</v>
      </c>
      <c r="D23" s="106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5">
        <f>J$3+J$8</f>
        <v>28</v>
      </c>
      <c r="K23" s="155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5">
        <f ca="1">Q$3+Q$8</f>
        <v>28</v>
      </c>
      <c r="R23" s="155">
        <f ca="1">R$3+R$8</f>
        <v>49</v>
      </c>
      <c r="S23" s="84">
        <f>S$3+S$8</f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100</v>
      </c>
      <c r="BL23" s="29">
        <v>701</v>
      </c>
      <c r="BM23" s="29">
        <v>100</v>
      </c>
      <c r="BN23" s="65"/>
      <c r="BO23" s="29">
        <f t="shared" si="51"/>
        <v>100</v>
      </c>
      <c r="BP23" s="29">
        <f t="shared" si="37"/>
        <v>100</v>
      </c>
      <c r="BQ23" s="29">
        <f t="shared" si="38"/>
        <v>100</v>
      </c>
      <c r="BR23" s="65"/>
      <c r="BS23" s="29">
        <f t="shared" si="59"/>
        <v>100</v>
      </c>
      <c r="BT23" s="29">
        <f t="shared" si="52"/>
        <v>100</v>
      </c>
      <c r="BU23" s="29">
        <f t="shared" si="53"/>
        <v>100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>
      <c r="A24" s="78" t="s">
        <v>57</v>
      </c>
      <c r="B24" s="48" t="s">
        <v>36</v>
      </c>
      <c r="C24" s="106">
        <f>C$3+C$9</f>
        <v>26</v>
      </c>
      <c r="D24" s="106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5">
        <f>J$3+J$9</f>
        <v>26</v>
      </c>
      <c r="K24" s="155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5">
        <f>Q$3+Q$9</f>
        <v>26</v>
      </c>
      <c r="R24" s="155">
        <f ca="1">R$3+R$9</f>
        <v>50</v>
      </c>
      <c r="S24" s="84">
        <f>S$3+S$9</f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100</v>
      </c>
      <c r="BL24" s="29">
        <v>584</v>
      </c>
      <c r="BM24" s="29">
        <v>100</v>
      </c>
      <c r="BN24" s="65"/>
      <c r="BO24" s="29">
        <f t="shared" si="51"/>
        <v>100</v>
      </c>
      <c r="BP24" s="29">
        <f t="shared" si="37"/>
        <v>701</v>
      </c>
      <c r="BQ24" s="29">
        <f t="shared" si="38"/>
        <v>100</v>
      </c>
      <c r="BR24" s="65"/>
      <c r="BS24" s="29">
        <f t="shared" si="59"/>
        <v>100</v>
      </c>
      <c r="BT24" s="29">
        <f t="shared" si="52"/>
        <v>100</v>
      </c>
      <c r="BU24" s="29">
        <f t="shared" si="53"/>
        <v>100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>
      <c r="A25" s="73" t="s">
        <v>58</v>
      </c>
      <c r="B25" s="53" t="s">
        <v>37</v>
      </c>
      <c r="C25" s="105">
        <f>C$3+C$10</f>
        <v>28</v>
      </c>
      <c r="D25" s="105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4">
        <f ca="1">J$3+J$10</f>
        <v>28</v>
      </c>
      <c r="K25" s="154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4">
        <f ca="1">Q$3+Q$10</f>
        <v>28</v>
      </c>
      <c r="R25" s="154">
        <f ca="1">R$3+R$10</f>
        <v>47</v>
      </c>
      <c r="S25" s="17">
        <f>S$3+S$10</f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100</v>
      </c>
      <c r="BL25" s="29">
        <v>467</v>
      </c>
      <c r="BM25" s="29">
        <v>100</v>
      </c>
      <c r="BN25" s="65"/>
      <c r="BO25" s="29">
        <f t="shared" si="51"/>
        <v>100</v>
      </c>
      <c r="BP25" s="29">
        <f t="shared" si="37"/>
        <v>584</v>
      </c>
      <c r="BQ25" s="29">
        <f t="shared" si="38"/>
        <v>100</v>
      </c>
      <c r="BR25" s="65"/>
      <c r="BS25" s="29">
        <f t="shared" si="59"/>
        <v>100</v>
      </c>
      <c r="BT25" s="29">
        <f t="shared" si="52"/>
        <v>701</v>
      </c>
      <c r="BU25" s="29">
        <f t="shared" si="53"/>
        <v>100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100</v>
      </c>
      <c r="BL26" s="29">
        <v>584</v>
      </c>
      <c r="BM26" s="29">
        <v>100</v>
      </c>
      <c r="BN26" s="65"/>
      <c r="BO26" s="29">
        <f t="shared" si="51"/>
        <v>100</v>
      </c>
      <c r="BP26" s="29">
        <f t="shared" si="37"/>
        <v>467</v>
      </c>
      <c r="BQ26" s="29">
        <f t="shared" si="38"/>
        <v>100</v>
      </c>
      <c r="BR26" s="65"/>
      <c r="BS26" s="29">
        <f t="shared" si="59"/>
        <v>100</v>
      </c>
      <c r="BT26" s="29">
        <f t="shared" si="52"/>
        <v>584</v>
      </c>
      <c r="BU26" s="29">
        <f t="shared" si="53"/>
        <v>100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>
      <c r="A27" s="323" t="s">
        <v>145</v>
      </c>
      <c r="B27" s="323"/>
      <c r="C27" s="323"/>
      <c r="D27" s="323"/>
      <c r="E27" s="323"/>
      <c r="F27" s="323"/>
      <c r="H27" s="323" t="s">
        <v>146</v>
      </c>
      <c r="I27" s="323"/>
      <c r="J27" s="323"/>
      <c r="K27" s="323"/>
      <c r="L27" s="323"/>
      <c r="M27" s="323"/>
      <c r="O27" s="323" t="s">
        <v>147</v>
      </c>
      <c r="P27" s="323"/>
      <c r="Q27" s="323"/>
      <c r="R27" s="323"/>
      <c r="S27" s="323"/>
      <c r="T27" s="323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100</v>
      </c>
      <c r="BL27" s="29">
        <v>701</v>
      </c>
      <c r="BM27" s="29">
        <v>100</v>
      </c>
      <c r="BN27" s="65"/>
      <c r="BO27" s="29">
        <f t="shared" si="51"/>
        <v>100</v>
      </c>
      <c r="BP27" s="29">
        <f t="shared" si="37"/>
        <v>584</v>
      </c>
      <c r="BQ27" s="29">
        <f t="shared" si="38"/>
        <v>100</v>
      </c>
      <c r="BR27" s="65"/>
      <c r="BS27" s="29">
        <f t="shared" si="59"/>
        <v>100</v>
      </c>
      <c r="BT27" s="29">
        <f t="shared" si="52"/>
        <v>467</v>
      </c>
      <c r="BU27" s="29">
        <f t="shared" si="53"/>
        <v>100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100</v>
      </c>
      <c r="BL28" s="29">
        <v>100</v>
      </c>
      <c r="BM28" s="29">
        <v>100</v>
      </c>
      <c r="BN28" s="65"/>
      <c r="BO28" s="29">
        <f t="shared" si="51"/>
        <v>100</v>
      </c>
      <c r="BP28" s="29">
        <f t="shared" si="37"/>
        <v>701</v>
      </c>
      <c r="BQ28" s="29">
        <f t="shared" si="38"/>
        <v>100</v>
      </c>
      <c r="BR28" s="65"/>
      <c r="BS28" s="29">
        <f t="shared" si="59"/>
        <v>100</v>
      </c>
      <c r="BT28" s="29">
        <f t="shared" si="52"/>
        <v>584</v>
      </c>
      <c r="BU28" s="29">
        <f t="shared" si="53"/>
        <v>100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100</v>
      </c>
      <c r="BL29" s="29">
        <v>100</v>
      </c>
      <c r="BM29" s="29">
        <v>100</v>
      </c>
      <c r="BN29" s="65"/>
      <c r="BO29" s="29">
        <f t="shared" si="51"/>
        <v>100</v>
      </c>
      <c r="BP29" s="29">
        <f t="shared" si="37"/>
        <v>100</v>
      </c>
      <c r="BQ29" s="29">
        <f t="shared" si="38"/>
        <v>100</v>
      </c>
      <c r="BR29" s="65"/>
      <c r="BS29" s="29">
        <f t="shared" si="59"/>
        <v>100</v>
      </c>
      <c r="BT29" s="29">
        <f t="shared" si="52"/>
        <v>701</v>
      </c>
      <c r="BU29" s="29">
        <f t="shared" si="53"/>
        <v>100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>
      <c r="A30" s="78" t="s">
        <v>16</v>
      </c>
      <c r="B30" s="155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5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5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100</v>
      </c>
      <c r="BL30" s="29">
        <v>100</v>
      </c>
      <c r="BM30" s="29">
        <v>100</v>
      </c>
      <c r="BN30" s="65"/>
      <c r="BO30" s="29">
        <f t="shared" si="51"/>
        <v>100</v>
      </c>
      <c r="BP30" s="29">
        <f t="shared" si="37"/>
        <v>100</v>
      </c>
      <c r="BQ30" s="29">
        <f t="shared" si="38"/>
        <v>100</v>
      </c>
      <c r="BR30" s="65"/>
      <c r="BS30" s="29">
        <f t="shared" si="59"/>
        <v>100</v>
      </c>
      <c r="BT30" s="29">
        <f t="shared" si="52"/>
        <v>100</v>
      </c>
      <c r="BU30" s="29">
        <f t="shared" si="53"/>
        <v>100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100</v>
      </c>
      <c r="BL31" s="29">
        <v>100</v>
      </c>
      <c r="BM31" s="29">
        <v>100</v>
      </c>
      <c r="BN31" s="65"/>
      <c r="BO31" s="29">
        <f t="shared" si="51"/>
        <v>100</v>
      </c>
      <c r="BP31" s="29">
        <f t="shared" si="37"/>
        <v>100</v>
      </c>
      <c r="BQ31" s="29">
        <f t="shared" si="38"/>
        <v>100</v>
      </c>
      <c r="BR31" s="65"/>
      <c r="BS31" s="29">
        <f t="shared" si="59"/>
        <v>100</v>
      </c>
      <c r="BT31" s="29">
        <f t="shared" si="52"/>
        <v>100</v>
      </c>
      <c r="BU31" s="29">
        <f t="shared" si="53"/>
        <v>100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100</v>
      </c>
      <c r="BL32" s="29">
        <v>100</v>
      </c>
      <c r="BM32" s="29">
        <v>677</v>
      </c>
      <c r="BN32" s="65"/>
      <c r="BO32" s="29">
        <f t="shared" si="51"/>
        <v>100</v>
      </c>
      <c r="BP32" s="29">
        <f t="shared" si="37"/>
        <v>100</v>
      </c>
      <c r="BQ32" s="29">
        <f t="shared" si="38"/>
        <v>100</v>
      </c>
      <c r="BR32" s="65"/>
      <c r="BS32" s="29">
        <f t="shared" si="59"/>
        <v>100</v>
      </c>
      <c r="BT32" s="29">
        <f t="shared" si="52"/>
        <v>100</v>
      </c>
      <c r="BU32" s="29">
        <f t="shared" si="53"/>
        <v>100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100</v>
      </c>
      <c r="BL33" s="29">
        <v>100</v>
      </c>
      <c r="BM33" s="29">
        <v>564</v>
      </c>
      <c r="BN33" s="65"/>
      <c r="BO33" s="29">
        <f t="shared" si="51"/>
        <v>100</v>
      </c>
      <c r="BP33" s="29">
        <f t="shared" si="37"/>
        <v>100</v>
      </c>
      <c r="BQ33" s="29">
        <f t="shared" si="38"/>
        <v>677</v>
      </c>
      <c r="BR33" s="65"/>
      <c r="BS33" s="29">
        <f t="shared" si="59"/>
        <v>100</v>
      </c>
      <c r="BT33" s="29">
        <f t="shared" si="52"/>
        <v>100</v>
      </c>
      <c r="BU33" s="29">
        <f t="shared" si="53"/>
        <v>100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100</v>
      </c>
      <c r="BL34" s="29">
        <v>100</v>
      </c>
      <c r="BM34" s="29">
        <v>451</v>
      </c>
      <c r="BN34" s="65"/>
      <c r="BO34" s="29">
        <f t="shared" si="51"/>
        <v>100</v>
      </c>
      <c r="BP34" s="29">
        <f t="shared" si="37"/>
        <v>100</v>
      </c>
      <c r="BQ34" s="29">
        <f t="shared" si="38"/>
        <v>564</v>
      </c>
      <c r="BR34" s="65"/>
      <c r="BS34" s="29">
        <f t="shared" si="59"/>
        <v>100</v>
      </c>
      <c r="BT34" s="29">
        <f t="shared" si="52"/>
        <v>100</v>
      </c>
      <c r="BU34" s="29">
        <f t="shared" si="53"/>
        <v>677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100</v>
      </c>
      <c r="BL35" s="29">
        <v>100</v>
      </c>
      <c r="BM35" s="29">
        <v>564</v>
      </c>
      <c r="BN35" s="65"/>
      <c r="BO35" s="29">
        <f t="shared" si="51"/>
        <v>100</v>
      </c>
      <c r="BP35" s="29">
        <f t="shared" si="37"/>
        <v>100</v>
      </c>
      <c r="BQ35" s="29">
        <f t="shared" si="38"/>
        <v>451</v>
      </c>
      <c r="BR35" s="65"/>
      <c r="BS35" s="29">
        <f t="shared" si="59"/>
        <v>100</v>
      </c>
      <c r="BT35" s="29">
        <f t="shared" si="52"/>
        <v>100</v>
      </c>
      <c r="BU35" s="29">
        <f t="shared" si="53"/>
        <v>564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100</v>
      </c>
      <c r="BL36" s="29">
        <v>100</v>
      </c>
      <c r="BM36" s="29">
        <v>677</v>
      </c>
      <c r="BN36" s="65"/>
      <c r="BO36" s="29">
        <f t="shared" si="51"/>
        <v>100</v>
      </c>
      <c r="BP36" s="29">
        <f t="shared" si="37"/>
        <v>100</v>
      </c>
      <c r="BQ36" s="29">
        <f t="shared" si="38"/>
        <v>564</v>
      </c>
      <c r="BR36" s="65"/>
      <c r="BS36" s="29">
        <f t="shared" si="59"/>
        <v>100</v>
      </c>
      <c r="BT36" s="29">
        <f t="shared" si="52"/>
        <v>100</v>
      </c>
      <c r="BU36" s="29">
        <f t="shared" si="53"/>
        <v>451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100</v>
      </c>
      <c r="BL37" s="29">
        <v>100</v>
      </c>
      <c r="BM37" s="29">
        <v>100</v>
      </c>
      <c r="BN37" s="65"/>
      <c r="BO37" s="29">
        <f t="shared" si="51"/>
        <v>100</v>
      </c>
      <c r="BP37" s="29">
        <f t="shared" si="37"/>
        <v>100</v>
      </c>
      <c r="BQ37" s="29">
        <f t="shared" si="38"/>
        <v>677</v>
      </c>
      <c r="BR37" s="65"/>
      <c r="BS37" s="29">
        <f t="shared" si="59"/>
        <v>100</v>
      </c>
      <c r="BT37" s="29">
        <f t="shared" si="52"/>
        <v>100</v>
      </c>
      <c r="BU37" s="29">
        <f t="shared" si="53"/>
        <v>564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100</v>
      </c>
      <c r="BL38" s="29">
        <v>100</v>
      </c>
      <c r="BM38" s="29">
        <v>100</v>
      </c>
      <c r="BN38" s="65"/>
      <c r="BO38" s="29">
        <f t="shared" si="51"/>
        <v>100</v>
      </c>
      <c r="BP38" s="29">
        <f t="shared" si="37"/>
        <v>100</v>
      </c>
      <c r="BQ38" s="29">
        <f t="shared" si="38"/>
        <v>100</v>
      </c>
      <c r="BR38" s="65"/>
      <c r="BS38" s="29">
        <f t="shared" si="59"/>
        <v>100</v>
      </c>
      <c r="BT38" s="29">
        <f t="shared" si="52"/>
        <v>100</v>
      </c>
      <c r="BU38" s="29">
        <f t="shared" si="53"/>
        <v>677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100</v>
      </c>
      <c r="BL39" s="29">
        <v>100</v>
      </c>
      <c r="BM39" s="29">
        <v>100</v>
      </c>
      <c r="BN39" s="65"/>
      <c r="BO39" s="29">
        <f t="shared" si="51"/>
        <v>100</v>
      </c>
      <c r="BP39" s="29">
        <f t="shared" si="37"/>
        <v>100</v>
      </c>
      <c r="BQ39" s="29">
        <f t="shared" si="38"/>
        <v>100</v>
      </c>
      <c r="BR39" s="65"/>
      <c r="BS39" s="29">
        <f t="shared" si="59"/>
        <v>100</v>
      </c>
      <c r="BT39" s="29">
        <f t="shared" si="52"/>
        <v>100</v>
      </c>
      <c r="BU39" s="29">
        <f t="shared" si="53"/>
        <v>100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>
      <c r="A40" s="60" t="s">
        <v>10</v>
      </c>
      <c r="B40" s="155"/>
      <c r="C40" s="155">
        <f>SUM(C29:C39)</f>
        <v>123</v>
      </c>
      <c r="D40" s="155">
        <f>SUM(D29:D39)</f>
        <v>209</v>
      </c>
      <c r="E40" s="155">
        <f>SUM(E29:E39)</f>
        <v>203</v>
      </c>
      <c r="F40" s="155"/>
      <c r="H40" s="60" t="s">
        <v>10</v>
      </c>
      <c r="I40" s="155"/>
      <c r="J40" s="155">
        <f ca="1">SUM(J29:J39)</f>
        <v>123</v>
      </c>
      <c r="K40" s="155">
        <f ca="1">SUM(K29:K39)</f>
        <v>209</v>
      </c>
      <c r="L40" s="155">
        <f ca="1">SUM(L29:L39)</f>
        <v>203</v>
      </c>
      <c r="M40" s="155"/>
      <c r="O40" s="60" t="s">
        <v>10</v>
      </c>
      <c r="P40" s="155"/>
      <c r="Q40" s="155">
        <f ca="1">SUM(Q29:Q39)</f>
        <v>123</v>
      </c>
      <c r="R40" s="155">
        <f ca="1">SUM(R29:R39)</f>
        <v>209</v>
      </c>
      <c r="S40" s="155">
        <f ca="1">SUM(S29:S39)</f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100</v>
      </c>
      <c r="BL40" s="29">
        <v>100</v>
      </c>
      <c r="BM40" s="29">
        <v>100</v>
      </c>
      <c r="BN40" s="65"/>
      <c r="BO40" s="29">
        <f t="shared" si="51"/>
        <v>100</v>
      </c>
      <c r="BP40" s="29">
        <f t="shared" si="37"/>
        <v>100</v>
      </c>
      <c r="BQ40" s="29">
        <f t="shared" si="38"/>
        <v>100</v>
      </c>
      <c r="BR40" s="65"/>
      <c r="BS40" s="29">
        <f t="shared" si="59"/>
        <v>100</v>
      </c>
      <c r="BT40" s="29">
        <f t="shared" si="52"/>
        <v>100</v>
      </c>
      <c r="BU40" s="29">
        <f t="shared" si="53"/>
        <v>100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100</v>
      </c>
      <c r="BL41" s="29">
        <v>100</v>
      </c>
      <c r="BM41" s="29">
        <v>100</v>
      </c>
      <c r="BN41" s="65"/>
      <c r="BO41" s="29">
        <f t="shared" si="51"/>
        <v>100</v>
      </c>
      <c r="BP41" s="29">
        <f t="shared" si="37"/>
        <v>100</v>
      </c>
      <c r="BQ41" s="29">
        <f t="shared" si="38"/>
        <v>100</v>
      </c>
      <c r="BR41" s="65"/>
      <c r="BS41" s="29">
        <f t="shared" si="59"/>
        <v>100</v>
      </c>
      <c r="BT41" s="29">
        <f t="shared" si="52"/>
        <v>100</v>
      </c>
      <c r="BU41" s="29">
        <f t="shared" si="53"/>
        <v>100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100</v>
      </c>
      <c r="BL42" s="29">
        <v>100</v>
      </c>
      <c r="BM42" s="29">
        <v>100</v>
      </c>
      <c r="BN42" s="65"/>
      <c r="BO42" s="29">
        <f t="shared" si="51"/>
        <v>100</v>
      </c>
      <c r="BP42" s="29">
        <f t="shared" si="37"/>
        <v>100</v>
      </c>
      <c r="BQ42" s="29">
        <f t="shared" si="38"/>
        <v>100</v>
      </c>
      <c r="BR42" s="65"/>
      <c r="BS42" s="29">
        <f t="shared" si="59"/>
        <v>100</v>
      </c>
      <c r="BT42" s="29">
        <f t="shared" si="52"/>
        <v>100</v>
      </c>
      <c r="BU42" s="29">
        <f t="shared" si="53"/>
        <v>100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100</v>
      </c>
      <c r="BL43" s="29">
        <v>100</v>
      </c>
      <c r="BM43" s="29">
        <v>100</v>
      </c>
      <c r="BN43" s="65"/>
      <c r="BO43" s="29">
        <f t="shared" si="51"/>
        <v>100</v>
      </c>
      <c r="BP43" s="29">
        <f t="shared" si="37"/>
        <v>100</v>
      </c>
      <c r="BQ43" s="29">
        <f t="shared" si="38"/>
        <v>100</v>
      </c>
      <c r="BR43" s="65"/>
      <c r="BS43" s="29">
        <f t="shared" si="59"/>
        <v>100</v>
      </c>
      <c r="BT43" s="29">
        <f t="shared" si="52"/>
        <v>100</v>
      </c>
      <c r="BU43" s="29">
        <f t="shared" si="53"/>
        <v>100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>
      <c r="A44" s="41" t="s">
        <v>6</v>
      </c>
      <c r="B44" s="43" t="s">
        <v>33</v>
      </c>
      <c r="C44" s="155">
        <f>SUM(C29:C39)</f>
        <v>123</v>
      </c>
      <c r="D44" s="155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5">
        <f ca="1">SUM(J29:J39)</f>
        <v>123</v>
      </c>
      <c r="K44" s="155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5">
        <f ca="1">SUM(Q29:Q39)</f>
        <v>123</v>
      </c>
      <c r="R44" s="155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100</v>
      </c>
      <c r="BL44" s="29">
        <v>100</v>
      </c>
      <c r="BM44" s="29">
        <v>100</v>
      </c>
      <c r="BN44" s="65"/>
      <c r="BO44" s="29">
        <f t="shared" si="51"/>
        <v>100</v>
      </c>
      <c r="BP44" s="29">
        <f t="shared" si="37"/>
        <v>100</v>
      </c>
      <c r="BQ44" s="29">
        <f t="shared" si="38"/>
        <v>100</v>
      </c>
      <c r="BR44" s="65"/>
      <c r="BS44" s="29">
        <f t="shared" si="59"/>
        <v>100</v>
      </c>
      <c r="BT44" s="29">
        <f t="shared" si="52"/>
        <v>100</v>
      </c>
      <c r="BU44" s="29">
        <f t="shared" si="53"/>
        <v>100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>
      <c r="A45" s="78" t="s">
        <v>19</v>
      </c>
      <c r="B45" s="48" t="s">
        <v>20</v>
      </c>
      <c r="C45" s="155">
        <f>C$3+C$4</f>
        <v>23</v>
      </c>
      <c r="D45" s="155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5">
        <f>J$3+J$4</f>
        <v>23</v>
      </c>
      <c r="K45" s="155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5">
        <f>Q$3+Q$4</f>
        <v>23</v>
      </c>
      <c r="R45" s="155">
        <f ca="1">R$3+R$4</f>
        <v>45</v>
      </c>
      <c r="S45" s="84">
        <f ca="1">S$3+S$4</f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100</v>
      </c>
      <c r="BL45" s="29">
        <v>100</v>
      </c>
      <c r="BM45" s="29">
        <v>100</v>
      </c>
      <c r="BN45" s="65"/>
      <c r="BO45" s="29">
        <f t="shared" si="51"/>
        <v>100</v>
      </c>
      <c r="BP45" s="29">
        <f t="shared" si="37"/>
        <v>100</v>
      </c>
      <c r="BQ45" s="29">
        <f t="shared" si="38"/>
        <v>100</v>
      </c>
      <c r="BR45" s="65"/>
      <c r="BS45" s="29">
        <f t="shared" si="59"/>
        <v>100</v>
      </c>
      <c r="BT45" s="29">
        <f t="shared" si="52"/>
        <v>100</v>
      </c>
      <c r="BU45" s="29">
        <f t="shared" si="53"/>
        <v>100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>
      <c r="A46" s="78" t="s">
        <v>21</v>
      </c>
      <c r="B46" s="48" t="s">
        <v>22</v>
      </c>
      <c r="C46" s="155">
        <f>C$3+C$5</f>
        <v>22</v>
      </c>
      <c r="D46" s="155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5">
        <f>J$3+J$5</f>
        <v>22</v>
      </c>
      <c r="K46" s="155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5">
        <f>Q$3+Q$5</f>
        <v>22</v>
      </c>
      <c r="R46" s="155">
        <f ca="1">R$3+R$5</f>
        <v>47</v>
      </c>
      <c r="S46" s="84">
        <f>S$3+S$5</f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100</v>
      </c>
      <c r="BL46" s="29">
        <v>100</v>
      </c>
      <c r="BM46" s="29">
        <v>100</v>
      </c>
      <c r="BN46" s="65"/>
      <c r="BO46" s="29">
        <f t="shared" si="51"/>
        <v>100</v>
      </c>
      <c r="BP46" s="29">
        <f t="shared" si="37"/>
        <v>100</v>
      </c>
      <c r="BQ46" s="29">
        <f t="shared" si="38"/>
        <v>100</v>
      </c>
      <c r="BR46" s="65"/>
      <c r="BS46" s="29">
        <f t="shared" si="59"/>
        <v>100</v>
      </c>
      <c r="BT46" s="29">
        <f t="shared" si="52"/>
        <v>100</v>
      </c>
      <c r="BU46" s="29">
        <f t="shared" si="53"/>
        <v>100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>
      <c r="A47" s="78" t="s">
        <v>23</v>
      </c>
      <c r="B47" s="48" t="s">
        <v>24</v>
      </c>
      <c r="C47" s="155">
        <f>C$3+C$6</f>
        <v>23</v>
      </c>
      <c r="D47" s="155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5">
        <f>J$3+J$6</f>
        <v>23</v>
      </c>
      <c r="K47" s="155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5">
        <f>Q$3+Q$6</f>
        <v>23</v>
      </c>
      <c r="R47" s="155">
        <f ca="1">R$3+R$6</f>
        <v>46</v>
      </c>
      <c r="S47" s="84">
        <f>S$3+S$6</f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100</v>
      </c>
      <c r="BL47" s="29">
        <v>100</v>
      </c>
      <c r="BM47" s="29">
        <v>100</v>
      </c>
      <c r="BN47" s="65"/>
      <c r="BO47" s="29">
        <f t="shared" si="51"/>
        <v>100</v>
      </c>
      <c r="BP47" s="29">
        <f t="shared" si="37"/>
        <v>100</v>
      </c>
      <c r="BQ47" s="29">
        <f t="shared" si="38"/>
        <v>100</v>
      </c>
      <c r="BR47" s="65"/>
      <c r="BS47" s="29">
        <f t="shared" si="59"/>
        <v>100</v>
      </c>
      <c r="BT47" s="29">
        <f t="shared" si="52"/>
        <v>100</v>
      </c>
      <c r="BU47" s="29">
        <f t="shared" si="53"/>
        <v>100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>
      <c r="A48" s="78" t="s">
        <v>55</v>
      </c>
      <c r="B48" s="48" t="s">
        <v>34</v>
      </c>
      <c r="C48" s="155">
        <f>C$3+C$7</f>
        <v>27</v>
      </c>
      <c r="D48" s="155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5">
        <f>J$3+J$7</f>
        <v>27</v>
      </c>
      <c r="K48" s="155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5">
        <f>Q$3+Q$7</f>
        <v>27</v>
      </c>
      <c r="R48" s="155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100</v>
      </c>
      <c r="BL48" s="29">
        <v>100</v>
      </c>
      <c r="BM48" s="29">
        <v>100</v>
      </c>
      <c r="BN48" s="65"/>
      <c r="BO48" s="29">
        <f t="shared" si="51"/>
        <v>100</v>
      </c>
      <c r="BP48" s="29">
        <f t="shared" si="37"/>
        <v>100</v>
      </c>
      <c r="BQ48" s="29">
        <f t="shared" si="38"/>
        <v>100</v>
      </c>
      <c r="BR48" s="65"/>
      <c r="BS48" s="29">
        <f t="shared" si="59"/>
        <v>100</v>
      </c>
      <c r="BT48" s="29">
        <f t="shared" si="52"/>
        <v>100</v>
      </c>
      <c r="BU48" s="29">
        <f t="shared" si="53"/>
        <v>100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>
      <c r="A49" s="78" t="s">
        <v>56</v>
      </c>
      <c r="B49" s="48" t="s">
        <v>35</v>
      </c>
      <c r="C49" s="155">
        <f>C$3+C$8</f>
        <v>28</v>
      </c>
      <c r="D49" s="155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5">
        <f>J$3+J$8</f>
        <v>28</v>
      </c>
      <c r="K49" s="155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5">
        <f ca="1">Q$3+Q$8</f>
        <v>28</v>
      </c>
      <c r="R49" s="155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100</v>
      </c>
      <c r="BL49" s="29">
        <v>100</v>
      </c>
      <c r="BM49" s="29">
        <v>100</v>
      </c>
      <c r="BN49" s="65"/>
      <c r="BO49" s="29">
        <f t="shared" si="51"/>
        <v>100</v>
      </c>
      <c r="BP49" s="29">
        <f t="shared" si="37"/>
        <v>100</v>
      </c>
      <c r="BQ49" s="29">
        <f t="shared" si="38"/>
        <v>100</v>
      </c>
      <c r="BR49" s="65"/>
      <c r="BS49" s="29">
        <f t="shared" si="59"/>
        <v>100</v>
      </c>
      <c r="BT49" s="29">
        <f t="shared" si="52"/>
        <v>100</v>
      </c>
      <c r="BU49" s="29">
        <f t="shared" si="53"/>
        <v>100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>
      <c r="A50" s="78" t="s">
        <v>57</v>
      </c>
      <c r="B50" s="48" t="s">
        <v>36</v>
      </c>
      <c r="C50" s="155">
        <f>C$3+C$9</f>
        <v>26</v>
      </c>
      <c r="D50" s="155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5">
        <f>J$3+J$9</f>
        <v>26</v>
      </c>
      <c r="K50" s="155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5">
        <f>Q$3+Q$9</f>
        <v>26</v>
      </c>
      <c r="R50" s="155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100</v>
      </c>
      <c r="BL50" s="29">
        <v>100</v>
      </c>
      <c r="BM50" s="29">
        <v>100</v>
      </c>
      <c r="BN50" s="65"/>
      <c r="BO50" s="29">
        <f t="shared" si="51"/>
        <v>100</v>
      </c>
      <c r="BP50" s="29">
        <f t="shared" si="37"/>
        <v>100</v>
      </c>
      <c r="BQ50" s="29">
        <f t="shared" si="38"/>
        <v>100</v>
      </c>
      <c r="BR50" s="65"/>
      <c r="BS50" s="29">
        <f t="shared" si="59"/>
        <v>100</v>
      </c>
      <c r="BT50" s="29">
        <f t="shared" si="52"/>
        <v>100</v>
      </c>
      <c r="BU50" s="29">
        <f t="shared" si="53"/>
        <v>100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>
      <c r="A51" s="73" t="s">
        <v>58</v>
      </c>
      <c r="B51" s="53" t="s">
        <v>37</v>
      </c>
      <c r="C51" s="154">
        <f>C$3+C$10</f>
        <v>28</v>
      </c>
      <c r="D51" s="154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4">
        <f ca="1">J$3+J$10</f>
        <v>28</v>
      </c>
      <c r="K51" s="154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4">
        <f ca="1">Q$3+Q$10</f>
        <v>28</v>
      </c>
      <c r="R51" s="154">
        <f ca="1">R$3+R$10</f>
        <v>47</v>
      </c>
      <c r="S51" s="17">
        <f>S$3+S$10</f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447</v>
      </c>
      <c r="BL51" s="29">
        <v>701</v>
      </c>
      <c r="BM51" s="29">
        <v>100</v>
      </c>
      <c r="BN51" s="65"/>
      <c r="BO51" s="29">
        <f t="shared" si="51"/>
        <v>100</v>
      </c>
      <c r="BP51" s="29">
        <f t="shared" si="37"/>
        <v>100</v>
      </c>
      <c r="BQ51" s="29">
        <f t="shared" si="38"/>
        <v>100</v>
      </c>
      <c r="BR51" s="65"/>
      <c r="BS51" s="29">
        <f t="shared" si="59"/>
        <v>100</v>
      </c>
      <c r="BT51" s="29">
        <f t="shared" si="52"/>
        <v>100</v>
      </c>
      <c r="BU51" s="29">
        <f t="shared" si="53"/>
        <v>100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373</v>
      </c>
      <c r="BL52" s="29">
        <v>584</v>
      </c>
      <c r="BM52" s="29">
        <v>100</v>
      </c>
      <c r="BN52" s="65"/>
      <c r="BO52" s="29">
        <f t="shared" si="51"/>
        <v>447</v>
      </c>
      <c r="BP52" s="29">
        <f t="shared" si="37"/>
        <v>701</v>
      </c>
      <c r="BQ52" s="29">
        <f t="shared" si="38"/>
        <v>100</v>
      </c>
      <c r="BR52" s="65"/>
      <c r="BS52" s="29">
        <f t="shared" si="59"/>
        <v>100</v>
      </c>
      <c r="BT52" s="29">
        <f t="shared" si="52"/>
        <v>100</v>
      </c>
      <c r="BU52" s="29">
        <f t="shared" si="53"/>
        <v>100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>
      <c r="A53" s="324" t="s">
        <v>148</v>
      </c>
      <c r="B53" s="324"/>
      <c r="C53" s="324"/>
      <c r="D53" s="324"/>
      <c r="E53" s="324"/>
      <c r="F53" s="324"/>
      <c r="H53" s="324" t="s">
        <v>149</v>
      </c>
      <c r="I53" s="324"/>
      <c r="J53" s="324"/>
      <c r="K53" s="324"/>
      <c r="L53" s="324"/>
      <c r="M53" s="324"/>
      <c r="O53" s="324" t="s">
        <v>150</v>
      </c>
      <c r="P53" s="324"/>
      <c r="Q53" s="324"/>
      <c r="R53" s="324"/>
      <c r="S53" s="324"/>
      <c r="T53" s="324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298</v>
      </c>
      <c r="BL53" s="29">
        <v>467</v>
      </c>
      <c r="BM53" s="29">
        <v>100</v>
      </c>
      <c r="BN53" s="65"/>
      <c r="BO53" s="29">
        <f t="shared" si="51"/>
        <v>373</v>
      </c>
      <c r="BP53" s="29">
        <f t="shared" si="37"/>
        <v>584</v>
      </c>
      <c r="BQ53" s="29">
        <f t="shared" si="38"/>
        <v>100</v>
      </c>
      <c r="BR53" s="65"/>
      <c r="BS53" s="29">
        <f t="shared" si="59"/>
        <v>447</v>
      </c>
      <c r="BT53" s="29">
        <f t="shared" si="52"/>
        <v>701</v>
      </c>
      <c r="BU53" s="29">
        <f t="shared" si="53"/>
        <v>100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373</v>
      </c>
      <c r="BL54" s="29">
        <v>584</v>
      </c>
      <c r="BM54" s="29">
        <v>100</v>
      </c>
      <c r="BN54" s="65"/>
      <c r="BO54" s="29">
        <f t="shared" si="51"/>
        <v>298</v>
      </c>
      <c r="BP54" s="29">
        <f t="shared" si="37"/>
        <v>467</v>
      </c>
      <c r="BQ54" s="29">
        <f t="shared" si="38"/>
        <v>100</v>
      </c>
      <c r="BR54" s="65"/>
      <c r="BS54" s="29">
        <f t="shared" si="59"/>
        <v>373</v>
      </c>
      <c r="BT54" s="29">
        <f t="shared" si="52"/>
        <v>584</v>
      </c>
      <c r="BU54" s="29">
        <f t="shared" si="53"/>
        <v>100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447</v>
      </c>
      <c r="BL55" s="29">
        <v>701</v>
      </c>
      <c r="BM55" s="29">
        <v>100</v>
      </c>
      <c r="BN55" s="65"/>
      <c r="BO55" s="29">
        <f t="shared" si="51"/>
        <v>373</v>
      </c>
      <c r="BP55" s="29">
        <f t="shared" si="37"/>
        <v>584</v>
      </c>
      <c r="BQ55" s="29">
        <f t="shared" si="38"/>
        <v>100</v>
      </c>
      <c r="BR55" s="65"/>
      <c r="BS55" s="29">
        <f t="shared" si="59"/>
        <v>298</v>
      </c>
      <c r="BT55" s="29">
        <f t="shared" si="52"/>
        <v>467</v>
      </c>
      <c r="BU55" s="29">
        <f t="shared" si="53"/>
        <v>100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>
      <c r="A56" s="78" t="s">
        <v>16</v>
      </c>
      <c r="B56" s="155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5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5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100</v>
      </c>
      <c r="BL56" s="29">
        <v>100</v>
      </c>
      <c r="BM56" s="29">
        <v>100</v>
      </c>
      <c r="BN56" s="65"/>
      <c r="BO56" s="29">
        <f t="shared" si="51"/>
        <v>447</v>
      </c>
      <c r="BP56" s="29">
        <f t="shared" si="37"/>
        <v>701</v>
      </c>
      <c r="BQ56" s="29">
        <f t="shared" si="38"/>
        <v>100</v>
      </c>
      <c r="BR56" s="65"/>
      <c r="BS56" s="29">
        <f t="shared" si="59"/>
        <v>373</v>
      </c>
      <c r="BT56" s="29">
        <f t="shared" si="52"/>
        <v>584</v>
      </c>
      <c r="BU56" s="29">
        <f t="shared" si="53"/>
        <v>100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100</v>
      </c>
      <c r="BL57" s="29">
        <v>100</v>
      </c>
      <c r="BM57" s="29">
        <v>100</v>
      </c>
      <c r="BN57" s="65"/>
      <c r="BO57" s="29">
        <f t="shared" si="51"/>
        <v>100</v>
      </c>
      <c r="BP57" s="29">
        <f t="shared" si="37"/>
        <v>100</v>
      </c>
      <c r="BQ57" s="29">
        <f t="shared" si="38"/>
        <v>100</v>
      </c>
      <c r="BR57" s="65"/>
      <c r="BS57" s="29">
        <f t="shared" si="59"/>
        <v>447</v>
      </c>
      <c r="BT57" s="29">
        <f t="shared" si="52"/>
        <v>701</v>
      </c>
      <c r="BU57" s="29">
        <f t="shared" si="53"/>
        <v>100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100</v>
      </c>
      <c r="BL58" s="29">
        <v>100</v>
      </c>
      <c r="BM58" s="29">
        <v>100</v>
      </c>
      <c r="BN58" s="65"/>
      <c r="BO58" s="29">
        <f t="shared" si="51"/>
        <v>100</v>
      </c>
      <c r="BP58" s="29">
        <f t="shared" si="37"/>
        <v>100</v>
      </c>
      <c r="BQ58" s="29">
        <f t="shared" si="38"/>
        <v>100</v>
      </c>
      <c r="BR58" s="65"/>
      <c r="BS58" s="29">
        <f t="shared" si="59"/>
        <v>100</v>
      </c>
      <c r="BT58" s="29">
        <f t="shared" si="52"/>
        <v>100</v>
      </c>
      <c r="BU58" s="29">
        <f t="shared" si="53"/>
        <v>100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100</v>
      </c>
      <c r="BL59" s="29">
        <v>100</v>
      </c>
      <c r="BM59" s="29">
        <v>100</v>
      </c>
      <c r="BN59" s="65"/>
      <c r="BO59" s="29">
        <f t="shared" si="51"/>
        <v>100</v>
      </c>
      <c r="BP59" s="29">
        <f t="shared" si="37"/>
        <v>100</v>
      </c>
      <c r="BQ59" s="29">
        <f t="shared" si="38"/>
        <v>100</v>
      </c>
      <c r="BR59" s="65"/>
      <c r="BS59" s="29">
        <f t="shared" si="59"/>
        <v>100</v>
      </c>
      <c r="BT59" s="29">
        <f t="shared" si="52"/>
        <v>100</v>
      </c>
      <c r="BU59" s="29">
        <f t="shared" si="53"/>
        <v>100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100</v>
      </c>
      <c r="BL60" s="29">
        <v>100</v>
      </c>
      <c r="BM60" s="29">
        <v>100</v>
      </c>
      <c r="BN60" s="65"/>
      <c r="BO60" s="29">
        <f t="shared" si="51"/>
        <v>100</v>
      </c>
      <c r="BP60" s="29">
        <f t="shared" si="37"/>
        <v>100</v>
      </c>
      <c r="BQ60" s="29">
        <f t="shared" si="38"/>
        <v>100</v>
      </c>
      <c r="BR60" s="65"/>
      <c r="BS60" s="29">
        <f t="shared" si="59"/>
        <v>100</v>
      </c>
      <c r="BT60" s="29">
        <f t="shared" si="52"/>
        <v>100</v>
      </c>
      <c r="BU60" s="29">
        <f t="shared" si="53"/>
        <v>100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100</v>
      </c>
      <c r="BL61" s="29">
        <v>100</v>
      </c>
      <c r="BM61" s="29">
        <v>100</v>
      </c>
      <c r="BN61" s="65"/>
      <c r="BO61" s="29">
        <f t="shared" si="51"/>
        <v>100</v>
      </c>
      <c r="BP61" s="29">
        <f t="shared" si="37"/>
        <v>100</v>
      </c>
      <c r="BQ61" s="29">
        <f t="shared" si="38"/>
        <v>100</v>
      </c>
      <c r="BR61" s="65"/>
      <c r="BS61" s="29">
        <f t="shared" si="59"/>
        <v>100</v>
      </c>
      <c r="BT61" s="29">
        <f t="shared" si="52"/>
        <v>100</v>
      </c>
      <c r="BU61" s="29">
        <f t="shared" si="53"/>
        <v>100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100</v>
      </c>
      <c r="BL62" s="29">
        <v>100</v>
      </c>
      <c r="BM62" s="29">
        <v>100</v>
      </c>
      <c r="BN62" s="65"/>
      <c r="BO62" s="29">
        <f t="shared" si="51"/>
        <v>100</v>
      </c>
      <c r="BP62" s="29">
        <f t="shared" si="37"/>
        <v>100</v>
      </c>
      <c r="BQ62" s="29">
        <f t="shared" si="38"/>
        <v>100</v>
      </c>
      <c r="BR62" s="65"/>
      <c r="BS62" s="29">
        <f t="shared" si="59"/>
        <v>100</v>
      </c>
      <c r="BT62" s="29">
        <f t="shared" si="52"/>
        <v>100</v>
      </c>
      <c r="BU62" s="29">
        <f t="shared" si="53"/>
        <v>100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100</v>
      </c>
      <c r="BL63" s="29">
        <v>100</v>
      </c>
      <c r="BM63" s="29">
        <v>100</v>
      </c>
      <c r="BN63" s="65"/>
      <c r="BO63" s="29">
        <f t="shared" si="51"/>
        <v>100</v>
      </c>
      <c r="BP63" s="29">
        <f t="shared" si="37"/>
        <v>100</v>
      </c>
      <c r="BQ63" s="29">
        <f t="shared" si="38"/>
        <v>100</v>
      </c>
      <c r="BR63" s="65"/>
      <c r="BS63" s="29">
        <f t="shared" si="59"/>
        <v>100</v>
      </c>
      <c r="BT63" s="29">
        <f t="shared" si="52"/>
        <v>100</v>
      </c>
      <c r="BU63" s="29">
        <f t="shared" si="53"/>
        <v>100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100</v>
      </c>
      <c r="BL64" s="29">
        <v>100</v>
      </c>
      <c r="BM64" s="29">
        <v>100</v>
      </c>
      <c r="BN64" s="65"/>
      <c r="BO64" s="29">
        <f t="shared" si="51"/>
        <v>100</v>
      </c>
      <c r="BP64" s="29">
        <f t="shared" si="37"/>
        <v>100</v>
      </c>
      <c r="BQ64" s="29">
        <f t="shared" si="38"/>
        <v>100</v>
      </c>
      <c r="BR64" s="65"/>
      <c r="BS64" s="29">
        <f t="shared" si="59"/>
        <v>100</v>
      </c>
      <c r="BT64" s="29">
        <f t="shared" si="52"/>
        <v>100</v>
      </c>
      <c r="BU64" s="29">
        <f t="shared" si="53"/>
        <v>100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100</v>
      </c>
      <c r="BL65" s="29">
        <v>100</v>
      </c>
      <c r="BM65" s="29">
        <v>100</v>
      </c>
      <c r="BN65" s="65"/>
      <c r="BO65" s="29">
        <f t="shared" si="51"/>
        <v>100</v>
      </c>
      <c r="BP65" s="29">
        <f t="shared" si="37"/>
        <v>100</v>
      </c>
      <c r="BQ65" s="29">
        <f t="shared" si="38"/>
        <v>100</v>
      </c>
      <c r="BR65" s="65"/>
      <c r="BS65" s="29">
        <f t="shared" si="59"/>
        <v>100</v>
      </c>
      <c r="BT65" s="29">
        <f t="shared" si="52"/>
        <v>100</v>
      </c>
      <c r="BU65" s="29">
        <f t="shared" si="53"/>
        <v>100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>
      <c r="A66" s="60" t="s">
        <v>10</v>
      </c>
      <c r="B66" s="155"/>
      <c r="C66" s="155">
        <f>SUM(C55:C65)</f>
        <v>123</v>
      </c>
      <c r="D66" s="155">
        <f>SUM(D55:D65)</f>
        <v>209</v>
      </c>
      <c r="E66" s="155">
        <f>SUM(E55:E65)</f>
        <v>203</v>
      </c>
      <c r="F66" s="155"/>
      <c r="H66" s="60" t="s">
        <v>10</v>
      </c>
      <c r="I66" s="155"/>
      <c r="J66" s="155">
        <f ca="1">SUM(J55:J65)</f>
        <v>123</v>
      </c>
      <c r="K66" s="155">
        <f ca="1">SUM(K55:K65)</f>
        <v>209</v>
      </c>
      <c r="L66" s="155">
        <f ca="1">SUM(L55:L65)</f>
        <v>203</v>
      </c>
      <c r="M66" s="155"/>
      <c r="O66" s="60" t="s">
        <v>10</v>
      </c>
      <c r="P66" s="155"/>
      <c r="Q66" s="155">
        <f ca="1">SUM(Q55:Q65)</f>
        <v>123</v>
      </c>
      <c r="R66" s="155">
        <f ca="1">SUM(R55:R65)</f>
        <v>209</v>
      </c>
      <c r="S66" s="155">
        <f ca="1">SUM(S55:S65)</f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100</v>
      </c>
      <c r="BL66" s="29">
        <v>100</v>
      </c>
      <c r="BM66" s="29">
        <v>100</v>
      </c>
      <c r="BO66" s="29">
        <f t="shared" si="51"/>
        <v>100</v>
      </c>
      <c r="BP66" s="29">
        <f t="shared" si="37"/>
        <v>100</v>
      </c>
      <c r="BQ66" s="29">
        <f t="shared" si="38"/>
        <v>100</v>
      </c>
      <c r="BR66" s="65"/>
      <c r="BS66" s="29">
        <f t="shared" si="59"/>
        <v>100</v>
      </c>
      <c r="BT66" s="29">
        <f t="shared" si="52"/>
        <v>100</v>
      </c>
      <c r="BU66" s="29">
        <f t="shared" si="53"/>
        <v>100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100</v>
      </c>
      <c r="BL67" s="29">
        <v>100</v>
      </c>
      <c r="BM67" s="29">
        <v>100</v>
      </c>
      <c r="BO67" s="29">
        <f t="shared" si="51"/>
        <v>100</v>
      </c>
      <c r="BP67" s="29">
        <f t="shared" si="37"/>
        <v>100</v>
      </c>
      <c r="BQ67" s="29">
        <f t="shared" si="38"/>
        <v>100</v>
      </c>
      <c r="BR67" s="65"/>
      <c r="BS67" s="29">
        <f t="shared" si="59"/>
        <v>100</v>
      </c>
      <c r="BT67" s="29">
        <f t="shared" si="52"/>
        <v>100</v>
      </c>
      <c r="BU67" s="29">
        <f t="shared" si="53"/>
        <v>100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100</v>
      </c>
      <c r="BL68" s="29">
        <v>100</v>
      </c>
      <c r="BM68" s="29">
        <v>100</v>
      </c>
      <c r="BO68" s="29">
        <f t="shared" si="51"/>
        <v>100</v>
      </c>
      <c r="BP68" s="29">
        <f t="shared" ref="BP68:BP131" si="86">IF(BL67="","",BL67)</f>
        <v>100</v>
      </c>
      <c r="BQ68" s="29">
        <f t="shared" ref="BQ68:BQ131" si="87">IF(BM67="","",BM67)</f>
        <v>100</v>
      </c>
      <c r="BR68" s="65"/>
      <c r="BS68" s="29">
        <f t="shared" si="59"/>
        <v>100</v>
      </c>
      <c r="BT68" s="29">
        <f t="shared" si="52"/>
        <v>100</v>
      </c>
      <c r="BU68" s="29">
        <f t="shared" si="53"/>
        <v>100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100</v>
      </c>
      <c r="BL69" s="29">
        <v>100</v>
      </c>
      <c r="BM69" s="29">
        <v>100</v>
      </c>
      <c r="BO69" s="29">
        <f t="shared" ref="BO69:BO132" si="97">IF(BK68="","",BK68)</f>
        <v>100</v>
      </c>
      <c r="BP69" s="29">
        <f t="shared" si="86"/>
        <v>100</v>
      </c>
      <c r="BQ69" s="29">
        <f t="shared" si="87"/>
        <v>100</v>
      </c>
      <c r="BR69" s="65"/>
      <c r="BS69" s="29">
        <f t="shared" si="59"/>
        <v>100</v>
      </c>
      <c r="BT69" s="29">
        <f t="shared" ref="BT69:BT132" si="98">IF(BL67="","",BL67)</f>
        <v>100</v>
      </c>
      <c r="BU69" s="29">
        <f t="shared" ref="BU69:BU132" si="99">IF(BM67="","",BM67)</f>
        <v>100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>
      <c r="A70" s="41" t="s">
        <v>6</v>
      </c>
      <c r="B70" s="43" t="s">
        <v>33</v>
      </c>
      <c r="C70" s="155">
        <f>SUM(C55:C65)</f>
        <v>123</v>
      </c>
      <c r="D70" s="155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5">
        <f ca="1">SUM(J55:J65)</f>
        <v>123</v>
      </c>
      <c r="K70" s="155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5">
        <f ca="1">SUM(Q55:Q65)</f>
        <v>123</v>
      </c>
      <c r="R70" s="155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100</v>
      </c>
      <c r="BL70" s="29">
        <v>100</v>
      </c>
      <c r="BM70" s="29">
        <v>100</v>
      </c>
      <c r="BO70" s="29">
        <f t="shared" si="97"/>
        <v>100</v>
      </c>
      <c r="BP70" s="29">
        <f t="shared" si="86"/>
        <v>100</v>
      </c>
      <c r="BQ70" s="29">
        <f t="shared" si="87"/>
        <v>100</v>
      </c>
      <c r="BR70" s="65"/>
      <c r="BS70" s="29">
        <f t="shared" ref="BS70:BS133" si="105">IF(BK68="","",BK68)</f>
        <v>100</v>
      </c>
      <c r="BT70" s="29">
        <f t="shared" si="98"/>
        <v>100</v>
      </c>
      <c r="BU70" s="29">
        <f t="shared" si="99"/>
        <v>100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>
      <c r="A71" s="78" t="s">
        <v>19</v>
      </c>
      <c r="B71" s="48" t="s">
        <v>20</v>
      </c>
      <c r="C71" s="155">
        <f>C$3+C$4</f>
        <v>23</v>
      </c>
      <c r="D71" s="155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5">
        <f>J$3+J$4</f>
        <v>23</v>
      </c>
      <c r="K71" s="155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5">
        <f>Q$3+Q$4</f>
        <v>23</v>
      </c>
      <c r="R71" s="155">
        <f ca="1">R$3+R$4</f>
        <v>45</v>
      </c>
      <c r="S71" s="84">
        <f ca="1">S$3+S$4</f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100</v>
      </c>
      <c r="BL71" s="29">
        <v>701</v>
      </c>
      <c r="BM71" s="29">
        <v>100</v>
      </c>
      <c r="BO71" s="29">
        <f t="shared" si="97"/>
        <v>100</v>
      </c>
      <c r="BP71" s="29">
        <f t="shared" si="86"/>
        <v>100</v>
      </c>
      <c r="BQ71" s="29">
        <f t="shared" si="87"/>
        <v>100</v>
      </c>
      <c r="BR71" s="65"/>
      <c r="BS71" s="29">
        <f t="shared" si="105"/>
        <v>100</v>
      </c>
      <c r="BT71" s="29">
        <f t="shared" si="98"/>
        <v>100</v>
      </c>
      <c r="BU71" s="29">
        <f t="shared" si="99"/>
        <v>100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>
      <c r="A72" s="78" t="s">
        <v>21</v>
      </c>
      <c r="B72" s="48" t="s">
        <v>22</v>
      </c>
      <c r="C72" s="155">
        <f>C$3+C$5</f>
        <v>22</v>
      </c>
      <c r="D72" s="155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5">
        <f>J$3+J$5</f>
        <v>22</v>
      </c>
      <c r="K72" s="155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5">
        <f>Q$3+Q$5</f>
        <v>22</v>
      </c>
      <c r="R72" s="155">
        <f ca="1">R$3+R$5</f>
        <v>47</v>
      </c>
      <c r="S72" s="84">
        <f>S$3+S$5</f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100</v>
      </c>
      <c r="BL72" s="29">
        <v>584</v>
      </c>
      <c r="BM72" s="29">
        <v>100</v>
      </c>
      <c r="BO72" s="29">
        <f t="shared" si="97"/>
        <v>100</v>
      </c>
      <c r="BP72" s="29">
        <f t="shared" si="86"/>
        <v>701</v>
      </c>
      <c r="BQ72" s="29">
        <f t="shared" si="87"/>
        <v>100</v>
      </c>
      <c r="BR72" s="65"/>
      <c r="BS72" s="29">
        <f t="shared" si="105"/>
        <v>100</v>
      </c>
      <c r="BT72" s="29">
        <f t="shared" si="98"/>
        <v>100</v>
      </c>
      <c r="BU72" s="29">
        <f t="shared" si="99"/>
        <v>100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>
      <c r="A73" s="78" t="s">
        <v>23</v>
      </c>
      <c r="B73" s="48" t="s">
        <v>24</v>
      </c>
      <c r="C73" s="155">
        <f>C$3+C$6</f>
        <v>23</v>
      </c>
      <c r="D73" s="155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5">
        <f>J$3+J$6</f>
        <v>23</v>
      </c>
      <c r="K73" s="155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5">
        <f>Q$3+Q$6</f>
        <v>23</v>
      </c>
      <c r="R73" s="155">
        <f ca="1">R$3+R$6</f>
        <v>46</v>
      </c>
      <c r="S73" s="84">
        <f>S$3+S$6</f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100</v>
      </c>
      <c r="BL73" s="29">
        <v>467</v>
      </c>
      <c r="BM73" s="29">
        <v>100</v>
      </c>
      <c r="BO73" s="29">
        <f t="shared" si="97"/>
        <v>100</v>
      </c>
      <c r="BP73" s="29">
        <f t="shared" si="86"/>
        <v>584</v>
      </c>
      <c r="BQ73" s="29">
        <f t="shared" si="87"/>
        <v>100</v>
      </c>
      <c r="BR73" s="65"/>
      <c r="BS73" s="29">
        <f t="shared" si="105"/>
        <v>100</v>
      </c>
      <c r="BT73" s="29">
        <f t="shared" si="98"/>
        <v>701</v>
      </c>
      <c r="BU73" s="29">
        <f t="shared" si="99"/>
        <v>100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>
      <c r="A74" s="78" t="s">
        <v>55</v>
      </c>
      <c r="B74" s="48" t="s">
        <v>34</v>
      </c>
      <c r="C74" s="155">
        <f>C$3+C$7</f>
        <v>27</v>
      </c>
      <c r="D74" s="155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5">
        <f>J$3+J$7</f>
        <v>27</v>
      </c>
      <c r="K74" s="155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5">
        <f>Q$3+Q$7</f>
        <v>27</v>
      </c>
      <c r="R74" s="155">
        <f ca="1">R$3+R$7</f>
        <v>51</v>
      </c>
      <c r="S74" s="84">
        <f>S$3+S$7</f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100</v>
      </c>
      <c r="BL74" s="29">
        <v>584</v>
      </c>
      <c r="BM74" s="29">
        <v>100</v>
      </c>
      <c r="BO74" s="29">
        <f t="shared" si="97"/>
        <v>100</v>
      </c>
      <c r="BP74" s="29">
        <f t="shared" si="86"/>
        <v>467</v>
      </c>
      <c r="BQ74" s="29">
        <f t="shared" si="87"/>
        <v>100</v>
      </c>
      <c r="BR74" s="65"/>
      <c r="BS74" s="29">
        <f t="shared" si="105"/>
        <v>100</v>
      </c>
      <c r="BT74" s="29">
        <f t="shared" si="98"/>
        <v>584</v>
      </c>
      <c r="BU74" s="29">
        <f t="shared" si="99"/>
        <v>100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>
      <c r="A75" s="78" t="s">
        <v>56</v>
      </c>
      <c r="B75" s="48" t="s">
        <v>35</v>
      </c>
      <c r="C75" s="155">
        <f>C$3+C$8</f>
        <v>28</v>
      </c>
      <c r="D75" s="155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5">
        <f>J$3+J$8</f>
        <v>28</v>
      </c>
      <c r="K75" s="155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5">
        <f ca="1">Q$3+Q$8</f>
        <v>28</v>
      </c>
      <c r="R75" s="155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100</v>
      </c>
      <c r="BL75" s="29">
        <v>701</v>
      </c>
      <c r="BM75" s="29">
        <v>100</v>
      </c>
      <c r="BO75" s="29">
        <f t="shared" si="97"/>
        <v>100</v>
      </c>
      <c r="BP75" s="29">
        <f t="shared" si="86"/>
        <v>584</v>
      </c>
      <c r="BQ75" s="29">
        <f t="shared" si="87"/>
        <v>100</v>
      </c>
      <c r="BR75" s="65"/>
      <c r="BS75" s="29">
        <f t="shared" si="105"/>
        <v>100</v>
      </c>
      <c r="BT75" s="29">
        <f t="shared" si="98"/>
        <v>467</v>
      </c>
      <c r="BU75" s="29">
        <f t="shared" si="99"/>
        <v>100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>
      <c r="A76" s="78" t="s">
        <v>57</v>
      </c>
      <c r="B76" s="48" t="s">
        <v>36</v>
      </c>
      <c r="C76" s="155">
        <f>C$3+C$9</f>
        <v>26</v>
      </c>
      <c r="D76" s="155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5">
        <f>J$3+J$9</f>
        <v>26</v>
      </c>
      <c r="K76" s="155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5">
        <f>Q$3+Q$9</f>
        <v>26</v>
      </c>
      <c r="R76" s="155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100</v>
      </c>
      <c r="BL76" s="29">
        <v>100</v>
      </c>
      <c r="BM76" s="29">
        <v>100</v>
      </c>
      <c r="BO76" s="29">
        <f t="shared" si="97"/>
        <v>100</v>
      </c>
      <c r="BP76" s="29">
        <f t="shared" si="86"/>
        <v>701</v>
      </c>
      <c r="BQ76" s="29">
        <f t="shared" si="87"/>
        <v>100</v>
      </c>
      <c r="BR76" s="65"/>
      <c r="BS76" s="29">
        <f t="shared" si="105"/>
        <v>100</v>
      </c>
      <c r="BT76" s="29">
        <f t="shared" si="98"/>
        <v>584</v>
      </c>
      <c r="BU76" s="29">
        <f t="shared" si="99"/>
        <v>100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>
      <c r="A77" s="73" t="s">
        <v>58</v>
      </c>
      <c r="B77" s="53" t="s">
        <v>37</v>
      </c>
      <c r="C77" s="154">
        <f>C$3+C$10</f>
        <v>28</v>
      </c>
      <c r="D77" s="154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4">
        <f ca="1">J$3+J$10</f>
        <v>28</v>
      </c>
      <c r="K77" s="154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4">
        <f ca="1">Q$3+Q$10</f>
        <v>28</v>
      </c>
      <c r="R77" s="154">
        <f ca="1">R$3+R$10</f>
        <v>47</v>
      </c>
      <c r="S77" s="17">
        <f>S$3+S$10</f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100</v>
      </c>
      <c r="BL77" s="29">
        <v>100</v>
      </c>
      <c r="BM77" s="29">
        <v>100</v>
      </c>
      <c r="BO77" s="29">
        <f t="shared" si="97"/>
        <v>100</v>
      </c>
      <c r="BP77" s="29">
        <f t="shared" si="86"/>
        <v>100</v>
      </c>
      <c r="BQ77" s="29">
        <f t="shared" si="87"/>
        <v>100</v>
      </c>
      <c r="BR77" s="65"/>
      <c r="BS77" s="29">
        <f t="shared" si="105"/>
        <v>100</v>
      </c>
      <c r="BT77" s="29">
        <f t="shared" si="98"/>
        <v>701</v>
      </c>
      <c r="BU77" s="29">
        <f t="shared" si="99"/>
        <v>100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100</v>
      </c>
      <c r="BL78" s="29">
        <v>100</v>
      </c>
      <c r="BM78" s="29">
        <v>100</v>
      </c>
      <c r="BO78" s="29">
        <f t="shared" si="97"/>
        <v>100</v>
      </c>
      <c r="BP78" s="29">
        <f t="shared" si="86"/>
        <v>100</v>
      </c>
      <c r="BQ78" s="29">
        <f t="shared" si="87"/>
        <v>100</v>
      </c>
      <c r="BR78" s="65"/>
      <c r="BS78" s="29">
        <f t="shared" si="105"/>
        <v>100</v>
      </c>
      <c r="BT78" s="29">
        <f t="shared" si="98"/>
        <v>100</v>
      </c>
      <c r="BU78" s="29">
        <f t="shared" si="99"/>
        <v>100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>
      <c r="A79" s="325" t="s">
        <v>151</v>
      </c>
      <c r="B79" s="325"/>
      <c r="C79" s="325"/>
      <c r="D79" s="325"/>
      <c r="E79" s="325"/>
      <c r="F79" s="325"/>
      <c r="H79" s="325" t="s">
        <v>152</v>
      </c>
      <c r="I79" s="325"/>
      <c r="J79" s="325"/>
      <c r="K79" s="325"/>
      <c r="L79" s="325"/>
      <c r="M79" s="325"/>
      <c r="O79" s="325" t="s">
        <v>153</v>
      </c>
      <c r="P79" s="325"/>
      <c r="Q79" s="325"/>
      <c r="R79" s="325"/>
      <c r="S79" s="325"/>
      <c r="T79" s="325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100</v>
      </c>
      <c r="BL79" s="29">
        <v>100</v>
      </c>
      <c r="BM79" s="29">
        <v>100</v>
      </c>
      <c r="BO79" s="29">
        <f t="shared" si="97"/>
        <v>100</v>
      </c>
      <c r="BP79" s="29">
        <f t="shared" si="86"/>
        <v>100</v>
      </c>
      <c r="BQ79" s="29">
        <f t="shared" si="87"/>
        <v>100</v>
      </c>
      <c r="BR79" s="65"/>
      <c r="BS79" s="29">
        <f t="shared" si="105"/>
        <v>100</v>
      </c>
      <c r="BT79" s="29">
        <f t="shared" si="98"/>
        <v>100</v>
      </c>
      <c r="BU79" s="29">
        <f t="shared" si="99"/>
        <v>100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100</v>
      </c>
      <c r="BL80" s="29">
        <v>100</v>
      </c>
      <c r="BM80" s="29">
        <v>100</v>
      </c>
      <c r="BO80" s="29">
        <f t="shared" si="97"/>
        <v>100</v>
      </c>
      <c r="BP80" s="29">
        <f t="shared" si="86"/>
        <v>100</v>
      </c>
      <c r="BQ80" s="29">
        <f t="shared" si="87"/>
        <v>100</v>
      </c>
      <c r="BR80" s="65"/>
      <c r="BS80" s="29">
        <f t="shared" si="105"/>
        <v>100</v>
      </c>
      <c r="BT80" s="29">
        <f t="shared" si="98"/>
        <v>100</v>
      </c>
      <c r="BU80" s="29">
        <f t="shared" si="99"/>
        <v>100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>
      <c r="A81" s="75" t="s">
        <v>15</v>
      </c>
      <c r="B81" s="57" t="s">
        <v>54</v>
      </c>
      <c r="C81" s="76">
        <f>SUMIF(W$3:W$211, $A81, BK$3:BK$211)</f>
        <v>3354</v>
      </c>
      <c r="D81" s="77">
        <f t="shared" ref="D81:E81" si="106">SUMIF(X$3:X$211, $A81, BL$3:BL$211)</f>
        <v>12264</v>
      </c>
      <c r="E81" s="77">
        <f t="shared" si="106"/>
        <v>11844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3132</v>
      </c>
      <c r="K81" s="77">
        <f t="shared" ref="K81:L81" ca="1" si="107">SUMIF(X$3:X$211, $H81, BP$3:BP$211)</f>
        <v>11445</v>
      </c>
      <c r="L81" s="77">
        <f t="shared" si="107"/>
        <v>11053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3354</v>
      </c>
      <c r="R81" s="77">
        <f t="shared" ref="R81:S81" ca="1" si="108">SUMIF(X$3:X$211, $H81, BT$3:BT$211)</f>
        <v>12264</v>
      </c>
      <c r="S81" s="77">
        <f t="shared" si="108"/>
        <v>11844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100</v>
      </c>
      <c r="BL81" s="29">
        <v>100</v>
      </c>
      <c r="BM81" s="29">
        <v>100</v>
      </c>
      <c r="BO81" s="29">
        <f t="shared" si="97"/>
        <v>100</v>
      </c>
      <c r="BP81" s="29">
        <f t="shared" si="86"/>
        <v>100</v>
      </c>
      <c r="BQ81" s="29">
        <f t="shared" si="87"/>
        <v>100</v>
      </c>
      <c r="BR81" s="65"/>
      <c r="BS81" s="29">
        <f t="shared" si="105"/>
        <v>100</v>
      </c>
      <c r="BT81" s="29">
        <f t="shared" si="98"/>
        <v>100</v>
      </c>
      <c r="BU81" s="29">
        <f t="shared" si="99"/>
        <v>100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>
      <c r="A82" s="78" t="s">
        <v>16</v>
      </c>
      <c r="B82" s="155" t="s">
        <v>26</v>
      </c>
      <c r="C82" s="79">
        <f t="shared" ref="C82:C88" si="109">SUMIF(W$3:W$211, $A82, BK$3:BK$211)</f>
        <v>1400</v>
      </c>
      <c r="D82" s="70">
        <f t="shared" ref="D82:D88" si="110">SUMIF(X$3:X$211, $A82, BL$3:BL$211)</f>
        <v>2400</v>
      </c>
      <c r="E82" s="70">
        <f t="shared" ref="E82:E88" si="111">SUMIF(Y$3:Y$211, $A82, BM$3:BM$211)</f>
        <v>3341</v>
      </c>
      <c r="F82" s="58">
        <v>1</v>
      </c>
      <c r="H82" s="78" t="str">
        <v>M1</v>
      </c>
      <c r="I82" s="155" t="str">
        <v>M1</v>
      </c>
      <c r="J82" s="79">
        <f t="shared" ref="J82:J88" si="112">SUMIF(W$3:W$211, $H82, BO$3:BO$211)</f>
        <v>1400</v>
      </c>
      <c r="K82" s="70">
        <f t="shared" ref="K82:K88" si="113">SUMIF(X$3:X$211, $H82, BP$3:BP$211)</f>
        <v>2400</v>
      </c>
      <c r="L82" s="70">
        <f t="shared" ref="L82:L88" ca="1" si="114">SUMIF(Y$3:Y$211, $H82, BQ$3:BQ$211)</f>
        <v>2877</v>
      </c>
      <c r="M82" s="58">
        <v>1</v>
      </c>
      <c r="O82" s="78" t="str">
        <v>M1</v>
      </c>
      <c r="P82" s="155" t="str">
        <v>M1</v>
      </c>
      <c r="Q82" s="79">
        <f t="shared" ref="Q82:Q88" si="115">SUMIF(W$3:W$211, $H82, BS$3:BS$211)</f>
        <v>1400</v>
      </c>
      <c r="R82" s="70">
        <f t="shared" ref="R82:R88" si="116">SUMIF(X$3:X$211, $H82, BT$3:BT$211)</f>
        <v>2400</v>
      </c>
      <c r="S82" s="70">
        <f t="shared" ref="S82:S88" ca="1" si="117">SUMIF(Y$3:Y$211, $H82, BU$3:BU$211)</f>
        <v>2300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100</v>
      </c>
      <c r="BL82" s="29">
        <v>100</v>
      </c>
      <c r="BM82" s="29">
        <v>100</v>
      </c>
      <c r="BO82" s="29">
        <f t="shared" si="97"/>
        <v>100</v>
      </c>
      <c r="BP82" s="29">
        <f t="shared" si="86"/>
        <v>100</v>
      </c>
      <c r="BQ82" s="29">
        <f t="shared" si="87"/>
        <v>100</v>
      </c>
      <c r="BR82" s="65"/>
      <c r="BS82" s="29">
        <f t="shared" si="105"/>
        <v>100</v>
      </c>
      <c r="BT82" s="29">
        <f t="shared" si="98"/>
        <v>100</v>
      </c>
      <c r="BU82" s="29">
        <f t="shared" si="99"/>
        <v>100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>
      <c r="A83" s="78" t="s">
        <v>17</v>
      </c>
      <c r="B83" s="58" t="s">
        <v>27</v>
      </c>
      <c r="C83" s="79">
        <f t="shared" si="109"/>
        <v>1300</v>
      </c>
      <c r="D83" s="70">
        <f t="shared" si="110"/>
        <v>2600</v>
      </c>
      <c r="E83" s="70">
        <f t="shared" si="111"/>
        <v>3741</v>
      </c>
      <c r="F83" s="58">
        <v>2</v>
      </c>
      <c r="H83" s="78" t="str">
        <v>M2</v>
      </c>
      <c r="I83" s="58" t="str">
        <v>M2</v>
      </c>
      <c r="J83" s="79">
        <f t="shared" si="112"/>
        <v>1300</v>
      </c>
      <c r="K83" s="70">
        <f t="shared" si="113"/>
        <v>3802</v>
      </c>
      <c r="L83" s="70">
        <f t="shared" si="114"/>
        <v>3277</v>
      </c>
      <c r="M83" s="58">
        <v>2</v>
      </c>
      <c r="O83" s="78" t="str">
        <v>M2</v>
      </c>
      <c r="P83" s="58" t="str">
        <v>M2</v>
      </c>
      <c r="Q83" s="79">
        <f t="shared" si="115"/>
        <v>1300</v>
      </c>
      <c r="R83" s="70">
        <f t="shared" si="116"/>
        <v>4770</v>
      </c>
      <c r="S83" s="70">
        <f t="shared" si="117"/>
        <v>2700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100</v>
      </c>
      <c r="BL83" s="29">
        <v>100</v>
      </c>
      <c r="BM83" s="29">
        <v>100</v>
      </c>
      <c r="BO83" s="29">
        <f t="shared" si="97"/>
        <v>100</v>
      </c>
      <c r="BP83" s="29">
        <f t="shared" si="86"/>
        <v>100</v>
      </c>
      <c r="BQ83" s="29">
        <f t="shared" si="87"/>
        <v>100</v>
      </c>
      <c r="BR83" s="65"/>
      <c r="BS83" s="29">
        <f t="shared" si="105"/>
        <v>100</v>
      </c>
      <c r="BT83" s="29">
        <f t="shared" si="98"/>
        <v>100</v>
      </c>
      <c r="BU83" s="29">
        <f t="shared" si="99"/>
        <v>100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>
      <c r="A84" s="78" t="s">
        <v>18</v>
      </c>
      <c r="B84" s="58" t="s">
        <v>28</v>
      </c>
      <c r="C84" s="79">
        <f t="shared" si="109"/>
        <v>1400</v>
      </c>
      <c r="D84" s="70">
        <f t="shared" si="110"/>
        <v>3585</v>
      </c>
      <c r="E84" s="70">
        <f t="shared" si="111"/>
        <v>2800</v>
      </c>
      <c r="F84" s="58">
        <v>3</v>
      </c>
      <c r="H84" s="78" t="str">
        <v>M3</v>
      </c>
      <c r="I84" s="58" t="str">
        <v>M3</v>
      </c>
      <c r="J84" s="79">
        <f t="shared" si="112"/>
        <v>1400</v>
      </c>
      <c r="K84" s="70">
        <f t="shared" si="113"/>
        <v>3101</v>
      </c>
      <c r="L84" s="70">
        <f t="shared" si="114"/>
        <v>3377</v>
      </c>
      <c r="M84" s="58">
        <v>3</v>
      </c>
      <c r="O84" s="78" t="str">
        <v>M3</v>
      </c>
      <c r="P84" s="58" t="str">
        <v>M3</v>
      </c>
      <c r="Q84" s="79">
        <f t="shared" si="115"/>
        <v>1400</v>
      </c>
      <c r="R84" s="70">
        <f t="shared" si="116"/>
        <v>2500</v>
      </c>
      <c r="S84" s="70">
        <f t="shared" si="117"/>
        <v>3841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100</v>
      </c>
      <c r="BL84" s="29">
        <v>100</v>
      </c>
      <c r="BM84" s="29">
        <v>100</v>
      </c>
      <c r="BO84" s="29">
        <f t="shared" si="97"/>
        <v>100</v>
      </c>
      <c r="BP84" s="29">
        <f t="shared" si="86"/>
        <v>100</v>
      </c>
      <c r="BQ84" s="29">
        <f t="shared" si="87"/>
        <v>100</v>
      </c>
      <c r="BR84" s="65"/>
      <c r="BS84" s="29">
        <f t="shared" si="105"/>
        <v>100</v>
      </c>
      <c r="BT84" s="29">
        <f t="shared" si="98"/>
        <v>100</v>
      </c>
      <c r="BU84" s="29">
        <f t="shared" si="99"/>
        <v>100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>
      <c r="A85" s="78" t="s">
        <v>41</v>
      </c>
      <c r="B85" s="58" t="s">
        <v>41</v>
      </c>
      <c r="C85" s="79">
        <f t="shared" si="109"/>
        <v>1800</v>
      </c>
      <c r="D85" s="70">
        <f t="shared" si="110"/>
        <v>7340</v>
      </c>
      <c r="E85" s="70">
        <f t="shared" si="111"/>
        <v>3341</v>
      </c>
      <c r="F85" s="58">
        <v>4</v>
      </c>
      <c r="H85" s="78" t="str">
        <v>A</v>
      </c>
      <c r="I85" s="58" t="str">
        <v>A</v>
      </c>
      <c r="J85" s="79">
        <f t="shared" si="112"/>
        <v>2494</v>
      </c>
      <c r="K85" s="70">
        <f t="shared" si="113"/>
        <v>6005</v>
      </c>
      <c r="L85" s="70">
        <f t="shared" si="114"/>
        <v>3454</v>
      </c>
      <c r="M85" s="58">
        <v>4</v>
      </c>
      <c r="O85" s="78" t="str">
        <v>A</v>
      </c>
      <c r="P85" s="58" t="str">
        <v>A</v>
      </c>
      <c r="Q85" s="79">
        <f t="shared" si="115"/>
        <v>3040</v>
      </c>
      <c r="R85" s="70">
        <f t="shared" si="116"/>
        <v>4085</v>
      </c>
      <c r="S85" s="70">
        <f t="shared" si="117"/>
        <v>3341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100</v>
      </c>
      <c r="BL85" s="29">
        <v>100</v>
      </c>
      <c r="BM85" s="29">
        <v>100</v>
      </c>
      <c r="BO85" s="29">
        <f t="shared" si="97"/>
        <v>100</v>
      </c>
      <c r="BP85" s="29">
        <f t="shared" si="86"/>
        <v>100</v>
      </c>
      <c r="BQ85" s="29">
        <f t="shared" si="87"/>
        <v>100</v>
      </c>
      <c r="BR85" s="65"/>
      <c r="BS85" s="29">
        <f t="shared" si="105"/>
        <v>100</v>
      </c>
      <c r="BT85" s="29">
        <f t="shared" si="98"/>
        <v>100</v>
      </c>
      <c r="BU85" s="29">
        <f t="shared" si="99"/>
        <v>100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>
      <c r="A86" s="78" t="s">
        <v>38</v>
      </c>
      <c r="B86" s="58" t="s">
        <v>38</v>
      </c>
      <c r="C86" s="79">
        <f t="shared" si="109"/>
        <v>2520</v>
      </c>
      <c r="D86" s="70">
        <f t="shared" si="110"/>
        <v>4970</v>
      </c>
      <c r="E86" s="70">
        <f t="shared" si="111"/>
        <v>4782</v>
      </c>
      <c r="F86" s="58">
        <v>5</v>
      </c>
      <c r="H86" s="78" t="str">
        <v>K</v>
      </c>
      <c r="I86" s="58" t="str">
        <v>K</v>
      </c>
      <c r="J86" s="79">
        <f t="shared" si="112"/>
        <v>2247</v>
      </c>
      <c r="K86" s="70">
        <f t="shared" si="113"/>
        <v>4002</v>
      </c>
      <c r="L86" s="70">
        <f t="shared" si="114"/>
        <v>3854</v>
      </c>
      <c r="M86" s="58">
        <v>5</v>
      </c>
      <c r="O86" s="78" t="str">
        <v>K</v>
      </c>
      <c r="P86" s="58" t="str">
        <v>K</v>
      </c>
      <c r="Q86" s="79">
        <f t="shared" ca="1" si="115"/>
        <v>1900</v>
      </c>
      <c r="R86" s="70">
        <f t="shared" si="116"/>
        <v>2800</v>
      </c>
      <c r="S86" s="70">
        <f t="shared" si="117"/>
        <v>2700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100</v>
      </c>
      <c r="BL86" s="29">
        <v>100</v>
      </c>
      <c r="BM86" s="29">
        <v>100</v>
      </c>
      <c r="BO86" s="29">
        <f t="shared" si="97"/>
        <v>100</v>
      </c>
      <c r="BP86" s="29">
        <f t="shared" si="86"/>
        <v>100</v>
      </c>
      <c r="BQ86" s="29">
        <f t="shared" si="87"/>
        <v>100</v>
      </c>
      <c r="BR86" s="65"/>
      <c r="BS86" s="29">
        <f t="shared" si="105"/>
        <v>100</v>
      </c>
      <c r="BT86" s="29">
        <f t="shared" si="98"/>
        <v>100</v>
      </c>
      <c r="BU86" s="29">
        <f t="shared" si="99"/>
        <v>100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>
      <c r="A87" s="78" t="s">
        <v>40</v>
      </c>
      <c r="B87" s="58" t="s">
        <v>40</v>
      </c>
      <c r="C87" s="79">
        <f t="shared" si="109"/>
        <v>2320</v>
      </c>
      <c r="D87" s="70">
        <f t="shared" si="110"/>
        <v>2900</v>
      </c>
      <c r="E87" s="70">
        <f t="shared" si="111"/>
        <v>2700</v>
      </c>
      <c r="F87" s="58">
        <v>6</v>
      </c>
      <c r="H87" s="78" t="str">
        <v>Q</v>
      </c>
      <c r="I87" s="58" t="str">
        <v>Q</v>
      </c>
      <c r="J87" s="79">
        <f t="shared" si="112"/>
        <v>2047</v>
      </c>
      <c r="K87" s="70">
        <f t="shared" si="113"/>
        <v>4703</v>
      </c>
      <c r="L87" s="70">
        <f t="shared" si="114"/>
        <v>3854</v>
      </c>
      <c r="M87" s="58">
        <v>6</v>
      </c>
      <c r="O87" s="78" t="str">
        <v>Q</v>
      </c>
      <c r="P87" s="58" t="str">
        <v>Q</v>
      </c>
      <c r="Q87" s="79">
        <f t="shared" si="115"/>
        <v>1700</v>
      </c>
      <c r="R87" s="70">
        <f t="shared" si="116"/>
        <v>6155</v>
      </c>
      <c r="S87" s="70">
        <f t="shared" si="117"/>
        <v>4782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100</v>
      </c>
      <c r="BL87" s="29">
        <v>100</v>
      </c>
      <c r="BM87" s="29">
        <v>100</v>
      </c>
      <c r="BO87" s="29">
        <f t="shared" si="97"/>
        <v>100</v>
      </c>
      <c r="BP87" s="29">
        <f t="shared" si="86"/>
        <v>100</v>
      </c>
      <c r="BQ87" s="29">
        <f t="shared" si="87"/>
        <v>100</v>
      </c>
      <c r="BR87" s="65"/>
      <c r="BS87" s="29">
        <f t="shared" si="105"/>
        <v>100</v>
      </c>
      <c r="BT87" s="29">
        <f t="shared" si="98"/>
        <v>100</v>
      </c>
      <c r="BU87" s="29">
        <f t="shared" si="99"/>
        <v>100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>
      <c r="A88" s="78" t="s">
        <v>39</v>
      </c>
      <c r="B88" s="58" t="s">
        <v>39</v>
      </c>
      <c r="C88" s="79">
        <f t="shared" si="109"/>
        <v>2520</v>
      </c>
      <c r="D88" s="70">
        <f t="shared" si="110"/>
        <v>2600</v>
      </c>
      <c r="E88" s="70">
        <f t="shared" si="111"/>
        <v>4782</v>
      </c>
      <c r="F88" s="58">
        <v>7</v>
      </c>
      <c r="H88" s="78" t="str">
        <v>J</v>
      </c>
      <c r="I88" s="58" t="str">
        <v>J</v>
      </c>
      <c r="J88" s="79">
        <f t="shared" ca="1" si="112"/>
        <v>2594</v>
      </c>
      <c r="K88" s="70">
        <f t="shared" si="113"/>
        <v>3201</v>
      </c>
      <c r="L88" s="70">
        <f t="shared" si="114"/>
        <v>5585</v>
      </c>
      <c r="M88" s="58">
        <v>7</v>
      </c>
      <c r="O88" s="78" t="str">
        <v>J</v>
      </c>
      <c r="P88" s="58" t="str">
        <v>J</v>
      </c>
      <c r="Q88" s="79">
        <f t="shared" ca="1" si="115"/>
        <v>2520</v>
      </c>
      <c r="R88" s="70">
        <f t="shared" si="116"/>
        <v>3685</v>
      </c>
      <c r="S88" s="70">
        <f t="shared" si="117"/>
        <v>5823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100</v>
      </c>
      <c r="BL88" s="29">
        <v>100</v>
      </c>
      <c r="BM88" s="29">
        <v>100</v>
      </c>
      <c r="BO88" s="29">
        <f t="shared" si="97"/>
        <v>100</v>
      </c>
      <c r="BP88" s="29">
        <f t="shared" si="86"/>
        <v>100</v>
      </c>
      <c r="BQ88" s="29">
        <f t="shared" si="87"/>
        <v>100</v>
      </c>
      <c r="BR88" s="65"/>
      <c r="BS88" s="29">
        <f t="shared" si="105"/>
        <v>100</v>
      </c>
      <c r="BT88" s="29">
        <f t="shared" si="98"/>
        <v>100</v>
      </c>
      <c r="BU88" s="29">
        <f t="shared" si="99"/>
        <v>100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100</v>
      </c>
      <c r="BL89" s="29">
        <v>100</v>
      </c>
      <c r="BM89" s="29">
        <v>100</v>
      </c>
      <c r="BO89" s="29">
        <f t="shared" si="97"/>
        <v>100</v>
      </c>
      <c r="BP89" s="29">
        <f t="shared" si="86"/>
        <v>100</v>
      </c>
      <c r="BQ89" s="29">
        <f t="shared" si="87"/>
        <v>100</v>
      </c>
      <c r="BR89" s="65"/>
      <c r="BS89" s="29">
        <f t="shared" si="105"/>
        <v>100</v>
      </c>
      <c r="BT89" s="29">
        <f t="shared" si="98"/>
        <v>100</v>
      </c>
      <c r="BU89" s="29">
        <f t="shared" si="99"/>
        <v>100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100</v>
      </c>
      <c r="BL90" s="29">
        <v>100</v>
      </c>
      <c r="BM90" s="29">
        <v>100</v>
      </c>
      <c r="BO90" s="29">
        <f t="shared" si="97"/>
        <v>100</v>
      </c>
      <c r="BP90" s="29">
        <f t="shared" si="86"/>
        <v>100</v>
      </c>
      <c r="BQ90" s="29">
        <f t="shared" si="87"/>
        <v>100</v>
      </c>
      <c r="BR90" s="65"/>
      <c r="BS90" s="29">
        <f t="shared" si="105"/>
        <v>100</v>
      </c>
      <c r="BT90" s="29">
        <f t="shared" si="98"/>
        <v>100</v>
      </c>
      <c r="BU90" s="29">
        <f t="shared" si="99"/>
        <v>100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100</v>
      </c>
      <c r="BL91" s="29">
        <v>100</v>
      </c>
      <c r="BM91" s="29">
        <v>100</v>
      </c>
      <c r="BO91" s="29">
        <f t="shared" si="97"/>
        <v>100</v>
      </c>
      <c r="BP91" s="29">
        <f t="shared" si="86"/>
        <v>100</v>
      </c>
      <c r="BQ91" s="29">
        <f t="shared" si="87"/>
        <v>100</v>
      </c>
      <c r="BR91" s="65"/>
      <c r="BS91" s="29">
        <f t="shared" si="105"/>
        <v>100</v>
      </c>
      <c r="BT91" s="29">
        <f t="shared" si="98"/>
        <v>100</v>
      </c>
      <c r="BU91" s="29">
        <f t="shared" si="99"/>
        <v>100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>
      <c r="A92" s="60" t="s">
        <v>10</v>
      </c>
      <c r="B92" s="155"/>
      <c r="C92" s="155">
        <f>SUM(C81:C91)</f>
        <v>16614</v>
      </c>
      <c r="D92" s="155">
        <f>SUM(D81:D91)</f>
        <v>38659</v>
      </c>
      <c r="E92" s="155">
        <f>SUM(E81:E91)</f>
        <v>37331</v>
      </c>
      <c r="F92" s="155"/>
      <c r="H92" s="60" t="s">
        <v>10</v>
      </c>
      <c r="I92" s="155"/>
      <c r="J92" s="155">
        <f ca="1">SUM(J81:J91)</f>
        <v>16614</v>
      </c>
      <c r="K92" s="155">
        <f ca="1">SUM(K81:K91)</f>
        <v>38659</v>
      </c>
      <c r="L92" s="155">
        <f ca="1">SUM(L81:L91)</f>
        <v>37331</v>
      </c>
      <c r="M92" s="155"/>
      <c r="O92" s="60" t="s">
        <v>10</v>
      </c>
      <c r="P92" s="155"/>
      <c r="Q92" s="155">
        <f ca="1">SUM(Q81:Q91)</f>
        <v>16614</v>
      </c>
      <c r="R92" s="155">
        <f ca="1">SUM(R81:R91)</f>
        <v>38659</v>
      </c>
      <c r="S92" s="155">
        <f ca="1">SUM(S81:S91)</f>
        <v>37331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100</v>
      </c>
      <c r="BL92" s="29">
        <v>100</v>
      </c>
      <c r="BM92" s="29">
        <v>100</v>
      </c>
      <c r="BO92" s="29">
        <f t="shared" si="97"/>
        <v>100</v>
      </c>
      <c r="BP92" s="29">
        <f t="shared" si="86"/>
        <v>100</v>
      </c>
      <c r="BQ92" s="29">
        <f t="shared" si="87"/>
        <v>100</v>
      </c>
      <c r="BR92" s="65"/>
      <c r="BS92" s="29">
        <f t="shared" si="105"/>
        <v>100</v>
      </c>
      <c r="BT92" s="29">
        <f t="shared" si="98"/>
        <v>100</v>
      </c>
      <c r="BU92" s="29">
        <f t="shared" si="99"/>
        <v>100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100</v>
      </c>
      <c r="BL93" s="29">
        <v>100</v>
      </c>
      <c r="BM93" s="29">
        <v>100</v>
      </c>
      <c r="BO93" s="29">
        <f t="shared" si="97"/>
        <v>100</v>
      </c>
      <c r="BP93" s="29">
        <f t="shared" si="86"/>
        <v>100</v>
      </c>
      <c r="BQ93" s="29">
        <f t="shared" si="87"/>
        <v>100</v>
      </c>
      <c r="BR93" s="65"/>
      <c r="BS93" s="29">
        <f t="shared" si="105"/>
        <v>100</v>
      </c>
      <c r="BT93" s="29">
        <f t="shared" si="98"/>
        <v>100</v>
      </c>
      <c r="BU93" s="29">
        <f t="shared" si="99"/>
        <v>100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100</v>
      </c>
      <c r="BL94" s="29">
        <v>100</v>
      </c>
      <c r="BM94" s="29">
        <v>100</v>
      </c>
      <c r="BO94" s="29">
        <f t="shared" si="97"/>
        <v>100</v>
      </c>
      <c r="BP94" s="29">
        <f t="shared" si="86"/>
        <v>100</v>
      </c>
      <c r="BQ94" s="29">
        <f t="shared" si="87"/>
        <v>100</v>
      </c>
      <c r="BR94" s="65"/>
      <c r="BS94" s="29">
        <f t="shared" si="105"/>
        <v>100</v>
      </c>
      <c r="BT94" s="29">
        <f t="shared" si="98"/>
        <v>100</v>
      </c>
      <c r="BU94" s="29">
        <f t="shared" si="99"/>
        <v>100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100</v>
      </c>
      <c r="BL95" s="29">
        <v>100</v>
      </c>
      <c r="BM95" s="29">
        <v>100</v>
      </c>
      <c r="BO95" s="29">
        <f t="shared" si="97"/>
        <v>100</v>
      </c>
      <c r="BP95" s="29">
        <f t="shared" si="86"/>
        <v>100</v>
      </c>
      <c r="BQ95" s="29">
        <f t="shared" si="87"/>
        <v>100</v>
      </c>
      <c r="BR95" s="65"/>
      <c r="BS95" s="29">
        <f t="shared" si="105"/>
        <v>100</v>
      </c>
      <c r="BT95" s="29">
        <f t="shared" si="98"/>
        <v>100</v>
      </c>
      <c r="BU95" s="29">
        <f t="shared" si="99"/>
        <v>100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>
      <c r="A96" s="41" t="s">
        <v>6</v>
      </c>
      <c r="B96" s="43" t="s">
        <v>33</v>
      </c>
      <c r="C96" s="155">
        <f>SUM(C81:C91)</f>
        <v>16614</v>
      </c>
      <c r="D96" s="155">
        <f>SUM(D81:D91)</f>
        <v>38659</v>
      </c>
      <c r="E96" s="84">
        <f>SUM(E81:E91)</f>
        <v>37331</v>
      </c>
      <c r="F96" s="69"/>
      <c r="H96" s="41" t="str" cm="1">
        <f t="array" ref="H96:I103">A96:B103</f>
        <v>--</v>
      </c>
      <c r="I96" s="43" t="str">
        <v>WW,C1,M1,M2,M3,M4,A,K,Q,J,TE,NI</v>
      </c>
      <c r="J96" s="155">
        <f ca="1">SUM(J81:J91)</f>
        <v>16614</v>
      </c>
      <c r="K96" s="155">
        <f ca="1">SUM(K81:K91)</f>
        <v>38659</v>
      </c>
      <c r="L96" s="84">
        <f ca="1">SUM(L81:L91)</f>
        <v>37331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5">
        <f ca="1">SUM(Q81:Q91)</f>
        <v>16614</v>
      </c>
      <c r="R96" s="155">
        <f ca="1">SUM(R81:R91)</f>
        <v>38659</v>
      </c>
      <c r="S96" s="84">
        <f ca="1">SUM(S81:S91)</f>
        <v>37331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100</v>
      </c>
      <c r="BL96" s="29">
        <v>100</v>
      </c>
      <c r="BM96" s="29">
        <v>100</v>
      </c>
      <c r="BO96" s="29">
        <f t="shared" si="97"/>
        <v>100</v>
      </c>
      <c r="BP96" s="29">
        <f t="shared" si="86"/>
        <v>100</v>
      </c>
      <c r="BQ96" s="29">
        <f t="shared" si="87"/>
        <v>100</v>
      </c>
      <c r="BR96" s="65"/>
      <c r="BS96" s="29">
        <f t="shared" si="105"/>
        <v>100</v>
      </c>
      <c r="BT96" s="29">
        <f t="shared" si="98"/>
        <v>100</v>
      </c>
      <c r="BU96" s="29">
        <f t="shared" si="99"/>
        <v>100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>
      <c r="A97" s="78" t="s">
        <v>19</v>
      </c>
      <c r="B97" s="48" t="s">
        <v>20</v>
      </c>
      <c r="C97" s="155">
        <f>C$81+C$82</f>
        <v>4754</v>
      </c>
      <c r="D97" s="155">
        <f>D$81+D$82</f>
        <v>14664</v>
      </c>
      <c r="E97" s="84">
        <f>E$81+E$82</f>
        <v>15185</v>
      </c>
      <c r="F97" s="69"/>
      <c r="H97" s="78" t="str">
        <v>W1</v>
      </c>
      <c r="I97" s="48" t="str">
        <v>WW,M1</v>
      </c>
      <c r="J97" s="155">
        <f>J$81+J$82</f>
        <v>4532</v>
      </c>
      <c r="K97" s="155">
        <f ca="1">K$81+K$82</f>
        <v>13845</v>
      </c>
      <c r="L97" s="84">
        <f ca="1">L$81+L$82</f>
        <v>13930</v>
      </c>
      <c r="M97" s="69"/>
      <c r="O97" s="78" t="str">
        <v>W1</v>
      </c>
      <c r="P97" s="48" t="str">
        <v>WW,M1</v>
      </c>
      <c r="Q97" s="155">
        <f>Q$81+Q$82</f>
        <v>4754</v>
      </c>
      <c r="R97" s="155">
        <f ca="1">R$81+R$82</f>
        <v>14664</v>
      </c>
      <c r="S97" s="84">
        <f ca="1">S$81+S$82</f>
        <v>14144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100</v>
      </c>
      <c r="BL97" s="29">
        <v>100</v>
      </c>
      <c r="BM97" s="29">
        <v>100</v>
      </c>
      <c r="BO97" s="29">
        <f t="shared" si="97"/>
        <v>100</v>
      </c>
      <c r="BP97" s="29">
        <f t="shared" si="86"/>
        <v>100</v>
      </c>
      <c r="BQ97" s="29">
        <f t="shared" si="87"/>
        <v>100</v>
      </c>
      <c r="BR97" s="65"/>
      <c r="BS97" s="29">
        <f t="shared" si="105"/>
        <v>100</v>
      </c>
      <c r="BT97" s="29">
        <f t="shared" si="98"/>
        <v>100</v>
      </c>
      <c r="BU97" s="29">
        <f t="shared" si="99"/>
        <v>100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>
      <c r="A98" s="78" t="s">
        <v>21</v>
      </c>
      <c r="B98" s="48" t="s">
        <v>22</v>
      </c>
      <c r="C98" s="155">
        <f>C$81+C$83</f>
        <v>4654</v>
      </c>
      <c r="D98" s="155">
        <f>D$81+D$83</f>
        <v>14864</v>
      </c>
      <c r="E98" s="84">
        <f>E$81+E$83</f>
        <v>15585</v>
      </c>
      <c r="F98" s="69"/>
      <c r="H98" s="78" t="str">
        <v>W2</v>
      </c>
      <c r="I98" s="48" t="str">
        <v>WW,M2</v>
      </c>
      <c r="J98" s="155">
        <f>J$81+J$83</f>
        <v>4432</v>
      </c>
      <c r="K98" s="155">
        <f ca="1">K$81+K$83</f>
        <v>15247</v>
      </c>
      <c r="L98" s="84">
        <f>L$81+L$83</f>
        <v>14330</v>
      </c>
      <c r="M98" s="69"/>
      <c r="O98" s="78" t="str">
        <v>W2</v>
      </c>
      <c r="P98" s="48" t="str">
        <v>WW,M2</v>
      </c>
      <c r="Q98" s="155">
        <f>Q$81+Q$83</f>
        <v>4654</v>
      </c>
      <c r="R98" s="155">
        <f ca="1">R$81+R$83</f>
        <v>17034</v>
      </c>
      <c r="S98" s="84">
        <f>S$81+S$83</f>
        <v>14544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100</v>
      </c>
      <c r="BL98" s="29">
        <v>100</v>
      </c>
      <c r="BM98" s="29">
        <v>100</v>
      </c>
      <c r="BO98" s="29">
        <f t="shared" si="97"/>
        <v>100</v>
      </c>
      <c r="BP98" s="29">
        <f t="shared" si="86"/>
        <v>100</v>
      </c>
      <c r="BQ98" s="29">
        <f t="shared" si="87"/>
        <v>100</v>
      </c>
      <c r="BR98" s="65"/>
      <c r="BS98" s="29">
        <f t="shared" si="105"/>
        <v>100</v>
      </c>
      <c r="BT98" s="29">
        <f t="shared" si="98"/>
        <v>100</v>
      </c>
      <c r="BU98" s="29">
        <f t="shared" si="99"/>
        <v>100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>
      <c r="A99" s="78" t="s">
        <v>23</v>
      </c>
      <c r="B99" s="48" t="s">
        <v>24</v>
      </c>
      <c r="C99" s="155">
        <f>C$81+C$84</f>
        <v>4754</v>
      </c>
      <c r="D99" s="155">
        <f>D$81+D$84</f>
        <v>15849</v>
      </c>
      <c r="E99" s="84">
        <f>E$81+E$84</f>
        <v>14644</v>
      </c>
      <c r="F99" s="69"/>
      <c r="H99" s="78" t="str">
        <v>W3</v>
      </c>
      <c r="I99" s="48" t="str">
        <v>WW,M3</v>
      </c>
      <c r="J99" s="155">
        <f>J$81+J$84</f>
        <v>4532</v>
      </c>
      <c r="K99" s="155">
        <f ca="1">K$81+K$84</f>
        <v>14546</v>
      </c>
      <c r="L99" s="84">
        <f>L$81+L$84</f>
        <v>14430</v>
      </c>
      <c r="M99" s="69"/>
      <c r="O99" s="78" t="str">
        <v>W3</v>
      </c>
      <c r="P99" s="48" t="str">
        <v>WW,M3</v>
      </c>
      <c r="Q99" s="155">
        <f>Q$81+Q$84</f>
        <v>4754</v>
      </c>
      <c r="R99" s="155">
        <f ca="1">R$81+R$84</f>
        <v>14764</v>
      </c>
      <c r="S99" s="84">
        <f>S$81+S$84</f>
        <v>15685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100</v>
      </c>
      <c r="BL99" s="29">
        <v>100</v>
      </c>
      <c r="BM99" s="29">
        <v>100</v>
      </c>
      <c r="BO99" s="29">
        <f t="shared" si="97"/>
        <v>100</v>
      </c>
      <c r="BP99" s="29">
        <f t="shared" si="86"/>
        <v>100</v>
      </c>
      <c r="BQ99" s="29">
        <f t="shared" si="87"/>
        <v>100</v>
      </c>
      <c r="BR99" s="65"/>
      <c r="BS99" s="29">
        <f t="shared" si="105"/>
        <v>100</v>
      </c>
      <c r="BT99" s="29">
        <f t="shared" si="98"/>
        <v>100</v>
      </c>
      <c r="BU99" s="29">
        <f t="shared" si="99"/>
        <v>100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>
      <c r="A100" s="78" t="s">
        <v>55</v>
      </c>
      <c r="B100" s="48" t="s">
        <v>34</v>
      </c>
      <c r="C100" s="155">
        <f>C$81+C$85</f>
        <v>5154</v>
      </c>
      <c r="D100" s="155">
        <f>D$81+D$85</f>
        <v>19604</v>
      </c>
      <c r="E100" s="84">
        <f>E$81+E$85</f>
        <v>15185</v>
      </c>
      <c r="F100" s="69"/>
      <c r="H100" s="78" t="str">
        <v>WA</v>
      </c>
      <c r="I100" s="48" t="str">
        <v>WW,A</v>
      </c>
      <c r="J100" s="155">
        <f>J$81+J$85</f>
        <v>5626</v>
      </c>
      <c r="K100" s="155">
        <f ca="1">K$81+K$85</f>
        <v>17450</v>
      </c>
      <c r="L100" s="84">
        <f>L$81+L$85</f>
        <v>14507</v>
      </c>
      <c r="M100" s="69"/>
      <c r="O100" s="78" t="str">
        <v>WA</v>
      </c>
      <c r="P100" s="48" t="str">
        <v>WW,A</v>
      </c>
      <c r="Q100" s="155">
        <f>Q$81+Q$85</f>
        <v>6394</v>
      </c>
      <c r="R100" s="155">
        <f ca="1">R$81+R$85</f>
        <v>16349</v>
      </c>
      <c r="S100" s="84">
        <f>S$81+S$85</f>
        <v>15185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100</v>
      </c>
      <c r="BL100" s="29">
        <v>100</v>
      </c>
      <c r="BM100" s="29">
        <v>100</v>
      </c>
      <c r="BO100" s="29">
        <f t="shared" si="97"/>
        <v>100</v>
      </c>
      <c r="BP100" s="29">
        <f t="shared" si="86"/>
        <v>100</v>
      </c>
      <c r="BQ100" s="29">
        <f t="shared" si="87"/>
        <v>100</v>
      </c>
      <c r="BR100" s="65"/>
      <c r="BS100" s="29">
        <f t="shared" si="105"/>
        <v>100</v>
      </c>
      <c r="BT100" s="29">
        <f t="shared" si="98"/>
        <v>100</v>
      </c>
      <c r="BU100" s="29">
        <f t="shared" si="99"/>
        <v>100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>
      <c r="A101" s="78" t="s">
        <v>56</v>
      </c>
      <c r="B101" s="48" t="s">
        <v>35</v>
      </c>
      <c r="C101" s="155">
        <f>C$81+C$86</f>
        <v>5874</v>
      </c>
      <c r="D101" s="155">
        <f>D$81+D$86</f>
        <v>17234</v>
      </c>
      <c r="E101" s="84">
        <f>E$81+E$86</f>
        <v>16626</v>
      </c>
      <c r="F101" s="69"/>
      <c r="H101" s="78" t="str">
        <v>WK</v>
      </c>
      <c r="I101" s="48" t="str">
        <v>WW,K</v>
      </c>
      <c r="J101" s="155">
        <f>J$81+J$86</f>
        <v>5379</v>
      </c>
      <c r="K101" s="155">
        <f ca="1">K$81+K$86</f>
        <v>15447</v>
      </c>
      <c r="L101" s="84">
        <f>L$81+L$86</f>
        <v>14907</v>
      </c>
      <c r="M101" s="69"/>
      <c r="O101" s="78" t="str">
        <v>WK</v>
      </c>
      <c r="P101" s="48" t="str">
        <v>WW,K</v>
      </c>
      <c r="Q101" s="155">
        <f ca="1">Q$81+Q$86</f>
        <v>5254</v>
      </c>
      <c r="R101" s="155">
        <f ca="1">R$81+R$86</f>
        <v>15064</v>
      </c>
      <c r="S101" s="84">
        <f>S$81+S$86</f>
        <v>14544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100</v>
      </c>
      <c r="BL101" s="29">
        <v>100</v>
      </c>
      <c r="BM101" s="29">
        <v>100</v>
      </c>
      <c r="BO101" s="29">
        <f t="shared" si="97"/>
        <v>100</v>
      </c>
      <c r="BP101" s="29">
        <f t="shared" si="86"/>
        <v>100</v>
      </c>
      <c r="BQ101" s="29">
        <f t="shared" si="87"/>
        <v>100</v>
      </c>
      <c r="BR101" s="65"/>
      <c r="BS101" s="29">
        <f t="shared" si="105"/>
        <v>100</v>
      </c>
      <c r="BT101" s="29">
        <f t="shared" si="98"/>
        <v>100</v>
      </c>
      <c r="BU101" s="29">
        <f t="shared" si="99"/>
        <v>100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>
      <c r="A102" s="78" t="s">
        <v>57</v>
      </c>
      <c r="B102" s="48" t="s">
        <v>36</v>
      </c>
      <c r="C102" s="155">
        <f>C$81+C$87</f>
        <v>5674</v>
      </c>
      <c r="D102" s="155">
        <f>D$81+D$87</f>
        <v>15164</v>
      </c>
      <c r="E102" s="84">
        <f>E$81+E$87</f>
        <v>14544</v>
      </c>
      <c r="F102" s="69"/>
      <c r="H102" s="78" t="str">
        <v>WQ</v>
      </c>
      <c r="I102" s="48" t="str">
        <v>WW,Q</v>
      </c>
      <c r="J102" s="155">
        <f>J$81+J$87</f>
        <v>5179</v>
      </c>
      <c r="K102" s="155">
        <f ca="1">K$81+K$87</f>
        <v>16148</v>
      </c>
      <c r="L102" s="84">
        <f>L$81+L$87</f>
        <v>14907</v>
      </c>
      <c r="M102" s="69"/>
      <c r="O102" s="78" t="str">
        <v>WQ</v>
      </c>
      <c r="P102" s="48" t="str">
        <v>WW,Q</v>
      </c>
      <c r="Q102" s="155">
        <f>Q$81+Q$87</f>
        <v>5054</v>
      </c>
      <c r="R102" s="155">
        <f ca="1">R$81+R$87</f>
        <v>18419</v>
      </c>
      <c r="S102" s="84">
        <f>S$81+S$87</f>
        <v>16626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100</v>
      </c>
      <c r="BL102" s="29">
        <v>100</v>
      </c>
      <c r="BM102" s="29">
        <v>100</v>
      </c>
      <c r="BO102" s="29">
        <f t="shared" si="97"/>
        <v>100</v>
      </c>
      <c r="BP102" s="29">
        <f t="shared" si="86"/>
        <v>100</v>
      </c>
      <c r="BQ102" s="29">
        <f t="shared" si="87"/>
        <v>100</v>
      </c>
      <c r="BR102" s="65"/>
      <c r="BS102" s="29">
        <f t="shared" si="105"/>
        <v>100</v>
      </c>
      <c r="BT102" s="29">
        <f t="shared" si="98"/>
        <v>100</v>
      </c>
      <c r="BU102" s="29">
        <f t="shared" si="99"/>
        <v>100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>
      <c r="A103" s="73" t="s">
        <v>58</v>
      </c>
      <c r="B103" s="53" t="s">
        <v>37</v>
      </c>
      <c r="C103" s="154">
        <f>C$81+C$88</f>
        <v>5874</v>
      </c>
      <c r="D103" s="154">
        <f>D$81+D$88</f>
        <v>14864</v>
      </c>
      <c r="E103" s="17">
        <f>E$81+E$88</f>
        <v>16626</v>
      </c>
      <c r="F103" s="69"/>
      <c r="H103" s="73" t="str">
        <v>WJ</v>
      </c>
      <c r="I103" s="53" t="str">
        <v>WW,J</v>
      </c>
      <c r="J103" s="154">
        <f ca="1">J$81+J$88</f>
        <v>5726</v>
      </c>
      <c r="K103" s="154">
        <f ca="1">K$81+K$88</f>
        <v>14646</v>
      </c>
      <c r="L103" s="17">
        <f>L$81+L$88</f>
        <v>16638</v>
      </c>
      <c r="M103" s="69"/>
      <c r="O103" s="73" t="str">
        <v>WJ</v>
      </c>
      <c r="P103" s="53" t="str">
        <v>WW,J</v>
      </c>
      <c r="Q103" s="154">
        <f ca="1">Q$81+Q$88</f>
        <v>5874</v>
      </c>
      <c r="R103" s="154">
        <f ca="1">R$81+R$88</f>
        <v>15949</v>
      </c>
      <c r="S103" s="17">
        <f>S$81+S$88</f>
        <v>17667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100</v>
      </c>
      <c r="BL103" s="29">
        <v>100</v>
      </c>
      <c r="BM103" s="29">
        <v>100</v>
      </c>
      <c r="BO103" s="29">
        <f t="shared" si="97"/>
        <v>100</v>
      </c>
      <c r="BP103" s="29">
        <f t="shared" si="86"/>
        <v>100</v>
      </c>
      <c r="BQ103" s="29">
        <f t="shared" si="87"/>
        <v>100</v>
      </c>
      <c r="BR103" s="65"/>
      <c r="BS103" s="29">
        <f t="shared" si="105"/>
        <v>100</v>
      </c>
      <c r="BT103" s="29">
        <f t="shared" si="98"/>
        <v>100</v>
      </c>
      <c r="BU103" s="29">
        <f t="shared" si="99"/>
        <v>100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100</v>
      </c>
      <c r="BL104" s="29">
        <v>100</v>
      </c>
      <c r="BM104" s="29">
        <v>100</v>
      </c>
      <c r="BO104" s="29">
        <f t="shared" si="97"/>
        <v>100</v>
      </c>
      <c r="BP104" s="29">
        <f t="shared" si="86"/>
        <v>100</v>
      </c>
      <c r="BQ104" s="29">
        <f t="shared" si="87"/>
        <v>100</v>
      </c>
      <c r="BR104" s="65"/>
      <c r="BS104" s="29">
        <f t="shared" si="105"/>
        <v>100</v>
      </c>
      <c r="BT104" s="29">
        <f t="shared" si="98"/>
        <v>100</v>
      </c>
      <c r="BU104" s="29">
        <f t="shared" si="99"/>
        <v>100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100</v>
      </c>
      <c r="BL105" s="29">
        <v>100</v>
      </c>
      <c r="BM105" s="29">
        <v>100</v>
      </c>
      <c r="BO105" s="29">
        <f t="shared" si="97"/>
        <v>100</v>
      </c>
      <c r="BP105" s="29">
        <f t="shared" si="86"/>
        <v>100</v>
      </c>
      <c r="BQ105" s="29">
        <f t="shared" si="87"/>
        <v>100</v>
      </c>
      <c r="BR105" s="65"/>
      <c r="BS105" s="29">
        <f t="shared" si="105"/>
        <v>100</v>
      </c>
      <c r="BT105" s="29">
        <f t="shared" si="98"/>
        <v>100</v>
      </c>
      <c r="BU105" s="29">
        <f t="shared" si="99"/>
        <v>100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100</v>
      </c>
      <c r="BL106" s="29">
        <v>100</v>
      </c>
      <c r="BM106" s="29">
        <v>100</v>
      </c>
      <c r="BO106" s="29">
        <f t="shared" si="97"/>
        <v>100</v>
      </c>
      <c r="BP106" s="29">
        <f t="shared" si="86"/>
        <v>100</v>
      </c>
      <c r="BQ106" s="29">
        <f t="shared" si="87"/>
        <v>100</v>
      </c>
      <c r="BR106" s="65"/>
      <c r="BS106" s="29">
        <f t="shared" si="105"/>
        <v>100</v>
      </c>
      <c r="BT106" s="29">
        <f t="shared" si="98"/>
        <v>100</v>
      </c>
      <c r="BU106" s="29">
        <f t="shared" si="99"/>
        <v>100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100</v>
      </c>
      <c r="BL107" s="29">
        <v>100</v>
      </c>
      <c r="BM107" s="29">
        <v>100</v>
      </c>
      <c r="BO107" s="29">
        <f t="shared" si="97"/>
        <v>100</v>
      </c>
      <c r="BP107" s="29">
        <f t="shared" si="86"/>
        <v>100</v>
      </c>
      <c r="BQ107" s="29">
        <f t="shared" si="87"/>
        <v>100</v>
      </c>
      <c r="BR107" s="65"/>
      <c r="BS107" s="29">
        <f t="shared" si="105"/>
        <v>100</v>
      </c>
      <c r="BT107" s="29">
        <f t="shared" si="98"/>
        <v>100</v>
      </c>
      <c r="BU107" s="29">
        <f t="shared" si="99"/>
        <v>100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100</v>
      </c>
      <c r="BL108" s="29">
        <v>100</v>
      </c>
      <c r="BM108" s="29">
        <v>100</v>
      </c>
      <c r="BO108" s="29">
        <f t="shared" si="97"/>
        <v>100</v>
      </c>
      <c r="BP108" s="29">
        <f t="shared" si="86"/>
        <v>100</v>
      </c>
      <c r="BQ108" s="29">
        <f t="shared" si="87"/>
        <v>100</v>
      </c>
      <c r="BR108" s="65"/>
      <c r="BS108" s="29">
        <f t="shared" si="105"/>
        <v>100</v>
      </c>
      <c r="BT108" s="29">
        <f t="shared" si="98"/>
        <v>100</v>
      </c>
      <c r="BU108" s="29">
        <f t="shared" si="99"/>
        <v>100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100</v>
      </c>
      <c r="BL109" s="29">
        <v>100</v>
      </c>
      <c r="BM109" s="29">
        <v>100</v>
      </c>
      <c r="BO109" s="29">
        <f t="shared" si="97"/>
        <v>100</v>
      </c>
      <c r="BP109" s="29">
        <f t="shared" si="86"/>
        <v>100</v>
      </c>
      <c r="BQ109" s="29">
        <f t="shared" si="87"/>
        <v>100</v>
      </c>
      <c r="BR109" s="65"/>
      <c r="BS109" s="29">
        <f t="shared" si="105"/>
        <v>100</v>
      </c>
      <c r="BT109" s="29">
        <f t="shared" si="98"/>
        <v>100</v>
      </c>
      <c r="BU109" s="29">
        <f t="shared" si="99"/>
        <v>100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100</v>
      </c>
      <c r="BL110" s="29">
        <v>100</v>
      </c>
      <c r="BM110" s="29">
        <v>100</v>
      </c>
      <c r="BO110" s="29">
        <f t="shared" si="97"/>
        <v>100</v>
      </c>
      <c r="BP110" s="29">
        <f t="shared" si="86"/>
        <v>100</v>
      </c>
      <c r="BQ110" s="29">
        <f t="shared" si="87"/>
        <v>100</v>
      </c>
      <c r="BR110" s="65"/>
      <c r="BS110" s="29">
        <f t="shared" si="105"/>
        <v>100</v>
      </c>
      <c r="BT110" s="29">
        <f t="shared" si="98"/>
        <v>100</v>
      </c>
      <c r="BU110" s="29">
        <f t="shared" si="99"/>
        <v>100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100</v>
      </c>
      <c r="BL111" s="29">
        <v>100</v>
      </c>
      <c r="BM111" s="29">
        <v>100</v>
      </c>
      <c r="BO111" s="29">
        <f t="shared" si="97"/>
        <v>100</v>
      </c>
      <c r="BP111" s="29">
        <f t="shared" si="86"/>
        <v>100</v>
      </c>
      <c r="BQ111" s="29">
        <f t="shared" si="87"/>
        <v>100</v>
      </c>
      <c r="BR111" s="65"/>
      <c r="BS111" s="29">
        <f t="shared" si="105"/>
        <v>100</v>
      </c>
      <c r="BT111" s="29">
        <f t="shared" si="98"/>
        <v>100</v>
      </c>
      <c r="BU111" s="29">
        <f t="shared" si="99"/>
        <v>100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100</v>
      </c>
      <c r="BL112" s="29">
        <v>100</v>
      </c>
      <c r="BM112" s="29">
        <v>100</v>
      </c>
      <c r="BO112" s="29">
        <f t="shared" si="97"/>
        <v>100</v>
      </c>
      <c r="BP112" s="29">
        <f t="shared" si="86"/>
        <v>100</v>
      </c>
      <c r="BQ112" s="29">
        <f t="shared" si="87"/>
        <v>100</v>
      </c>
      <c r="BR112" s="65"/>
      <c r="BS112" s="29">
        <f t="shared" si="105"/>
        <v>100</v>
      </c>
      <c r="BT112" s="29">
        <f t="shared" si="98"/>
        <v>100</v>
      </c>
      <c r="BU112" s="29">
        <f t="shared" si="99"/>
        <v>100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100</v>
      </c>
      <c r="BL113" s="29">
        <v>100</v>
      </c>
      <c r="BM113" s="29">
        <v>100</v>
      </c>
      <c r="BO113" s="29">
        <f t="shared" si="97"/>
        <v>100</v>
      </c>
      <c r="BP113" s="29">
        <f t="shared" si="86"/>
        <v>100</v>
      </c>
      <c r="BQ113" s="29">
        <f t="shared" si="87"/>
        <v>100</v>
      </c>
      <c r="BR113" s="65"/>
      <c r="BS113" s="29">
        <f t="shared" si="105"/>
        <v>100</v>
      </c>
      <c r="BT113" s="29">
        <f t="shared" si="98"/>
        <v>100</v>
      </c>
      <c r="BU113" s="29">
        <f t="shared" si="99"/>
        <v>100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100</v>
      </c>
      <c r="BL114" s="29">
        <v>100</v>
      </c>
      <c r="BM114" s="29">
        <v>100</v>
      </c>
      <c r="BO114" s="29">
        <f t="shared" si="97"/>
        <v>100</v>
      </c>
      <c r="BP114" s="29">
        <f t="shared" si="86"/>
        <v>100</v>
      </c>
      <c r="BQ114" s="29">
        <f t="shared" si="87"/>
        <v>100</v>
      </c>
      <c r="BR114" s="65"/>
      <c r="BS114" s="29">
        <f t="shared" si="105"/>
        <v>100</v>
      </c>
      <c r="BT114" s="29">
        <f t="shared" si="98"/>
        <v>100</v>
      </c>
      <c r="BU114" s="29">
        <f t="shared" si="99"/>
        <v>100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100</v>
      </c>
      <c r="BL115" s="29">
        <v>100</v>
      </c>
      <c r="BM115" s="29">
        <v>100</v>
      </c>
      <c r="BO115" s="29">
        <f t="shared" si="97"/>
        <v>100</v>
      </c>
      <c r="BP115" s="29">
        <f t="shared" si="86"/>
        <v>100</v>
      </c>
      <c r="BQ115" s="29">
        <f t="shared" si="87"/>
        <v>100</v>
      </c>
      <c r="BR115" s="65"/>
      <c r="BS115" s="29">
        <f t="shared" si="105"/>
        <v>100</v>
      </c>
      <c r="BT115" s="29">
        <f t="shared" si="98"/>
        <v>100</v>
      </c>
      <c r="BU115" s="29">
        <f t="shared" si="99"/>
        <v>100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100</v>
      </c>
      <c r="BL116" s="29">
        <v>100</v>
      </c>
      <c r="BM116" s="29">
        <v>100</v>
      </c>
      <c r="BO116" s="29">
        <f t="shared" si="97"/>
        <v>100</v>
      </c>
      <c r="BP116" s="29">
        <f t="shared" si="86"/>
        <v>100</v>
      </c>
      <c r="BQ116" s="29">
        <f t="shared" si="87"/>
        <v>100</v>
      </c>
      <c r="BR116" s="65"/>
      <c r="BS116" s="29">
        <f t="shared" si="105"/>
        <v>100</v>
      </c>
      <c r="BT116" s="29">
        <f t="shared" si="98"/>
        <v>100</v>
      </c>
      <c r="BU116" s="29">
        <f t="shared" si="99"/>
        <v>100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100</v>
      </c>
      <c r="BL117" s="29">
        <v>100</v>
      </c>
      <c r="BM117" s="29">
        <v>100</v>
      </c>
      <c r="BO117" s="29">
        <f t="shared" si="97"/>
        <v>100</v>
      </c>
      <c r="BP117" s="29">
        <f t="shared" si="86"/>
        <v>100</v>
      </c>
      <c r="BQ117" s="29">
        <f t="shared" si="87"/>
        <v>100</v>
      </c>
      <c r="BR117" s="65"/>
      <c r="BS117" s="29">
        <f t="shared" si="105"/>
        <v>100</v>
      </c>
      <c r="BT117" s="29">
        <f t="shared" si="98"/>
        <v>100</v>
      </c>
      <c r="BU117" s="29">
        <f t="shared" si="99"/>
        <v>100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100</v>
      </c>
      <c r="BL118" s="29">
        <v>100</v>
      </c>
      <c r="BM118" s="29">
        <v>100</v>
      </c>
      <c r="BO118" s="29">
        <f t="shared" si="97"/>
        <v>100</v>
      </c>
      <c r="BP118" s="29">
        <f t="shared" si="86"/>
        <v>100</v>
      </c>
      <c r="BQ118" s="29">
        <f t="shared" si="87"/>
        <v>100</v>
      </c>
      <c r="BR118" s="65"/>
      <c r="BS118" s="29">
        <f t="shared" si="105"/>
        <v>100</v>
      </c>
      <c r="BT118" s="29">
        <f t="shared" si="98"/>
        <v>100</v>
      </c>
      <c r="BU118" s="29">
        <f t="shared" si="99"/>
        <v>100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100</v>
      </c>
      <c r="BL119" s="29">
        <v>100</v>
      </c>
      <c r="BM119" s="29">
        <v>100</v>
      </c>
      <c r="BO119" s="29">
        <f t="shared" si="97"/>
        <v>100</v>
      </c>
      <c r="BP119" s="29">
        <f t="shared" si="86"/>
        <v>100</v>
      </c>
      <c r="BQ119" s="29">
        <f t="shared" si="87"/>
        <v>100</v>
      </c>
      <c r="BR119" s="65"/>
      <c r="BS119" s="29">
        <f t="shared" si="105"/>
        <v>100</v>
      </c>
      <c r="BT119" s="29">
        <f t="shared" si="98"/>
        <v>100</v>
      </c>
      <c r="BU119" s="29">
        <f t="shared" si="99"/>
        <v>100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447</v>
      </c>
      <c r="BL120" s="29">
        <v>100</v>
      </c>
      <c r="BM120" s="29">
        <v>100</v>
      </c>
      <c r="BO120" s="29">
        <f t="shared" si="97"/>
        <v>100</v>
      </c>
      <c r="BP120" s="29">
        <f t="shared" si="86"/>
        <v>100</v>
      </c>
      <c r="BQ120" s="29">
        <f t="shared" si="87"/>
        <v>100</v>
      </c>
      <c r="BR120" s="65"/>
      <c r="BS120" s="29">
        <f t="shared" si="105"/>
        <v>100</v>
      </c>
      <c r="BT120" s="29">
        <f t="shared" si="98"/>
        <v>100</v>
      </c>
      <c r="BU120" s="29">
        <f t="shared" si="99"/>
        <v>100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373</v>
      </c>
      <c r="BL121" s="29">
        <v>100</v>
      </c>
      <c r="BM121" s="29">
        <v>100</v>
      </c>
      <c r="BO121" s="29">
        <f t="shared" si="97"/>
        <v>447</v>
      </c>
      <c r="BP121" s="29">
        <f t="shared" si="86"/>
        <v>100</v>
      </c>
      <c r="BQ121" s="29">
        <f t="shared" si="87"/>
        <v>100</v>
      </c>
      <c r="BR121" s="65"/>
      <c r="BS121" s="29">
        <f t="shared" si="105"/>
        <v>100</v>
      </c>
      <c r="BT121" s="29">
        <f t="shared" si="98"/>
        <v>100</v>
      </c>
      <c r="BU121" s="29">
        <f t="shared" si="99"/>
        <v>100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298</v>
      </c>
      <c r="BL122" s="29">
        <v>100</v>
      </c>
      <c r="BM122" s="29">
        <v>100</v>
      </c>
      <c r="BO122" s="29">
        <f t="shared" si="97"/>
        <v>373</v>
      </c>
      <c r="BP122" s="29">
        <f t="shared" si="86"/>
        <v>100</v>
      </c>
      <c r="BQ122" s="29">
        <f t="shared" si="87"/>
        <v>100</v>
      </c>
      <c r="BR122" s="65"/>
      <c r="BS122" s="29">
        <f t="shared" si="105"/>
        <v>447</v>
      </c>
      <c r="BT122" s="29">
        <f t="shared" si="98"/>
        <v>100</v>
      </c>
      <c r="BU122" s="29">
        <f t="shared" si="99"/>
        <v>100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373</v>
      </c>
      <c r="BL123" s="29">
        <v>100</v>
      </c>
      <c r="BM123" s="29">
        <v>100</v>
      </c>
      <c r="BO123" s="29">
        <f t="shared" si="97"/>
        <v>298</v>
      </c>
      <c r="BP123" s="29">
        <f t="shared" si="86"/>
        <v>100</v>
      </c>
      <c r="BQ123" s="29">
        <f t="shared" si="87"/>
        <v>100</v>
      </c>
      <c r="BR123" s="65"/>
      <c r="BS123" s="29">
        <f t="shared" si="105"/>
        <v>373</v>
      </c>
      <c r="BT123" s="29">
        <f t="shared" si="98"/>
        <v>100</v>
      </c>
      <c r="BU123" s="29">
        <f t="shared" si="99"/>
        <v>100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447</v>
      </c>
      <c r="BL124" s="29">
        <v>100</v>
      </c>
      <c r="BM124" s="29">
        <v>100</v>
      </c>
      <c r="BO124" s="29">
        <f t="shared" si="97"/>
        <v>373</v>
      </c>
      <c r="BP124" s="29">
        <f t="shared" si="86"/>
        <v>100</v>
      </c>
      <c r="BQ124" s="29">
        <f t="shared" si="87"/>
        <v>100</v>
      </c>
      <c r="BR124" s="65"/>
      <c r="BS124" s="29">
        <f t="shared" si="105"/>
        <v>298</v>
      </c>
      <c r="BT124" s="29">
        <f t="shared" si="98"/>
        <v>100</v>
      </c>
      <c r="BU124" s="29">
        <f t="shared" si="99"/>
        <v>100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100</v>
      </c>
      <c r="BL125" s="29">
        <v>100</v>
      </c>
      <c r="BM125" s="29">
        <v>100</v>
      </c>
      <c r="BO125" s="29">
        <f t="shared" si="97"/>
        <v>447</v>
      </c>
      <c r="BP125" s="29">
        <f t="shared" si="86"/>
        <v>100</v>
      </c>
      <c r="BQ125" s="29">
        <f t="shared" si="87"/>
        <v>100</v>
      </c>
      <c r="BR125" s="65"/>
      <c r="BS125" s="29">
        <f t="shared" si="105"/>
        <v>373</v>
      </c>
      <c r="BT125" s="29">
        <f t="shared" si="98"/>
        <v>100</v>
      </c>
      <c r="BU125" s="29">
        <f t="shared" si="99"/>
        <v>100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100</v>
      </c>
      <c r="BM126" s="29">
        <v>100</v>
      </c>
      <c r="BO126" s="29">
        <f t="shared" si="97"/>
        <v>100</v>
      </c>
      <c r="BP126" s="29">
        <f t="shared" si="86"/>
        <v>100</v>
      </c>
      <c r="BQ126" s="29">
        <f t="shared" si="87"/>
        <v>100</v>
      </c>
      <c r="BR126" s="65"/>
      <c r="BS126" s="29">
        <f t="shared" si="105"/>
        <v>447</v>
      </c>
      <c r="BT126" s="29">
        <f t="shared" si="98"/>
        <v>100</v>
      </c>
      <c r="BU126" s="29">
        <f t="shared" si="99"/>
        <v>100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100</v>
      </c>
      <c r="BM127" s="29">
        <v>100</v>
      </c>
      <c r="BO127" s="29" t="str">
        <f t="shared" si="97"/>
        <v/>
      </c>
      <c r="BP127" s="29">
        <f t="shared" si="86"/>
        <v>100</v>
      </c>
      <c r="BQ127" s="29">
        <f t="shared" si="87"/>
        <v>100</v>
      </c>
      <c r="BR127" s="65"/>
      <c r="BS127" s="29">
        <f t="shared" si="105"/>
        <v>100</v>
      </c>
      <c r="BT127" s="29">
        <f t="shared" si="98"/>
        <v>100</v>
      </c>
      <c r="BU127" s="29">
        <f t="shared" si="99"/>
        <v>100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100</v>
      </c>
      <c r="BM128" s="29">
        <v>100</v>
      </c>
      <c r="BO128" s="29" t="str">
        <f t="shared" si="97"/>
        <v/>
      </c>
      <c r="BP128" s="29">
        <f t="shared" si="86"/>
        <v>100</v>
      </c>
      <c r="BQ128" s="29">
        <f t="shared" si="87"/>
        <v>100</v>
      </c>
      <c r="BR128" s="65"/>
      <c r="BS128" s="29" t="str">
        <f t="shared" si="105"/>
        <v/>
      </c>
      <c r="BT128" s="29">
        <f t="shared" si="98"/>
        <v>100</v>
      </c>
      <c r="BU128" s="29">
        <f t="shared" si="99"/>
        <v>100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100</v>
      </c>
      <c r="BM129" s="29">
        <v>100</v>
      </c>
      <c r="BO129" s="29" t="str">
        <f t="shared" si="97"/>
        <v/>
      </c>
      <c r="BP129" s="29">
        <f t="shared" si="86"/>
        <v>100</v>
      </c>
      <c r="BQ129" s="29">
        <f t="shared" si="87"/>
        <v>100</v>
      </c>
      <c r="BR129" s="65"/>
      <c r="BS129" s="29" t="str">
        <f t="shared" si="105"/>
        <v/>
      </c>
      <c r="BT129" s="29">
        <f t="shared" si="98"/>
        <v>100</v>
      </c>
      <c r="BU129" s="29">
        <f t="shared" si="99"/>
        <v>100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100</v>
      </c>
      <c r="BM130" s="29">
        <v>100</v>
      </c>
      <c r="BO130" s="29" t="str">
        <f t="shared" si="97"/>
        <v/>
      </c>
      <c r="BP130" s="29">
        <f t="shared" si="86"/>
        <v>100</v>
      </c>
      <c r="BQ130" s="29">
        <f t="shared" si="87"/>
        <v>100</v>
      </c>
      <c r="BR130" s="65"/>
      <c r="BS130" s="29" t="str">
        <f t="shared" si="105"/>
        <v/>
      </c>
      <c r="BT130" s="29">
        <f t="shared" si="98"/>
        <v>100</v>
      </c>
      <c r="BU130" s="29">
        <f t="shared" si="99"/>
        <v>100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100</v>
      </c>
      <c r="BM131" s="29">
        <v>677</v>
      </c>
      <c r="BO131" s="29" t="str">
        <f t="shared" si="97"/>
        <v/>
      </c>
      <c r="BP131" s="29">
        <f t="shared" si="86"/>
        <v>100</v>
      </c>
      <c r="BQ131" s="29">
        <f t="shared" si="87"/>
        <v>100</v>
      </c>
      <c r="BR131" s="65"/>
      <c r="BS131" s="29" t="str">
        <f t="shared" si="105"/>
        <v/>
      </c>
      <c r="BT131" s="29">
        <f t="shared" si="98"/>
        <v>100</v>
      </c>
      <c r="BU131" s="29">
        <f t="shared" si="99"/>
        <v>100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100</v>
      </c>
      <c r="BM132" s="29">
        <v>564</v>
      </c>
      <c r="BO132" s="29" t="str">
        <f t="shared" si="97"/>
        <v/>
      </c>
      <c r="BP132" s="29">
        <f t="shared" ref="BP132:BP195" si="125">IF(BL131="","",BL131)</f>
        <v>100</v>
      </c>
      <c r="BQ132" s="29">
        <f t="shared" ref="BQ132:BQ195" si="126">IF(BM131="","",BM131)</f>
        <v>677</v>
      </c>
      <c r="BR132" s="65"/>
      <c r="BS132" s="29" t="str">
        <f t="shared" si="105"/>
        <v/>
      </c>
      <c r="BT132" s="29">
        <f t="shared" si="98"/>
        <v>100</v>
      </c>
      <c r="BU132" s="29">
        <f t="shared" si="99"/>
        <v>100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100</v>
      </c>
      <c r="BM133" s="29">
        <v>451</v>
      </c>
      <c r="BO133" s="29" t="str">
        <f t="shared" ref="BO133:BO196" si="136">IF(BK132="","",BK132)</f>
        <v/>
      </c>
      <c r="BP133" s="29">
        <f t="shared" si="125"/>
        <v>100</v>
      </c>
      <c r="BQ133" s="29">
        <f t="shared" si="126"/>
        <v>564</v>
      </c>
      <c r="BR133" s="65"/>
      <c r="BS133" s="29" t="str">
        <f t="shared" si="105"/>
        <v/>
      </c>
      <c r="BT133" s="29">
        <f t="shared" ref="BT133:BT196" si="137">IF(BL131="","",BL131)</f>
        <v>100</v>
      </c>
      <c r="BU133" s="29">
        <f t="shared" ref="BU133:BU196" si="138">IF(BM131="","",BM131)</f>
        <v>677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100</v>
      </c>
      <c r="BM134" s="29">
        <v>564</v>
      </c>
      <c r="BO134" s="29" t="str">
        <f t="shared" si="136"/>
        <v/>
      </c>
      <c r="BP134" s="29">
        <f t="shared" si="125"/>
        <v>100</v>
      </c>
      <c r="BQ134" s="29">
        <f t="shared" si="126"/>
        <v>451</v>
      </c>
      <c r="BR134" s="65"/>
      <c r="BS134" s="29" t="str">
        <f t="shared" ref="BS134:BS197" si="144">IF(BK132="","",BK132)</f>
        <v/>
      </c>
      <c r="BT134" s="29">
        <f t="shared" si="137"/>
        <v>100</v>
      </c>
      <c r="BU134" s="29">
        <f t="shared" si="138"/>
        <v>564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100</v>
      </c>
      <c r="BM135" s="29">
        <v>677</v>
      </c>
      <c r="BO135" s="29" t="str">
        <f t="shared" si="136"/>
        <v/>
      </c>
      <c r="BP135" s="29">
        <f t="shared" si="125"/>
        <v>100</v>
      </c>
      <c r="BQ135" s="29">
        <f t="shared" si="126"/>
        <v>564</v>
      </c>
      <c r="BR135" s="65"/>
      <c r="BS135" s="29" t="str">
        <f t="shared" si="144"/>
        <v/>
      </c>
      <c r="BT135" s="29">
        <f t="shared" si="137"/>
        <v>100</v>
      </c>
      <c r="BU135" s="29">
        <f t="shared" si="138"/>
        <v>451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100</v>
      </c>
      <c r="BM136" s="29">
        <v>100</v>
      </c>
      <c r="BO136" s="29" t="str">
        <f t="shared" si="136"/>
        <v/>
      </c>
      <c r="BP136" s="29">
        <f t="shared" si="125"/>
        <v>100</v>
      </c>
      <c r="BQ136" s="29">
        <f t="shared" si="126"/>
        <v>677</v>
      </c>
      <c r="BR136" s="65"/>
      <c r="BS136" s="29" t="str">
        <f t="shared" si="144"/>
        <v/>
      </c>
      <c r="BT136" s="29">
        <f t="shared" si="137"/>
        <v>100</v>
      </c>
      <c r="BU136" s="29">
        <f t="shared" si="138"/>
        <v>564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100</v>
      </c>
      <c r="BM137" s="29">
        <v>100</v>
      </c>
      <c r="BO137" s="29" t="str">
        <f t="shared" si="136"/>
        <v/>
      </c>
      <c r="BP137" s="29">
        <f t="shared" si="125"/>
        <v>100</v>
      </c>
      <c r="BQ137" s="29">
        <f t="shared" si="126"/>
        <v>100</v>
      </c>
      <c r="BR137" s="65"/>
      <c r="BS137" s="29" t="str">
        <f t="shared" si="144"/>
        <v/>
      </c>
      <c r="BT137" s="29">
        <f t="shared" si="137"/>
        <v>100</v>
      </c>
      <c r="BU137" s="29">
        <f t="shared" si="138"/>
        <v>677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100</v>
      </c>
      <c r="BM138" s="29">
        <v>100</v>
      </c>
      <c r="BO138" s="29" t="str">
        <f t="shared" si="136"/>
        <v/>
      </c>
      <c r="BP138" s="29">
        <f t="shared" si="125"/>
        <v>100</v>
      </c>
      <c r="BQ138" s="29">
        <f t="shared" si="126"/>
        <v>100</v>
      </c>
      <c r="BR138" s="65"/>
      <c r="BS138" s="29" t="str">
        <f t="shared" si="144"/>
        <v/>
      </c>
      <c r="BT138" s="29">
        <f t="shared" si="137"/>
        <v>100</v>
      </c>
      <c r="BU138" s="29">
        <f t="shared" si="138"/>
        <v>100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100</v>
      </c>
      <c r="BM139" s="29">
        <v>100</v>
      </c>
      <c r="BO139" s="29" t="str">
        <f t="shared" si="136"/>
        <v/>
      </c>
      <c r="BP139" s="29">
        <f t="shared" si="125"/>
        <v>100</v>
      </c>
      <c r="BQ139" s="29">
        <f t="shared" si="126"/>
        <v>100</v>
      </c>
      <c r="BR139" s="65"/>
      <c r="BS139" s="29" t="str">
        <f t="shared" si="144"/>
        <v/>
      </c>
      <c r="BT139" s="29">
        <f t="shared" si="137"/>
        <v>100</v>
      </c>
      <c r="BU139" s="29">
        <f t="shared" si="138"/>
        <v>100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100</v>
      </c>
      <c r="BM140" s="29">
        <v>100</v>
      </c>
      <c r="BO140" s="29" t="str">
        <f t="shared" si="136"/>
        <v/>
      </c>
      <c r="BP140" s="29">
        <f t="shared" si="125"/>
        <v>100</v>
      </c>
      <c r="BQ140" s="29">
        <f t="shared" si="126"/>
        <v>100</v>
      </c>
      <c r="BR140" s="65"/>
      <c r="BS140" s="29" t="str">
        <f t="shared" si="144"/>
        <v/>
      </c>
      <c r="BT140" s="29">
        <f t="shared" si="137"/>
        <v>100</v>
      </c>
      <c r="BU140" s="29">
        <f t="shared" si="138"/>
        <v>100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100</v>
      </c>
      <c r="BM141" s="29">
        <v>100</v>
      </c>
      <c r="BO141" s="29" t="str">
        <f t="shared" si="136"/>
        <v/>
      </c>
      <c r="BP141" s="29">
        <f t="shared" si="125"/>
        <v>100</v>
      </c>
      <c r="BQ141" s="29">
        <f t="shared" si="126"/>
        <v>100</v>
      </c>
      <c r="BR141" s="65"/>
      <c r="BS141" s="29" t="str">
        <f t="shared" si="144"/>
        <v/>
      </c>
      <c r="BT141" s="29">
        <f t="shared" si="137"/>
        <v>100</v>
      </c>
      <c r="BU141" s="29">
        <f t="shared" si="138"/>
        <v>100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701</v>
      </c>
      <c r="BM142" s="29">
        <v>677</v>
      </c>
      <c r="BO142" s="29" t="str">
        <f t="shared" si="136"/>
        <v/>
      </c>
      <c r="BP142" s="29">
        <f t="shared" si="125"/>
        <v>100</v>
      </c>
      <c r="BQ142" s="29">
        <f t="shared" si="126"/>
        <v>100</v>
      </c>
      <c r="BR142" s="65"/>
      <c r="BS142" s="29" t="str">
        <f t="shared" si="144"/>
        <v/>
      </c>
      <c r="BT142" s="29">
        <f t="shared" si="137"/>
        <v>100</v>
      </c>
      <c r="BU142" s="29">
        <f t="shared" si="138"/>
        <v>100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584</v>
      </c>
      <c r="BM143" s="29">
        <v>564</v>
      </c>
      <c r="BO143" s="29" t="str">
        <f t="shared" si="136"/>
        <v/>
      </c>
      <c r="BP143" s="29">
        <f t="shared" si="125"/>
        <v>701</v>
      </c>
      <c r="BQ143" s="29">
        <f t="shared" si="126"/>
        <v>677</v>
      </c>
      <c r="BR143" s="65"/>
      <c r="BS143" s="29" t="str">
        <f t="shared" si="144"/>
        <v/>
      </c>
      <c r="BT143" s="29">
        <f t="shared" si="137"/>
        <v>100</v>
      </c>
      <c r="BU143" s="29">
        <f t="shared" si="138"/>
        <v>100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467</v>
      </c>
      <c r="BM144" s="29">
        <v>451</v>
      </c>
      <c r="BO144" s="29" t="str">
        <f t="shared" si="136"/>
        <v/>
      </c>
      <c r="BP144" s="29">
        <f t="shared" si="125"/>
        <v>584</v>
      </c>
      <c r="BQ144" s="29">
        <f t="shared" si="126"/>
        <v>564</v>
      </c>
      <c r="BR144" s="65"/>
      <c r="BS144" s="29" t="str">
        <f t="shared" si="144"/>
        <v/>
      </c>
      <c r="BT144" s="29">
        <f t="shared" si="137"/>
        <v>701</v>
      </c>
      <c r="BU144" s="29">
        <f t="shared" si="138"/>
        <v>677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584</v>
      </c>
      <c r="BM145" s="29">
        <v>564</v>
      </c>
      <c r="BO145" s="29" t="str">
        <f t="shared" si="136"/>
        <v/>
      </c>
      <c r="BP145" s="29">
        <f t="shared" si="125"/>
        <v>467</v>
      </c>
      <c r="BQ145" s="29">
        <f t="shared" si="126"/>
        <v>451</v>
      </c>
      <c r="BR145" s="65"/>
      <c r="BS145" s="29" t="str">
        <f t="shared" si="144"/>
        <v/>
      </c>
      <c r="BT145" s="29">
        <f t="shared" si="137"/>
        <v>584</v>
      </c>
      <c r="BU145" s="29">
        <f t="shared" si="138"/>
        <v>564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701</v>
      </c>
      <c r="BM146" s="29">
        <v>677</v>
      </c>
      <c r="BO146" s="29" t="str">
        <f t="shared" si="136"/>
        <v/>
      </c>
      <c r="BP146" s="29">
        <f t="shared" si="125"/>
        <v>584</v>
      </c>
      <c r="BQ146" s="29">
        <f t="shared" si="126"/>
        <v>564</v>
      </c>
      <c r="BR146" s="65"/>
      <c r="BS146" s="29" t="str">
        <f t="shared" si="144"/>
        <v/>
      </c>
      <c r="BT146" s="29">
        <f t="shared" si="137"/>
        <v>467</v>
      </c>
      <c r="BU146" s="29">
        <f t="shared" si="138"/>
        <v>451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100</v>
      </c>
      <c r="BM147" s="29">
        <v>100</v>
      </c>
      <c r="BO147" s="29" t="str">
        <f t="shared" si="136"/>
        <v/>
      </c>
      <c r="BP147" s="29">
        <f t="shared" si="125"/>
        <v>701</v>
      </c>
      <c r="BQ147" s="29">
        <f t="shared" si="126"/>
        <v>677</v>
      </c>
      <c r="BR147" s="65"/>
      <c r="BS147" s="29" t="str">
        <f t="shared" si="144"/>
        <v/>
      </c>
      <c r="BT147" s="29">
        <f t="shared" si="137"/>
        <v>584</v>
      </c>
      <c r="BU147" s="29">
        <f t="shared" si="138"/>
        <v>564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100</v>
      </c>
      <c r="BM148" s="29">
        <v>100</v>
      </c>
      <c r="BO148" s="29" t="str">
        <f t="shared" si="136"/>
        <v/>
      </c>
      <c r="BP148" s="29">
        <f t="shared" si="125"/>
        <v>100</v>
      </c>
      <c r="BQ148" s="29">
        <f t="shared" si="126"/>
        <v>100</v>
      </c>
      <c r="BR148" s="65"/>
      <c r="BS148" s="29" t="str">
        <f t="shared" si="144"/>
        <v/>
      </c>
      <c r="BT148" s="29">
        <f t="shared" si="137"/>
        <v>701</v>
      </c>
      <c r="BU148" s="29">
        <f t="shared" si="138"/>
        <v>677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100</v>
      </c>
      <c r="BM149" s="29">
        <v>100</v>
      </c>
      <c r="BO149" s="29" t="str">
        <f t="shared" si="136"/>
        <v/>
      </c>
      <c r="BP149" s="29">
        <f t="shared" si="125"/>
        <v>100</v>
      </c>
      <c r="BQ149" s="29">
        <f t="shared" si="126"/>
        <v>100</v>
      </c>
      <c r="BR149" s="65"/>
      <c r="BS149" s="29" t="str">
        <f t="shared" si="144"/>
        <v/>
      </c>
      <c r="BT149" s="29">
        <f t="shared" si="137"/>
        <v>100</v>
      </c>
      <c r="BU149" s="29">
        <f t="shared" si="138"/>
        <v>100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100</v>
      </c>
      <c r="BM150" s="29">
        <v>100</v>
      </c>
      <c r="BO150" s="29" t="str">
        <f t="shared" si="136"/>
        <v/>
      </c>
      <c r="BP150" s="29">
        <f t="shared" si="125"/>
        <v>100</v>
      </c>
      <c r="BQ150" s="29">
        <f t="shared" si="126"/>
        <v>100</v>
      </c>
      <c r="BR150" s="65"/>
      <c r="BS150" s="29" t="str">
        <f t="shared" si="144"/>
        <v/>
      </c>
      <c r="BT150" s="29">
        <f t="shared" si="137"/>
        <v>100</v>
      </c>
      <c r="BU150" s="29">
        <f t="shared" si="138"/>
        <v>100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100</v>
      </c>
      <c r="BM151" s="29">
        <v>100</v>
      </c>
      <c r="BO151" s="29" t="str">
        <f t="shared" si="136"/>
        <v/>
      </c>
      <c r="BP151" s="29">
        <f t="shared" si="125"/>
        <v>100</v>
      </c>
      <c r="BQ151" s="29">
        <f t="shared" si="126"/>
        <v>100</v>
      </c>
      <c r="BR151" s="65"/>
      <c r="BS151" s="29" t="str">
        <f t="shared" si="144"/>
        <v/>
      </c>
      <c r="BT151" s="29">
        <f t="shared" si="137"/>
        <v>100</v>
      </c>
      <c r="BU151" s="29">
        <f t="shared" si="138"/>
        <v>100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100</v>
      </c>
      <c r="BM152" s="29">
        <v>100</v>
      </c>
      <c r="BO152" s="29" t="str">
        <f t="shared" si="136"/>
        <v/>
      </c>
      <c r="BP152" s="29">
        <f t="shared" si="125"/>
        <v>100</v>
      </c>
      <c r="BQ152" s="29">
        <f t="shared" si="126"/>
        <v>100</v>
      </c>
      <c r="BR152" s="65"/>
      <c r="BS152" s="29" t="str">
        <f t="shared" si="144"/>
        <v/>
      </c>
      <c r="BT152" s="29">
        <f t="shared" si="137"/>
        <v>100</v>
      </c>
      <c r="BU152" s="29">
        <f t="shared" si="138"/>
        <v>100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100</v>
      </c>
      <c r="BM153" s="29">
        <v>100</v>
      </c>
      <c r="BO153" s="29" t="str">
        <f t="shared" si="136"/>
        <v/>
      </c>
      <c r="BP153" s="29">
        <f t="shared" si="125"/>
        <v>100</v>
      </c>
      <c r="BQ153" s="29">
        <f t="shared" si="126"/>
        <v>100</v>
      </c>
      <c r="BR153" s="65"/>
      <c r="BS153" s="29" t="str">
        <f t="shared" si="144"/>
        <v/>
      </c>
      <c r="BT153" s="29">
        <f t="shared" si="137"/>
        <v>100</v>
      </c>
      <c r="BU153" s="29">
        <f t="shared" si="138"/>
        <v>100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100</v>
      </c>
      <c r="BM154" s="29">
        <v>100</v>
      </c>
      <c r="BO154" s="29" t="str">
        <f t="shared" si="136"/>
        <v/>
      </c>
      <c r="BP154" s="29">
        <f t="shared" si="125"/>
        <v>100</v>
      </c>
      <c r="BQ154" s="29">
        <f t="shared" si="126"/>
        <v>100</v>
      </c>
      <c r="BR154" s="65"/>
      <c r="BS154" s="29" t="str">
        <f t="shared" si="144"/>
        <v/>
      </c>
      <c r="BT154" s="29">
        <f t="shared" si="137"/>
        <v>100</v>
      </c>
      <c r="BU154" s="29">
        <f t="shared" si="138"/>
        <v>100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100</v>
      </c>
      <c r="BM155" s="29">
        <v>100</v>
      </c>
      <c r="BO155" s="29" t="str">
        <f t="shared" si="136"/>
        <v/>
      </c>
      <c r="BP155" s="29">
        <f t="shared" si="125"/>
        <v>100</v>
      </c>
      <c r="BQ155" s="29">
        <f t="shared" si="126"/>
        <v>100</v>
      </c>
      <c r="BR155" s="65"/>
      <c r="BS155" s="29" t="str">
        <f t="shared" si="144"/>
        <v/>
      </c>
      <c r="BT155" s="29">
        <f t="shared" si="137"/>
        <v>100</v>
      </c>
      <c r="BU155" s="29">
        <f t="shared" si="138"/>
        <v>100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100</v>
      </c>
      <c r="BM156" s="29">
        <v>100</v>
      </c>
      <c r="BO156" s="29" t="str">
        <f t="shared" si="136"/>
        <v/>
      </c>
      <c r="BP156" s="29">
        <f t="shared" si="125"/>
        <v>100</v>
      </c>
      <c r="BQ156" s="29">
        <f t="shared" si="126"/>
        <v>100</v>
      </c>
      <c r="BR156" s="65"/>
      <c r="BS156" s="29" t="str">
        <f t="shared" si="144"/>
        <v/>
      </c>
      <c r="BT156" s="29">
        <f t="shared" si="137"/>
        <v>100</v>
      </c>
      <c r="BU156" s="29">
        <f t="shared" si="138"/>
        <v>100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100</v>
      </c>
      <c r="BM157" s="29">
        <v>677</v>
      </c>
      <c r="BO157" s="29" t="str">
        <f t="shared" si="136"/>
        <v/>
      </c>
      <c r="BP157" s="29">
        <f t="shared" si="125"/>
        <v>100</v>
      </c>
      <c r="BQ157" s="29">
        <f t="shared" si="126"/>
        <v>100</v>
      </c>
      <c r="BR157" s="65"/>
      <c r="BS157" s="29" t="str">
        <f t="shared" si="144"/>
        <v/>
      </c>
      <c r="BT157" s="29">
        <f t="shared" si="137"/>
        <v>100</v>
      </c>
      <c r="BU157" s="29">
        <f t="shared" si="138"/>
        <v>100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100</v>
      </c>
      <c r="BM158" s="29">
        <v>564</v>
      </c>
      <c r="BO158" s="29" t="str">
        <f t="shared" si="136"/>
        <v/>
      </c>
      <c r="BP158" s="29">
        <f t="shared" si="125"/>
        <v>100</v>
      </c>
      <c r="BQ158" s="29">
        <f t="shared" si="126"/>
        <v>677</v>
      </c>
      <c r="BR158" s="65"/>
      <c r="BS158" s="29" t="str">
        <f t="shared" si="144"/>
        <v/>
      </c>
      <c r="BT158" s="29">
        <f t="shared" si="137"/>
        <v>100</v>
      </c>
      <c r="BU158" s="29">
        <f t="shared" si="138"/>
        <v>100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100</v>
      </c>
      <c r="BM159" s="29">
        <v>451</v>
      </c>
      <c r="BO159" s="29" t="str">
        <f t="shared" si="136"/>
        <v/>
      </c>
      <c r="BP159" s="29">
        <f t="shared" si="125"/>
        <v>100</v>
      </c>
      <c r="BQ159" s="29">
        <f t="shared" si="126"/>
        <v>564</v>
      </c>
      <c r="BR159" s="65"/>
      <c r="BS159" s="29" t="str">
        <f t="shared" si="144"/>
        <v/>
      </c>
      <c r="BT159" s="29">
        <f t="shared" si="137"/>
        <v>100</v>
      </c>
      <c r="BU159" s="29">
        <f t="shared" si="138"/>
        <v>677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100</v>
      </c>
      <c r="BM160" s="29">
        <v>564</v>
      </c>
      <c r="BO160" s="29" t="str">
        <f t="shared" si="136"/>
        <v/>
      </c>
      <c r="BP160" s="29">
        <f t="shared" si="125"/>
        <v>100</v>
      </c>
      <c r="BQ160" s="29">
        <f t="shared" si="126"/>
        <v>451</v>
      </c>
      <c r="BR160" s="65"/>
      <c r="BS160" s="29" t="str">
        <f t="shared" si="144"/>
        <v/>
      </c>
      <c r="BT160" s="29">
        <f t="shared" si="137"/>
        <v>100</v>
      </c>
      <c r="BU160" s="29">
        <f t="shared" si="138"/>
        <v>564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100</v>
      </c>
      <c r="BM161" s="29">
        <v>677</v>
      </c>
      <c r="BO161" s="29" t="str">
        <f t="shared" si="136"/>
        <v/>
      </c>
      <c r="BP161" s="29">
        <f t="shared" si="125"/>
        <v>100</v>
      </c>
      <c r="BQ161" s="29">
        <f t="shared" si="126"/>
        <v>564</v>
      </c>
      <c r="BR161" s="65"/>
      <c r="BS161" s="29" t="str">
        <f t="shared" si="144"/>
        <v/>
      </c>
      <c r="BT161" s="29">
        <f t="shared" si="137"/>
        <v>100</v>
      </c>
      <c r="BU161" s="29">
        <f t="shared" si="138"/>
        <v>451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100</v>
      </c>
      <c r="BM162" s="29">
        <v>100</v>
      </c>
      <c r="BO162" s="29" t="str">
        <f t="shared" si="136"/>
        <v/>
      </c>
      <c r="BP162" s="29">
        <f t="shared" si="125"/>
        <v>100</v>
      </c>
      <c r="BQ162" s="29">
        <f t="shared" si="126"/>
        <v>677</v>
      </c>
      <c r="BR162" s="65"/>
      <c r="BS162" s="29" t="str">
        <f t="shared" si="144"/>
        <v/>
      </c>
      <c r="BT162" s="29">
        <f t="shared" si="137"/>
        <v>100</v>
      </c>
      <c r="BU162" s="29">
        <f t="shared" si="138"/>
        <v>564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100</v>
      </c>
      <c r="BM163" s="29">
        <v>100</v>
      </c>
      <c r="BO163" s="29" t="str">
        <f t="shared" si="136"/>
        <v/>
      </c>
      <c r="BP163" s="29">
        <f t="shared" si="125"/>
        <v>100</v>
      </c>
      <c r="BQ163" s="29">
        <f t="shared" si="126"/>
        <v>100</v>
      </c>
      <c r="BR163" s="65"/>
      <c r="BS163" s="29" t="str">
        <f t="shared" si="144"/>
        <v/>
      </c>
      <c r="BT163" s="29">
        <f t="shared" si="137"/>
        <v>100</v>
      </c>
      <c r="BU163" s="29">
        <f t="shared" si="138"/>
        <v>677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100</v>
      </c>
      <c r="BM164" s="29">
        <v>100</v>
      </c>
      <c r="BO164" s="29" t="str">
        <f t="shared" si="136"/>
        <v/>
      </c>
      <c r="BP164" s="29">
        <f t="shared" si="125"/>
        <v>100</v>
      </c>
      <c r="BQ164" s="29">
        <f t="shared" si="126"/>
        <v>100</v>
      </c>
      <c r="BR164" s="65"/>
      <c r="BS164" s="29" t="str">
        <f t="shared" si="144"/>
        <v/>
      </c>
      <c r="BT164" s="29">
        <f t="shared" si="137"/>
        <v>100</v>
      </c>
      <c r="BU164" s="29">
        <f t="shared" si="138"/>
        <v>100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100</v>
      </c>
      <c r="BM165" s="29">
        <v>100</v>
      </c>
      <c r="BO165" s="29" t="str">
        <f t="shared" si="136"/>
        <v/>
      </c>
      <c r="BP165" s="29">
        <f t="shared" si="125"/>
        <v>100</v>
      </c>
      <c r="BQ165" s="29">
        <f t="shared" si="126"/>
        <v>100</v>
      </c>
      <c r="BR165" s="65"/>
      <c r="BS165" s="29" t="str">
        <f t="shared" si="144"/>
        <v/>
      </c>
      <c r="BT165" s="29">
        <f t="shared" si="137"/>
        <v>100</v>
      </c>
      <c r="BU165" s="29">
        <f t="shared" si="138"/>
        <v>100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100</v>
      </c>
      <c r="BM166" s="29">
        <v>100</v>
      </c>
      <c r="BO166" s="29" t="str">
        <f t="shared" si="136"/>
        <v/>
      </c>
      <c r="BP166" s="29">
        <f t="shared" si="125"/>
        <v>100</v>
      </c>
      <c r="BQ166" s="29">
        <f t="shared" si="126"/>
        <v>100</v>
      </c>
      <c r="BR166" s="65"/>
      <c r="BS166" s="29" t="str">
        <f t="shared" si="144"/>
        <v/>
      </c>
      <c r="BT166" s="29">
        <f t="shared" si="137"/>
        <v>100</v>
      </c>
      <c r="BU166" s="29">
        <f t="shared" si="138"/>
        <v>100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100</v>
      </c>
      <c r="BM167" s="29">
        <v>100</v>
      </c>
      <c r="BO167" s="29" t="str">
        <f t="shared" si="136"/>
        <v/>
      </c>
      <c r="BP167" s="29">
        <f t="shared" si="125"/>
        <v>100</v>
      </c>
      <c r="BQ167" s="29">
        <f t="shared" si="126"/>
        <v>100</v>
      </c>
      <c r="BR167" s="65"/>
      <c r="BS167" s="29" t="str">
        <f t="shared" si="144"/>
        <v/>
      </c>
      <c r="BT167" s="29">
        <f t="shared" si="137"/>
        <v>100</v>
      </c>
      <c r="BU167" s="29">
        <f t="shared" si="138"/>
        <v>100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100</v>
      </c>
      <c r="BM168" s="29">
        <v>100</v>
      </c>
      <c r="BO168" s="29" t="str">
        <f t="shared" si="136"/>
        <v/>
      </c>
      <c r="BP168" s="29">
        <f t="shared" si="125"/>
        <v>100</v>
      </c>
      <c r="BQ168" s="29">
        <f t="shared" si="126"/>
        <v>100</v>
      </c>
      <c r="BR168" s="65"/>
      <c r="BS168" s="29" t="str">
        <f t="shared" si="144"/>
        <v/>
      </c>
      <c r="BT168" s="29">
        <f t="shared" si="137"/>
        <v>100</v>
      </c>
      <c r="BU168" s="29">
        <f t="shared" si="138"/>
        <v>100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100</v>
      </c>
      <c r="BM169" s="29">
        <v>100</v>
      </c>
      <c r="BO169" s="29" t="str">
        <f t="shared" si="136"/>
        <v/>
      </c>
      <c r="BP169" s="29">
        <f t="shared" si="125"/>
        <v>100</v>
      </c>
      <c r="BQ169" s="29">
        <f t="shared" si="126"/>
        <v>100</v>
      </c>
      <c r="BR169" s="65"/>
      <c r="BS169" s="29" t="str">
        <f t="shared" si="144"/>
        <v/>
      </c>
      <c r="BT169" s="29">
        <f t="shared" si="137"/>
        <v>100</v>
      </c>
      <c r="BU169" s="29">
        <f t="shared" si="138"/>
        <v>100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100</v>
      </c>
      <c r="BM170" s="29">
        <v>100</v>
      </c>
      <c r="BO170" s="29" t="str">
        <f t="shared" si="136"/>
        <v/>
      </c>
      <c r="BP170" s="29">
        <f t="shared" si="125"/>
        <v>100</v>
      </c>
      <c r="BQ170" s="29">
        <f t="shared" si="126"/>
        <v>100</v>
      </c>
      <c r="BR170" s="65"/>
      <c r="BS170" s="29" t="str">
        <f t="shared" si="144"/>
        <v/>
      </c>
      <c r="BT170" s="29">
        <f t="shared" si="137"/>
        <v>100</v>
      </c>
      <c r="BU170" s="29">
        <f t="shared" si="138"/>
        <v>100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100</v>
      </c>
      <c r="BM171" s="29">
        <v>100</v>
      </c>
      <c r="BO171" s="29" t="str">
        <f t="shared" si="136"/>
        <v/>
      </c>
      <c r="BP171" s="29">
        <f t="shared" si="125"/>
        <v>100</v>
      </c>
      <c r="BQ171" s="29">
        <f t="shared" si="126"/>
        <v>100</v>
      </c>
      <c r="BR171" s="65"/>
      <c r="BS171" s="29" t="str">
        <f t="shared" si="144"/>
        <v/>
      </c>
      <c r="BT171" s="29">
        <f t="shared" si="137"/>
        <v>100</v>
      </c>
      <c r="BU171" s="29">
        <f t="shared" si="138"/>
        <v>100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100</v>
      </c>
      <c r="BM172" s="29">
        <v>100</v>
      </c>
      <c r="BO172" s="29" t="str">
        <f t="shared" si="136"/>
        <v/>
      </c>
      <c r="BP172" s="29">
        <f t="shared" si="125"/>
        <v>100</v>
      </c>
      <c r="BQ172" s="29">
        <f t="shared" si="126"/>
        <v>100</v>
      </c>
      <c r="BR172" s="65"/>
      <c r="BS172" s="29" t="str">
        <f t="shared" si="144"/>
        <v/>
      </c>
      <c r="BT172" s="29">
        <f t="shared" si="137"/>
        <v>100</v>
      </c>
      <c r="BU172" s="29">
        <f t="shared" si="138"/>
        <v>100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100</v>
      </c>
      <c r="BM173" s="29">
        <v>100</v>
      </c>
      <c r="BO173" s="29" t="str">
        <f t="shared" si="136"/>
        <v/>
      </c>
      <c r="BP173" s="29">
        <f t="shared" si="125"/>
        <v>100</v>
      </c>
      <c r="BQ173" s="29">
        <f t="shared" si="126"/>
        <v>100</v>
      </c>
      <c r="BR173" s="65"/>
      <c r="BS173" s="29" t="str">
        <f t="shared" si="144"/>
        <v/>
      </c>
      <c r="BT173" s="29">
        <f t="shared" si="137"/>
        <v>100</v>
      </c>
      <c r="BU173" s="29">
        <f t="shared" si="138"/>
        <v>100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100</v>
      </c>
      <c r="BM174" s="29">
        <v>100</v>
      </c>
      <c r="BO174" s="29" t="str">
        <f t="shared" si="136"/>
        <v/>
      </c>
      <c r="BP174" s="29">
        <f t="shared" si="125"/>
        <v>100</v>
      </c>
      <c r="BQ174" s="29">
        <f t="shared" si="126"/>
        <v>100</v>
      </c>
      <c r="BR174" s="65"/>
      <c r="BS174" s="29" t="str">
        <f t="shared" si="144"/>
        <v/>
      </c>
      <c r="BT174" s="29">
        <f t="shared" si="137"/>
        <v>100</v>
      </c>
      <c r="BU174" s="29">
        <f t="shared" si="138"/>
        <v>100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100</v>
      </c>
      <c r="BM175" s="29">
        <v>100</v>
      </c>
      <c r="BO175" s="29" t="str">
        <f t="shared" si="136"/>
        <v/>
      </c>
      <c r="BP175" s="29">
        <f t="shared" si="125"/>
        <v>100</v>
      </c>
      <c r="BQ175" s="29">
        <f t="shared" si="126"/>
        <v>100</v>
      </c>
      <c r="BR175" s="65"/>
      <c r="BS175" s="29" t="str">
        <f t="shared" si="144"/>
        <v/>
      </c>
      <c r="BT175" s="29">
        <f t="shared" si="137"/>
        <v>100</v>
      </c>
      <c r="BU175" s="29">
        <f t="shared" si="138"/>
        <v>100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100</v>
      </c>
      <c r="BM176" s="29">
        <v>100</v>
      </c>
      <c r="BO176" s="29" t="str">
        <f t="shared" si="136"/>
        <v/>
      </c>
      <c r="BP176" s="29">
        <f t="shared" si="125"/>
        <v>100</v>
      </c>
      <c r="BQ176" s="29">
        <f t="shared" si="126"/>
        <v>100</v>
      </c>
      <c r="BR176" s="65"/>
      <c r="BS176" s="29" t="str">
        <f t="shared" si="144"/>
        <v/>
      </c>
      <c r="BT176" s="29">
        <f t="shared" si="137"/>
        <v>100</v>
      </c>
      <c r="BU176" s="29">
        <f t="shared" si="138"/>
        <v>100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100</v>
      </c>
      <c r="BM177" s="29">
        <v>100</v>
      </c>
      <c r="BO177" s="29" t="str">
        <f t="shared" si="136"/>
        <v/>
      </c>
      <c r="BP177" s="29">
        <f t="shared" si="125"/>
        <v>100</v>
      </c>
      <c r="BQ177" s="29">
        <f t="shared" si="126"/>
        <v>100</v>
      </c>
      <c r="BR177" s="65"/>
      <c r="BS177" s="29" t="str">
        <f t="shared" si="144"/>
        <v/>
      </c>
      <c r="BT177" s="29">
        <f t="shared" si="137"/>
        <v>100</v>
      </c>
      <c r="BU177" s="29">
        <f t="shared" si="138"/>
        <v>100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100</v>
      </c>
      <c r="BM178" s="29">
        <v>100</v>
      </c>
      <c r="BO178" s="29" t="str">
        <f t="shared" si="136"/>
        <v/>
      </c>
      <c r="BP178" s="29">
        <f t="shared" si="125"/>
        <v>100</v>
      </c>
      <c r="BQ178" s="29">
        <f t="shared" si="126"/>
        <v>100</v>
      </c>
      <c r="BR178" s="65"/>
      <c r="BS178" s="29" t="str">
        <f t="shared" si="144"/>
        <v/>
      </c>
      <c r="BT178" s="29">
        <f t="shared" si="137"/>
        <v>100</v>
      </c>
      <c r="BU178" s="29">
        <f t="shared" si="138"/>
        <v>100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100</v>
      </c>
      <c r="BM179" s="29">
        <v>100</v>
      </c>
      <c r="BO179" s="29" t="str">
        <f t="shared" si="136"/>
        <v/>
      </c>
      <c r="BP179" s="29">
        <f t="shared" si="125"/>
        <v>100</v>
      </c>
      <c r="BQ179" s="29">
        <f t="shared" si="126"/>
        <v>100</v>
      </c>
      <c r="BR179" s="65"/>
      <c r="BS179" s="29" t="str">
        <f t="shared" si="144"/>
        <v/>
      </c>
      <c r="BT179" s="29">
        <f t="shared" si="137"/>
        <v>100</v>
      </c>
      <c r="BU179" s="29">
        <f t="shared" si="138"/>
        <v>100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100</v>
      </c>
      <c r="BM180" s="29">
        <v>100</v>
      </c>
      <c r="BO180" s="29" t="str">
        <f t="shared" si="136"/>
        <v/>
      </c>
      <c r="BP180" s="29">
        <f t="shared" si="125"/>
        <v>100</v>
      </c>
      <c r="BQ180" s="29">
        <f t="shared" si="126"/>
        <v>100</v>
      </c>
      <c r="BR180" s="65"/>
      <c r="BS180" s="29" t="str">
        <f t="shared" si="144"/>
        <v/>
      </c>
      <c r="BT180" s="29">
        <f t="shared" si="137"/>
        <v>100</v>
      </c>
      <c r="BU180" s="29">
        <f t="shared" si="138"/>
        <v>100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701</v>
      </c>
      <c r="BM181" s="29">
        <v>100</v>
      </c>
      <c r="BO181" s="29" t="str">
        <f t="shared" si="136"/>
        <v/>
      </c>
      <c r="BP181" s="29">
        <f t="shared" si="125"/>
        <v>100</v>
      </c>
      <c r="BQ181" s="29">
        <f t="shared" si="126"/>
        <v>100</v>
      </c>
      <c r="BR181" s="65"/>
      <c r="BS181" s="29" t="str">
        <f t="shared" si="144"/>
        <v/>
      </c>
      <c r="BT181" s="29">
        <f t="shared" si="137"/>
        <v>100</v>
      </c>
      <c r="BU181" s="29">
        <f t="shared" si="138"/>
        <v>100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584</v>
      </c>
      <c r="BM182" s="29">
        <v>100</v>
      </c>
      <c r="BO182" s="29" t="str">
        <f t="shared" si="136"/>
        <v/>
      </c>
      <c r="BP182" s="29">
        <f t="shared" si="125"/>
        <v>701</v>
      </c>
      <c r="BQ182" s="29">
        <f t="shared" si="126"/>
        <v>100</v>
      </c>
      <c r="BR182" s="65"/>
      <c r="BS182" s="29" t="str">
        <f t="shared" si="144"/>
        <v/>
      </c>
      <c r="BT182" s="29">
        <f t="shared" si="137"/>
        <v>100</v>
      </c>
      <c r="BU182" s="29">
        <f t="shared" si="138"/>
        <v>100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467</v>
      </c>
      <c r="BM183" s="29">
        <v>100</v>
      </c>
      <c r="BO183" s="29" t="str">
        <f t="shared" si="136"/>
        <v/>
      </c>
      <c r="BP183" s="29">
        <f t="shared" si="125"/>
        <v>584</v>
      </c>
      <c r="BQ183" s="29">
        <f t="shared" si="126"/>
        <v>100</v>
      </c>
      <c r="BR183" s="65"/>
      <c r="BS183" s="29" t="str">
        <f t="shared" si="144"/>
        <v/>
      </c>
      <c r="BT183" s="29">
        <f t="shared" si="137"/>
        <v>701</v>
      </c>
      <c r="BU183" s="29">
        <f t="shared" si="138"/>
        <v>100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584</v>
      </c>
      <c r="BM184" s="29">
        <v>100</v>
      </c>
      <c r="BO184" s="29" t="str">
        <f t="shared" si="136"/>
        <v/>
      </c>
      <c r="BP184" s="29">
        <f t="shared" si="125"/>
        <v>467</v>
      </c>
      <c r="BQ184" s="29">
        <f t="shared" si="126"/>
        <v>100</v>
      </c>
      <c r="BR184" s="65"/>
      <c r="BS184" s="29" t="str">
        <f t="shared" si="144"/>
        <v/>
      </c>
      <c r="BT184" s="29">
        <f t="shared" si="137"/>
        <v>584</v>
      </c>
      <c r="BU184" s="29">
        <f t="shared" si="138"/>
        <v>100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701</v>
      </c>
      <c r="BM185" s="29">
        <v>100</v>
      </c>
      <c r="BO185" s="29" t="str">
        <f t="shared" si="136"/>
        <v/>
      </c>
      <c r="BP185" s="29">
        <f t="shared" si="125"/>
        <v>584</v>
      </c>
      <c r="BQ185" s="29">
        <f t="shared" si="126"/>
        <v>100</v>
      </c>
      <c r="BR185" s="65"/>
      <c r="BS185" s="29" t="str">
        <f t="shared" si="144"/>
        <v/>
      </c>
      <c r="BT185" s="29">
        <f t="shared" si="137"/>
        <v>467</v>
      </c>
      <c r="BU185" s="29">
        <f t="shared" si="138"/>
        <v>100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100</v>
      </c>
      <c r="BM186" s="29">
        <v>100</v>
      </c>
      <c r="BO186" s="29" t="str">
        <f t="shared" si="136"/>
        <v/>
      </c>
      <c r="BP186" s="29">
        <f t="shared" si="125"/>
        <v>701</v>
      </c>
      <c r="BQ186" s="29">
        <f t="shared" si="126"/>
        <v>100</v>
      </c>
      <c r="BR186" s="65"/>
      <c r="BS186" s="29" t="str">
        <f t="shared" si="144"/>
        <v/>
      </c>
      <c r="BT186" s="29">
        <f t="shared" si="137"/>
        <v>584</v>
      </c>
      <c r="BU186" s="29">
        <f t="shared" si="138"/>
        <v>100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100</v>
      </c>
      <c r="BM187" s="29">
        <v>100</v>
      </c>
      <c r="BO187" s="29" t="str">
        <f t="shared" si="136"/>
        <v/>
      </c>
      <c r="BP187" s="29">
        <f t="shared" si="125"/>
        <v>100</v>
      </c>
      <c r="BQ187" s="29">
        <f t="shared" si="126"/>
        <v>100</v>
      </c>
      <c r="BR187" s="65"/>
      <c r="BS187" s="29" t="str">
        <f t="shared" si="144"/>
        <v/>
      </c>
      <c r="BT187" s="29">
        <f t="shared" si="137"/>
        <v>701</v>
      </c>
      <c r="BU187" s="29">
        <f t="shared" si="138"/>
        <v>100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100</v>
      </c>
      <c r="BM188" s="29">
        <v>100</v>
      </c>
      <c r="BO188" s="29" t="str">
        <f t="shared" si="136"/>
        <v/>
      </c>
      <c r="BP188" s="29">
        <f t="shared" si="125"/>
        <v>100</v>
      </c>
      <c r="BQ188" s="29">
        <f t="shared" si="126"/>
        <v>100</v>
      </c>
      <c r="BR188" s="65"/>
      <c r="BS188" s="29" t="str">
        <f t="shared" si="144"/>
        <v/>
      </c>
      <c r="BT188" s="29">
        <f t="shared" si="137"/>
        <v>100</v>
      </c>
      <c r="BU188" s="29">
        <f t="shared" si="138"/>
        <v>100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100</v>
      </c>
      <c r="BM189" s="29">
        <v>100</v>
      </c>
      <c r="BO189" s="29" t="str">
        <f t="shared" si="136"/>
        <v/>
      </c>
      <c r="BP189" s="29">
        <f t="shared" si="125"/>
        <v>100</v>
      </c>
      <c r="BQ189" s="29">
        <f t="shared" si="126"/>
        <v>100</v>
      </c>
      <c r="BR189" s="65"/>
      <c r="BS189" s="29" t="str">
        <f t="shared" si="144"/>
        <v/>
      </c>
      <c r="BT189" s="29">
        <f t="shared" si="137"/>
        <v>100</v>
      </c>
      <c r="BU189" s="29">
        <f t="shared" si="138"/>
        <v>100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100</v>
      </c>
      <c r="BM190" s="29">
        <v>100</v>
      </c>
      <c r="BO190" s="29" t="str">
        <f t="shared" si="136"/>
        <v/>
      </c>
      <c r="BP190" s="29">
        <f t="shared" si="125"/>
        <v>100</v>
      </c>
      <c r="BQ190" s="29">
        <f t="shared" si="126"/>
        <v>100</v>
      </c>
      <c r="BR190" s="65"/>
      <c r="BS190" s="29" t="str">
        <f t="shared" si="144"/>
        <v/>
      </c>
      <c r="BT190" s="29">
        <f t="shared" si="137"/>
        <v>100</v>
      </c>
      <c r="BU190" s="29">
        <f t="shared" si="138"/>
        <v>100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100</v>
      </c>
      <c r="BM191" s="29">
        <v>100</v>
      </c>
      <c r="BO191" s="29" t="str">
        <f t="shared" si="136"/>
        <v/>
      </c>
      <c r="BP191" s="29">
        <f t="shared" si="125"/>
        <v>100</v>
      </c>
      <c r="BQ191" s="29">
        <f t="shared" si="126"/>
        <v>100</v>
      </c>
      <c r="BR191" s="65"/>
      <c r="BS191" s="29" t="str">
        <f t="shared" si="144"/>
        <v/>
      </c>
      <c r="BT191" s="29">
        <f t="shared" si="137"/>
        <v>100</v>
      </c>
      <c r="BU191" s="29">
        <f t="shared" si="138"/>
        <v>100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100</v>
      </c>
      <c r="BM192" s="29">
        <v>677</v>
      </c>
      <c r="BO192" s="29" t="str">
        <f t="shared" si="136"/>
        <v/>
      </c>
      <c r="BP192" s="29">
        <f t="shared" si="125"/>
        <v>100</v>
      </c>
      <c r="BQ192" s="29">
        <f t="shared" si="126"/>
        <v>100</v>
      </c>
      <c r="BR192" s="65"/>
      <c r="BS192" s="29" t="str">
        <f t="shared" si="144"/>
        <v/>
      </c>
      <c r="BT192" s="29">
        <f t="shared" si="137"/>
        <v>100</v>
      </c>
      <c r="BU192" s="29">
        <f t="shared" si="138"/>
        <v>100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100</v>
      </c>
      <c r="BM193" s="29">
        <v>564</v>
      </c>
      <c r="BO193" s="29" t="str">
        <f t="shared" si="136"/>
        <v/>
      </c>
      <c r="BP193" s="29">
        <f t="shared" si="125"/>
        <v>100</v>
      </c>
      <c r="BQ193" s="29">
        <f t="shared" si="126"/>
        <v>677</v>
      </c>
      <c r="BR193" s="65"/>
      <c r="BS193" s="29" t="str">
        <f t="shared" si="144"/>
        <v/>
      </c>
      <c r="BT193" s="29">
        <f t="shared" si="137"/>
        <v>100</v>
      </c>
      <c r="BU193" s="29">
        <f t="shared" si="138"/>
        <v>100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100</v>
      </c>
      <c r="BM194" s="29">
        <v>451</v>
      </c>
      <c r="BO194" s="29" t="str">
        <f t="shared" si="136"/>
        <v/>
      </c>
      <c r="BP194" s="29">
        <f t="shared" si="125"/>
        <v>100</v>
      </c>
      <c r="BQ194" s="29">
        <f t="shared" si="126"/>
        <v>564</v>
      </c>
      <c r="BR194" s="65"/>
      <c r="BS194" s="29" t="str">
        <f t="shared" si="144"/>
        <v/>
      </c>
      <c r="BT194" s="29">
        <f t="shared" si="137"/>
        <v>100</v>
      </c>
      <c r="BU194" s="29">
        <f t="shared" si="138"/>
        <v>677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100</v>
      </c>
      <c r="BM195" s="29">
        <v>564</v>
      </c>
      <c r="BO195" s="29" t="str">
        <f t="shared" si="136"/>
        <v/>
      </c>
      <c r="BP195" s="29">
        <f t="shared" si="125"/>
        <v>100</v>
      </c>
      <c r="BQ195" s="29">
        <f t="shared" si="126"/>
        <v>451</v>
      </c>
      <c r="BR195" s="65"/>
      <c r="BS195" s="29" t="str">
        <f t="shared" si="144"/>
        <v/>
      </c>
      <c r="BT195" s="29">
        <f t="shared" si="137"/>
        <v>100</v>
      </c>
      <c r="BU195" s="29">
        <f t="shared" si="138"/>
        <v>564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100</v>
      </c>
      <c r="BM196" s="29">
        <v>677</v>
      </c>
      <c r="BO196" s="29" t="str">
        <f t="shared" si="136"/>
        <v/>
      </c>
      <c r="BP196" s="29">
        <f t="shared" ref="BP196:BP211" si="152">IF(BL195="","",BL195)</f>
        <v>100</v>
      </c>
      <c r="BQ196" s="29">
        <f t="shared" ref="BQ196:BQ211" si="153">IF(BM195="","",BM195)</f>
        <v>564</v>
      </c>
      <c r="BR196" s="65"/>
      <c r="BS196" s="29" t="str">
        <f t="shared" si="144"/>
        <v/>
      </c>
      <c r="BT196" s="29">
        <f t="shared" si="137"/>
        <v>100</v>
      </c>
      <c r="BU196" s="29">
        <f t="shared" si="138"/>
        <v>451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100</v>
      </c>
      <c r="BM197" s="29">
        <v>100</v>
      </c>
      <c r="BO197" s="29" t="str">
        <f t="shared" ref="BO197:BO211" si="163">IF(BK196="","",BK196)</f>
        <v/>
      </c>
      <c r="BP197" s="29">
        <f t="shared" si="152"/>
        <v>100</v>
      </c>
      <c r="BQ197" s="29">
        <f t="shared" si="153"/>
        <v>677</v>
      </c>
      <c r="BR197" s="65"/>
      <c r="BS197" s="29" t="str">
        <f t="shared" si="144"/>
        <v/>
      </c>
      <c r="BT197" s="29">
        <f t="shared" ref="BT197:BT211" si="164">IF(BL195="","",BL195)</f>
        <v>100</v>
      </c>
      <c r="BU197" s="29">
        <f t="shared" ref="BU197:BU211" si="165">IF(BM195="","",BM195)</f>
        <v>564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100</v>
      </c>
      <c r="BM198" s="29">
        <v>677</v>
      </c>
      <c r="BO198" s="29" t="str">
        <f t="shared" si="163"/>
        <v/>
      </c>
      <c r="BP198" s="29">
        <f t="shared" si="152"/>
        <v>100</v>
      </c>
      <c r="BQ198" s="29">
        <f t="shared" si="153"/>
        <v>100</v>
      </c>
      <c r="BR198" s="65"/>
      <c r="BS198" s="29" t="str">
        <f t="shared" ref="BS198:BS211" si="171">IF(BK196="","",BK196)</f>
        <v/>
      </c>
      <c r="BT198" s="29">
        <f t="shared" si="164"/>
        <v>100</v>
      </c>
      <c r="BU198" s="29">
        <f t="shared" si="165"/>
        <v>677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100</v>
      </c>
      <c r="BM199" s="29">
        <v>564</v>
      </c>
      <c r="BO199" s="29" t="str">
        <f t="shared" si="163"/>
        <v/>
      </c>
      <c r="BP199" s="29">
        <f t="shared" si="152"/>
        <v>100</v>
      </c>
      <c r="BQ199" s="29">
        <f t="shared" si="153"/>
        <v>677</v>
      </c>
      <c r="BR199" s="65"/>
      <c r="BS199" s="29" t="str">
        <f t="shared" si="171"/>
        <v/>
      </c>
      <c r="BT199" s="29">
        <f t="shared" si="164"/>
        <v>100</v>
      </c>
      <c r="BU199" s="29">
        <f t="shared" si="165"/>
        <v>100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100</v>
      </c>
      <c r="BM200" s="29">
        <v>451</v>
      </c>
      <c r="BO200" s="29" t="str">
        <f t="shared" si="163"/>
        <v/>
      </c>
      <c r="BP200" s="29">
        <f t="shared" si="152"/>
        <v>100</v>
      </c>
      <c r="BQ200" s="29">
        <f t="shared" si="153"/>
        <v>564</v>
      </c>
      <c r="BR200" s="65"/>
      <c r="BS200" s="29" t="str">
        <f t="shared" si="171"/>
        <v/>
      </c>
      <c r="BT200" s="29">
        <f t="shared" si="164"/>
        <v>100</v>
      </c>
      <c r="BU200" s="29">
        <f t="shared" si="165"/>
        <v>677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701</v>
      </c>
      <c r="BM201" s="29">
        <v>564</v>
      </c>
      <c r="BO201" s="29" t="str">
        <f t="shared" si="163"/>
        <v/>
      </c>
      <c r="BP201" s="29">
        <f t="shared" si="152"/>
        <v>100</v>
      </c>
      <c r="BQ201" s="29">
        <f t="shared" si="153"/>
        <v>451</v>
      </c>
      <c r="BR201" s="65"/>
      <c r="BS201" s="29" t="str">
        <f t="shared" si="171"/>
        <v/>
      </c>
      <c r="BT201" s="29">
        <f t="shared" si="164"/>
        <v>100</v>
      </c>
      <c r="BU201" s="29">
        <f t="shared" si="165"/>
        <v>564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584</v>
      </c>
      <c r="BM202" s="29">
        <v>677</v>
      </c>
      <c r="BO202" s="29" t="str">
        <f t="shared" si="163"/>
        <v/>
      </c>
      <c r="BP202" s="29">
        <f t="shared" si="152"/>
        <v>701</v>
      </c>
      <c r="BQ202" s="29">
        <f t="shared" si="153"/>
        <v>564</v>
      </c>
      <c r="BR202" s="65"/>
      <c r="BS202" s="29" t="str">
        <f t="shared" si="171"/>
        <v/>
      </c>
      <c r="BT202" s="29">
        <f t="shared" si="164"/>
        <v>100</v>
      </c>
      <c r="BU202" s="29">
        <f t="shared" si="165"/>
        <v>451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467</v>
      </c>
      <c r="BM203" s="29">
        <v>100</v>
      </c>
      <c r="BO203" s="29" t="str">
        <f t="shared" si="163"/>
        <v/>
      </c>
      <c r="BP203" s="29">
        <f t="shared" si="152"/>
        <v>584</v>
      </c>
      <c r="BQ203" s="29">
        <f t="shared" si="153"/>
        <v>677</v>
      </c>
      <c r="BR203" s="65"/>
      <c r="BS203" s="29" t="str">
        <f t="shared" si="171"/>
        <v/>
      </c>
      <c r="BT203" s="29">
        <f t="shared" si="164"/>
        <v>701</v>
      </c>
      <c r="BU203" s="29">
        <f t="shared" si="165"/>
        <v>564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584</v>
      </c>
      <c r="BM204" s="29">
        <v>100</v>
      </c>
      <c r="BO204" s="29" t="str">
        <f t="shared" si="163"/>
        <v/>
      </c>
      <c r="BP204" s="29">
        <f t="shared" si="152"/>
        <v>467</v>
      </c>
      <c r="BQ204" s="29">
        <f t="shared" si="153"/>
        <v>100</v>
      </c>
      <c r="BR204" s="65"/>
      <c r="BS204" s="29" t="str">
        <f t="shared" si="171"/>
        <v/>
      </c>
      <c r="BT204" s="29">
        <f t="shared" si="164"/>
        <v>584</v>
      </c>
      <c r="BU204" s="29">
        <f t="shared" si="165"/>
        <v>677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701</v>
      </c>
      <c r="BM205" s="29">
        <v>100</v>
      </c>
      <c r="BO205" s="29" t="str">
        <f t="shared" si="163"/>
        <v/>
      </c>
      <c r="BP205" s="29">
        <f t="shared" si="152"/>
        <v>584</v>
      </c>
      <c r="BQ205" s="29">
        <f t="shared" si="153"/>
        <v>100</v>
      </c>
      <c r="BR205" s="65"/>
      <c r="BS205" s="29" t="str">
        <f t="shared" si="171"/>
        <v/>
      </c>
      <c r="BT205" s="29">
        <f t="shared" si="164"/>
        <v>467</v>
      </c>
      <c r="BU205" s="29">
        <f t="shared" si="165"/>
        <v>100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100</v>
      </c>
      <c r="BM206" s="29"/>
      <c r="BO206" s="29" t="str">
        <f t="shared" si="163"/>
        <v/>
      </c>
      <c r="BP206" s="29">
        <f t="shared" si="152"/>
        <v>701</v>
      </c>
      <c r="BQ206" s="29">
        <f t="shared" si="153"/>
        <v>100</v>
      </c>
      <c r="BR206" s="65"/>
      <c r="BS206" s="29" t="str">
        <f t="shared" si="171"/>
        <v/>
      </c>
      <c r="BT206" s="29">
        <f t="shared" si="164"/>
        <v>584</v>
      </c>
      <c r="BU206" s="29">
        <f t="shared" si="165"/>
        <v>100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100</v>
      </c>
      <c r="BM207" s="29"/>
      <c r="BO207" s="29" t="str">
        <f t="shared" si="163"/>
        <v/>
      </c>
      <c r="BP207" s="29">
        <f t="shared" si="152"/>
        <v>100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701</v>
      </c>
      <c r="BU207" s="29">
        <f t="shared" si="165"/>
        <v>100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100</v>
      </c>
      <c r="BM208" s="29"/>
      <c r="BO208" s="29" t="str">
        <f t="shared" si="163"/>
        <v/>
      </c>
      <c r="BP208" s="29">
        <f t="shared" si="152"/>
        <v>100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100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100</v>
      </c>
      <c r="BM209" s="29"/>
      <c r="BO209" s="29" t="str">
        <f t="shared" si="163"/>
        <v/>
      </c>
      <c r="BP209" s="29">
        <f t="shared" si="152"/>
        <v>100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100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701</v>
      </c>
      <c r="BM210" s="29"/>
      <c r="BO210" s="29" t="str">
        <f t="shared" si="163"/>
        <v/>
      </c>
      <c r="BP210" s="29">
        <f t="shared" si="152"/>
        <v>100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100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584</v>
      </c>
      <c r="BM211" s="29"/>
      <c r="BO211" s="29" t="str">
        <f t="shared" si="163"/>
        <v/>
      </c>
      <c r="BP211" s="29">
        <f t="shared" si="152"/>
        <v>701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100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53:F53"/>
    <mergeCell ref="H53:M53"/>
    <mergeCell ref="O53:T53"/>
    <mergeCell ref="A79:F79"/>
    <mergeCell ref="H79:M79"/>
    <mergeCell ref="O79:T79"/>
    <mergeCell ref="A1:F1"/>
    <mergeCell ref="H1:M1"/>
    <mergeCell ref="O1:T1"/>
    <mergeCell ref="A27:F27"/>
    <mergeCell ref="H27:M27"/>
    <mergeCell ref="O27:T27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22" t="s">
        <v>113</v>
      </c>
      <c r="B1" s="322"/>
      <c r="C1" s="322"/>
      <c r="D1" s="322"/>
      <c r="E1" s="322"/>
      <c r="F1" s="1"/>
      <c r="G1" s="323" t="s">
        <v>114</v>
      </c>
      <c r="H1" s="323"/>
      <c r="I1" s="323"/>
      <c r="J1" s="323"/>
      <c r="K1" s="323"/>
      <c r="L1" s="1"/>
      <c r="M1" s="324" t="s">
        <v>115</v>
      </c>
      <c r="N1" s="324"/>
      <c r="O1" s="324"/>
      <c r="P1" s="324"/>
      <c r="Q1" s="324"/>
      <c r="R1" s="60"/>
      <c r="S1" s="325" t="s">
        <v>129</v>
      </c>
      <c r="T1" s="325"/>
      <c r="U1" s="325"/>
      <c r="V1" s="325"/>
      <c r="W1" s="325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8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7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7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5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3"/>
      <c r="AI3" s="27">
        <v>0</v>
      </c>
      <c r="AJ3" s="131">
        <v>500</v>
      </c>
      <c r="AK3" s="131" t="s">
        <v>106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3"/>
      <c r="AS3" s="27">
        <v>0</v>
      </c>
      <c r="AT3" s="131">
        <v>500</v>
      </c>
      <c r="AU3" s="131" t="s">
        <v>106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31">
        <v>500</v>
      </c>
      <c r="BE3" s="131" t="s">
        <v>106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7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7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5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31">
        <v>100</v>
      </c>
      <c r="BE4" s="131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>
      <c r="A5" s="78">
        <v>3</v>
      </c>
      <c r="B5" s="107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7"/>
      <c r="G5" s="78">
        <v>3</v>
      </c>
      <c r="H5" s="107">
        <v>3</v>
      </c>
      <c r="I5" s="79">
        <f t="shared" si="3"/>
        <v>11</v>
      </c>
      <c r="J5" s="70">
        <f t="shared" si="4"/>
        <v>4</v>
      </c>
      <c r="K5" s="58">
        <v>10</v>
      </c>
      <c r="L5" s="107"/>
      <c r="M5" s="78">
        <v>3</v>
      </c>
      <c r="N5" s="107">
        <v>3</v>
      </c>
      <c r="O5" s="79">
        <f t="shared" si="5"/>
        <v>0</v>
      </c>
      <c r="P5" s="70">
        <f t="shared" si="6"/>
        <v>0</v>
      </c>
      <c r="Q5" s="58">
        <v>10</v>
      </c>
      <c r="R5" s="155"/>
      <c r="S5" s="78">
        <v>3</v>
      </c>
      <c r="T5" s="155">
        <v>3</v>
      </c>
      <c r="U5" s="79">
        <f t="shared" si="7"/>
        <v>11</v>
      </c>
      <c r="V5" s="70">
        <f t="shared" si="8"/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3"/>
      <c r="AI5" s="27">
        <v>2</v>
      </c>
      <c r="AJ5" s="131">
        <v>50</v>
      </c>
      <c r="AK5" s="131" t="s">
        <v>104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3"/>
      <c r="AS5" s="27">
        <v>2</v>
      </c>
      <c r="AT5" s="131">
        <v>50</v>
      </c>
      <c r="AU5" s="131" t="s">
        <v>104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31">
        <v>50</v>
      </c>
      <c r="BE5" s="131" t="s">
        <v>104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7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7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5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31">
        <v>10</v>
      </c>
      <c r="BE6" s="131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7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7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5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3"/>
      <c r="AI7" s="27">
        <v>4</v>
      </c>
      <c r="AJ7" s="131">
        <v>15</v>
      </c>
      <c r="AK7" s="131" t="s">
        <v>101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3"/>
      <c r="AS7" s="27">
        <v>4</v>
      </c>
      <c r="AT7" s="131">
        <v>15</v>
      </c>
      <c r="AU7" s="131" t="s">
        <v>101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31">
        <v>15</v>
      </c>
      <c r="BE7" s="131" t="s">
        <v>101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7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7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5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31">
        <v>25</v>
      </c>
      <c r="BE8" s="131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7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7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5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3"/>
      <c r="AI9" s="27">
        <v>6</v>
      </c>
      <c r="AJ9" s="131">
        <v>20</v>
      </c>
      <c r="AK9" s="131" t="s">
        <v>102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3"/>
      <c r="AS9" s="27">
        <v>6</v>
      </c>
      <c r="AT9" s="131">
        <v>20</v>
      </c>
      <c r="AU9" s="131" t="s">
        <v>102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31">
        <v>20</v>
      </c>
      <c r="BE9" s="131" t="s">
        <v>102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7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7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5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31">
        <v>5</v>
      </c>
      <c r="BE10" s="131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7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7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5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3"/>
      <c r="AI11" s="27">
        <v>8</v>
      </c>
      <c r="AJ11" s="131">
        <v>3</v>
      </c>
      <c r="AK11" s="131" t="s">
        <v>98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3"/>
      <c r="AS11" s="27">
        <v>8</v>
      </c>
      <c r="AT11" s="131">
        <v>10</v>
      </c>
      <c r="AU11" s="131" t="s">
        <v>251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31">
        <v>3</v>
      </c>
      <c r="BE11" s="131" t="s">
        <v>98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7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7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5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31" t="s">
        <v>132</v>
      </c>
      <c r="BE12" s="131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7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7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5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3"/>
      <c r="AI13" s="27">
        <v>10</v>
      </c>
      <c r="AJ13" s="131">
        <v>2</v>
      </c>
      <c r="AK13" s="131" t="s">
        <v>97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3"/>
      <c r="AS13" s="27">
        <v>10</v>
      </c>
      <c r="AT13" s="131">
        <v>10</v>
      </c>
      <c r="AU13" s="131" t="s">
        <v>251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31">
        <v>2</v>
      </c>
      <c r="BE13" s="131" t="s">
        <v>97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>
      <c r="A14" s="73" t="s">
        <v>133</v>
      </c>
      <c r="B14" s="59" t="s">
        <v>112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7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7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5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31">
        <v>2</v>
      </c>
      <c r="BE14" s="131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>
      <c r="A15" s="75" t="s">
        <v>96</v>
      </c>
      <c r="B15" s="57" t="s">
        <v>96</v>
      </c>
      <c r="C15" s="76">
        <f t="shared" si="0"/>
        <v>0</v>
      </c>
      <c r="D15" s="77">
        <f t="shared" si="1"/>
        <v>4</v>
      </c>
      <c r="E15" s="132">
        <f t="shared" si="2"/>
        <v>20</v>
      </c>
      <c r="F15" s="107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32">
        <v>20</v>
      </c>
      <c r="L15" s="107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32">
        <v>20</v>
      </c>
      <c r="R15" s="155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3"/>
      <c r="AI15" s="27">
        <v>12</v>
      </c>
      <c r="AJ15" s="131">
        <v>5</v>
      </c>
      <c r="AK15" s="131" t="s">
        <v>99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3"/>
      <c r="AS15" s="27">
        <v>12</v>
      </c>
      <c r="AT15" s="131">
        <v>20</v>
      </c>
      <c r="AU15" s="131" t="s">
        <v>125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31">
        <v>5</v>
      </c>
      <c r="BE15" s="131" t="s">
        <v>99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>
      <c r="A16" s="78" t="s">
        <v>97</v>
      </c>
      <c r="B16" s="58" t="s">
        <v>97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7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7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5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31">
        <v>10</v>
      </c>
      <c r="BE16" s="131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>
      <c r="A17" s="78" t="s">
        <v>98</v>
      </c>
      <c r="B17" s="107" t="s">
        <v>98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7"/>
      <c r="G17" s="78" t="str">
        <v>G3</v>
      </c>
      <c r="H17" s="107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7"/>
      <c r="M17" s="78" t="str">
        <v>G3</v>
      </c>
      <c r="N17" s="107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5"/>
      <c r="S17" s="78" t="str">
        <v>G3</v>
      </c>
      <c r="T17" s="155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3"/>
      <c r="AI17" s="27">
        <v>14</v>
      </c>
      <c r="AJ17" s="131">
        <v>15</v>
      </c>
      <c r="AK17" s="131" t="s">
        <v>101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3"/>
      <c r="AS17" s="27">
        <v>14</v>
      </c>
      <c r="AT17" s="131">
        <v>15</v>
      </c>
      <c r="AU17" s="131" t="s">
        <v>101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31">
        <v>15</v>
      </c>
      <c r="BE17" s="131" t="s">
        <v>101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>
      <c r="A18" s="78" t="s">
        <v>99</v>
      </c>
      <c r="B18" s="58" t="s">
        <v>99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7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7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5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31">
        <v>20</v>
      </c>
      <c r="BE18" s="131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>
      <c r="A19" s="78" t="s">
        <v>100</v>
      </c>
      <c r="B19" s="58" t="s">
        <v>100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7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7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5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3"/>
      <c r="AI19" s="27">
        <v>16</v>
      </c>
      <c r="AJ19" s="131">
        <v>25</v>
      </c>
      <c r="AK19" s="131" t="s">
        <v>103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3"/>
      <c r="AS19" s="27">
        <v>16</v>
      </c>
      <c r="AT19" s="131">
        <v>25</v>
      </c>
      <c r="AU19" s="131" t="s">
        <v>103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31">
        <v>25</v>
      </c>
      <c r="BE19" s="131" t="s">
        <v>103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>
      <c r="A20" s="78" t="s">
        <v>101</v>
      </c>
      <c r="B20" s="58" t="s">
        <v>101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7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7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5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31">
        <v>50</v>
      </c>
      <c r="BE20" s="131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>
      <c r="A21" s="78" t="s">
        <v>102</v>
      </c>
      <c r="B21" s="58" t="s">
        <v>102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7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7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5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3"/>
      <c r="AI21" s="27">
        <v>18</v>
      </c>
      <c r="AJ21" s="131">
        <v>100</v>
      </c>
      <c r="AK21" s="131" t="s">
        <v>105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3"/>
      <c r="AS21" s="27">
        <v>18</v>
      </c>
      <c r="AT21" s="131">
        <v>100</v>
      </c>
      <c r="AU21" s="131" t="s">
        <v>105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31">
        <v>100</v>
      </c>
      <c r="BE21" s="131" t="s">
        <v>105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>
      <c r="A22" s="78" t="s">
        <v>103</v>
      </c>
      <c r="B22" s="58" t="s">
        <v>103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7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7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5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31">
        <v>15</v>
      </c>
      <c r="BE22" s="131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>
      <c r="A23" s="78" t="s">
        <v>104</v>
      </c>
      <c r="B23" s="58" t="s">
        <v>104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7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7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5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3"/>
      <c r="AI23" s="27">
        <v>20</v>
      </c>
      <c r="AJ23" s="131">
        <v>10</v>
      </c>
      <c r="AK23" s="131" t="s">
        <v>100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3"/>
      <c r="AS23" s="27">
        <v>20</v>
      </c>
      <c r="AT23" s="131">
        <v>10</v>
      </c>
      <c r="AU23" s="131" t="s">
        <v>100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31">
        <v>10</v>
      </c>
      <c r="BE23" s="131" t="s">
        <v>100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>
      <c r="A24" s="78" t="s">
        <v>105</v>
      </c>
      <c r="B24" s="58" t="s">
        <v>105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7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7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5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31">
        <v>50</v>
      </c>
      <c r="BE24" s="131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>
      <c r="A25" s="73" t="s">
        <v>106</v>
      </c>
      <c r="B25" s="59" t="s">
        <v>106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7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7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5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31">
        <v>25</v>
      </c>
      <c r="BE25" s="131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>
      <c r="A26" s="60" t="s">
        <v>10</v>
      </c>
      <c r="B26" s="107"/>
      <c r="C26" s="107">
        <f>SUM(C3:C25)</f>
        <v>85</v>
      </c>
      <c r="D26" s="107">
        <f t="shared" ref="D26" si="17">SUM(D3:D25)</f>
        <v>85</v>
      </c>
      <c r="E26" s="107"/>
      <c r="F26" s="107"/>
      <c r="G26" s="60" t="s">
        <v>10</v>
      </c>
      <c r="H26" s="107"/>
      <c r="I26" s="107">
        <f>SUM(I3:I25)</f>
        <v>85</v>
      </c>
      <c r="J26" s="107">
        <f t="shared" ref="J26" si="18">SUM(J3:J25)</f>
        <v>85</v>
      </c>
      <c r="K26" s="107"/>
      <c r="L26" s="107"/>
      <c r="M26" s="60" t="s">
        <v>10</v>
      </c>
      <c r="N26" s="107"/>
      <c r="O26" s="107">
        <f>SUM(O3:O25)</f>
        <v>85</v>
      </c>
      <c r="P26" s="107">
        <f t="shared" ref="P26" si="19">SUM(P3:P25)</f>
        <v>85</v>
      </c>
      <c r="Q26" s="107"/>
      <c r="R26" s="155"/>
      <c r="S26" s="60" t="s">
        <v>10</v>
      </c>
      <c r="T26" s="155"/>
      <c r="U26" s="155">
        <f>SUM(U3:U25)</f>
        <v>85</v>
      </c>
      <c r="V26" s="155">
        <f t="shared" ref="V26" si="20">SUM(V3:V25)</f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31">
        <v>20</v>
      </c>
      <c r="BE26" s="131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3"/>
      <c r="AI27" s="27">
        <v>24</v>
      </c>
      <c r="AJ27" s="131">
        <v>5</v>
      </c>
      <c r="AK27" s="131" t="s">
        <v>99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3"/>
      <c r="AS27" s="27">
        <v>24</v>
      </c>
      <c r="AT27" s="131">
        <v>15</v>
      </c>
      <c r="AU27" s="131" t="s">
        <v>126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31">
        <v>5</v>
      </c>
      <c r="BE27" s="131" t="s">
        <v>99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31">
        <v>2</v>
      </c>
      <c r="BE28" s="131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31" t="s">
        <v>132</v>
      </c>
      <c r="BE29" s="131" t="s">
        <v>98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31">
        <v>2</v>
      </c>
      <c r="BE30" s="131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3"/>
      <c r="AI31" s="27">
        <v>28</v>
      </c>
      <c r="AJ31" s="131">
        <v>3</v>
      </c>
      <c r="AK31" s="131" t="s">
        <v>98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3"/>
      <c r="AS31" s="27">
        <v>28</v>
      </c>
      <c r="AT31" s="131">
        <v>15</v>
      </c>
      <c r="AU31" s="131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31">
        <v>3</v>
      </c>
      <c r="BE31" s="131" t="s">
        <v>98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31">
        <v>5</v>
      </c>
      <c r="BE32" s="131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3"/>
      <c r="AI33" s="27">
        <v>30</v>
      </c>
      <c r="AJ33" s="131">
        <v>10</v>
      </c>
      <c r="AK33" s="131" t="s">
        <v>100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3"/>
      <c r="AS33" s="27">
        <v>30</v>
      </c>
      <c r="AT33" s="131">
        <v>10</v>
      </c>
      <c r="AU33" s="131" t="s">
        <v>100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31">
        <v>10</v>
      </c>
      <c r="BE33" s="131" t="s">
        <v>100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31">
        <v>15</v>
      </c>
      <c r="BE34" s="131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3"/>
      <c r="AI35" s="27">
        <v>32</v>
      </c>
      <c r="AJ35" s="131">
        <v>20</v>
      </c>
      <c r="AK35" s="131" t="s">
        <v>102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3"/>
      <c r="AS35" s="27">
        <v>32</v>
      </c>
      <c r="AT35" s="131">
        <v>20</v>
      </c>
      <c r="AU35" s="131" t="s">
        <v>102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31">
        <v>20</v>
      </c>
      <c r="BE35" s="131" t="s">
        <v>102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31">
        <v>25</v>
      </c>
      <c r="BE36" s="131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3"/>
      <c r="AI37" s="27">
        <v>34</v>
      </c>
      <c r="AJ37" s="131">
        <v>50</v>
      </c>
      <c r="AK37" s="131" t="s">
        <v>104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3"/>
      <c r="AS37" s="27">
        <v>34</v>
      </c>
      <c r="AT37" s="131">
        <v>50</v>
      </c>
      <c r="AU37" s="131" t="s">
        <v>104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31">
        <v>50</v>
      </c>
      <c r="BE37" s="131" t="s">
        <v>104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31">
        <v>500</v>
      </c>
      <c r="BE38" s="131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31">
        <v>100</v>
      </c>
      <c r="BE39" s="131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31">
        <v>2</v>
      </c>
      <c r="BE40" s="131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3"/>
      <c r="AI41" s="27">
        <v>38</v>
      </c>
      <c r="AJ41" s="131">
        <v>3</v>
      </c>
      <c r="AK41" s="131" t="s">
        <v>107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3"/>
      <c r="AS41" s="27">
        <v>38</v>
      </c>
      <c r="AT41" s="131">
        <v>20</v>
      </c>
      <c r="AU41" s="131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31">
        <v>3</v>
      </c>
      <c r="BE41" s="131" t="s">
        <v>98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31">
        <v>3</v>
      </c>
      <c r="BE42" s="131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31">
        <v>2</v>
      </c>
      <c r="BE43" s="131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31">
        <v>20</v>
      </c>
      <c r="BE44" s="131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3"/>
      <c r="AI45" s="27">
        <v>42</v>
      </c>
      <c r="AJ45" s="131">
        <v>15</v>
      </c>
      <c r="AK45" s="131" t="s">
        <v>101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3"/>
      <c r="AS45" s="27">
        <v>42</v>
      </c>
      <c r="AT45" s="131">
        <v>15</v>
      </c>
      <c r="AU45" s="131" t="s">
        <v>101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31">
        <v>15</v>
      </c>
      <c r="BE45" s="131" t="s">
        <v>101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31">
        <v>5</v>
      </c>
      <c r="BE46" s="131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3"/>
      <c r="AI47" s="27">
        <v>44</v>
      </c>
      <c r="AJ47" s="131">
        <v>2</v>
      </c>
      <c r="AK47" s="131" t="s">
        <v>124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3"/>
      <c r="AS47" s="27">
        <v>44</v>
      </c>
      <c r="AT47" s="131">
        <v>10</v>
      </c>
      <c r="AU47" s="131" t="s">
        <v>251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31">
        <v>2</v>
      </c>
      <c r="BE47" s="131" t="s">
        <v>97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31" t="s">
        <v>132</v>
      </c>
      <c r="BE48" s="131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3"/>
      <c r="AI49" s="27">
        <v>46</v>
      </c>
      <c r="AJ49" s="131">
        <v>2</v>
      </c>
      <c r="AK49" s="131" t="s">
        <v>97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3"/>
      <c r="AS49" s="27">
        <v>46</v>
      </c>
      <c r="AT49" s="131">
        <v>15</v>
      </c>
      <c r="AU49" s="131" t="s">
        <v>126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31">
        <v>2</v>
      </c>
      <c r="BE49" s="131" t="s">
        <v>97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31">
        <v>3</v>
      </c>
      <c r="BE50" s="131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3"/>
      <c r="AI51" s="27">
        <v>48</v>
      </c>
      <c r="AJ51" s="131">
        <v>5</v>
      </c>
      <c r="AK51" s="131" t="s">
        <v>99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3"/>
      <c r="AS51" s="27">
        <v>48</v>
      </c>
      <c r="AT51" s="131">
        <v>25</v>
      </c>
      <c r="AU51" s="131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31">
        <v>5</v>
      </c>
      <c r="BE51" s="131" t="s">
        <v>99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31">
        <v>10</v>
      </c>
      <c r="BE52" s="131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3"/>
      <c r="AI53" s="27">
        <v>50</v>
      </c>
      <c r="AJ53" s="131">
        <v>15</v>
      </c>
      <c r="AK53" s="131" t="s">
        <v>101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3"/>
      <c r="AS53" s="27">
        <v>50</v>
      </c>
      <c r="AT53" s="131">
        <v>15</v>
      </c>
      <c r="AU53" s="131" t="s">
        <v>101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31">
        <v>15</v>
      </c>
      <c r="BE53" s="131" t="s">
        <v>101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31">
        <v>20</v>
      </c>
      <c r="BE54" s="131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3"/>
      <c r="AI55" s="27">
        <v>52</v>
      </c>
      <c r="AJ55" s="131">
        <v>25</v>
      </c>
      <c r="AK55" s="131" t="s">
        <v>103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3"/>
      <c r="AS55" s="27">
        <v>52</v>
      </c>
      <c r="AT55" s="131">
        <v>25</v>
      </c>
      <c r="AU55" s="131" t="s">
        <v>103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31">
        <v>25</v>
      </c>
      <c r="BE55" s="131" t="s">
        <v>103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31">
        <v>50</v>
      </c>
      <c r="BE56" s="131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31">
        <v>100</v>
      </c>
      <c r="BE57" s="131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31">
        <v>500</v>
      </c>
      <c r="BE58" s="131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3"/>
      <c r="AI59" s="27">
        <v>56</v>
      </c>
      <c r="AJ59" s="131">
        <v>3</v>
      </c>
      <c r="AK59" s="131" t="s">
        <v>98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3"/>
      <c r="AS59" s="27">
        <v>56</v>
      </c>
      <c r="AT59" s="131">
        <v>25</v>
      </c>
      <c r="AU59" s="131" t="s">
        <v>252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31">
        <v>3</v>
      </c>
      <c r="BE59" s="131" t="s">
        <v>98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31">
        <v>2</v>
      </c>
      <c r="BE60" s="131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3"/>
      <c r="AI61" s="27">
        <v>58</v>
      </c>
      <c r="AJ61" s="131">
        <v>3</v>
      </c>
      <c r="AK61" s="131" t="s">
        <v>98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3"/>
      <c r="AS61" s="27">
        <v>58</v>
      </c>
      <c r="AT61" s="131">
        <v>10</v>
      </c>
      <c r="AU61" s="131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31">
        <v>3</v>
      </c>
      <c r="BE61" s="131" t="s">
        <v>98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31">
        <v>3</v>
      </c>
      <c r="BE62" s="131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3"/>
      <c r="AI65" s="27">
        <v>62</v>
      </c>
      <c r="AJ65" s="8">
        <v>15</v>
      </c>
      <c r="AK65" s="8" t="s">
        <v>101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3"/>
      <c r="AS65" s="27">
        <v>62</v>
      </c>
      <c r="AT65" s="8">
        <v>15</v>
      </c>
      <c r="AU65" s="8" t="s">
        <v>101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101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3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3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3"/>
      <c r="AI67" s="27">
        <v>64</v>
      </c>
      <c r="AJ67" s="8">
        <v>3</v>
      </c>
      <c r="AK67" s="8" t="s">
        <v>98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3"/>
      <c r="AS67" s="27">
        <v>64</v>
      </c>
      <c r="AT67" s="8">
        <v>10</v>
      </c>
      <c r="AU67" s="8" t="s">
        <v>251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98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3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3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3"/>
      <c r="AI69" s="27">
        <v>66</v>
      </c>
      <c r="AJ69" s="8" t="s">
        <v>132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3"/>
      <c r="AS69" s="27">
        <v>66</v>
      </c>
      <c r="AT69" s="8" t="s">
        <v>132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132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3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3"/>
      <c r="AS70" s="27">
        <v>67</v>
      </c>
      <c r="AT70" s="8">
        <v>10</v>
      </c>
      <c r="AU70" s="8" t="s">
        <v>251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3"/>
      <c r="AI71" s="27">
        <v>68</v>
      </c>
      <c r="AJ71" s="8">
        <v>5</v>
      </c>
      <c r="AK71" s="8" t="s">
        <v>99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3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99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3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3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3"/>
      <c r="AI73" s="27">
        <v>70</v>
      </c>
      <c r="AJ73" s="8">
        <v>15</v>
      </c>
      <c r="AK73" s="8" t="s">
        <v>101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3"/>
      <c r="AS73" s="27">
        <v>70</v>
      </c>
      <c r="AT73" s="8">
        <v>15</v>
      </c>
      <c r="AU73" s="8" t="s">
        <v>101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101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3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3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3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3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3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3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3"/>
      <c r="AI77" s="27">
        <v>74</v>
      </c>
      <c r="AJ77" s="8">
        <v>3</v>
      </c>
      <c r="AK77" s="8" t="s">
        <v>98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3"/>
      <c r="AS77" s="27">
        <v>74</v>
      </c>
      <c r="AT77" s="8">
        <v>15</v>
      </c>
      <c r="AU77" s="8" t="s">
        <v>126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98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3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3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3"/>
      <c r="AI79" s="27">
        <v>76</v>
      </c>
      <c r="AJ79" s="8">
        <v>15</v>
      </c>
      <c r="AK79" s="8" t="s">
        <v>126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3"/>
      <c r="AS79" s="27">
        <v>76</v>
      </c>
      <c r="AT79" s="8">
        <v>15</v>
      </c>
      <c r="AU79" s="8" t="s">
        <v>101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101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3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3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3"/>
      <c r="AI81" s="27">
        <v>78</v>
      </c>
      <c r="AJ81" s="8">
        <v>25</v>
      </c>
      <c r="AK81" s="8" t="s">
        <v>103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3"/>
      <c r="AS81" s="27">
        <v>78</v>
      </c>
      <c r="AT81" s="8">
        <v>25</v>
      </c>
      <c r="AU81" s="8" t="s">
        <v>103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103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3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3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3"/>
      <c r="AI83" s="27">
        <v>80</v>
      </c>
      <c r="AJ83" s="8">
        <v>2</v>
      </c>
      <c r="AK83" s="8" t="s">
        <v>97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3"/>
      <c r="AS83" s="27">
        <v>80</v>
      </c>
      <c r="AT83" s="8">
        <v>15</v>
      </c>
      <c r="AU83" s="8" t="s">
        <v>126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97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3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3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3"/>
      <c r="AI85" s="27">
        <v>82</v>
      </c>
      <c r="AJ85" s="8">
        <v>20</v>
      </c>
      <c r="AK85" s="8" t="s">
        <v>125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3"/>
      <c r="AS85" s="27">
        <v>82</v>
      </c>
      <c r="AT85" s="8">
        <v>20</v>
      </c>
      <c r="AU85" s="8" t="s">
        <v>102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102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3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3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3"/>
      <c r="AI87" s="27">
        <v>84</v>
      </c>
      <c r="AJ87" s="8">
        <v>10</v>
      </c>
      <c r="AK87" s="8" t="s">
        <v>100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3"/>
      <c r="AS87" s="27">
        <v>84</v>
      </c>
      <c r="AT87" s="8">
        <v>10</v>
      </c>
      <c r="AU87" s="8" t="s">
        <v>100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100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>
      <c r="X88" s="133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3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3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>
      <c r="X89" s="133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3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3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>
      <c r="X90" s="133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3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3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>
      <c r="X91" s="133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3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3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>
      <c r="X92" s="133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3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3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>
      <c r="X93" s="133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3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3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>
      <c r="X94" s="133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3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3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>
      <c r="X95" s="133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3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3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>
      <c r="X96" s="133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3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3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>
      <c r="X97" s="133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3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3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>
      <c r="X98" s="133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3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3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>
      <c r="X99" s="133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3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3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>
      <c r="X100" s="133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3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3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>
      <c r="X101" s="133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3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3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>
      <c r="X102" s="133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3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3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>
      <c r="X103" s="133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3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3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>
      <c r="X104" s="133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3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3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>
      <c r="X105" s="133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3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3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>
      <c r="X106" s="133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3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3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>
      <c r="X107" s="133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3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3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>
      <c r="X108" s="133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3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3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>
      <c r="X109" s="133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3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3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>
      <c r="X110" s="133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3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3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>
      <c r="X111" s="133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3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3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>
      <c r="X112" s="133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3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3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>
      <c r="X113" s="133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3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3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>
      <c r="X114" s="133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3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3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>
      <c r="X115" s="133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3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3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>
      <c r="X116" s="133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3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3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>
      <c r="X117" s="133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3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3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>
      <c r="X118" s="133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3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3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>
      <c r="X119" s="133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3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3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>
      <c r="X120" s="133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3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3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>
      <c r="X121" s="133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3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3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>
      <c r="X122" s="133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3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3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>
      <c r="X123" s="133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3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3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>
      <c r="X124" s="133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3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3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>
      <c r="X125" s="133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3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3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>
      <c r="X126" s="133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3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3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>
      <c r="X127" s="133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3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3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>
      <c r="X128" s="133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3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3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>
      <c r="X129" s="133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3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3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>
      <c r="X130" s="133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3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3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>
      <c r="X131" s="133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3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3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>
      <c r="X132" s="133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3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3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>
      <c r="X133" s="133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3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3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>
      <c r="X134" s="133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3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3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>
      <c r="X135" s="133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3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3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>
      <c r="X136" s="133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3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3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>
      <c r="X137" s="133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3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3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>
      <c r="X138" s="133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3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3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>
      <c r="X139" s="133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3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3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>
      <c r="X140" s="133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3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3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>
      <c r="X141" s="133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3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3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>
      <c r="X142" s="133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3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3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>
      <c r="X143" s="133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3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3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>
      <c r="X144" s="133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3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3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>
      <c r="X145" s="133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3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3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>
      <c r="X146" s="133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3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3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>
      <c r="X147" s="133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3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3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>
      <c r="X148" s="133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3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3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>
      <c r="X149" s="133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3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3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>
      <c r="X150" s="133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3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3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>
      <c r="X151" s="133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3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3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>
      <c r="X152" s="133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3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3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>
      <c r="X153" s="133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3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3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>
      <c r="X154" s="133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3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3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>
      <c r="X155" s="133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3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3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>
      <c r="X156" s="133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3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3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>
      <c r="X157" s="133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3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3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>
      <c r="X158" s="133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3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3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>
      <c r="X159" s="133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3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3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>
      <c r="X160" s="133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3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3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>
      <c r="X161" s="133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3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3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>
      <c r="X162" s="133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3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3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>
      <c r="X163" s="133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3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3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>
      <c r="X164" s="133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3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3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>
      <c r="X165" s="133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3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3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>
      <c r="X166" s="133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3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3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>
      <c r="X167" s="133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3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3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>
      <c r="X168" s="133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3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3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>
      <c r="X169" s="133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3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3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>
      <c r="X170" s="133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3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3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>
      <c r="X171" s="133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3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3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>
      <c r="X172" s="133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3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3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>
      <c r="X173" s="133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3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3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>
      <c r="X174" s="133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3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3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>
      <c r="X175" s="133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3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3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>
      <c r="X176" s="133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3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3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>
      <c r="X177" s="133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3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3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>
      <c r="X178" s="133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3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3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>
      <c r="X179" s="133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3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3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>
      <c r="X180" s="133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3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3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>
      <c r="X181" s="133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3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3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>
      <c r="X182" s="133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3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3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>
      <c r="X183" s="133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3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3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>
      <c r="X184" s="133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3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3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>
      <c r="X185" s="133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3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3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>
      <c r="X186" s="133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3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3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>
      <c r="X187" s="133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3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3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>
      <c r="X188" s="133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3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3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>
      <c r="X189" s="133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3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3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>
      <c r="X190" s="133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3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3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>
      <c r="X191" s="133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3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3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>
      <c r="X192" s="133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3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3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>
      <c r="X193" s="133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3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3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>
      <c r="X194" s="133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3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3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>
      <c r="X195" s="133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3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3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>
      <c r="X196" s="133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3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3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>
      <c r="X197" s="133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3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3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>
      <c r="X198" s="133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3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3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>
      <c r="X199" s="133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3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3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>
      <c r="X200" s="133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3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3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>
      <c r="X201" s="133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3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3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>
      <c r="X202" s="133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3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3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>
      <c r="X203" s="133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3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3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>
      <c r="X204" s="133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3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3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>
      <c r="X205" s="133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3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3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>
      <c r="X206" s="133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3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3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>
      <c r="X207" s="133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3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3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>
      <c r="X208" s="133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3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3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>
      <c r="X209" s="133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3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3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>
      <c r="X210" s="133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3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3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>
      <c r="X211" s="133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3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3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topLeftCell="A5" zoomScale="70" zoomScaleNormal="70" workbookViewId="0">
      <selection activeCell="O31" sqref="O31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f>Bet_1</f>
        <v>1</v>
      </c>
      <c r="H1" s="2" t="s">
        <v>79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 cm="1">
        <f t="array" ref="M3:M14">N3:N14/SUM(N3:N14)</f>
        <v>0.2247191011235955</v>
      </c>
      <c r="N3" s="169">
        <v>220000000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0.26368159203980102</v>
      </c>
      <c r="AF3" s="121" cm="1">
        <f t="array" ref="AF3:AF13">AQ3:AQ13/SUM(AQ3:AQ13)</f>
        <v>0.26368159203980102</v>
      </c>
      <c r="AG3" s="121" cm="1">
        <f t="array" ref="AG3:AG13">AR3:AR13/SUM(AR3:AR13)</f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26">
        <f>PRODUCT('Regular Symbol'!C18:E18)</f>
        <v>5218521</v>
      </c>
      <c r="D11" s="326"/>
      <c r="E11" s="326"/>
      <c r="F11" s="326"/>
      <c r="G11" s="326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f>T16</f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111" t="s">
        <v>92</v>
      </c>
      <c r="O15" s="98">
        <f>SUMPRODUCT(M3:M14, O3:O14)</f>
        <v>29.834262823830173</v>
      </c>
      <c r="S15" s="1" t="s">
        <v>89</v>
      </c>
      <c r="T15" s="1">
        <f>SUMPRODUCT(Q3:Q13, R3:R13)</f>
        <v>9.9259259259259238</v>
      </c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10.925373134328357</v>
      </c>
      <c r="AF15" s="93">
        <f t="shared" si="3"/>
        <v>10.925373134328357</v>
      </c>
      <c r="AG15" s="93">
        <f t="shared" si="3"/>
        <v>10.925373134328357</v>
      </c>
    </row>
    <row r="16" spans="1:44" ht="16.2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  <c r="S16" s="85" t="s">
        <v>92</v>
      </c>
      <c r="T16" s="1" cm="1">
        <f t="array" ref="T16">SUMPRODUCT(Q3:Q13*_xlfn.ANCHORARRAY(T3),_xlfn.ANCHORARRAY(R3))</f>
        <v>125.81371652264869</v>
      </c>
    </row>
    <row r="17" spans="1:19" ht="16.2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262</v>
      </c>
      <c r="M18" s="181">
        <v>0.11403547</v>
      </c>
      <c r="N18" s="178">
        <f>1/M18</f>
        <v>8.7692013721695545</v>
      </c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8">
        <v>1</v>
      </c>
      <c r="M20" s="108">
        <v>3.6316689999999999E-2</v>
      </c>
      <c r="N20" s="263" cm="1">
        <f t="array" ref="N20:N31">IFERROR(1/M20:M31,0)</f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26">
        <f>PRODUCT('Regular Symbol'!C18:E18)</f>
        <v>5218521</v>
      </c>
      <c r="D23" s="326"/>
      <c r="E23" s="326"/>
      <c r="F23" s="326"/>
      <c r="G23" s="326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/>
    <row r="35" spans="1:10" ht="16.8" thickBot="1">
      <c r="B35" s="61" t="s">
        <v>53</v>
      </c>
      <c r="C35" s="326">
        <f>PRODUCT('Regular Symbol'!C18:E18)</f>
        <v>5218521</v>
      </c>
      <c r="D35" s="326"/>
      <c r="E35" s="326"/>
      <c r="F35" s="326"/>
      <c r="G35" s="326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/>
    <row r="47" spans="1:10" ht="16.8" thickBot="1">
      <c r="B47" s="61" t="s">
        <v>53</v>
      </c>
      <c r="C47" s="326">
        <f>PRODUCT('Regular Symbol'!C18:E18)</f>
        <v>5218521</v>
      </c>
      <c r="D47" s="326"/>
      <c r="E47" s="326"/>
      <c r="F47" s="326"/>
      <c r="G47" s="326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/>
    <row r="59" spans="1:10" ht="16.8" thickBot="1">
      <c r="B59" s="61" t="s">
        <v>53</v>
      </c>
      <c r="C59" s="326">
        <f>PRODUCT('Regular Symbol'!C18:E18)</f>
        <v>5218521</v>
      </c>
      <c r="D59" s="326"/>
      <c r="E59" s="326"/>
      <c r="F59" s="326"/>
      <c r="G59" s="326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V26" sqref="V26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Bet_2</f>
        <v>1.5</v>
      </c>
      <c r="D1" s="1"/>
      <c r="E1" s="1"/>
      <c r="F1" s="1"/>
      <c r="G1" s="1"/>
      <c r="H1" s="2" t="s">
        <v>79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6">
        <f>PRODUCT('Regular Symbol'!C44:E44)</f>
        <v>5218521</v>
      </c>
      <c r="D11" s="326"/>
      <c r="E11" s="326"/>
      <c r="F11" s="326"/>
      <c r="G11" s="326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f>T16</f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43.742179294156387</v>
      </c>
      <c r="P15" s="1"/>
      <c r="Q15" s="1"/>
      <c r="R15" s="1"/>
      <c r="S15" s="1" t="s">
        <v>89</v>
      </c>
      <c r="T15" s="1">
        <f>SUMPRODUCT(Q3:Q13, R3:R13)</f>
        <v>9.9259259259259238</v>
      </c>
      <c r="U15" s="1"/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14.47972972972973</v>
      </c>
      <c r="AF15" s="93">
        <f t="shared" si="3"/>
        <v>14.47972972972973</v>
      </c>
      <c r="AG15" s="93">
        <f t="shared" si="3"/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263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>
        <v>2</v>
      </c>
      <c r="R20" s="180" cm="1">
        <f t="array" ref="R20:R30">S20:S30/SUM(S20:S30)</f>
        <v>0.20836289114841963</v>
      </c>
      <c r="S20" s="1">
        <v>5287</v>
      </c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>
        <v>3</v>
      </c>
      <c r="R21" s="180">
        <v>0.18507133286040831</v>
      </c>
      <c r="S21" s="1">
        <v>4696</v>
      </c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>
        <v>4</v>
      </c>
      <c r="R22" s="180">
        <v>0.1340742492314968</v>
      </c>
      <c r="S22" s="1">
        <v>3402</v>
      </c>
    </row>
    <row r="23" spans="1:19" ht="16.8" thickBot="1">
      <c r="A23" s="1"/>
      <c r="B23" s="61" t="s">
        <v>53</v>
      </c>
      <c r="C23" s="326">
        <f>PRODUCT('Regular Symbol'!C44:E44)</f>
        <v>5218521</v>
      </c>
      <c r="D23" s="326"/>
      <c r="E23" s="326"/>
      <c r="F23" s="326"/>
      <c r="G23" s="326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>
        <v>5</v>
      </c>
      <c r="R23" s="180">
        <v>0.14408449594072673</v>
      </c>
      <c r="S23" s="1">
        <v>3656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>
        <v>6</v>
      </c>
      <c r="R24" s="180">
        <v>0.11842831244581067</v>
      </c>
      <c r="S24" s="1">
        <v>3005</v>
      </c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>
        <v>7</v>
      </c>
      <c r="R25" s="180">
        <v>6.5381886970915112E-2</v>
      </c>
      <c r="S25" s="1">
        <v>1659</v>
      </c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>
        <v>8</v>
      </c>
      <c r="R26" s="180">
        <v>4.9696539765113894E-2</v>
      </c>
      <c r="S26" s="1">
        <v>1261</v>
      </c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>
        <v>9</v>
      </c>
      <c r="R27" s="180">
        <v>4.40214392685426E-2</v>
      </c>
      <c r="S27" s="1">
        <v>1117</v>
      </c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>
        <v>10</v>
      </c>
      <c r="R28" s="180">
        <v>3.9016315913927645E-2</v>
      </c>
      <c r="S28" s="1">
        <v>990</v>
      </c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>
        <v>20</v>
      </c>
      <c r="R29" s="180">
        <v>1.1074328052337037E-2</v>
      </c>
      <c r="S29" s="1">
        <v>281</v>
      </c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>
        <v>50</v>
      </c>
      <c r="R30" s="180">
        <v>7.8820840230156856E-4</v>
      </c>
      <c r="S30" s="1">
        <v>20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93">
        <f>SUMPRODUCT(_xlfn.ANCHORARRAY(R20),Q20:Q30)</f>
        <v>4.8417277528178451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6">
        <f>PRODUCT('Regular Symbol'!C44:E44)</f>
        <v>5218521</v>
      </c>
      <c r="D35" s="326"/>
      <c r="E35" s="326"/>
      <c r="F35" s="326"/>
      <c r="G35" s="326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6">
        <f>PRODUCT('Regular Symbol'!C44:E44)</f>
        <v>5218521</v>
      </c>
      <c r="D47" s="326"/>
      <c r="E47" s="326"/>
      <c r="F47" s="326"/>
      <c r="G47" s="326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6">
        <f>PRODUCT('Regular Symbol'!C44:E44)</f>
        <v>5218521</v>
      </c>
      <c r="D59" s="326"/>
      <c r="E59" s="326"/>
      <c r="F59" s="326"/>
      <c r="G59" s="326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Bet_3</f>
        <v>8</v>
      </c>
      <c r="D1" s="1"/>
      <c r="E1" s="1"/>
      <c r="F1" s="1"/>
      <c r="G1" s="1"/>
      <c r="H1" s="2" t="s">
        <v>79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1.0869565193761815E-9</v>
      </c>
      <c r="S3" s="172">
        <v>1</v>
      </c>
      <c r="T3" s="115" cm="1">
        <f t="array" ref="T3:T13">_xlfn.XLOOKUP(Q3:Q13,W2:AG2,W15:AG15)</f>
        <v>57.10526315789474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6">
        <f>PRODUCT('Regular Symbol'!C70:E70)</f>
        <v>5218521</v>
      </c>
      <c r="D11" s="326"/>
      <c r="E11" s="326"/>
      <c r="F11" s="326"/>
      <c r="G11" s="326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f>T16</f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251.74267335704516</v>
      </c>
      <c r="P15" s="1"/>
      <c r="Q15" s="1"/>
      <c r="R15" s="1"/>
      <c r="S15" s="1" t="s">
        <v>89</v>
      </c>
      <c r="T15" s="1">
        <f>SUMPRODUCT(Q3:Q13, R3:R13)</f>
        <v>11.652173893147449</v>
      </c>
      <c r="U15" s="1"/>
      <c r="V15" s="1" t="s">
        <v>90</v>
      </c>
      <c r="W15" s="93">
        <f t="shared" ref="W15:AG15" si="3">SUMPRODUCT($V$3:$V$13,_xlfn.ANCHORARRAY(W3))</f>
        <v>57.10526315789474</v>
      </c>
      <c r="X15" s="93">
        <f t="shared" si="3"/>
        <v>57.10526315789474</v>
      </c>
      <c r="Y15" s="93">
        <f t="shared" si="3"/>
        <v>57.10526315789474</v>
      </c>
      <c r="Z15" s="93">
        <f t="shared" si="3"/>
        <v>57.10526315789474</v>
      </c>
      <c r="AA15" s="93">
        <f t="shared" si="3"/>
        <v>57.10526315789474</v>
      </c>
      <c r="AB15" s="93">
        <f t="shared" si="3"/>
        <v>57.10526315789474</v>
      </c>
      <c r="AC15" s="93">
        <f t="shared" si="3"/>
        <v>57.10526315789474</v>
      </c>
      <c r="AD15" s="93">
        <f t="shared" si="3"/>
        <v>57.10526315789474</v>
      </c>
      <c r="AE15" s="93">
        <f t="shared" si="3"/>
        <v>47.58064516129032</v>
      </c>
      <c r="AF15" s="93">
        <f t="shared" si="3"/>
        <v>47.58064516129032</v>
      </c>
      <c r="AG15" s="93">
        <f t="shared" si="3"/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264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6">
        <f>PRODUCT('Regular Symbol'!C70:E70)</f>
        <v>5218521</v>
      </c>
      <c r="D23" s="326"/>
      <c r="E23" s="326"/>
      <c r="F23" s="326"/>
      <c r="G23" s="326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6">
        <f>PRODUCT('Regular Symbol'!C70:E70)</f>
        <v>5218521</v>
      </c>
      <c r="D35" s="326"/>
      <c r="E35" s="326"/>
      <c r="F35" s="326"/>
      <c r="G35" s="326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6">
        <f>PRODUCT('Regular Symbol'!C70:E70)</f>
        <v>5218521</v>
      </c>
      <c r="D47" s="326"/>
      <c r="E47" s="326"/>
      <c r="F47" s="326"/>
      <c r="G47" s="326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6">
        <f>PRODUCT('Regular Symbol'!C70:E70)</f>
        <v>5218521</v>
      </c>
      <c r="D59" s="326"/>
      <c r="E59" s="326"/>
      <c r="F59" s="326"/>
      <c r="G59" s="326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f ca="1">SUM(I12:I68)</f>
        <v>1.0396634201786966E-2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3.7430545754079523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14.242592592592594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0.5675</v>
      </c>
      <c r="K4" s="33"/>
      <c r="L4" s="124">
        <v>2</v>
      </c>
      <c r="M4" s="108">
        <v>7.8235294117647056E-2</v>
      </c>
      <c r="N4" s="170">
        <v>13300000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8.026136363636363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9.4705882352941181E-2</v>
      </c>
      <c r="N5" s="170">
        <v>16100000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8.026136363636363</v>
      </c>
      <c r="U5" s="1"/>
      <c r="V5" s="116">
        <v>3</v>
      </c>
      <c r="W5" s="122">
        <v>0</v>
      </c>
      <c r="X5" s="92">
        <v>0.23863636363636365</v>
      </c>
      <c r="Y5" s="92">
        <v>0.23863636363636365</v>
      </c>
      <c r="Z5" s="92">
        <v>0.26464379947229549</v>
      </c>
      <c r="AA5" s="92">
        <v>0.26464379947229549</v>
      </c>
      <c r="AB5" s="92">
        <v>0.26464379947229549</v>
      </c>
      <c r="AC5" s="92">
        <v>0.26464379947229549</v>
      </c>
      <c r="AD5" s="92">
        <v>0.26464379947229549</v>
      </c>
      <c r="AE5" s="92">
        <v>0.26464379947229549</v>
      </c>
      <c r="AF5" s="110">
        <v>0.26464379947229549</v>
      </c>
      <c r="AG5" s="110">
        <v>0.26464379947229549</v>
      </c>
      <c r="AH5" s="174">
        <v>0</v>
      </c>
      <c r="AI5" s="278">
        <v>105000000</v>
      </c>
      <c r="AJ5" s="278">
        <v>105000000</v>
      </c>
      <c r="AK5" s="278">
        <v>100300000</v>
      </c>
      <c r="AL5" s="278">
        <v>100300000</v>
      </c>
      <c r="AM5" s="278">
        <v>100300000</v>
      </c>
      <c r="AN5" s="278">
        <v>100300000</v>
      </c>
      <c r="AO5" s="278">
        <v>100300000</v>
      </c>
      <c r="AP5" s="278">
        <v>100300000</v>
      </c>
      <c r="AQ5" s="278">
        <v>100300000</v>
      </c>
      <c r="AR5" s="278">
        <v>100300000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0.11529411764705882</v>
      </c>
      <c r="N6" s="170">
        <v>19600000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7.6224274406332464</v>
      </c>
      <c r="U6" s="26"/>
      <c r="V6" s="116">
        <v>5</v>
      </c>
      <c r="W6" s="122">
        <v>0</v>
      </c>
      <c r="X6" s="92">
        <v>0.38068181818181818</v>
      </c>
      <c r="Y6" s="92">
        <v>0.38068181818181818</v>
      </c>
      <c r="Z6" s="92">
        <v>0.42189973614775728</v>
      </c>
      <c r="AA6" s="92">
        <v>0.42189973614775728</v>
      </c>
      <c r="AB6" s="92">
        <v>0.42189973614775728</v>
      </c>
      <c r="AC6" s="92">
        <v>0.42189973614775728</v>
      </c>
      <c r="AD6" s="92">
        <v>0.42189973614775728</v>
      </c>
      <c r="AE6" s="92">
        <v>0.42189973614775728</v>
      </c>
      <c r="AF6" s="110">
        <v>0.42189973614775728</v>
      </c>
      <c r="AG6" s="110">
        <v>0.42189973614775728</v>
      </c>
      <c r="AH6" s="174">
        <v>0</v>
      </c>
      <c r="AI6" s="278">
        <v>167500000</v>
      </c>
      <c r="AJ6" s="278">
        <v>167500000</v>
      </c>
      <c r="AK6" s="278">
        <v>159900000</v>
      </c>
      <c r="AL6" s="278">
        <v>159900000</v>
      </c>
      <c r="AM6" s="278">
        <v>159900000</v>
      </c>
      <c r="AN6" s="278">
        <v>159900000</v>
      </c>
      <c r="AO6" s="278">
        <v>159900000</v>
      </c>
      <c r="AP6" s="278">
        <v>159900000</v>
      </c>
      <c r="AQ6" s="281">
        <v>159900000</v>
      </c>
      <c r="AR6" s="281">
        <v>159900000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8.7647058823529411E-2</v>
      </c>
      <c r="N7" s="170">
        <v>14900000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7.6224274406332464</v>
      </c>
      <c r="U7" s="1"/>
      <c r="V7" s="116">
        <v>10</v>
      </c>
      <c r="W7" s="122">
        <v>0.57481481481481478</v>
      </c>
      <c r="X7" s="92">
        <v>0.21863636363636363</v>
      </c>
      <c r="Y7" s="92">
        <v>0.21863636363636363</v>
      </c>
      <c r="Z7" s="92">
        <v>0.18179419525065962</v>
      </c>
      <c r="AA7" s="92">
        <v>0.18179419525065962</v>
      </c>
      <c r="AB7" s="92">
        <v>0.18179419525065962</v>
      </c>
      <c r="AC7" s="92">
        <v>0.18179419525065962</v>
      </c>
      <c r="AD7" s="92">
        <v>0.18179419525065962</v>
      </c>
      <c r="AE7" s="92">
        <v>0.18179419525065962</v>
      </c>
      <c r="AF7" s="110">
        <v>0.18179419525065962</v>
      </c>
      <c r="AG7" s="110">
        <v>0.18179419525065962</v>
      </c>
      <c r="AH7" s="174">
        <v>155200000</v>
      </c>
      <c r="AI7" s="278">
        <v>96200000</v>
      </c>
      <c r="AJ7" s="278">
        <v>96200000</v>
      </c>
      <c r="AK7" s="278">
        <v>68900000</v>
      </c>
      <c r="AL7" s="278">
        <v>68900000</v>
      </c>
      <c r="AM7" s="278">
        <v>68900000</v>
      </c>
      <c r="AN7" s="278">
        <v>68900000</v>
      </c>
      <c r="AO7" s="278">
        <v>68900000</v>
      </c>
      <c r="AP7" s="278">
        <v>68900000</v>
      </c>
      <c r="AQ7" s="281">
        <v>68900000</v>
      </c>
      <c r="AR7" s="281">
        <v>68900000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7.4705882352941178E-2</v>
      </c>
      <c r="N8" s="170">
        <v>12700000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7.6224274406332464</v>
      </c>
      <c r="U8" s="1"/>
      <c r="V8" s="116">
        <v>15</v>
      </c>
      <c r="W8" s="122">
        <v>0.31148148148148147</v>
      </c>
      <c r="X8" s="92">
        <v>0.11863636363636364</v>
      </c>
      <c r="Y8" s="92">
        <v>0.11863636363636364</v>
      </c>
      <c r="Z8" s="92">
        <v>7.3087071240105536E-2</v>
      </c>
      <c r="AA8" s="92">
        <v>7.3087071240105536E-2</v>
      </c>
      <c r="AB8" s="92">
        <v>7.3087071240105536E-2</v>
      </c>
      <c r="AC8" s="92">
        <v>7.3087071240105536E-2</v>
      </c>
      <c r="AD8" s="92">
        <v>7.3087071240105536E-2</v>
      </c>
      <c r="AE8" s="92">
        <v>7.3087071240105536E-2</v>
      </c>
      <c r="AF8" s="110">
        <v>7.3087071240105536E-2</v>
      </c>
      <c r="AG8" s="110">
        <v>7.3087071240105536E-2</v>
      </c>
      <c r="AH8" s="174">
        <v>84100000</v>
      </c>
      <c r="AI8" s="278">
        <v>52200000</v>
      </c>
      <c r="AJ8" s="278">
        <v>52200000</v>
      </c>
      <c r="AK8" s="278">
        <v>27700000</v>
      </c>
      <c r="AL8" s="278">
        <v>27700000</v>
      </c>
      <c r="AM8" s="278">
        <v>27700000</v>
      </c>
      <c r="AN8" s="278">
        <v>27700000</v>
      </c>
      <c r="AO8" s="278">
        <v>27700000</v>
      </c>
      <c r="AP8" s="278">
        <v>27700000</v>
      </c>
      <c r="AQ8" s="281">
        <v>27700000</v>
      </c>
      <c r="AR8" s="281">
        <v>27700000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6.6470588235294115E-2</v>
      </c>
      <c r="N9" s="170">
        <v>11300000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7.6224274406332464</v>
      </c>
      <c r="U9" s="1"/>
      <c r="V9" s="116">
        <v>20</v>
      </c>
      <c r="W9" s="122">
        <v>5.7777777777777775E-2</v>
      </c>
      <c r="X9" s="92">
        <v>2.2045454545454545E-2</v>
      </c>
      <c r="Y9" s="92">
        <v>2.2045454545454545E-2</v>
      </c>
      <c r="Z9" s="92">
        <v>3.4828496042216356E-2</v>
      </c>
      <c r="AA9" s="92">
        <v>3.4828496042216356E-2</v>
      </c>
      <c r="AB9" s="92">
        <v>3.4828496042216356E-2</v>
      </c>
      <c r="AC9" s="92">
        <v>3.4828496042216356E-2</v>
      </c>
      <c r="AD9" s="92">
        <v>3.4828496042216356E-2</v>
      </c>
      <c r="AE9" s="92">
        <v>3.4828496042216356E-2</v>
      </c>
      <c r="AF9" s="110">
        <v>3.4828496042216356E-2</v>
      </c>
      <c r="AG9" s="110">
        <v>3.4828496042216356E-2</v>
      </c>
      <c r="AH9" s="174">
        <v>15600000</v>
      </c>
      <c r="AI9" s="278">
        <v>9700000</v>
      </c>
      <c r="AJ9" s="278">
        <v>9700000</v>
      </c>
      <c r="AK9" s="278">
        <v>13200000</v>
      </c>
      <c r="AL9" s="278">
        <v>13200000</v>
      </c>
      <c r="AM9" s="278">
        <v>13200000</v>
      </c>
      <c r="AN9" s="278">
        <v>13200000</v>
      </c>
      <c r="AO9" s="278">
        <v>13200000</v>
      </c>
      <c r="AP9" s="278">
        <v>13200000</v>
      </c>
      <c r="AQ9" s="281">
        <v>13200000</v>
      </c>
      <c r="AR9" s="281">
        <v>13200000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2.0588235294117647E-2</v>
      </c>
      <c r="N10" s="170">
        <v>3500000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7.6224274406332464</v>
      </c>
      <c r="U10" s="1"/>
      <c r="V10" s="116">
        <v>25</v>
      </c>
      <c r="W10" s="122">
        <v>3.111111111111111E-2</v>
      </c>
      <c r="X10" s="92">
        <v>1.1818181818181818E-2</v>
      </c>
      <c r="Y10" s="92">
        <v>1.1818181818181818E-2</v>
      </c>
      <c r="Z10" s="92">
        <v>1.3192612137203167E-2</v>
      </c>
      <c r="AA10" s="92">
        <v>1.3192612137203167E-2</v>
      </c>
      <c r="AB10" s="92">
        <v>1.3192612137203167E-2</v>
      </c>
      <c r="AC10" s="92">
        <v>1.3192612137203167E-2</v>
      </c>
      <c r="AD10" s="92">
        <v>1.3192612137203167E-2</v>
      </c>
      <c r="AE10" s="92">
        <v>1.3192612137203167E-2</v>
      </c>
      <c r="AF10" s="110">
        <v>1.3192612137203167E-2</v>
      </c>
      <c r="AG10" s="110">
        <v>1.3192612137203167E-2</v>
      </c>
      <c r="AH10" s="174">
        <v>8400000</v>
      </c>
      <c r="AI10" s="278">
        <v>5200000</v>
      </c>
      <c r="AJ10" s="278">
        <v>5200000</v>
      </c>
      <c r="AK10" s="278">
        <v>5000000</v>
      </c>
      <c r="AL10" s="278">
        <v>5000000</v>
      </c>
      <c r="AM10" s="278">
        <v>5000000</v>
      </c>
      <c r="AN10" s="278">
        <v>5000000</v>
      </c>
      <c r="AO10" s="278">
        <v>5000000</v>
      </c>
      <c r="AP10" s="278">
        <v>5000000</v>
      </c>
      <c r="AQ10" s="281">
        <v>5000000</v>
      </c>
      <c r="AR10" s="281">
        <v>5000000</v>
      </c>
    </row>
    <row r="11" spans="1:44" ht="16.8" thickBot="1">
      <c r="A11" s="1"/>
      <c r="B11" s="61" t="s">
        <v>53</v>
      </c>
      <c r="C11" s="326">
        <f>PRODUCT('Regular Symbol'!C96:E96)</f>
        <v>23976978049206</v>
      </c>
      <c r="D11" s="326"/>
      <c r="E11" s="326"/>
      <c r="F11" s="326"/>
      <c r="G11" s="326"/>
      <c r="H11" s="1"/>
      <c r="I11" s="33"/>
      <c r="J11" s="285"/>
      <c r="K11" s="33"/>
      <c r="L11" s="124">
        <v>50</v>
      </c>
      <c r="M11" s="108">
        <v>1.5294117647058824E-2</v>
      </c>
      <c r="N11" s="170">
        <v>2600000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7.6224274406332464</v>
      </c>
      <c r="U11" s="1"/>
      <c r="V11" s="116">
        <v>50</v>
      </c>
      <c r="W11" s="122">
        <v>1.7777777777777778E-2</v>
      </c>
      <c r="X11" s="92">
        <v>6.8181818181818179E-3</v>
      </c>
      <c r="Y11" s="92">
        <v>6.8181818181818179E-3</v>
      </c>
      <c r="Z11" s="92">
        <v>7.6517150395778366E-3</v>
      </c>
      <c r="AA11" s="92">
        <v>7.6517150395778366E-3</v>
      </c>
      <c r="AB11" s="92">
        <v>7.6517150395778366E-3</v>
      </c>
      <c r="AC11" s="92">
        <v>7.6517150395778366E-3</v>
      </c>
      <c r="AD11" s="92">
        <v>7.6517150395778366E-3</v>
      </c>
      <c r="AE11" s="92">
        <v>7.6517150395778366E-3</v>
      </c>
      <c r="AF11" s="110">
        <v>7.6517150395778366E-3</v>
      </c>
      <c r="AG11" s="110">
        <v>7.6517150395778366E-3</v>
      </c>
      <c r="AH11" s="174">
        <v>4800000</v>
      </c>
      <c r="AI11" s="278">
        <v>3000000</v>
      </c>
      <c r="AJ11" s="278">
        <v>3000000</v>
      </c>
      <c r="AK11" s="278">
        <v>2900000</v>
      </c>
      <c r="AL11" s="278">
        <v>2900000</v>
      </c>
      <c r="AM11" s="278">
        <v>2900000</v>
      </c>
      <c r="AN11" s="278">
        <v>2900000</v>
      </c>
      <c r="AO11" s="278">
        <v>2900000</v>
      </c>
      <c r="AP11" s="278">
        <v>2900000</v>
      </c>
      <c r="AQ11" s="281">
        <v>2900000</v>
      </c>
      <c r="AR11" s="281">
        <v>2900000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1.1764705882352941E-2</v>
      </c>
      <c r="N12" s="170">
        <v>2000000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7.6224274406332464</v>
      </c>
      <c r="U12" s="1"/>
      <c r="V12" s="116">
        <v>100</v>
      </c>
      <c r="W12" s="122">
        <v>6.2962962962962964E-3</v>
      </c>
      <c r="X12" s="92">
        <v>2.5000000000000001E-3</v>
      </c>
      <c r="Y12" s="92">
        <v>2.5000000000000001E-3</v>
      </c>
      <c r="Z12" s="92">
        <v>2.6385224274406332E-3</v>
      </c>
      <c r="AA12" s="92">
        <v>2.6385224274406332E-3</v>
      </c>
      <c r="AB12" s="92">
        <v>2.6385224274406332E-3</v>
      </c>
      <c r="AC12" s="92">
        <v>2.6385224274406332E-3</v>
      </c>
      <c r="AD12" s="92">
        <v>2.6385224274406332E-3</v>
      </c>
      <c r="AE12" s="92">
        <v>2.6385224274406332E-3</v>
      </c>
      <c r="AF12" s="110">
        <v>2.6385224274406332E-3</v>
      </c>
      <c r="AG12" s="110">
        <v>2.6385224274406332E-3</v>
      </c>
      <c r="AH12" s="174">
        <v>1700000</v>
      </c>
      <c r="AI12" s="278">
        <v>1100000</v>
      </c>
      <c r="AJ12" s="278">
        <v>1100000</v>
      </c>
      <c r="AK12" s="278">
        <v>1000000</v>
      </c>
      <c r="AL12" s="278">
        <v>1000000</v>
      </c>
      <c r="AM12" s="278">
        <v>1000000</v>
      </c>
      <c r="AN12" s="278">
        <v>1000000</v>
      </c>
      <c r="AO12" s="278">
        <v>1000000</v>
      </c>
      <c r="AP12" s="278">
        <v>1000000</v>
      </c>
      <c r="AQ12" s="281">
        <v>1000000</v>
      </c>
      <c r="AR12" s="281">
        <v>1000000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5.8823529411764705E-3</v>
      </c>
      <c r="N13" s="170">
        <v>1000000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7.6224274406332464</v>
      </c>
      <c r="U13" s="1"/>
      <c r="V13" s="117">
        <v>500</v>
      </c>
      <c r="W13" s="123">
        <v>7.407407407407407E-4</v>
      </c>
      <c r="X13" s="112">
        <v>2.2727272727272727E-4</v>
      </c>
      <c r="Y13" s="112">
        <v>2.2727272727272727E-4</v>
      </c>
      <c r="Z13" s="112">
        <v>2.6385224274406332E-4</v>
      </c>
      <c r="AA13" s="112">
        <v>2.6385224274406332E-4</v>
      </c>
      <c r="AB13" s="112">
        <v>2.6385224274406332E-4</v>
      </c>
      <c r="AC13" s="112">
        <v>2.6385224274406332E-4</v>
      </c>
      <c r="AD13" s="112">
        <v>2.6385224274406332E-4</v>
      </c>
      <c r="AE13" s="112">
        <v>2.6385224274406332E-4</v>
      </c>
      <c r="AF13" s="113">
        <v>2.6385224274406332E-4</v>
      </c>
      <c r="AG13" s="113">
        <v>2.6385224274406332E-4</v>
      </c>
      <c r="AH13" s="175">
        <v>200000</v>
      </c>
      <c r="AI13" s="279">
        <v>100000</v>
      </c>
      <c r="AJ13" s="279">
        <v>100000</v>
      </c>
      <c r="AK13" s="279">
        <v>100000</v>
      </c>
      <c r="AL13" s="279">
        <v>100000</v>
      </c>
      <c r="AM13" s="279">
        <v>100000</v>
      </c>
      <c r="AN13" s="279">
        <v>100000</v>
      </c>
      <c r="AO13" s="279">
        <v>100000</v>
      </c>
      <c r="AP13" s="279">
        <v>100000</v>
      </c>
      <c r="AQ13" s="282">
        <v>100000</v>
      </c>
      <c r="AR13" s="282">
        <v>100000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0.42941176470588233</v>
      </c>
      <c r="N14" s="171">
        <v>73000000</v>
      </c>
      <c r="O14" s="130">
        <f>T16</f>
        <v>55.856560625129688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33.726052503732156</v>
      </c>
      <c r="P15" s="1"/>
      <c r="Q15" s="1"/>
      <c r="R15" s="1"/>
      <c r="S15" s="1" t="s">
        <v>89</v>
      </c>
      <c r="T15" s="1">
        <f>SUMPRODUCT(Q3:Q13, R3:R13)</f>
        <v>7.2852760736196327</v>
      </c>
      <c r="U15" s="1"/>
      <c r="V15" s="1" t="s">
        <v>90</v>
      </c>
      <c r="W15" s="93">
        <f t="shared" ref="W15:AG15" si="3">SUMPRODUCT($V$3:$V$13,_xlfn.ANCHORARRAY(W3))</f>
        <v>14.242592592592594</v>
      </c>
      <c r="X15" s="93">
        <f t="shared" si="3"/>
        <v>8.026136363636363</v>
      </c>
      <c r="Y15" s="93">
        <f t="shared" si="3"/>
        <v>8.026136363636363</v>
      </c>
      <c r="Z15" s="93">
        <f t="shared" si="3"/>
        <v>7.6224274406332464</v>
      </c>
      <c r="AA15" s="93">
        <f t="shared" si="3"/>
        <v>7.6224274406332464</v>
      </c>
      <c r="AB15" s="93">
        <f t="shared" si="3"/>
        <v>7.6224274406332464</v>
      </c>
      <c r="AC15" s="93">
        <f t="shared" si="3"/>
        <v>7.6224274406332464</v>
      </c>
      <c r="AD15" s="93">
        <f t="shared" si="3"/>
        <v>7.6224274406332464</v>
      </c>
      <c r="AE15" s="93">
        <f t="shared" si="3"/>
        <v>7.6224274406332464</v>
      </c>
      <c r="AF15" s="93">
        <f t="shared" si="3"/>
        <v>7.6224274406332464</v>
      </c>
      <c r="AG15" s="93">
        <f t="shared" si="3"/>
        <v>7.6224274406332464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55.856560625129688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1.0396634201786966E-2</v>
      </c>
      <c r="N21" s="288">
        <f>$O$15</f>
        <v>33.726052503732156</v>
      </c>
      <c r="O21" s="186" cm="1">
        <f t="array" aca="1" ref="O21:O25" ca="1">M21:M25*N21:N25</f>
        <v>0.35063743095156463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1.0396634201786966E-2</v>
      </c>
      <c r="N22" s="290">
        <f>$O$15+1*$O$15*_xlfn.BINOM.DIST(1,1,$I$4,FALSE)</f>
        <v>52.865587299600151</v>
      </c>
      <c r="O22" s="189">
        <f ca="1"/>
        <v>0.54962417301657751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6">
        <f>PRODUCT('Regular Symbol'!C96:E96)</f>
        <v>23976978049206</v>
      </c>
      <c r="D23" s="326"/>
      <c r="E23" s="326"/>
      <c r="F23" s="326"/>
      <c r="G23" s="326"/>
      <c r="H23" s="1"/>
      <c r="I23" s="33"/>
      <c r="J23" s="285"/>
      <c r="K23" s="34"/>
      <c r="L23" s="51" t="s">
        <v>279</v>
      </c>
      <c r="M23" s="289">
        <f t="shared" ca="1" si="4"/>
        <v>1.0396634201786966E-2</v>
      </c>
      <c r="N23" s="290">
        <f>$O$15+1*$O$15*_xlfn.BINOM.DIST(1,2,$I$4,FALSE)+2*$O$15*_xlfn.BINOM.DIST(2,2,$I$4,FALSE)</f>
        <v>72.005122095468153</v>
      </c>
      <c r="O23" s="189">
        <f ca="1"/>
        <v>0.7486109150815905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1.0396634201786966E-2</v>
      </c>
      <c r="N24" s="290">
        <f>$O$15+1*$O$15*_xlfn.BINOM.DIST(1,3,$I$4,FALSE)+2*$O$15*_xlfn.BINOM.DIST(2,3,$I$4,FALSE)+3*$O$15*_xlfn.BINOM.DIST(3,3,$I$4,FALSE)</f>
        <v>91.144656891336155</v>
      </c>
      <c r="O24" s="189">
        <f ca="1"/>
        <v>0.94759765714660349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3.3048615501662048E-4</v>
      </c>
      <c r="J25" s="45">
        <f t="shared" ref="J25:J32" ca="1" si="7">F25/C$11</f>
        <v>1.6524307750831024E-2</v>
      </c>
      <c r="K25" s="34"/>
      <c r="L25" s="68" t="s">
        <v>281</v>
      </c>
      <c r="M25" s="291">
        <f t="shared" ca="1" si="4"/>
        <v>1.0396634201786966E-2</v>
      </c>
      <c r="N25" s="292">
        <f>$O$15+1*$O$15*_xlfn.BINOM.DIST(1,4,$I$4,FALSE)+2*$O$15*_xlfn.BINOM.DIST(2,4,$I$4,FALSE)+3*$O$15*_xlfn.BINOM.DIST(3,4,$I$4,FALSE)+4*$O$15*_xlfn.BINOM.DIST(4,4,$I$4,FALSE)</f>
        <v>110.28419168720414</v>
      </c>
      <c r="O25" s="192">
        <f ca="1"/>
        <v>1.1465843992116163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3.1886747829479621E-4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2.8634594881431935E-4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2.222365026054839E-4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3.4299665272923495E-4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2.2485860592231466E-4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1.4188223024246604E-4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6.6671258483207277E-5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6">
        <f>PRODUCT('Regular Symbol'!C96:E96)</f>
        <v>23976978049206</v>
      </c>
      <c r="D35" s="326"/>
      <c r="E35" s="326"/>
      <c r="F35" s="326"/>
      <c r="G35" s="326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4.0637702705002328E-4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3.3287341053658348E-4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3.3322410630077631E-4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2.4572171024516174E-4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3.6708112373066385E-4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1.7721492489336909E-4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1.7692362512666509E-4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7.7937301281663486E-5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6">
        <f>PRODUCT('Regular Symbol'!C96:E96)</f>
        <v>23976978049206</v>
      </c>
      <c r="D47" s="326"/>
      <c r="E47" s="326"/>
      <c r="F47" s="326"/>
      <c r="G47" s="326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3.7923883517510724E-4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3.1783535851601455E-4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2.8896992348264011E-4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2.5223960120830479E-4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3.0397419968782746E-4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2.3089071865168293E-4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1.782854265018422E-4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7.1085029471978909E-5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6">
        <f>PRODUCT('Regular Symbol'!C96:E96)</f>
        <v>23976978049206</v>
      </c>
      <c r="D59" s="326"/>
      <c r="E59" s="326"/>
      <c r="F59" s="326"/>
      <c r="G59" s="326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3.7923883517510724E-4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3.6355769379238615E-4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3.2593982631513467E-4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2.2341719215391252E-4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4.1360370489926696E-4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2.3881355914177926E-4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1.2216964937368337E-4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6.510877284245987E-5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19.888755997703353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6">
        <f>PRODUCT('Regular Symbol'!C96:E96)</f>
        <v>23976978049206</v>
      </c>
      <c r="D11" s="326"/>
      <c r="E11" s="326"/>
      <c r="F11" s="326"/>
      <c r="G11" s="326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0.59055118110236215</v>
      </c>
      <c r="N14" s="171">
        <v>150000000</v>
      </c>
      <c r="O14" s="130">
        <f>T16</f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108.57529814106596</v>
      </c>
      <c r="P15" s="1"/>
      <c r="Q15" s="1"/>
      <c r="R15" s="1"/>
      <c r="S15" s="1" t="s">
        <v>89</v>
      </c>
      <c r="T15" s="1">
        <f>SUMPRODUCT(Q3:Q13, R3:R13)</f>
        <v>7.8255613126079444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2.599158550446741E-2</v>
      </c>
      <c r="N21" s="288">
        <f>$O$15</f>
        <v>108.57529814106596</v>
      </c>
      <c r="O21" s="186" cm="1">
        <f t="array" aca="1" ref="O21:O25" ca="1">M21:M25*N21:N25</f>
        <v>2.8220441453065574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2.599158550446741E-2</v>
      </c>
      <c r="N22" s="290">
        <f>$O$15+1*$O$15*_xlfn.BINOM.DIST(1,1,$I$4,FALSE)</f>
        <v>130.80762894742386</v>
      </c>
      <c r="O22" s="189">
        <f ca="1"/>
        <v>3.3998976724236138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6">
        <f>PRODUCT('Regular Symbol'!C96:E96)</f>
        <v>23976978049206</v>
      </c>
      <c r="D23" s="326"/>
      <c r="E23" s="326"/>
      <c r="F23" s="326"/>
      <c r="G23" s="326"/>
      <c r="H23" s="1"/>
      <c r="I23" s="33"/>
      <c r="J23" s="285"/>
      <c r="K23" s="34"/>
      <c r="L23" s="51" t="s">
        <v>279</v>
      </c>
      <c r="M23" s="289">
        <f t="shared" ca="1" si="4"/>
        <v>2.599158550446741E-2</v>
      </c>
      <c r="N23" s="290">
        <f>$O$15+1*$O$15*_xlfn.BINOM.DIST(1,2,$I$4,FALSE)+2*$O$15*_xlfn.BINOM.DIST(2,2,$I$4,FALSE)</f>
        <v>153.03995975378177</v>
      </c>
      <c r="O23" s="189">
        <f ca="1"/>
        <v>3.9777511995406702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175.27229056013974</v>
      </c>
      <c r="O24" s="189">
        <f ca="1"/>
        <v>4.5556047266577284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281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197.50462136649759</v>
      </c>
      <c r="O25" s="192">
        <f ca="1"/>
        <v>5.1334582537747826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6">
        <f>PRODUCT('Regular Symbol'!C96:E96)</f>
        <v>23976978049206</v>
      </c>
      <c r="D35" s="326"/>
      <c r="E35" s="326"/>
      <c r="F35" s="326"/>
      <c r="G35" s="326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6">
        <f>PRODUCT('Regular Symbol'!C96:E96)</f>
        <v>23976978049206</v>
      </c>
      <c r="D47" s="326"/>
      <c r="E47" s="326"/>
      <c r="F47" s="326"/>
      <c r="G47" s="326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6">
        <f>PRODUCT('Regular Symbol'!C96:E96)</f>
        <v>23976978049206</v>
      </c>
      <c r="D59" s="326"/>
      <c r="E59" s="326"/>
      <c r="F59" s="326"/>
      <c r="G59" s="326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33.793115760067892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6">
        <f>PRODUCT('Regular Symbol'!C96:E96)</f>
        <v>23976978049206</v>
      </c>
      <c r="D11" s="326"/>
      <c r="E11" s="326"/>
      <c r="F11" s="326"/>
      <c r="G11" s="326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0.42553191489361702</v>
      </c>
      <c r="N14" s="171">
        <v>100000000</v>
      </c>
      <c r="O14" s="130">
        <f>T16</f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184.48100118421755</v>
      </c>
      <c r="P15" s="1"/>
      <c r="Q15" s="1"/>
      <c r="R15" s="1"/>
      <c r="S15" s="1" t="s">
        <v>89</v>
      </c>
      <c r="T15" s="1">
        <f>SUMPRODUCT(Q3:Q13, R3:R13)</f>
        <v>8.3988095238095237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24.37962962962963</v>
      </c>
      <c r="Y15" s="93">
        <f t="shared" si="3"/>
        <v>24.37962962962963</v>
      </c>
      <c r="Z15" s="93">
        <f t="shared" si="3"/>
        <v>28.050239234449759</v>
      </c>
      <c r="AA15" s="93">
        <f t="shared" si="3"/>
        <v>28.050239234449759</v>
      </c>
      <c r="AB15" s="93">
        <f t="shared" si="3"/>
        <v>28.050239234449759</v>
      </c>
      <c r="AC15" s="93">
        <f t="shared" si="3"/>
        <v>28.050239234449759</v>
      </c>
      <c r="AD15" s="93">
        <f t="shared" si="3"/>
        <v>28.050239234449759</v>
      </c>
      <c r="AE15" s="93">
        <f t="shared" si="3"/>
        <v>28.050239234449759</v>
      </c>
      <c r="AF15" s="93">
        <f t="shared" si="3"/>
        <v>28.050239234449759</v>
      </c>
      <c r="AG15" s="93">
        <f t="shared" si="3"/>
        <v>28.050239234449759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30</v>
      </c>
      <c r="AJ15" s="1" cm="1">
        <f t="array" ref="AJ15">AJ2*SMALL(_xlfn.UNIQUE($V$3:$V$13*--(AJ3:AJ13&gt;0)),2)</f>
        <v>40</v>
      </c>
      <c r="AK15" s="1" cm="1">
        <f t="array" ref="AK15">AK2*SMALL(_xlfn.UNIQUE($V$3:$V$13*--(AK3:AK13&gt;0)),2)</f>
        <v>50</v>
      </c>
      <c r="AL15" s="1" cm="1">
        <f t="array" ref="AL15">AL2*SMALL(_xlfn.UNIQUE($V$3:$V$13*--(AL3:AL13&gt;0)),2)</f>
        <v>60</v>
      </c>
      <c r="AM15" s="1" cm="1">
        <f t="array" ref="AM15">AM2*SMALL(_xlfn.UNIQUE($V$3:$V$13*--(AM3:AM13&gt;0)),2)</f>
        <v>70</v>
      </c>
      <c r="AN15" s="1" cm="1">
        <f t="array" ref="AN15">AN2*SMALL(_xlfn.UNIQUE($V$3:$V$13*--(AN3:AN13&gt;0)),2)</f>
        <v>80</v>
      </c>
      <c r="AO15" s="1" cm="1">
        <f t="array" ref="AO15">AO2*SMALL(_xlfn.UNIQUE($V$3:$V$13*--(AO3:AO13&gt;0)),2)</f>
        <v>90</v>
      </c>
      <c r="AP15" s="1" cm="1">
        <f t="array" ref="AP15">AP2*SMALL(_xlfn.UNIQUE($V$3:$V$13*--(AP3:AP13&gt;0)),2)</f>
        <v>100</v>
      </c>
      <c r="AQ15" s="1" cm="1">
        <f t="array" ref="AQ15">AQ2*SMALL(_xlfn.UNIQUE($V$3:$V$13*--(AQ3:AQ13&gt;0)),2)</f>
        <v>200</v>
      </c>
      <c r="AR15" s="1" cm="1">
        <f t="array" ref="AR15">AR2*SMALL(_xlfn.UNIQUE($V$3:$V$13*--(AR3:AR13&gt;0)),2)</f>
        <v>500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2.599158550446741E-2</v>
      </c>
      <c r="N21" s="288">
        <f>$O$15</f>
        <v>184.48100118421755</v>
      </c>
      <c r="O21" s="186" cm="1">
        <f t="array" aca="1" ref="O21:O25" ca="1">M21:M25*N21:N25</f>
        <v>4.7949537162293439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2.599158550446741E-2</v>
      </c>
      <c r="N22" s="290">
        <f>$O$15+1*$O$15*_xlfn.BINOM.DIST(1,1,$I$4,FALSE)</f>
        <v>222.25610027247288</v>
      </c>
      <c r="O22" s="189">
        <f ca="1"/>
        <v>5.7767884341214613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6">
        <f>PRODUCT('Regular Symbol'!C96:E96)</f>
        <v>23976978049206</v>
      </c>
      <c r="D23" s="326"/>
      <c r="E23" s="326"/>
      <c r="F23" s="326"/>
      <c r="G23" s="326"/>
      <c r="H23" s="1"/>
      <c r="I23" s="33"/>
      <c r="J23" s="285"/>
      <c r="K23" s="34"/>
      <c r="L23" s="51" t="s">
        <v>279</v>
      </c>
      <c r="M23" s="289">
        <f t="shared" ca="1" si="4"/>
        <v>2.599158550446741E-2</v>
      </c>
      <c r="N23" s="290">
        <f>$O$15+1*$O$15*_xlfn.BINOM.DIST(1,2,$I$4,FALSE)+2*$O$15*_xlfn.BINOM.DIST(2,2,$I$4,FALSE)</f>
        <v>260.03119936072818</v>
      </c>
      <c r="O23" s="189">
        <f ca="1"/>
        <v>6.7586231520135778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297.80629844898357</v>
      </c>
      <c r="O24" s="189">
        <f ca="1"/>
        <v>7.740457869905697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281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335.58139753723879</v>
      </c>
      <c r="O25" s="192">
        <f ca="1"/>
        <v>8.7222925877978117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6">
        <f>PRODUCT('Regular Symbol'!C96:E96)</f>
        <v>23976978049206</v>
      </c>
      <c r="D35" s="326"/>
      <c r="E35" s="326"/>
      <c r="F35" s="326"/>
      <c r="G35" s="326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6">
        <f>PRODUCT('Regular Symbol'!C96:E96)</f>
        <v>23976978049206</v>
      </c>
      <c r="D47" s="326"/>
      <c r="E47" s="326"/>
      <c r="F47" s="326"/>
      <c r="G47" s="326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6">
        <f>PRODUCT('Regular Symbol'!C96:E96)</f>
        <v>23976978049206</v>
      </c>
      <c r="D59" s="326"/>
      <c r="E59" s="326"/>
      <c r="F59" s="326"/>
      <c r="G59" s="326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7.0066943814847335E-2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6.4653886116723385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 cm="1">
        <f t="array" ref="M3:M14">N3:N14/SUM(N3:N14)</f>
        <v>2.8571428571428571E-2</v>
      </c>
      <c r="N3" s="169">
        <v>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6">
        <f>PRODUCT('Regular Symbol'!C96:E96)</f>
        <v>23976978049206</v>
      </c>
      <c r="D11" s="326"/>
      <c r="E11" s="326"/>
      <c r="F11" s="326"/>
      <c r="G11" s="326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0.17142857142857143</v>
      </c>
      <c r="N14" s="171">
        <v>30000000</v>
      </c>
      <c r="O14" s="130">
        <f>T16</f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92.27444868663315</v>
      </c>
      <c r="P15" s="1"/>
      <c r="Q15" s="1"/>
      <c r="R15" s="1"/>
      <c r="S15" s="1" t="s">
        <v>89</v>
      </c>
      <c r="T15" s="1">
        <f>SUMPRODUCT(Q3:Q13, R3:R13)</f>
        <v>8.315240083507307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18.416666666666664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20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6">
        <f>PRODUCT('Regular Symbol'!C96:E96)</f>
        <v>23976978049206</v>
      </c>
      <c r="D23" s="326"/>
      <c r="E23" s="326"/>
      <c r="F23" s="326"/>
      <c r="G23" s="326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6">
        <f>PRODUCT('Regular Symbol'!C96:E96)</f>
        <v>23976978049206</v>
      </c>
      <c r="D35" s="326"/>
      <c r="E35" s="326"/>
      <c r="F35" s="326"/>
      <c r="G35" s="326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6">
        <f>PRODUCT('Regular Symbol'!C96:E96)</f>
        <v>23976978049206</v>
      </c>
      <c r="D47" s="326"/>
      <c r="E47" s="326"/>
      <c r="F47" s="326"/>
      <c r="G47" s="326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6">
        <f>PRODUCT('Regular Symbol'!C96:E96)</f>
        <v>23976978049206</v>
      </c>
      <c r="D59" s="326"/>
      <c r="E59" s="326"/>
      <c r="F59" s="326"/>
      <c r="G59" s="326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0.23355647938282445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8.6325365241464844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 cm="1">
        <f t="array" ref="M3:M14">N3:N14/SUM(N3:N14)</f>
        <v>0.12820512820512819</v>
      </c>
      <c r="N3" s="169">
        <v>15000000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6">
        <f>PRODUCT('Regular Symbol'!C96:E96)</f>
        <v>23976978049206</v>
      </c>
      <c r="D11" s="326"/>
      <c r="E11" s="326"/>
      <c r="F11" s="326"/>
      <c r="G11" s="326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0.1111111111111111</v>
      </c>
      <c r="N14" s="171">
        <v>13000000</v>
      </c>
      <c r="O14" s="130">
        <f>T16</f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36.961237585692572</v>
      </c>
      <c r="P15" s="1"/>
      <c r="Q15" s="1"/>
      <c r="R15" s="1"/>
      <c r="S15" s="1" t="s">
        <v>89</v>
      </c>
      <c r="T15" s="1">
        <f>SUMPRODUCT(Q3:Q13, R3:R13)</f>
        <v>6.8573446327683607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18.279542566709022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6">
        <f>PRODUCT('Regular Symbol'!C96:E96)</f>
        <v>23976978049206</v>
      </c>
      <c r="D23" s="326"/>
      <c r="E23" s="326"/>
      <c r="F23" s="326"/>
      <c r="G23" s="326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6">
        <f>PRODUCT('Regular Symbol'!C96:E96)</f>
        <v>23976978049206</v>
      </c>
      <c r="D35" s="326"/>
      <c r="E35" s="326"/>
      <c r="F35" s="326"/>
      <c r="G35" s="326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6">
        <f>PRODUCT('Regular Symbol'!C96:E96)</f>
        <v>23976978049206</v>
      </c>
      <c r="D47" s="326"/>
      <c r="E47" s="326"/>
      <c r="F47" s="326"/>
      <c r="G47" s="326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6">
        <f>PRODUCT('Regular Symbol'!C96:E96)</f>
        <v>23976978049206</v>
      </c>
      <c r="D59" s="326"/>
      <c r="E59" s="326"/>
      <c r="F59" s="326"/>
      <c r="G59" s="326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Overview</vt:lpstr>
      <vt:lpstr>Parameter</vt:lpstr>
      <vt:lpstr>Parameter-卡片</vt:lpstr>
      <vt:lpstr>Multiplier Weight</vt:lpstr>
      <vt:lpstr>Multiplier Weight (new_player)</vt:lpstr>
      <vt:lpstr>OP Jackpot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2026-10-20T08:56:55Z</dcterms:modified>
</cp:coreProperties>
</file>