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3EDB69C6-5628-4930-949D-E381875C1A49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41" i="32" l="1"/>
  <c r="E242" i="32"/>
  <c r="E210" i="32"/>
  <c r="E211" i="32"/>
  <c r="E212" i="32"/>
  <c r="E213" i="32"/>
  <c r="E214" i="32"/>
  <c r="E226" i="32"/>
  <c r="E227" i="32"/>
  <c r="E228" i="32"/>
  <c r="E229" i="32"/>
  <c r="E243" i="32"/>
  <c r="E244" i="32"/>
  <c r="E215" i="32"/>
  <c r="E218" i="32"/>
  <c r="E246" i="32"/>
  <c r="E216" i="32"/>
  <c r="E247" i="32"/>
  <c r="E217" i="32"/>
  <c r="E248" i="32"/>
  <c r="E232" i="32"/>
  <c r="E249" i="32"/>
  <c r="E219" i="32"/>
  <c r="E250" i="32"/>
  <c r="E220" i="32"/>
  <c r="E251" i="32"/>
  <c r="E221" i="32"/>
  <c r="E238" i="32"/>
  <c r="E208" i="32"/>
  <c r="E254" i="32"/>
  <c r="E209" i="32"/>
  <c r="E224" i="32"/>
  <c r="E255" i="32"/>
  <c r="E245" i="32"/>
  <c r="E230" i="32"/>
  <c r="E200" i="32"/>
  <c r="E231" i="32"/>
  <c r="E201" i="32"/>
  <c r="E202" i="32"/>
  <c r="E233" i="32"/>
  <c r="E203" i="32"/>
  <c r="E234" i="32"/>
  <c r="E204" i="32"/>
  <c r="E235" i="32"/>
  <c r="E205" i="32"/>
  <c r="E236" i="32"/>
  <c r="E206" i="32"/>
  <c r="E237" i="32"/>
  <c r="E207" i="32"/>
  <c r="E252" i="32"/>
  <c r="E222" i="32"/>
  <c r="E253" i="32"/>
  <c r="E223" i="32"/>
  <c r="E239" i="32"/>
  <c r="E225" i="32"/>
  <c r="E240" i="32"/>
  <c r="E256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G199" i="32" l="1" a="1"/>
  <c r="G199" i="32" s="1"/>
  <c r="M4" i="39" a="1"/>
  <c r="M4" i="39" s="1"/>
  <c r="N4" i="39" s="1" a="1"/>
  <c r="N65" i="39" s="1"/>
  <c r="I117" i="39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64" i="39" l="1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22" i="34" l="1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4" i="34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40" i="32"/>
  <c r="I209" i="32"/>
  <c r="I248" i="32"/>
  <c r="I200" i="32"/>
  <c r="I230" i="32"/>
  <c r="I228" i="32"/>
  <c r="I210" i="32"/>
  <c r="I239" i="32"/>
  <c r="I208" i="32"/>
  <c r="I238" i="32"/>
  <c r="I220" i="32"/>
  <c r="I250" i="32"/>
  <c r="I219" i="32"/>
  <c r="I249" i="32"/>
  <c r="I218" i="32"/>
  <c r="I229" i="32"/>
  <c r="I252" i="32"/>
  <c r="I216" i="32"/>
  <c r="I227" i="32"/>
  <c r="I211" i="32"/>
  <c r="I254" i="32"/>
  <c r="I241" i="32"/>
  <c r="I205" i="32"/>
  <c r="I202" i="32"/>
  <c r="I222" i="32"/>
  <c r="I242" i="32"/>
  <c r="I203" i="32"/>
  <c r="I226" i="32"/>
  <c r="I213" i="32"/>
  <c r="I236" i="32"/>
  <c r="I204" i="32"/>
  <c r="A199" i="32"/>
  <c r="I199" i="32" s="1"/>
  <c r="I237" i="32"/>
  <c r="I201" i="32"/>
  <c r="I221" i="32"/>
  <c r="I231" i="32"/>
  <c r="I225" i="32"/>
  <c r="I212" i="32"/>
  <c r="I255" i="32"/>
  <c r="I223" i="32"/>
  <c r="I246" i="32"/>
  <c r="I217" i="32"/>
  <c r="I214" i="32"/>
  <c r="I224" i="32"/>
  <c r="I244" i="32"/>
  <c r="I215" i="32"/>
  <c r="I232" i="32"/>
  <c r="I233" i="32"/>
  <c r="I256" i="32"/>
  <c r="I253" i="32"/>
  <c r="I234" i="32"/>
  <c r="I251" i="32"/>
  <c r="I235" i="32"/>
  <c r="I245" i="32"/>
  <c r="I243" i="32"/>
  <c r="I207" i="32"/>
  <c r="I20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D102" i="1" l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D42" i="40" s="1"/>
  <c r="R102" i="1"/>
  <c r="K101" i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D40" i="20" s="1"/>
  <c r="AC83" i="20" l="1"/>
  <c r="AF2" i="20" a="1"/>
  <c r="AF2" i="20" s="1"/>
  <c r="AT2" i="20" a="1"/>
  <c r="AT2" i="20" s="1"/>
  <c r="AW2" i="20" s="1" a="1"/>
  <c r="AW2" i="20" s="1"/>
  <c r="AZ2" i="20" s="1" a="1"/>
  <c r="AZ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<sst xmlns="http://schemas.openxmlformats.org/spreadsheetml/2006/main" count="12338" uniqueCount="315">
  <si>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</si>
  <si>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</si>
  <si>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</si>
  <si>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</si>
  <si>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</si>
  <si>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</si>
  <si>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</si>
  <si>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</si>
  <si>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</si>
  <si>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</si>
  <si>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</si>
  <si>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</si>
  <si>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</si>
  <si>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</si>
  <si>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</si>
  <si>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</si>
  <si>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</si>
  <si>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</si>
  <si>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</si>
  <si>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</si>
  <si>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</si>
  <si>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</si>
  <si>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</si>
  <si>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</si>
  <si>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</si>
  <si>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</si>
  <si>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</si>
  <si>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</si>
  <si>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</si>
  <si>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</si>
  <si>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</si>
  <si>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</si>
  <si>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</si>
  <si>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</si>
  <si>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</si>
  <si>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</si>
  <si>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</si>
  <si>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</si>
  <si>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</si>
  <si>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</si>
  <si>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</si>
  <si>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</si>
  <si>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</si>
  <si>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</si>
  <si>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</si>
  <si>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</si>
  <si>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</si>
  <si>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</si>
  <si>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</si>
  <si>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</si>
  <si>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</si>
  <si>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</si>
  <si>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</si>
  <si>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</si>
  <si>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</si>
  <si>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</si>
  <si>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</si>
  <si>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</si>
  <si>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</si>
  <si>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</si>
  <si>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</si>
  <si>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</si>
  <si>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</si>
  <si>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</si>
  <si>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</si>
  <si>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</si>
  <si>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</si>
  <si>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</si>
  <si>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</si>
  <si>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</si>
  <si>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</si>
  <si>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</si>
  <si>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</si>
  <si>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</si>
  <si>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</si>
  <si>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</si>
  <si>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</si>
  <si>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</si>
  <si>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</si>
  <si>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</si>
  <si>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</si>
  <si>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</si>
  <si>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</si>
  <si>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</si>
  <si>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</si>
  <si>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</si>
  <si>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</si>
  <si>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</si>
  <si>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</si>
  <si>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</si>
  <si>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</si>
  <si>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</si>
  <si>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</si>
  <si>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</si>
  <si>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</si>
  <si>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</si>
  <si>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</si>
  <si>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</si>
  <si>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</si>
  <si>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</si>
  <si>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</si>
  <si>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</si>
  <si>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</si>
  <si>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</si>
  <si>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</si>
  <si>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</si>
  <si>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</si>
  <si>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</si>
  <si>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</si>
  <si>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</si>
  <si>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</si>
  <si>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</si>
  <si>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</si>
  <si>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</si>
  <si>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</si>
  <si>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</si>
  <si>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</si>
  <si>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</si>
  <si>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</si>
  <si>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</si>
  <si>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</si>
  <si>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</si>
  <si>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</si>
  <si>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</si>
  <si>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</si>
  <si>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</si>
  <si>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</si>
  <si>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</si>
  <si>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</si>
  <si>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</si>
  <si>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</si>
  <si>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</si>
  <si>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</si>
  <si>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</si>
  <si>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</si>
  <si>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</si>
  <si>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</si>
  <si>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</si>
  <si>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</si>
  <si>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</si>
  <si>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</si>
  <si>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</si>
  <si>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</si>
  <si>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</si>
  <si>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</si>
  <si>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</si>
  <si>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</si>
  <si>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</si>
  <si>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</si>
  <si>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</si>
  <si>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</si>
  <si>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</si>
  <si>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</si>
  <si>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</si>
  <si>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</si>
  <si>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</si>
  <si>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</si>
  <si>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</si>
  <si>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</si>
  <si>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</si>
  <si>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</si>
  <si>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</si>
  <si>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</si>
  <si>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</si>
  <si>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</si>
  <si>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</si>
  <si>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</si>
  <si>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</si>
  <si>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</si>
  <si>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</si>
  <si>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</si>
  <si>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</si>
  <si>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</si>
  <si>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</si>
  <si>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</si>
  <si>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</si>
  <si>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</si>
  <si>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</si>
  <si>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</si>
  <si>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</si>
  <si>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</si>
  <si>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</si>
  <si>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</si>
  <si>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</si>
  <si>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</si>
  <si>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</si>
  <si>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</si>
  <si>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</si>
  <si>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</si>
  <si>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</si>
  <si>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</si>
  <si>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</si>
  <si>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</si>
  <si>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</si>
  <si>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</si>
  <si>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</si>
  <si>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</si>
  <si>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</si>
  <si>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</si>
  <si>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</si>
  <si>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</si>
  <si>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</si>
  <si>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</si>
  <si>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</si>
  <si>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</si>
  <si>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</si>
  <si>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</si>
  <si>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</si>
  <si>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</si>
  <si>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</si>
  <si>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</si>
  <si>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</si>
  <si>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</si>
  <si>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</si>
  <si>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</si>
  <si>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</si>
  <si>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</si>
  <si>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</si>
  <si>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</si>
  <si>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</si>
  <si>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</si>
  <si>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</si>
  <si>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</si>
  <si>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</si>
  <si>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</si>
  <si>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</si>
  <si>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</si>
  <si>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</si>
  <si>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</si>
  <si>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</si>
  <si>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</si>
  <si>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</si>
  <si>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</si>
  <si>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</si>
  <si>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</si>
  <si>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</si>
  <si>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</si>
  <si>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</si>
  <si>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</si>
  <si>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</si>
  <si>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</si>
  <si>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</si>
  <si>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</si>
  <si>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</si>
  <si>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</si>
  <si>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</si>
  <si>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</si>
  <si>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</si>
  <si>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</si>
  <si>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</si>
  <si>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</si>
  <si>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</si>
  <si>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</si>
  <si>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</si>
  <si>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</si>
  <si>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</si>
  <si>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</si>
  <si>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</si>
  <si>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</si>
  <si>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</si>
  <si>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</si>
  <si>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</si>
  <si>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</si>
  <si>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</si>
  <si>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</si>
  <si>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</si>
  <si>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</si>
  <si>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</si>
  <si>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</si>
  <si>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</si>
  <si>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</si>
  <si>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</si>
  <si>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</si>
  <si>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</si>
  <si>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</si>
  <si>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</si>
  <si>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</si>
  <si>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</si>
  <si>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</si>
  <si>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</si>
  <si>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</si>
  <si>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</si>
  <si>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</si>
  <si>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</si>
  <si>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</si>
  <si>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</si>
  <si>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</si>
  <si>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</si>
  <si>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</si>
  <si>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</si>
  <si>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</si>
  <si>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</si>
  <si>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</si>
  <si>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</si>
  <si>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</si>
  <si>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Bet Type</t>
  </si>
  <si>
    <t>SCR</t>
  </si>
  <si>
    <t>Source Report</t>
  </si>
  <si>
    <t>NB_Newbie</t>
  </si>
  <si>
    <t>H020196A_02010000_2610200151_betmode0_108_9202_newbie.xlsx｜Newbie 獨立值</t>
  </si>
  <si>
    <t>NB</t>
  </si>
  <si>
    <t>H020196A_02020000_2610200429_betmode0_108_9104_oldhand.xlsx｜Oldhand</t>
  </si>
  <si>
    <t>EB1_Newbie</t>
  </si>
  <si>
    <t>H020196A_02010000_2610200153_betmode1_108_9196_newbie.xlsx｜Newbie 獨立值</t>
  </si>
  <si>
    <t>EB1</t>
  </si>
  <si>
    <t>H020196A_02020000_2610200430_betmode1_108_9104_oldhand.xlsx｜Oldhand</t>
  </si>
  <si>
    <t>EB2_Newbie</t>
  </si>
  <si>
    <t>H020196A_02010000_2610200156_betmode2_108_9205_newbie.xlsx｜Newbie 獨立值</t>
  </si>
  <si>
    <t>EB2</t>
  </si>
  <si>
    <t>H020196A_02020000_2610200434_betmode2_108_9104_oldhand.xlsx｜Oldhand</t>
  </si>
  <si>
    <t>SF_Newbie</t>
  </si>
  <si>
    <t>H020196A_02010000_2610200220_betmode3_108_9199_newbie.xlsx｜Newbie 獨立值</t>
  </si>
  <si>
    <t>SF</t>
  </si>
  <si>
    <t>H020196A_02010000_2610200150_betmode3_108_9201_oldhand.xlsx｜Oldhand</t>
  </si>
  <si>
    <t>2.2.1.0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</si>
</sst>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  <font>
      <b/>
      <sz val="12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16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1.169222E-2</c:v>
                </c:pt>
                <c:pt idx="1">
                  <c:v>1.6241884000000002E-2</c:v>
                </c:pt>
                <c:pt idx="2">
                  <c:v>1.1527348E-2</c:v>
                </c:pt>
                <c:pt idx="3">
                  <c:v>1.2258616E-2</c:v>
                </c:pt>
                <c:pt idx="4">
                  <c:v>1.0002924999999999E-2</c:v>
                </c:pt>
                <c:pt idx="5">
                  <c:v>7.9872789999999999E-3</c:v>
                </c:pt>
                <c:pt idx="6">
                  <c:v>1.941138E-3</c:v>
                </c:pt>
                <c:pt idx="7">
                  <c:v>8.3366710000000004E-3</c:v>
                </c:pt>
                <c:pt idx="8">
                  <c:v>3.0508219999999999E-3</c:v>
                </c:pt>
                <c:pt idx="9">
                  <c:v>6.1380970000000003E-3</c:v>
                </c:pt>
                <c:pt idx="10">
                  <c:v>9.7801989999999998E-3</c:v>
                </c:pt>
                <c:pt idx="11">
                  <c:v>5.8086969999999998E-3</c:v>
                </c:pt>
                <c:pt idx="12">
                  <c:v>2.435619E-3</c:v>
                </c:pt>
                <c:pt idx="13">
                  <c:v>2.111698E-3</c:v>
                </c:pt>
                <c:pt idx="14">
                  <c:v>4.0357400000000002E-4</c:v>
                </c:pt>
                <c:pt idx="15">
                  <c:v>9.4182499999999998E-4</c:v>
                </c:pt>
                <c:pt idx="16">
                  <c:v>2.1877299999999999E-4</c:v>
                </c:pt>
                <c:pt idx="17">
                  <c:v>1.0939089999999999E-3</c:v>
                </c:pt>
                <c:pt idx="18">
                  <c:v>4.2659099999999998E-4</c:v>
                </c:pt>
                <c:pt idx="19">
                  <c:v>4.3863999999999999E-5</c:v>
                </c:pt>
                <c:pt idx="20">
                  <c:v>1.88066E-4</c:v>
                </c:pt>
                <c:pt idx="21">
                  <c:v>7.2373999999999995E-5</c:v>
                </c:pt>
                <c:pt idx="22">
                  <c:v>1.3652900000000001E-4</c:v>
                </c:pt>
                <c:pt idx="23">
                  <c:v>8.6106000000000005E-5</c:v>
                </c:pt>
                <c:pt idx="24">
                  <c:v>2.0868000000000001E-5</c:v>
                </c:pt>
                <c:pt idx="25">
                  <c:v>1.4048E-5</c:v>
                </c:pt>
                <c:pt idx="26">
                  <c:v>1.2520999999999999E-5</c:v>
                </c:pt>
                <c:pt idx="27">
                  <c:v>5.5600000000000001E-6</c:v>
                </c:pt>
                <c:pt idx="28">
                  <c:v>5.9150000000000001E-6</c:v>
                </c:pt>
                <c:pt idx="29">
                  <c:v>6.9500000000000002E-7</c:v>
                </c:pt>
                <c:pt idx="30">
                  <c:v>3.4799999999999999E-7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6.5999999999999995E-8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2.17E-7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4.0151759999999996E-3</c:v>
                </c:pt>
                <c:pt idx="1">
                  <c:v>1.1639958000000001E-2</c:v>
                </c:pt>
                <c:pt idx="2">
                  <c:v>5.9618780000000003E-3</c:v>
                </c:pt>
                <c:pt idx="3">
                  <c:v>1.0997267E-2</c:v>
                </c:pt>
                <c:pt idx="4">
                  <c:v>1.0264629000000001E-2</c:v>
                </c:pt>
                <c:pt idx="5">
                  <c:v>9.0705330000000004E-3</c:v>
                </c:pt>
                <c:pt idx="6">
                  <c:v>2.0702450000000001E-3</c:v>
                </c:pt>
                <c:pt idx="7">
                  <c:v>9.4384389999999999E-3</c:v>
                </c:pt>
                <c:pt idx="8">
                  <c:v>3.5645360000000001E-3</c:v>
                </c:pt>
                <c:pt idx="9">
                  <c:v>8.2930079999999993E-3</c:v>
                </c:pt>
                <c:pt idx="10">
                  <c:v>1.4470214E-2</c:v>
                </c:pt>
                <c:pt idx="11">
                  <c:v>9.1129039999999998E-3</c:v>
                </c:pt>
                <c:pt idx="12">
                  <c:v>5.0889780000000001E-3</c:v>
                </c:pt>
                <c:pt idx="13">
                  <c:v>3.3923870000000002E-3</c:v>
                </c:pt>
                <c:pt idx="14">
                  <c:v>6.0922999999999999E-4</c:v>
                </c:pt>
                <c:pt idx="15">
                  <c:v>2.045435E-3</c:v>
                </c:pt>
                <c:pt idx="16">
                  <c:v>6.9872200000000004E-4</c:v>
                </c:pt>
                <c:pt idx="17">
                  <c:v>1.020094E-3</c:v>
                </c:pt>
                <c:pt idx="18">
                  <c:v>9.846360000000001E-4</c:v>
                </c:pt>
                <c:pt idx="19">
                  <c:v>1.13542E-4</c:v>
                </c:pt>
                <c:pt idx="20">
                  <c:v>3.75819E-4</c:v>
                </c:pt>
                <c:pt idx="21">
                  <c:v>2.1904800000000001E-4</c:v>
                </c:pt>
                <c:pt idx="22">
                  <c:v>3.6767000000000001E-4</c:v>
                </c:pt>
                <c:pt idx="23">
                  <c:v>1.8833000000000001E-4</c:v>
                </c:pt>
                <c:pt idx="24">
                  <c:v>4.3099999999999997E-5</c:v>
                </c:pt>
                <c:pt idx="25">
                  <c:v>1.3948300000000001E-4</c:v>
                </c:pt>
                <c:pt idx="26">
                  <c:v>3.4011999999999999E-5</c:v>
                </c:pt>
                <c:pt idx="27">
                  <c:v>4.1940999999999997E-5</c:v>
                </c:pt>
                <c:pt idx="28">
                  <c:v>5.7799E-5</c:v>
                </c:pt>
                <c:pt idx="29">
                  <c:v>2.2657999999999999E-5</c:v>
                </c:pt>
                <c:pt idx="30">
                  <c:v>2.2620000000000001E-6</c:v>
                </c:pt>
                <c:pt idx="31">
                  <c:v>1.1289999999999999E-6</c:v>
                </c:pt>
                <c:pt idx="32">
                  <c:v>5.6590000000000004E-6</c:v>
                </c:pt>
                <c:pt idx="33">
                  <c:v>1.5846E-5</c:v>
                </c:pt>
                <c:pt idx="34">
                  <c:v>4.5249999999999999E-6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9.7300000000000004E-7</c:v>
                </c:pt>
                <c:pt idx="45">
                  <c:v>4.34E-7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3.3398644999999998E-2</c:v>
                      </c:pt>
                      <c:pt idx="8">
                        <c:v>0</c:v>
                      </c:pt>
                      <c:pt idx="9">
                        <c:v>2.5173898E-2</c:v>
                      </c:pt>
                      <c:pt idx="10">
                        <c:v>4.0198839999999996E-3</c:v>
                      </c:pt>
                      <c:pt idx="11">
                        <c:v>1.3814322E-2</c:v>
                      </c:pt>
                      <c:pt idx="12">
                        <c:v>8.7050430000000008E-3</c:v>
                      </c:pt>
                      <c:pt idx="13">
                        <c:v>6.9070889999999999E-3</c:v>
                      </c:pt>
                      <c:pt idx="14">
                        <c:v>4.6234539999999999E-3</c:v>
                      </c:pt>
                      <c:pt idx="15">
                        <c:v>4.0521519999999998E-3</c:v>
                      </c:pt>
                      <c:pt idx="16">
                        <c:v>8.6093809999999993E-3</c:v>
                      </c:pt>
                      <c:pt idx="17">
                        <c:v>2.935656E-3</c:v>
                      </c:pt>
                      <c:pt idx="18">
                        <c:v>3.0487180000000002E-3</c:v>
                      </c:pt>
                      <c:pt idx="19">
                        <c:v>8.3465899999999997E-4</c:v>
                      </c:pt>
                      <c:pt idx="20">
                        <c:v>1.559558E-3</c:v>
                      </c:pt>
                      <c:pt idx="21">
                        <c:v>1.4655814E-2</c:v>
                      </c:pt>
                      <c:pt idx="22">
                        <c:v>2.2075939999999998E-3</c:v>
                      </c:pt>
                      <c:pt idx="23">
                        <c:v>6.0618399999999995E-4</c:v>
                      </c:pt>
                      <c:pt idx="24">
                        <c:v>8.6038999999999994E-5</c:v>
                      </c:pt>
                      <c:pt idx="25">
                        <c:v>1.5128900000000001E-4</c:v>
                      </c:pt>
                      <c:pt idx="26">
                        <c:v>5.0346890000000002E-3</c:v>
                      </c:pt>
                      <c:pt idx="27">
                        <c:v>8.0253999999999994E-5</c:v>
                      </c:pt>
                      <c:pt idx="28">
                        <c:v>3.1049E-5</c:v>
                      </c:pt>
                      <c:pt idx="29">
                        <c:v>2.1547329999999998E-3</c:v>
                      </c:pt>
                      <c:pt idx="30">
                        <c:v>6.4601100000000005E-4</c:v>
                      </c:pt>
                      <c:pt idx="31">
                        <c:v>0</c:v>
                      </c:pt>
                      <c:pt idx="32">
                        <c:v>8.3872299999999999E-4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2.8772299999999998E-4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9.6933000000000002E-5</c:v>
                      </c:pt>
                      <c:pt idx="46">
                        <c:v>0</c:v>
                      </c:pt>
                      <c:pt idx="47">
                        <c:v>6.0828000000000001E-5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8.9045047000000002E-2</c:v>
                      </c:pt>
                      <c:pt idx="19">
                        <c:v>6.9977757000000002E-2</c:v>
                      </c:pt>
                      <c:pt idx="20">
                        <c:v>6.0400557000000001E-2</c:v>
                      </c:pt>
                      <c:pt idx="21">
                        <c:v>7.3256897000000001E-2</c:v>
                      </c:pt>
                      <c:pt idx="22">
                        <c:v>0.13533110400000001</c:v>
                      </c:pt>
                      <c:pt idx="23">
                        <c:v>0.149557247</c:v>
                      </c:pt>
                      <c:pt idx="24">
                        <c:v>7.8779410999999994E-2</c:v>
                      </c:pt>
                      <c:pt idx="25">
                        <c:v>3.5927506999999997E-2</c:v>
                      </c:pt>
                      <c:pt idx="26">
                        <c:v>2.0484820000000001E-2</c:v>
                      </c:pt>
                      <c:pt idx="27">
                        <c:v>3.0047478999999998E-2</c:v>
                      </c:pt>
                      <c:pt idx="28">
                        <c:v>1.2732413999999999E-2</c:v>
                      </c:pt>
                      <c:pt idx="29">
                        <c:v>7.3850071000000003E-2</c:v>
                      </c:pt>
                      <c:pt idx="30">
                        <c:v>1.109627E-2</c:v>
                      </c:pt>
                      <c:pt idx="31">
                        <c:v>1.2707543999999999E-2</c:v>
                      </c:pt>
                      <c:pt idx="32">
                        <c:v>9.8969220000000007E-3</c:v>
                      </c:pt>
                      <c:pt idx="33">
                        <c:v>1.2310544E-2</c:v>
                      </c:pt>
                      <c:pt idx="34">
                        <c:v>3.5483954999999998E-2</c:v>
                      </c:pt>
                      <c:pt idx="35">
                        <c:v>1.8685922000000001E-2</c:v>
                      </c:pt>
                      <c:pt idx="36">
                        <c:v>1.2343086E-2</c:v>
                      </c:pt>
                      <c:pt idx="37">
                        <c:v>5.81162E-3</c:v>
                      </c:pt>
                      <c:pt idx="38">
                        <c:v>4.915305E-3</c:v>
                      </c:pt>
                      <c:pt idx="39">
                        <c:v>8.0840770000000003E-3</c:v>
                      </c:pt>
                      <c:pt idx="40">
                        <c:v>4.5352470000000001E-3</c:v>
                      </c:pt>
                      <c:pt idx="41">
                        <c:v>4.407963E-3</c:v>
                      </c:pt>
                      <c:pt idx="42">
                        <c:v>3.3871859999999999E-3</c:v>
                      </c:pt>
                      <c:pt idx="43">
                        <c:v>6.1833340000000004E-3</c:v>
                      </c:pt>
                      <c:pt idx="44">
                        <c:v>1.5372993999999999E-2</c:v>
                      </c:pt>
                      <c:pt idx="45">
                        <c:v>1.5946420000000001E-3</c:v>
                      </c:pt>
                      <c:pt idx="46">
                        <c:v>1.2894639999999999E-3</c:v>
                      </c:pt>
                      <c:pt idx="47">
                        <c:v>1.025109E-3</c:v>
                      </c:pt>
                      <c:pt idx="48">
                        <c:v>3.4011600000000001E-4</c:v>
                      </c:pt>
                      <c:pt idx="49">
                        <c:v>3.2142299999999999E-4</c:v>
                      </c:pt>
                      <c:pt idx="50">
                        <c:v>2.9959499999999999E-4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8.6106000000000005E-5</c:v>
                </c:pt>
                <c:pt idx="1">
                  <c:v>2.0868000000000001E-5</c:v>
                </c:pt>
                <c:pt idx="2">
                  <c:v>1.4048E-5</c:v>
                </c:pt>
                <c:pt idx="3">
                  <c:v>1.2520999999999999E-5</c:v>
                </c:pt>
                <c:pt idx="4">
                  <c:v>5.5600000000000001E-6</c:v>
                </c:pt>
                <c:pt idx="5">
                  <c:v>5.9150000000000001E-6</c:v>
                </c:pt>
                <c:pt idx="6">
                  <c:v>6.9500000000000002E-7</c:v>
                </c:pt>
                <c:pt idx="7">
                  <c:v>3.4799999999999999E-7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6.5999999999999995E-8</c:v>
                </c:pt>
                <c:pt idx="12">
                  <c:v>2.17E-7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1.8833000000000001E-4</c:v>
                      </c:pt>
                      <c:pt idx="1">
                        <c:v>4.3099999999999997E-5</c:v>
                      </c:pt>
                      <c:pt idx="2">
                        <c:v>1.3948300000000001E-4</c:v>
                      </c:pt>
                      <c:pt idx="3">
                        <c:v>3.4011999999999999E-5</c:v>
                      </c:pt>
                      <c:pt idx="4">
                        <c:v>4.1940999999999997E-5</c:v>
                      </c:pt>
                      <c:pt idx="5">
                        <c:v>5.7799E-5</c:v>
                      </c:pt>
                      <c:pt idx="6">
                        <c:v>2.2657999999999999E-5</c:v>
                      </c:pt>
                      <c:pt idx="7">
                        <c:v>2.2620000000000001E-6</c:v>
                      </c:pt>
                      <c:pt idx="8">
                        <c:v>1.1289999999999999E-6</c:v>
                      </c:pt>
                      <c:pt idx="9">
                        <c:v>5.6590000000000004E-6</c:v>
                      </c:pt>
                      <c:pt idx="10">
                        <c:v>1.5846E-5</c:v>
                      </c:pt>
                      <c:pt idx="11">
                        <c:v>4.5249999999999999E-6</c:v>
                      </c:pt>
                      <c:pt idx="12">
                        <c:v>9.7300000000000004E-7</c:v>
                      </c:pt>
                      <c:pt idx="13">
                        <c:v>4.34E-7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6.0618399999999995E-4</c:v>
                      </c:pt>
                      <c:pt idx="1">
                        <c:v>8.6038999999999994E-5</c:v>
                      </c:pt>
                      <c:pt idx="2">
                        <c:v>1.5128900000000001E-4</c:v>
                      </c:pt>
                      <c:pt idx="3">
                        <c:v>5.0346890000000002E-3</c:v>
                      </c:pt>
                      <c:pt idx="4">
                        <c:v>8.0253999999999994E-5</c:v>
                      </c:pt>
                      <c:pt idx="5">
                        <c:v>3.1049E-5</c:v>
                      </c:pt>
                      <c:pt idx="6">
                        <c:v>2.1547329999999998E-3</c:v>
                      </c:pt>
                      <c:pt idx="7">
                        <c:v>6.4601100000000005E-4</c:v>
                      </c:pt>
                      <c:pt idx="8">
                        <c:v>0</c:v>
                      </c:pt>
                      <c:pt idx="9">
                        <c:v>8.3872299999999999E-4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9.6933000000000002E-5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0.149557247</c:v>
                      </c:pt>
                      <c:pt idx="1">
                        <c:v>7.8779410999999994E-2</c:v>
                      </c:pt>
                      <c:pt idx="2">
                        <c:v>3.5927506999999997E-2</c:v>
                      </c:pt>
                      <c:pt idx="3">
                        <c:v>2.0484820000000001E-2</c:v>
                      </c:pt>
                      <c:pt idx="4">
                        <c:v>3.0047478999999998E-2</c:v>
                      </c:pt>
                      <c:pt idx="5">
                        <c:v>1.2732413999999999E-2</c:v>
                      </c:pt>
                      <c:pt idx="6">
                        <c:v>7.3850071000000003E-2</c:v>
                      </c:pt>
                      <c:pt idx="7">
                        <c:v>1.109627E-2</c:v>
                      </c:pt>
                      <c:pt idx="8">
                        <c:v>1.2707543999999999E-2</c:v>
                      </c:pt>
                      <c:pt idx="9">
                        <c:v>9.8969220000000007E-3</c:v>
                      </c:pt>
                      <c:pt idx="10">
                        <c:v>1.2310544E-2</c:v>
                      </c:pt>
                      <c:pt idx="11">
                        <c:v>3.5483954999999998E-2</c:v>
                      </c:pt>
                      <c:pt idx="12">
                        <c:v>1.5372993999999999E-2</c:v>
                      </c:pt>
                      <c:pt idx="13">
                        <c:v>1.5946420000000001E-3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5.6338170000000002E-3</c:v>
                </c:pt>
                <c:pt idx="1">
                  <c:v>9.1483109999999992E-3</c:v>
                </c:pt>
                <c:pt idx="2">
                  <c:v>6.4571109999999998E-3</c:v>
                </c:pt>
                <c:pt idx="3">
                  <c:v>8.4983550000000008E-3</c:v>
                </c:pt>
                <c:pt idx="4">
                  <c:v>5.8128470000000003E-3</c:v>
                </c:pt>
                <c:pt idx="5">
                  <c:v>5.7820340000000001E-3</c:v>
                </c:pt>
                <c:pt idx="6">
                  <c:v>1.456564E-3</c:v>
                </c:pt>
                <c:pt idx="7">
                  <c:v>1.5166449E-2</c:v>
                </c:pt>
                <c:pt idx="8">
                  <c:v>3.3072819999999999E-3</c:v>
                </c:pt>
                <c:pt idx="9">
                  <c:v>4.1116169999999997E-3</c:v>
                </c:pt>
                <c:pt idx="10">
                  <c:v>2.0629327999999999E-2</c:v>
                </c:pt>
                <c:pt idx="11">
                  <c:v>5.1810210000000001E-3</c:v>
                </c:pt>
                <c:pt idx="12">
                  <c:v>7.1618999999999997E-3</c:v>
                </c:pt>
                <c:pt idx="13">
                  <c:v>2.4926689999999999E-3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1.0126723000000001E-2</c:v>
                </c:pt>
                <c:pt idx="1">
                  <c:v>1.6444481E-2</c:v>
                </c:pt>
                <c:pt idx="2">
                  <c:v>1.1606459E-2</c:v>
                </c:pt>
                <c:pt idx="3">
                  <c:v>1.2668673E-2</c:v>
                </c:pt>
                <c:pt idx="4">
                  <c:v>8.6651880000000008E-3</c:v>
                </c:pt>
                <c:pt idx="5">
                  <c:v>8.6191979999999998E-3</c:v>
                </c:pt>
                <c:pt idx="6">
                  <c:v>2.171287E-3</c:v>
                </c:pt>
                <c:pt idx="7">
                  <c:v>9.0433419999999994E-3</c:v>
                </c:pt>
                <c:pt idx="8">
                  <c:v>3.9440600000000001E-3</c:v>
                </c:pt>
                <c:pt idx="9">
                  <c:v>4.9032479999999998E-3</c:v>
                </c:pt>
                <c:pt idx="10">
                  <c:v>7.4158560000000002E-3</c:v>
                </c:pt>
                <c:pt idx="11">
                  <c:v>1.8624638999999998E-2</c:v>
                </c:pt>
                <c:pt idx="12">
                  <c:v>2.5745299999999998E-3</c:v>
                </c:pt>
                <c:pt idx="13">
                  <c:v>1.792098E-3</c:v>
                </c:pt>
                <c:pt idx="14">
                  <c:v>8.8648330000000008E-3</c:v>
                </c:pt>
                <c:pt idx="15">
                  <c:v>1.557618E-3</c:v>
                </c:pt>
                <c:pt idx="16">
                  <c:v>2.7342680000000002E-3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3.2763841000000002E-2</c:v>
                      </c:pt>
                      <c:pt idx="8">
                        <c:v>0</c:v>
                      </c:pt>
                      <c:pt idx="9">
                        <c:v>4.9403310000000001E-3</c:v>
                      </c:pt>
                      <c:pt idx="10">
                        <c:v>3.945769E-3</c:v>
                      </c:pt>
                      <c:pt idx="11">
                        <c:v>1.3563362000000001E-2</c:v>
                      </c:pt>
                      <c:pt idx="12">
                        <c:v>8.5491500000000002E-3</c:v>
                      </c:pt>
                      <c:pt idx="13">
                        <c:v>6.784768E-3</c:v>
                      </c:pt>
                      <c:pt idx="14">
                        <c:v>4.5418990000000003E-3</c:v>
                      </c:pt>
                      <c:pt idx="15">
                        <c:v>3.1851649999999998E-3</c:v>
                      </c:pt>
                      <c:pt idx="16">
                        <c:v>3.384087E-3</c:v>
                      </c:pt>
                      <c:pt idx="17">
                        <c:v>2.3080660000000001E-3</c:v>
                      </c:pt>
                      <c:pt idx="18">
                        <c:v>2.397382E-3</c:v>
                      </c:pt>
                      <c:pt idx="19">
                        <c:v>6.5640800000000003E-4</c:v>
                      </c:pt>
                      <c:pt idx="20">
                        <c:v>3.0667429999999998E-3</c:v>
                      </c:pt>
                      <c:pt idx="21">
                        <c:v>1.4411418E-2</c:v>
                      </c:pt>
                      <c:pt idx="22">
                        <c:v>2.489312E-3</c:v>
                      </c:pt>
                      <c:pt idx="23">
                        <c:v>1.9958089999999999E-3</c:v>
                      </c:pt>
                      <c:pt idx="24">
                        <c:v>7.2171300000000002E-4</c:v>
                      </c:pt>
                      <c:pt idx="25">
                        <c:v>2.3533109999999999E-3</c:v>
                      </c:pt>
                      <c:pt idx="26">
                        <c:v>6.6054119999999997E-3</c:v>
                      </c:pt>
                      <c:pt idx="27">
                        <c:v>2.3677809999999998E-3</c:v>
                      </c:pt>
                      <c:pt idx="28">
                        <c:v>6.5834190000000001E-3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1.9958089999999999E-3</c:v>
                      </c:pt>
                      <c:pt idx="1">
                        <c:v>7.2171300000000002E-4</c:v>
                      </c:pt>
                      <c:pt idx="2">
                        <c:v>2.3533109999999999E-3</c:v>
                      </c:pt>
                      <c:pt idx="3">
                        <c:v>6.6054119999999997E-3</c:v>
                      </c:pt>
                      <c:pt idx="4">
                        <c:v>2.3677809999999998E-3</c:v>
                      </c:pt>
                      <c:pt idx="5">
                        <c:v>6.5834190000000001E-3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H020196-2.2.1.0</v>
      </c>
      <c r="C1" s="11" t="s">
        <v>294</v>
      </c>
    </row>
    <row r="2" spans="1:10" ht="16.2">
      <c r="A2" s="2" t="s">
        <v>85</v>
      </c>
      <c r="B2" s="11" t="s">
        <v>314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0.11298506200000002</v>
      </c>
      <c r="H5" s="188">
        <f>SUM('Multiplier Weight'!$N$12:$N$61)-I5-J5</f>
        <v>1.7525590000000001E-2</v>
      </c>
      <c r="I5" s="188">
        <f>SUM('Multiplier Weight'!$N$15:$N$61)-J5</f>
        <v>2.0136213E-2</v>
      </c>
      <c r="J5" s="189">
        <f>SUM('Multiplier Weight'!$N$19:$N$61)</f>
        <v>3.6718489999999992E-3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0.11437249900000002</v>
      </c>
      <c r="H6" s="188">
        <f>SUM('Multiplier Weight'!N79:N126)-I6-J6</f>
        <v>2.2763221999999996E-2</v>
      </c>
      <c r="I6" s="188">
        <f>SUM('Multiplier Weight'!N81:N126)-J6</f>
        <v>2.0947655999999995E-2</v>
      </c>
      <c r="J6" s="189">
        <f>SUM('Multiplier Weight'!N87:N126)</f>
        <v>3.6389599999999997E-3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0.14466078500000001</v>
      </c>
      <c r="H7" s="188">
        <f>SUM('Multiplier Weight'!N153:N191)-I7-J7</f>
        <v>5.4429349999999977E-3</v>
      </c>
      <c r="I7" s="188">
        <f>SUM('Multiplier Weight'!N156:N191)-J7</f>
        <v>2.2852911999999989E-2</v>
      </c>
      <c r="J7" s="189">
        <f>SUM('Multiplier Weight'!N164:N191)</f>
        <v>4.1254139999999991E-3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9" t="s">
        <v>292</v>
      </c>
      <c r="B18" s="320"/>
      <c r="C18" s="320"/>
      <c r="D18" s="320"/>
      <c r="E18" s="320"/>
      <c r="F18" s="321"/>
    </row>
    <row r="19" spans="1:6" ht="31.8" customHeight="1">
      <c r="A19" s="322"/>
      <c r="B19" s="323"/>
      <c r="C19" s="323"/>
      <c r="D19" s="323"/>
      <c r="E19" s="323"/>
      <c r="F19" s="324"/>
    </row>
    <row r="20" spans="1:6" ht="31.8" customHeight="1">
      <c r="A20" s="322"/>
      <c r="B20" s="323"/>
      <c r="C20" s="323"/>
      <c r="D20" s="323"/>
      <c r="E20" s="323"/>
      <c r="F20" s="324"/>
    </row>
    <row r="21" spans="1:6" ht="31.8" customHeight="1">
      <c r="A21" s="322"/>
      <c r="B21" s="323"/>
      <c r="C21" s="323"/>
      <c r="D21" s="323"/>
      <c r="E21" s="323"/>
      <c r="F21" s="324"/>
    </row>
    <row r="22" spans="1:6" ht="31.8" customHeight="1" thickBot="1">
      <c r="A22" s="325"/>
      <c r="B22" s="326"/>
      <c r="C22" s="326"/>
      <c r="D22" s="326"/>
      <c r="E22" s="326"/>
      <c r="F22" s="327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887014938</v>
      </c>
      <c r="D3" s="100">
        <v>885627501</v>
      </c>
      <c r="E3" s="311">
        <v>855339215</v>
      </c>
      <c r="F3" s="100">
        <v>0</v>
      </c>
      <c r="G3" s="261">
        <v>899160695</v>
      </c>
      <c r="H3" s="261">
        <v>868243499</v>
      </c>
      <c r="I3" s="261">
        <v>872384854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11692220</v>
      </c>
      <c r="D4" s="101">
        <v>4015176</v>
      </c>
      <c r="E4" s="312">
        <v>0</v>
      </c>
      <c r="F4" s="101">
        <v>0</v>
      </c>
      <c r="G4" s="262">
        <v>5633817</v>
      </c>
      <c r="H4" s="262">
        <v>10126723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16241884</v>
      </c>
      <c r="D5" s="101">
        <v>11639958</v>
      </c>
      <c r="E5" s="312">
        <v>0</v>
      </c>
      <c r="F5" s="101">
        <v>0</v>
      </c>
      <c r="G5" s="262">
        <v>9148311</v>
      </c>
      <c r="H5" s="262">
        <v>16444481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11527348</v>
      </c>
      <c r="D6" s="101">
        <v>5961878</v>
      </c>
      <c r="E6" s="312">
        <v>0</v>
      </c>
      <c r="F6" s="101">
        <v>0</v>
      </c>
      <c r="G6" s="262">
        <v>6457111</v>
      </c>
      <c r="H6" s="262">
        <v>11606459</v>
      </c>
      <c r="I6" s="262">
        <v>0</v>
      </c>
      <c r="J6" s="262"/>
    </row>
    <row r="7" spans="1:16">
      <c r="A7" s="8">
        <v>3</v>
      </c>
      <c r="B7" s="8">
        <v>4</v>
      </c>
      <c r="C7" s="101">
        <v>12258616</v>
      </c>
      <c r="D7" s="101">
        <v>10997267</v>
      </c>
      <c r="E7" s="312">
        <v>0</v>
      </c>
      <c r="F7" s="101">
        <v>0</v>
      </c>
      <c r="G7" s="262">
        <v>8498355</v>
      </c>
      <c r="H7" s="262">
        <v>12668673</v>
      </c>
      <c r="I7" s="262">
        <v>0</v>
      </c>
      <c r="J7" s="262"/>
    </row>
    <row r="8" spans="1:16">
      <c r="A8" s="8">
        <v>4</v>
      </c>
      <c r="B8" s="8">
        <v>5</v>
      </c>
      <c r="C8" s="101">
        <v>10002925</v>
      </c>
      <c r="D8" s="101">
        <v>10264629</v>
      </c>
      <c r="E8" s="312">
        <v>0</v>
      </c>
      <c r="F8" s="101">
        <v>0</v>
      </c>
      <c r="G8" s="262">
        <v>5812847</v>
      </c>
      <c r="H8" s="262">
        <v>8665188</v>
      </c>
      <c r="I8" s="262">
        <v>0</v>
      </c>
      <c r="J8" s="262"/>
    </row>
    <row r="9" spans="1:16">
      <c r="A9" s="8">
        <v>5</v>
      </c>
      <c r="B9" s="8">
        <v>6</v>
      </c>
      <c r="C9" s="101">
        <v>7987279</v>
      </c>
      <c r="D9" s="101">
        <v>9070533</v>
      </c>
      <c r="E9" s="312">
        <v>0</v>
      </c>
      <c r="F9" s="101">
        <v>0</v>
      </c>
      <c r="G9" s="262">
        <v>5782034</v>
      </c>
      <c r="H9" s="262">
        <v>8619198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1941138</v>
      </c>
      <c r="D10" s="101">
        <v>2070245</v>
      </c>
      <c r="E10" s="312">
        <v>0</v>
      </c>
      <c r="F10" s="101">
        <v>0</v>
      </c>
      <c r="G10" s="262">
        <v>1456564</v>
      </c>
      <c r="H10" s="262">
        <v>2171287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8336671</v>
      </c>
      <c r="D11" s="101">
        <v>9438439</v>
      </c>
      <c r="E11" s="312">
        <v>33398645</v>
      </c>
      <c r="F11" s="101">
        <v>0</v>
      </c>
      <c r="G11" s="262">
        <v>15166449</v>
      </c>
      <c r="H11" s="262">
        <v>9043342</v>
      </c>
      <c r="I11" s="262">
        <v>32763841</v>
      </c>
      <c r="J11" s="262"/>
    </row>
    <row r="12" spans="1:16">
      <c r="A12" s="8">
        <v>8</v>
      </c>
      <c r="B12" s="8">
        <v>9</v>
      </c>
      <c r="C12" s="101">
        <v>3050822</v>
      </c>
      <c r="D12" s="101">
        <v>3564536</v>
      </c>
      <c r="E12" s="312">
        <v>0</v>
      </c>
      <c r="F12" s="101">
        <v>0</v>
      </c>
      <c r="G12" s="262">
        <v>3307282</v>
      </c>
      <c r="H12" s="262">
        <v>3944060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6138097</v>
      </c>
      <c r="D13" s="101">
        <v>8293008</v>
      </c>
      <c r="E13" s="312">
        <v>25173898</v>
      </c>
      <c r="F13" s="101">
        <v>0</v>
      </c>
      <c r="G13" s="262">
        <v>4111617</v>
      </c>
      <c r="H13" s="262">
        <v>4903248</v>
      </c>
      <c r="I13" s="262">
        <v>4940331</v>
      </c>
      <c r="J13" s="262"/>
    </row>
    <row r="14" spans="1:16">
      <c r="A14" s="8">
        <v>10</v>
      </c>
      <c r="B14" s="8">
        <v>15</v>
      </c>
      <c r="C14" s="101">
        <v>9780199</v>
      </c>
      <c r="D14" s="101">
        <v>14470214</v>
      </c>
      <c r="E14" s="312">
        <v>4019884</v>
      </c>
      <c r="F14" s="101">
        <v>0</v>
      </c>
      <c r="G14" s="262">
        <v>20629328</v>
      </c>
      <c r="H14" s="262">
        <v>7415856</v>
      </c>
      <c r="I14" s="262">
        <v>3945769</v>
      </c>
      <c r="J14" s="262"/>
    </row>
    <row r="15" spans="1:16">
      <c r="A15" s="8">
        <v>15</v>
      </c>
      <c r="B15" s="8">
        <v>20</v>
      </c>
      <c r="C15" s="101">
        <v>5808697</v>
      </c>
      <c r="D15" s="101">
        <v>9112904</v>
      </c>
      <c r="E15" s="312">
        <v>13814322</v>
      </c>
      <c r="F15" s="101">
        <v>0</v>
      </c>
      <c r="G15" s="262">
        <v>5181021</v>
      </c>
      <c r="H15" s="262">
        <v>18624639</v>
      </c>
      <c r="I15" s="262">
        <v>13563362</v>
      </c>
      <c r="J15" s="262"/>
    </row>
    <row r="16" spans="1:16">
      <c r="A16" s="8">
        <v>20</v>
      </c>
      <c r="B16" s="8">
        <v>25</v>
      </c>
      <c r="C16" s="101">
        <v>2435619</v>
      </c>
      <c r="D16" s="101">
        <v>5088978</v>
      </c>
      <c r="E16" s="312">
        <v>8705043</v>
      </c>
      <c r="F16" s="101">
        <v>0</v>
      </c>
      <c r="G16" s="262">
        <v>7161900</v>
      </c>
      <c r="H16" s="262">
        <v>2574530</v>
      </c>
      <c r="I16" s="262">
        <v>8549150</v>
      </c>
      <c r="J16" s="262"/>
    </row>
    <row r="17" spans="1:10">
      <c r="A17" s="8">
        <v>25</v>
      </c>
      <c r="B17" s="8">
        <v>30</v>
      </c>
      <c r="C17" s="101">
        <v>2111698</v>
      </c>
      <c r="D17" s="101">
        <v>3392387</v>
      </c>
      <c r="E17" s="312">
        <v>6907089</v>
      </c>
      <c r="F17" s="101">
        <v>0</v>
      </c>
      <c r="G17" s="262">
        <v>2492669</v>
      </c>
      <c r="H17" s="262">
        <v>1792098</v>
      </c>
      <c r="I17" s="262">
        <v>6784768</v>
      </c>
      <c r="J17" s="262"/>
    </row>
    <row r="18" spans="1:10">
      <c r="A18" s="8">
        <v>30</v>
      </c>
      <c r="B18" s="8">
        <v>35</v>
      </c>
      <c r="C18" s="101">
        <v>403574</v>
      </c>
      <c r="D18" s="101">
        <v>609230</v>
      </c>
      <c r="E18" s="312">
        <v>4623454</v>
      </c>
      <c r="F18" s="101">
        <v>0</v>
      </c>
      <c r="G18" s="262">
        <v>0</v>
      </c>
      <c r="H18" s="262">
        <v>8864833</v>
      </c>
      <c r="I18" s="262">
        <v>4541899</v>
      </c>
      <c r="J18" s="262"/>
    </row>
    <row r="19" spans="1:10">
      <c r="A19" s="8">
        <v>35</v>
      </c>
      <c r="B19" s="8">
        <v>40</v>
      </c>
      <c r="C19" s="101">
        <v>941825</v>
      </c>
      <c r="D19" s="101">
        <v>2045435</v>
      </c>
      <c r="E19" s="312">
        <v>4052152</v>
      </c>
      <c r="F19" s="101">
        <v>0</v>
      </c>
      <c r="G19" s="262">
        <v>0</v>
      </c>
      <c r="H19" s="262">
        <v>1557618</v>
      </c>
      <c r="I19" s="262">
        <v>3185165</v>
      </c>
      <c r="J19" s="262"/>
    </row>
    <row r="20" spans="1:10">
      <c r="A20" s="8">
        <v>40</v>
      </c>
      <c r="B20" s="8">
        <v>45</v>
      </c>
      <c r="C20" s="101">
        <v>218773</v>
      </c>
      <c r="D20" s="101">
        <v>698722</v>
      </c>
      <c r="E20" s="312">
        <v>8609381</v>
      </c>
      <c r="F20" s="101">
        <v>0</v>
      </c>
      <c r="G20" s="262">
        <v>0</v>
      </c>
      <c r="H20" s="262">
        <v>2734268</v>
      </c>
      <c r="I20" s="262">
        <v>3384087</v>
      </c>
      <c r="J20" s="262"/>
    </row>
    <row r="21" spans="1:10">
      <c r="A21" s="8">
        <v>45</v>
      </c>
      <c r="B21" s="8">
        <v>50</v>
      </c>
      <c r="C21" s="101">
        <v>1093909</v>
      </c>
      <c r="D21" s="101">
        <v>1020094</v>
      </c>
      <c r="E21" s="312">
        <v>2935656</v>
      </c>
      <c r="F21" s="101">
        <v>0</v>
      </c>
      <c r="G21" s="262">
        <v>0</v>
      </c>
      <c r="H21" s="262">
        <v>0</v>
      </c>
      <c r="I21" s="262">
        <v>2308066</v>
      </c>
      <c r="J21" s="262"/>
    </row>
    <row r="22" spans="1:10">
      <c r="A22" s="8">
        <v>50</v>
      </c>
      <c r="B22" s="8">
        <v>60</v>
      </c>
      <c r="C22" s="101">
        <v>426591</v>
      </c>
      <c r="D22" s="101">
        <v>984636</v>
      </c>
      <c r="E22" s="312">
        <v>3048718</v>
      </c>
      <c r="F22" s="101">
        <v>89045047</v>
      </c>
      <c r="G22" s="262">
        <v>0</v>
      </c>
      <c r="H22" s="262">
        <v>0</v>
      </c>
      <c r="I22" s="262">
        <v>2397382</v>
      </c>
      <c r="J22" s="262"/>
    </row>
    <row r="23" spans="1:10">
      <c r="A23" s="8">
        <v>60</v>
      </c>
      <c r="B23" s="8">
        <v>70</v>
      </c>
      <c r="C23" s="101">
        <v>43864</v>
      </c>
      <c r="D23" s="101">
        <v>113542</v>
      </c>
      <c r="E23" s="312">
        <v>834659</v>
      </c>
      <c r="F23" s="101">
        <v>69977757</v>
      </c>
      <c r="G23" s="262">
        <v>0</v>
      </c>
      <c r="H23" s="262">
        <v>0</v>
      </c>
      <c r="I23" s="262">
        <v>656408</v>
      </c>
      <c r="J23" s="262"/>
    </row>
    <row r="24" spans="1:10">
      <c r="A24" s="8">
        <v>70</v>
      </c>
      <c r="B24" s="8">
        <v>80</v>
      </c>
      <c r="C24" s="101">
        <v>188066</v>
      </c>
      <c r="D24" s="101">
        <v>375819</v>
      </c>
      <c r="E24" s="312">
        <v>1559558</v>
      </c>
      <c r="F24" s="101">
        <v>60400557</v>
      </c>
      <c r="G24" s="262">
        <v>0</v>
      </c>
      <c r="H24" s="262">
        <v>0</v>
      </c>
      <c r="I24" s="262">
        <v>3066743</v>
      </c>
      <c r="J24" s="262"/>
    </row>
    <row r="25" spans="1:10">
      <c r="A25" s="8">
        <v>80</v>
      </c>
      <c r="B25" s="8">
        <v>90</v>
      </c>
      <c r="C25" s="101">
        <v>72374</v>
      </c>
      <c r="D25" s="101">
        <v>219048</v>
      </c>
      <c r="E25" s="312">
        <v>14655814</v>
      </c>
      <c r="F25" s="101">
        <v>73256897</v>
      </c>
      <c r="G25" s="262">
        <v>0</v>
      </c>
      <c r="H25" s="262">
        <v>0</v>
      </c>
      <c r="I25" s="262">
        <v>14411418</v>
      </c>
      <c r="J25" s="262"/>
    </row>
    <row r="26" spans="1:10">
      <c r="A26" s="8">
        <v>90</v>
      </c>
      <c r="B26" s="8">
        <v>100</v>
      </c>
      <c r="C26" s="101">
        <v>136529</v>
      </c>
      <c r="D26" s="101">
        <v>367670</v>
      </c>
      <c r="E26" s="312">
        <v>2207594</v>
      </c>
      <c r="F26" s="101">
        <v>135331104</v>
      </c>
      <c r="G26" s="262">
        <v>0</v>
      </c>
      <c r="H26" s="262">
        <v>0</v>
      </c>
      <c r="I26" s="262">
        <v>2489312</v>
      </c>
      <c r="J26" s="262"/>
    </row>
    <row r="27" spans="1:10">
      <c r="A27" s="8">
        <v>100</v>
      </c>
      <c r="B27" s="8">
        <v>120</v>
      </c>
      <c r="C27" s="101">
        <v>86106</v>
      </c>
      <c r="D27" s="101">
        <v>188330</v>
      </c>
      <c r="E27" s="312">
        <v>606184</v>
      </c>
      <c r="F27" s="101">
        <v>149557247</v>
      </c>
      <c r="G27" s="262">
        <v>0</v>
      </c>
      <c r="H27" s="262">
        <v>0</v>
      </c>
      <c r="I27" s="262">
        <v>1995809</v>
      </c>
      <c r="J27" s="262"/>
    </row>
    <row r="28" spans="1:10">
      <c r="A28" s="8">
        <v>120</v>
      </c>
      <c r="B28" s="8">
        <v>140</v>
      </c>
      <c r="C28" s="101">
        <v>20868</v>
      </c>
      <c r="D28" s="101">
        <v>43100</v>
      </c>
      <c r="E28" s="312">
        <v>86039</v>
      </c>
      <c r="F28" s="101">
        <v>78779411</v>
      </c>
      <c r="G28" s="262">
        <v>0</v>
      </c>
      <c r="H28" s="262">
        <v>0</v>
      </c>
      <c r="I28" s="262">
        <v>721713</v>
      </c>
      <c r="J28" s="262"/>
    </row>
    <row r="29" spans="1:10">
      <c r="A29" s="8">
        <v>140</v>
      </c>
      <c r="B29" s="8">
        <v>160</v>
      </c>
      <c r="C29" s="101">
        <v>14048</v>
      </c>
      <c r="D29" s="101">
        <v>139483</v>
      </c>
      <c r="E29" s="312">
        <v>151289</v>
      </c>
      <c r="F29" s="101">
        <v>35927507</v>
      </c>
      <c r="G29" s="262">
        <v>0</v>
      </c>
      <c r="H29" s="262">
        <v>0</v>
      </c>
      <c r="I29" s="262">
        <v>2353311</v>
      </c>
      <c r="J29" s="262"/>
    </row>
    <row r="30" spans="1:10">
      <c r="A30" s="8">
        <v>160</v>
      </c>
      <c r="B30" s="8">
        <v>180</v>
      </c>
      <c r="C30" s="101">
        <v>12521</v>
      </c>
      <c r="D30" s="101">
        <v>34012</v>
      </c>
      <c r="E30" s="312">
        <v>5034689</v>
      </c>
      <c r="F30" s="101">
        <v>20484820</v>
      </c>
      <c r="G30" s="262">
        <v>0</v>
      </c>
      <c r="H30" s="262">
        <v>0</v>
      </c>
      <c r="I30" s="262">
        <v>6605412</v>
      </c>
      <c r="J30" s="262"/>
    </row>
    <row r="31" spans="1:10">
      <c r="A31" s="8">
        <v>180</v>
      </c>
      <c r="B31" s="8">
        <v>200</v>
      </c>
      <c r="C31" s="101">
        <v>5560</v>
      </c>
      <c r="D31" s="101">
        <v>41941</v>
      </c>
      <c r="E31" s="312">
        <v>80254</v>
      </c>
      <c r="F31" s="101">
        <v>30047479</v>
      </c>
      <c r="G31" s="262">
        <v>0</v>
      </c>
      <c r="H31" s="262">
        <v>0</v>
      </c>
      <c r="I31" s="262">
        <v>2367781</v>
      </c>
      <c r="J31" s="262"/>
    </row>
    <row r="32" spans="1:10">
      <c r="A32" s="8">
        <v>200</v>
      </c>
      <c r="B32" s="8">
        <v>250</v>
      </c>
      <c r="C32" s="101">
        <v>5915</v>
      </c>
      <c r="D32" s="101">
        <v>57799</v>
      </c>
      <c r="E32" s="312">
        <v>31049</v>
      </c>
      <c r="F32" s="101">
        <v>12732414</v>
      </c>
      <c r="G32" s="262">
        <v>0</v>
      </c>
      <c r="H32" s="262">
        <v>0</v>
      </c>
      <c r="I32" s="262">
        <v>6583419</v>
      </c>
      <c r="J32" s="262"/>
    </row>
    <row r="33" spans="1:10">
      <c r="A33" s="8">
        <v>250</v>
      </c>
      <c r="B33" s="8">
        <v>300</v>
      </c>
      <c r="C33" s="101">
        <v>695</v>
      </c>
      <c r="D33" s="101">
        <v>22658</v>
      </c>
      <c r="E33" s="312">
        <v>2154733</v>
      </c>
      <c r="F33" s="101">
        <v>73850071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348</v>
      </c>
      <c r="D34" s="101">
        <v>2262</v>
      </c>
      <c r="E34" s="312">
        <v>646011</v>
      </c>
      <c r="F34" s="101">
        <v>11096270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1129</v>
      </c>
      <c r="E35" s="312">
        <v>0</v>
      </c>
      <c r="F35" s="101">
        <v>12707544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5659</v>
      </c>
      <c r="E36" s="312">
        <v>838723</v>
      </c>
      <c r="F36" s="101">
        <v>9896922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15846</v>
      </c>
      <c r="E37" s="312">
        <v>0</v>
      </c>
      <c r="F37" s="101">
        <v>12310544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66</v>
      </c>
      <c r="D38" s="101">
        <v>4525</v>
      </c>
      <c r="E38" s="312">
        <v>0</v>
      </c>
      <c r="F38" s="101">
        <v>35483955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18685922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12343086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5811620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4915305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8084077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287723</v>
      </c>
      <c r="F44" s="101">
        <v>4535247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4407963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3387186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6183334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217</v>
      </c>
      <c r="D48" s="101">
        <v>973</v>
      </c>
      <c r="E48" s="312">
        <v>0</v>
      </c>
      <c r="F48" s="101">
        <v>15372994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434</v>
      </c>
      <c r="E49" s="312">
        <v>96933</v>
      </c>
      <c r="F49" s="101">
        <v>1594642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1289464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60828</v>
      </c>
      <c r="F51" s="101">
        <v>1025109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340116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321423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299595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34579</v>
      </c>
      <c r="F55" s="101">
        <v>241318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76331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5884</v>
      </c>
      <c r="F57" s="101">
        <v>199722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0.90999999989258129</v>
      </c>
      <c r="P2" s="215">
        <v>0.94</v>
      </c>
      <c r="Q2" s="181">
        <f>P2-O2</f>
        <v>3.0000000107418656E-2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1.1154769857903415</v>
      </c>
      <c r="L4" s="185" cm="1">
        <f t="array" ref="L4:L61">K4:K61*_xlfn.ANCHORARRAY(J4)*_xlfn.ANCHORARRAY(F4)</f>
        <v>0.88701493850000002</v>
      </c>
      <c r="M4" s="240" cm="1">
        <f t="array" ref="M4:M61">INT(_xlfn.ANCHORARRAY(L4)*$M$2)</f>
        <v>887014938</v>
      </c>
      <c r="N4" s="194" cm="1">
        <f t="array" ref="N4:N61">_xlfn.ANCHORARRAY(M4)/SUM(_xlfn.ANCHORARRAY(M4))</f>
        <v>0.88701493799999998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0.95653363884238707</v>
      </c>
      <c r="L5" s="188">
        <v>1.1692220499999999E-2</v>
      </c>
      <c r="M5" s="233">
        <v>11692220</v>
      </c>
      <c r="N5" s="195">
        <v>1.169222E-2</v>
      </c>
      <c r="O5" s="211">
        <v>8.7783929187527036E-3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0.81805642473759377</v>
      </c>
      <c r="L6" s="188">
        <v>1.6241884500000001E-2</v>
      </c>
      <c r="M6" s="233">
        <v>16241884</v>
      </c>
      <c r="N6" s="195">
        <v>1.6241884000000002E-2</v>
      </c>
      <c r="O6" s="211">
        <v>2.7890982260735126E-2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0.82215367939201123</v>
      </c>
      <c r="L7" s="188">
        <v>1.1527348500000001E-2</v>
      </c>
      <c r="M7" s="233">
        <v>11527348</v>
      </c>
      <c r="N7" s="195">
        <v>1.1527348E-2</v>
      </c>
      <c r="O7" s="211">
        <v>3.1691658451950898E-2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0.66394989699761664</v>
      </c>
      <c r="L8" s="188">
        <v>1.2258616500000001E-2</v>
      </c>
      <c r="M8" s="233">
        <v>12258616</v>
      </c>
      <c r="N8" s="195">
        <v>1.2258616E-2</v>
      </c>
      <c r="O8" s="211">
        <v>4.5337506138720639E-2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0.79381386398342935</v>
      </c>
      <c r="L9" s="188">
        <v>1.0002925499999999E-2</v>
      </c>
      <c r="M9" s="233">
        <v>10002925</v>
      </c>
      <c r="N9" s="195">
        <v>1.0002924999999999E-2</v>
      </c>
      <c r="O9" s="211">
        <v>4.8069226095828393E-2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0.63675468646449773</v>
      </c>
      <c r="L10" s="188">
        <v>7.9872795000000014E-3</v>
      </c>
      <c r="M10" s="233">
        <v>7987279</v>
      </c>
      <c r="N10" s="195">
        <v>7.9872789999999999E-3</v>
      </c>
      <c r="O10" s="211">
        <v>4.7540365149821746E-2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0.61445447710995926</v>
      </c>
      <c r="L11" s="188">
        <v>1.9411385E-3</v>
      </c>
      <c r="M11" s="233">
        <v>1941138</v>
      </c>
      <c r="N11" s="195">
        <v>1.941138E-3</v>
      </c>
      <c r="O11" s="211">
        <v>1.2671383632352883E-2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0.63408275482506016</v>
      </c>
      <c r="L12" s="188">
        <v>8.3366715000000001E-3</v>
      </c>
      <c r="M12" s="233">
        <v>8336671</v>
      </c>
      <c r="N12" s="195">
        <v>8.3366710000000004E-3</v>
      </c>
      <c r="O12" s="211">
        <v>6.4309732240465239E-2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0.52963103002476097</v>
      </c>
      <c r="L13" s="188">
        <v>3.0508225000000001E-3</v>
      </c>
      <c r="M13" s="233">
        <v>3050822</v>
      </c>
      <c r="N13" s="195">
        <v>3.0508219999999999E-3</v>
      </c>
      <c r="O13" s="211">
        <v>2.7217030080875108E-2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0.86011492679260282</v>
      </c>
      <c r="L14" s="188">
        <v>6.1380975000000001E-3</v>
      </c>
      <c r="M14" s="233">
        <v>6138097</v>
      </c>
      <c r="N14" s="195">
        <v>6.1380970000000003E-3</v>
      </c>
      <c r="O14" s="211">
        <v>5.9848670566094164E-2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0.54608314499060451</v>
      </c>
      <c r="L15" s="188">
        <v>9.7801994999999996E-3</v>
      </c>
      <c r="M15" s="233">
        <v>9780199</v>
      </c>
      <c r="N15" s="195">
        <v>9.7801989999999998E-3</v>
      </c>
      <c r="O15" s="211">
        <v>0.12450567187515776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0.51544704603912139</v>
      </c>
      <c r="L16" s="188">
        <v>5.8086975000000004E-3</v>
      </c>
      <c r="M16" s="233">
        <v>5808697</v>
      </c>
      <c r="N16" s="195">
        <v>5.8086969999999998E-3</v>
      </c>
      <c r="O16" s="211">
        <v>0.10367036735050689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0.39193950894344215</v>
      </c>
      <c r="L17" s="188">
        <v>2.4356194999999997E-3</v>
      </c>
      <c r="M17" s="233">
        <v>2435619</v>
      </c>
      <c r="N17" s="195">
        <v>2.435619E-3</v>
      </c>
      <c r="O17" s="211">
        <v>5.6611371406540101E-2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0.48792547075818549</v>
      </c>
      <c r="L18" s="188">
        <v>2.1116985000000001E-3</v>
      </c>
      <c r="M18" s="233">
        <v>2111698</v>
      </c>
      <c r="N18" s="195">
        <v>2.111698E-3</v>
      </c>
      <c r="O18" s="211">
        <v>6.0046218543896544E-2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0.18811618819706089</v>
      </c>
      <c r="L19" s="188">
        <v>4.0357450000000003E-4</v>
      </c>
      <c r="M19" s="233">
        <v>403574</v>
      </c>
      <c r="N19" s="195">
        <v>4.0357400000000002E-4</v>
      </c>
      <c r="O19" s="211">
        <v>1.3149712948801663E-2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0.24928232033260742</v>
      </c>
      <c r="L20" s="188">
        <v>9.4182550000000004E-4</v>
      </c>
      <c r="M20" s="233">
        <v>941825</v>
      </c>
      <c r="N20" s="195">
        <v>9.4182499999999998E-4</v>
      </c>
      <c r="O20" s="211">
        <v>3.6042749532035276E-2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0.13275187683405462</v>
      </c>
      <c r="L21" s="188">
        <v>2.187735E-4</v>
      </c>
      <c r="M21" s="233">
        <v>218773</v>
      </c>
      <c r="N21" s="195">
        <v>2.1877299999999999E-4</v>
      </c>
      <c r="O21" s="211">
        <v>9.5222816728396074E-3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0.53780137067117662</v>
      </c>
      <c r="L22" s="188">
        <v>1.0939095000000001E-3</v>
      </c>
      <c r="M22" s="233">
        <v>1093909</v>
      </c>
      <c r="N22" s="195">
        <v>1.0939089999999999E-3</v>
      </c>
      <c r="O22" s="211">
        <v>5.2643865307063081E-2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0.13174231603653405</v>
      </c>
      <c r="L23" s="188">
        <v>4.2659149999999999E-4</v>
      </c>
      <c r="M23" s="233">
        <v>426591</v>
      </c>
      <c r="N23" s="195">
        <v>4.2659099999999998E-4</v>
      </c>
      <c r="O23" s="211">
        <v>2.4218100601031536E-2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2.2207849411192904E-2</v>
      </c>
      <c r="L24" s="188">
        <v>4.38645E-5</v>
      </c>
      <c r="M24" s="233">
        <v>43864</v>
      </c>
      <c r="N24" s="195">
        <v>4.3863999999999999E-5</v>
      </c>
      <c r="O24" s="211">
        <v>2.8736816472131146E-3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7.3430375526032404E-2</v>
      </c>
      <c r="L25" s="188">
        <v>1.8806649999999998E-4</v>
      </c>
      <c r="M25" s="233">
        <v>188066</v>
      </c>
      <c r="N25" s="195">
        <v>1.88066E-4</v>
      </c>
      <c r="O25" s="211">
        <v>1.4321864294644524E-2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4.2855730183787959E-2</v>
      </c>
      <c r="L26" s="188">
        <v>7.2374500000000003E-5</v>
      </c>
      <c r="M26" s="233">
        <v>72374</v>
      </c>
      <c r="N26" s="195">
        <v>7.2373999999999995E-5</v>
      </c>
      <c r="O26" s="211">
        <v>6.2450459273905518E-3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8.1598714306034853E-2</v>
      </c>
      <c r="L27" s="188">
        <v>1.3652950000000001E-4</v>
      </c>
      <c r="M27" s="233">
        <v>136529</v>
      </c>
      <c r="N27" s="195">
        <v>1.3652900000000001E-4</v>
      </c>
      <c r="O27" s="211">
        <v>1.312975292581596E-2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3.0145830386663734E-2</v>
      </c>
      <c r="L28" s="188">
        <v>8.61065E-5</v>
      </c>
      <c r="M28" s="233">
        <v>86106</v>
      </c>
      <c r="N28" s="195">
        <v>8.6106000000000005E-5</v>
      </c>
      <c r="O28" s="211">
        <v>9.6217226606150827E-3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1.0591561162160996E-2</v>
      </c>
      <c r="L29" s="188">
        <v>2.0868499999999998E-5</v>
      </c>
      <c r="M29" s="233">
        <v>20868</v>
      </c>
      <c r="N29" s="195">
        <v>2.0868000000000001E-5</v>
      </c>
      <c r="O29" s="211">
        <v>2.7334895712311106E-3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7.6014016208676158E-3</v>
      </c>
      <c r="L30" s="188">
        <v>1.4048500000000001E-5</v>
      </c>
      <c r="M30" s="233">
        <v>14048</v>
      </c>
      <c r="N30" s="195">
        <v>1.4048E-5</v>
      </c>
      <c r="O30" s="211">
        <v>2.1231734014676333E-3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8.7928053694291408E-3</v>
      </c>
      <c r="L31" s="188">
        <v>1.2521500000000002E-5</v>
      </c>
      <c r="M31" s="233">
        <v>12521</v>
      </c>
      <c r="N31" s="195">
        <v>1.2520999999999999E-5</v>
      </c>
      <c r="O31" s="211">
        <v>2.1469333642866674E-3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4.2977683757519456E-3</v>
      </c>
      <c r="L32" s="188">
        <v>5.5605000000000004E-6</v>
      </c>
      <c r="M32" s="233">
        <v>5560</v>
      </c>
      <c r="N32" s="195">
        <v>5.5600000000000001E-6</v>
      </c>
      <c r="O32" s="211">
        <v>1.0680319625787692E-3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2.3627947402203942E-3</v>
      </c>
      <c r="L33" s="188">
        <v>5.9154999999999995E-6</v>
      </c>
      <c r="M33" s="233">
        <v>5915</v>
      </c>
      <c r="N33" s="195">
        <v>5.9150000000000001E-6</v>
      </c>
      <c r="O33" s="211">
        <v>1.3264738554451326E-3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3.9966969067117499E-4</v>
      </c>
      <c r="L34" s="188">
        <v>6.9550000000000005E-7</v>
      </c>
      <c r="M34" s="233">
        <v>695</v>
      </c>
      <c r="N34" s="195">
        <v>6.9500000000000002E-7</v>
      </c>
      <c r="O34" s="211">
        <v>1.9130295216146311E-4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2.91185639409407E-4</v>
      </c>
      <c r="L35" s="188">
        <v>3.4849999999999998E-7</v>
      </c>
      <c r="M35" s="233">
        <v>348</v>
      </c>
      <c r="N35" s="195">
        <v>3.4799999999999999E-7</v>
      </c>
      <c r="O35" s="211">
        <v>1.1296912253242103E-4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1.039788727439321E-4</v>
      </c>
      <c r="L39" s="188">
        <v>6.6499999999999993E-8</v>
      </c>
      <c r="M39" s="233">
        <v>66</v>
      </c>
      <c r="N39" s="195">
        <v>6.5999999999999995E-8</v>
      </c>
      <c r="O39" s="211">
        <v>3.4634836262827311E-5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8.8004625604045544E-5</v>
      </c>
      <c r="L49" s="188">
        <v>2.1749999999999998E-7</v>
      </c>
      <c r="M49" s="233">
        <v>217</v>
      </c>
      <c r="N49" s="195">
        <v>2.17E-7</v>
      </c>
      <c r="O49" s="211">
        <v>3.0563659746668065E-4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1.966436832404779E-2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1584786.053882726</v>
      </c>
      <c r="O64" s="220" cm="1">
        <f t="array" ref="O64:O65">N66/N64:N65</f>
        <v>2.2084999999999999</v>
      </c>
    </row>
    <row r="65" spans="1:47" ht="16.8" thickBot="1">
      <c r="L65" s="180"/>
      <c r="M65" s="124" t="s">
        <v>179</v>
      </c>
      <c r="N65" s="253">
        <f>1/N49</f>
        <v>4608294.9308755761</v>
      </c>
      <c r="O65" s="220">
        <v>0.75949999999999995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0.90999999998072689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1.1136916370815149</v>
      </c>
      <c r="L69" s="185" cm="1">
        <f t="array" ref="L69:L126">K69:K126*_xlfn.ANCHORARRAY(J69)*_xlfn.ANCHORARRAY(F69)</f>
        <v>0.88562750149999991</v>
      </c>
      <c r="M69" s="240" cm="1">
        <f t="array" ref="M69:M126">INT(_xlfn.ANCHORARRAY(L69)*$M$2)</f>
        <v>885627501</v>
      </c>
      <c r="N69" s="194" cm="1">
        <f t="array" ref="N69:N126">_xlfn.ANCHORARRAY(M69)/SUM(_xlfn.ANCHORARRAY(M69))</f>
        <v>0.88562750099999998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0.90176221070482809</v>
      </c>
      <c r="L70" s="188">
        <v>4.0151764999999994E-3</v>
      </c>
      <c r="M70" s="233">
        <v>4015176</v>
      </c>
      <c r="N70" s="195">
        <v>4.0151759999999996E-3</v>
      </c>
      <c r="O70" s="211">
        <v>2.1414271999999996E-3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0.92132887917251072</v>
      </c>
      <c r="L71" s="188">
        <v>1.16399585E-2</v>
      </c>
      <c r="M71" s="233">
        <v>11639958</v>
      </c>
      <c r="N71" s="195">
        <v>1.1639958000000001E-2</v>
      </c>
      <c r="O71" s="211">
        <v>1.2879236685078028E-2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0.78027593171386356</v>
      </c>
      <c r="L72" s="188">
        <v>5.9618785000000009E-3</v>
      </c>
      <c r="M72" s="233">
        <v>5961878</v>
      </c>
      <c r="N72" s="195">
        <v>5.9618780000000003E-3</v>
      </c>
      <c r="O72" s="211">
        <v>1.1110641131506501E-2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0.77491527719194497</v>
      </c>
      <c r="L73" s="188">
        <v>1.09972675E-2</v>
      </c>
      <c r="M73" s="233">
        <v>10997267</v>
      </c>
      <c r="N73" s="195">
        <v>1.0997267E-2</v>
      </c>
      <c r="O73" s="211">
        <v>2.6757479862435665E-2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0.84339025211089347</v>
      </c>
      <c r="L74" s="188">
        <v>1.0264629500000001E-2</v>
      </c>
      <c r="M74" s="233">
        <v>10264629</v>
      </c>
      <c r="N74" s="195">
        <v>1.0264629000000001E-2</v>
      </c>
      <c r="O74" s="211">
        <v>3.2995742241928326E-2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0.71699843218186632</v>
      </c>
      <c r="L75" s="188">
        <v>9.0705335000000002E-3</v>
      </c>
      <c r="M75" s="233">
        <v>9070533</v>
      </c>
      <c r="N75" s="195">
        <v>9.0705330000000004E-3</v>
      </c>
      <c r="O75" s="211">
        <v>3.6158503982344922E-2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0.73290861536348306</v>
      </c>
      <c r="L76" s="188">
        <v>2.0702454999999998E-3</v>
      </c>
      <c r="M76" s="233">
        <v>2070245</v>
      </c>
      <c r="N76" s="195">
        <v>2.0702450000000001E-3</v>
      </c>
      <c r="O76" s="211">
        <v>8.9461739528015633E-3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0.6673917384455319</v>
      </c>
      <c r="L77" s="188">
        <v>9.4384394999999996E-3</v>
      </c>
      <c r="M77" s="233">
        <v>9438439</v>
      </c>
      <c r="N77" s="195">
        <v>9.4384389999999999E-3</v>
      </c>
      <c r="O77" s="211">
        <v>4.8464865328201177E-2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0.5580181034278977</v>
      </c>
      <c r="L78" s="188">
        <v>3.5645364999999998E-3</v>
      </c>
      <c r="M78" s="233">
        <v>3564536</v>
      </c>
      <c r="N78" s="195">
        <v>3.5645360000000001E-3</v>
      </c>
      <c r="O78" s="211">
        <v>2.1231064699985019E-2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0.97174757836720793</v>
      </c>
      <c r="L79" s="188">
        <v>8.2930085000000008E-3</v>
      </c>
      <c r="M79" s="233">
        <v>8293008</v>
      </c>
      <c r="N79" s="195">
        <v>8.2930079999999993E-3</v>
      </c>
      <c r="O79" s="211">
        <v>5.3923474839452645E-2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0.66526201303094257</v>
      </c>
      <c r="L80" s="188">
        <v>1.44702145E-2</v>
      </c>
      <c r="M80" s="233">
        <v>14470214</v>
      </c>
      <c r="N80" s="195">
        <v>1.4470214E-2</v>
      </c>
      <c r="O80" s="211">
        <v>0.12317071438174849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0.64220700099647776</v>
      </c>
      <c r="L81" s="188">
        <v>9.1129044999999995E-3</v>
      </c>
      <c r="M81" s="233">
        <v>9112904</v>
      </c>
      <c r="N81" s="195">
        <v>9.1129039999999998E-3</v>
      </c>
      <c r="O81" s="211">
        <v>0.10856851523443181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0.63957144133669874</v>
      </c>
      <c r="L82" s="188">
        <v>5.0889785000000007E-3</v>
      </c>
      <c r="M82" s="233">
        <v>5088978</v>
      </c>
      <c r="N82" s="195">
        <v>5.0889780000000001E-3</v>
      </c>
      <c r="O82" s="211">
        <v>7.8865917633965277E-2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0.61214398609263787</v>
      </c>
      <c r="L83" s="188">
        <v>3.3923874999999995E-3</v>
      </c>
      <c r="M83" s="233">
        <v>3392387</v>
      </c>
      <c r="N83" s="195">
        <v>3.3923870000000002E-3</v>
      </c>
      <c r="O83" s="211">
        <v>6.4314223673712825E-2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0.22414826451997438</v>
      </c>
      <c r="L84" s="188">
        <v>6.0923049999999995E-4</v>
      </c>
      <c r="M84" s="233">
        <v>609230</v>
      </c>
      <c r="N84" s="195">
        <v>6.0922999999999999E-4</v>
      </c>
      <c r="O84" s="211">
        <v>1.3233420339329942E-2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0.42394958540547689</v>
      </c>
      <c r="L85" s="188">
        <v>2.0454355000000001E-3</v>
      </c>
      <c r="M85" s="233">
        <v>2045435</v>
      </c>
      <c r="N85" s="195">
        <v>2.045435E-3</v>
      </c>
      <c r="O85" s="211">
        <v>5.2193756933239008E-2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0.33391197757743596</v>
      </c>
      <c r="L86" s="188">
        <v>6.9872249999999999E-4</v>
      </c>
      <c r="M86" s="233">
        <v>698722</v>
      </c>
      <c r="N86" s="195">
        <v>6.9872200000000004E-4</v>
      </c>
      <c r="O86" s="211">
        <v>2.0278060083515289E-2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0.3938642027981073</v>
      </c>
      <c r="L87" s="188">
        <v>1.0200945E-3</v>
      </c>
      <c r="M87" s="233">
        <v>1020094</v>
      </c>
      <c r="N87" s="195">
        <v>1.020094E-3</v>
      </c>
      <c r="O87" s="211">
        <v>3.2729543388944328E-2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0.23933461803406755</v>
      </c>
      <c r="L88" s="188">
        <v>9.8463650000000006E-4</v>
      </c>
      <c r="M88" s="233">
        <v>984636</v>
      </c>
      <c r="N88" s="195">
        <v>9.846360000000001E-4</v>
      </c>
      <c r="O88" s="211">
        <v>3.7275908762695327E-2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4.5906101972859638E-2</v>
      </c>
      <c r="L89" s="188">
        <v>1.1354250000000001E-4</v>
      </c>
      <c r="M89" s="233">
        <v>113542</v>
      </c>
      <c r="N89" s="195">
        <v>1.13542E-4</v>
      </c>
      <c r="O89" s="211">
        <v>4.9580238889311888E-3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0.11685591803470857</v>
      </c>
      <c r="L90" s="188">
        <v>3.7581950000000001E-4</v>
      </c>
      <c r="M90" s="233">
        <v>375819</v>
      </c>
      <c r="N90" s="195">
        <v>3.75819E-4</v>
      </c>
      <c r="O90" s="211">
        <v>1.9084235558897211E-2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0.1039380969779216</v>
      </c>
      <c r="L91" s="188">
        <v>2.1904849999999999E-4</v>
      </c>
      <c r="M91" s="233">
        <v>219048</v>
      </c>
      <c r="N91" s="195">
        <v>2.1904800000000001E-4</v>
      </c>
      <c r="O91" s="211">
        <v>1.2604992928273159E-2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0.17549091999081665</v>
      </c>
      <c r="L92" s="188">
        <v>3.6767050000000002E-4</v>
      </c>
      <c r="M92" s="233">
        <v>367670</v>
      </c>
      <c r="N92" s="195">
        <v>3.6767000000000001E-4</v>
      </c>
      <c r="O92" s="211">
        <v>2.3576447067961054E-2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5.2653143272196987E-2</v>
      </c>
      <c r="L93" s="188">
        <v>1.8833050000000002E-4</v>
      </c>
      <c r="M93" s="233">
        <v>188330</v>
      </c>
      <c r="N93" s="195">
        <v>1.8833000000000001E-4</v>
      </c>
      <c r="O93" s="211">
        <v>1.4033801547411373E-2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1.7488267577939556E-2</v>
      </c>
      <c r="L94" s="188">
        <v>4.3100499999999998E-5</v>
      </c>
      <c r="M94" s="233">
        <v>43100</v>
      </c>
      <c r="N94" s="195">
        <v>4.3099999999999997E-5</v>
      </c>
      <c r="O94" s="211">
        <v>3.7639133523010532E-3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5.978421132939811E-2</v>
      </c>
      <c r="L95" s="188">
        <v>1.3948350000000001E-4</v>
      </c>
      <c r="M95" s="233">
        <v>139483</v>
      </c>
      <c r="N95" s="195">
        <v>1.3948300000000001E-4</v>
      </c>
      <c r="O95" s="211">
        <v>1.4055466752437629E-2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1.8984215402819794E-2</v>
      </c>
      <c r="L96" s="188">
        <v>3.40125E-5</v>
      </c>
      <c r="M96" s="233">
        <v>34012</v>
      </c>
      <c r="N96" s="195">
        <v>3.4011999999999999E-5</v>
      </c>
      <c r="O96" s="211">
        <v>3.8882096551622926E-3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2.5664914122908146E-2</v>
      </c>
      <c r="L97" s="188">
        <v>4.1941500000000005E-5</v>
      </c>
      <c r="M97" s="233">
        <v>41941</v>
      </c>
      <c r="N97" s="195">
        <v>4.1940999999999997E-5</v>
      </c>
      <c r="O97" s="211">
        <v>5.3719892060561476E-3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1.826323938321537E-2</v>
      </c>
      <c r="L98" s="188">
        <v>5.7799500000000008E-5</v>
      </c>
      <c r="M98" s="233">
        <v>57799</v>
      </c>
      <c r="N98" s="195">
        <v>5.7799E-5</v>
      </c>
      <c r="O98" s="211">
        <v>8.6441528460949619E-3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1.0362216838024994E-2</v>
      </c>
      <c r="L99" s="188">
        <v>2.26585E-5</v>
      </c>
      <c r="M99" s="233">
        <v>22658</v>
      </c>
      <c r="N99" s="195">
        <v>2.2657999999999999E-5</v>
      </c>
      <c r="O99" s="211">
        <v>4.1567617770559414E-3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1.4760703712064175E-3</v>
      </c>
      <c r="L100" s="188">
        <v>2.2624999999999999E-6</v>
      </c>
      <c r="M100" s="233">
        <v>2262</v>
      </c>
      <c r="N100" s="195">
        <v>2.2620000000000001E-6</v>
      </c>
      <c r="O100" s="211">
        <v>4.8974285751513913E-4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8.5439892525011689E-4</v>
      </c>
      <c r="L101" s="188">
        <v>1.1294999999999999E-6</v>
      </c>
      <c r="M101" s="233">
        <v>1129</v>
      </c>
      <c r="N101" s="195">
        <v>1.1289999999999999E-6</v>
      </c>
      <c r="O101" s="211">
        <v>2.8312961149264262E-4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5.6221297038584524E-3</v>
      </c>
      <c r="L102" s="188">
        <v>5.6594999999999998E-6</v>
      </c>
      <c r="M102" s="233">
        <v>5659</v>
      </c>
      <c r="N102" s="195">
        <v>5.6590000000000004E-6</v>
      </c>
      <c r="O102" s="211">
        <v>1.6047509694577479E-3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1.8295731246197169E-2</v>
      </c>
      <c r="L103" s="188">
        <v>1.5846500000000002E-5</v>
      </c>
      <c r="M103" s="233">
        <v>15846</v>
      </c>
      <c r="N103" s="195">
        <v>1.5846E-5</v>
      </c>
      <c r="O103" s="211">
        <v>5.0426786320979158E-3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5.4904391987392193E-3</v>
      </c>
      <c r="L104" s="188">
        <v>4.5255000000000001E-6</v>
      </c>
      <c r="M104" s="233">
        <v>4525</v>
      </c>
      <c r="N104" s="195">
        <v>4.5249999999999999E-6</v>
      </c>
      <c r="O104" s="211">
        <v>1.5831861517385682E-3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2.8042939833418888E-4</v>
      </c>
      <c r="L114" s="188">
        <v>9.7349999999999987E-7</v>
      </c>
      <c r="M114" s="233">
        <v>973</v>
      </c>
      <c r="N114" s="195">
        <v>9.7300000000000004E-7</v>
      </c>
      <c r="O114" s="211">
        <v>9.1996335653289597E-4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2.6722871826159261E-4</v>
      </c>
      <c r="L115" s="188">
        <v>4.3450000000000003E-7</v>
      </c>
      <c r="M115" s="233">
        <v>434</v>
      </c>
      <c r="N115" s="195">
        <v>4.34E-7</v>
      </c>
      <c r="O115" s="211">
        <v>6.9988346599374651E-4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3.2684448529198003E-2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45917.898796951056</v>
      </c>
      <c r="O129" s="220" cm="1">
        <f t="array" ref="O129:O130">N131/N129:N130</f>
        <v>76.222999999999999</v>
      </c>
    </row>
    <row r="130" spans="1:55" ht="16.8" thickBot="1">
      <c r="M130" s="124" t="s">
        <v>179</v>
      </c>
      <c r="N130" s="218">
        <f>1/SUM(N115:N120)</f>
        <v>2304147.4654377881</v>
      </c>
      <c r="O130" s="220">
        <v>1.5189999999999999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0.91000000031405215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1.0756301275348978</v>
      </c>
      <c r="L134" s="185" cm="1">
        <f t="array" ref="L134:L191">K134:K191*_xlfn.ANCHORARRAY(J134)*_xlfn.ANCHORARRAY(F134)</f>
        <v>0.85533921550000003</v>
      </c>
      <c r="M134" s="240" cm="1">
        <f t="array" ref="M134:M191">INT(_xlfn.ANCHORARRAY(L134)*$M$2)</f>
        <v>855339215</v>
      </c>
      <c r="N134" s="194" cm="1">
        <f t="array" ref="N134:N191">_xlfn.ANCHORARRAY(M134)/SUM(_xlfn.ANCHORARRAY(M134))</f>
        <v>0.85533921499999999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1.1137191006636862</v>
      </c>
      <c r="Q134" s="1" cm="1">
        <f t="array" ref="Q134:Q191">IFERROR(_xlfn.ANCHORARRAY(N4)/(_xlfn.ANCHORARRAY(J69)*_xlfn.ANCHORARRAY(F69)),0)</f>
        <v>1.1154363620639873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2.6259374040586274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1.2855816265470308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1.508670832672947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7.1549742682220678</v>
      </c>
      <c r="Q138" s="1">
        <v>0.86379537604496859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0.82188737913982746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5.9073255650379819</v>
      </c>
      <c r="Q140" s="1">
        <v>0.63137041723060117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0.68720195928909922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15.363638726403899</v>
      </c>
      <c r="L142" s="188">
        <v>3.3398645499999997E-2</v>
      </c>
      <c r="M142" s="233">
        <v>33398645</v>
      </c>
      <c r="N142" s="195">
        <v>3.3398644999999998E-2</v>
      </c>
      <c r="O142" s="211">
        <v>3.3398644999999998E-2</v>
      </c>
      <c r="P142" s="1">
        <v>4.3417559235209371</v>
      </c>
      <c r="Q142" s="1">
        <v>0.58948572500130469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0.47759755197796566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7.7024277401113173</v>
      </c>
      <c r="L144" s="188">
        <v>2.5173898499999996E-2</v>
      </c>
      <c r="M144" s="233">
        <v>25173898</v>
      </c>
      <c r="N144" s="195">
        <v>2.5173898E-2</v>
      </c>
      <c r="O144" s="211">
        <v>3.14673725E-2</v>
      </c>
      <c r="P144" s="1">
        <v>2.5374017801877242</v>
      </c>
      <c r="Q144" s="1">
        <v>0.71924210562825597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1.525710671400301</v>
      </c>
      <c r="L145" s="188">
        <v>4.0198845000000002E-3</v>
      </c>
      <c r="M145" s="233">
        <v>4019884</v>
      </c>
      <c r="N145" s="195">
        <v>4.0198839999999996E-3</v>
      </c>
      <c r="O145" s="211">
        <v>7.0235401173527239E-3</v>
      </c>
      <c r="P145" s="1">
        <v>5.4920383700690989</v>
      </c>
      <c r="Q145" s="1">
        <v>0.44964052706911922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1.5321593448447048</v>
      </c>
      <c r="L146" s="188">
        <v>1.38143225E-2</v>
      </c>
      <c r="M146" s="233">
        <v>13814322</v>
      </c>
      <c r="N146" s="195">
        <v>1.3814322E-2</v>
      </c>
      <c r="O146" s="211">
        <v>3.2408205710294E-2</v>
      </c>
      <c r="P146" s="1">
        <v>1.0107206504171804</v>
      </c>
      <c r="Q146" s="1">
        <v>0.4093520216378036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1.5335427549759735</v>
      </c>
      <c r="L147" s="188">
        <v>8.7050435000000006E-3</v>
      </c>
      <c r="M147" s="233">
        <v>8705043</v>
      </c>
      <c r="N147" s="195">
        <v>8.7050430000000008E-3</v>
      </c>
      <c r="O147" s="211">
        <v>2.6441173972865328E-2</v>
      </c>
      <c r="P147" s="1">
        <v>0.89651078046101884</v>
      </c>
      <c r="Q147" s="1">
        <v>0.30610315103061425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1.5359989957316371</v>
      </c>
      <c r="L148" s="188">
        <v>6.9070894999999997E-3</v>
      </c>
      <c r="M148" s="233">
        <v>6907089</v>
      </c>
      <c r="N148" s="195">
        <v>6.9070889999999999E-3</v>
      </c>
      <c r="O148" s="211">
        <v>2.5802919437651051E-2</v>
      </c>
      <c r="P148" s="1">
        <v>0.75439923358935213</v>
      </c>
      <c r="Q148" s="1">
        <v>0.38104822374915936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1.5343456541268448</v>
      </c>
      <c r="L149" s="188">
        <v>4.6234544999999997E-3</v>
      </c>
      <c r="M149" s="233">
        <v>4623454</v>
      </c>
      <c r="N149" s="195">
        <v>4.6234539999999999E-3</v>
      </c>
      <c r="O149" s="211">
        <v>1.858097756414796E-2</v>
      </c>
      <c r="P149" s="1">
        <v>0.20217986418244144</v>
      </c>
      <c r="Q149" s="1">
        <v>0.14848306462887881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0.38348365320489702</v>
      </c>
      <c r="L150" s="188">
        <v>4.0521525000000004E-3</v>
      </c>
      <c r="M150" s="233">
        <v>4052152</v>
      </c>
      <c r="N150" s="195">
        <v>4.0521519999999998E-3</v>
      </c>
      <c r="O150" s="211">
        <v>1.9908719748894663E-2</v>
      </c>
      <c r="P150" s="1">
        <v>0.19357388108990431</v>
      </c>
      <c r="Q150" s="1">
        <v>0.19520846209744247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3.8194031188265738</v>
      </c>
      <c r="L151" s="188">
        <v>8.609381499999999E-3</v>
      </c>
      <c r="M151" s="233">
        <v>8609381</v>
      </c>
      <c r="N151" s="195">
        <v>8.6093809999999993E-3</v>
      </c>
      <c r="O151" s="211">
        <v>4.8034534815783236E-2</v>
      </c>
      <c r="P151" s="1">
        <v>0.30997592405363167</v>
      </c>
      <c r="Q151" s="1">
        <v>0.1045492667984048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0.38364735285023482</v>
      </c>
      <c r="L152" s="188">
        <v>2.9356564999999998E-3</v>
      </c>
      <c r="M152" s="233">
        <v>2935656</v>
      </c>
      <c r="N152" s="195">
        <v>2.935656E-3</v>
      </c>
      <c r="O152" s="211">
        <v>1.8010021803951299E-2</v>
      </c>
      <c r="P152" s="1">
        <v>0.13331136076663175</v>
      </c>
      <c r="Q152" s="1">
        <v>0.42236439488564514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0.38333447543773508</v>
      </c>
      <c r="L153" s="188">
        <v>3.0487184999999999E-3</v>
      </c>
      <c r="M153" s="233">
        <v>3048718</v>
      </c>
      <c r="N153" s="195">
        <v>3.0487180000000002E-3</v>
      </c>
      <c r="O153" s="211">
        <v>2.2575964164333839E-2</v>
      </c>
      <c r="P153" s="1">
        <v>0.12380445244685916</v>
      </c>
      <c r="Q153" s="1">
        <v>0.10369105151167046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0.38260894478327934</v>
      </c>
      <c r="L154" s="188">
        <v>8.3465949999999992E-4</v>
      </c>
      <c r="M154" s="233">
        <v>834659</v>
      </c>
      <c r="N154" s="195">
        <v>8.3465899999999997E-4</v>
      </c>
      <c r="O154" s="211">
        <v>6.8651791271795836E-3</v>
      </c>
      <c r="P154" s="1">
        <v>5.2047792912658528E-2</v>
      </c>
      <c r="Q154" s="1">
        <v>1.7734551000176277E-2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0.15301110537375057</v>
      </c>
      <c r="L155" s="188">
        <v>1.5595585000000001E-3</v>
      </c>
      <c r="M155" s="233">
        <v>1559558</v>
      </c>
      <c r="N155" s="195">
        <v>1.559558E-3</v>
      </c>
      <c r="O155" s="211">
        <v>1.5171824142124766E-2</v>
      </c>
      <c r="P155" s="1">
        <v>3.6872281873656911E-2</v>
      </c>
      <c r="Q155" s="1">
        <v>5.8476542811417453E-2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6.128880624571619</v>
      </c>
      <c r="L156" s="188">
        <v>1.4655814499999999E-2</v>
      </c>
      <c r="M156" s="233">
        <v>14655814</v>
      </c>
      <c r="N156" s="195">
        <v>1.4655814E-2</v>
      </c>
      <c r="O156" s="211">
        <v>0.16094604837927864</v>
      </c>
      <c r="P156" s="1">
        <v>9.1603168356911457E-2</v>
      </c>
      <c r="Q156" s="1">
        <v>3.4341325462991519E-2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0.26671768015449265</v>
      </c>
      <c r="L157" s="188">
        <v>2.2075945E-3</v>
      </c>
      <c r="M157" s="233">
        <v>2207594</v>
      </c>
      <c r="N157" s="195">
        <v>2.2075939999999998E-3</v>
      </c>
      <c r="O157" s="211">
        <v>2.7349708521113073E-2</v>
      </c>
      <c r="P157" s="1">
        <v>4.4421241972836194E-2</v>
      </c>
      <c r="Q157" s="1">
        <v>6.5165956516571782E-2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9.1419291381332257E-2</v>
      </c>
      <c r="L158" s="188">
        <v>6.0618450000000002E-4</v>
      </c>
      <c r="M158" s="233">
        <v>606184</v>
      </c>
      <c r="N158" s="195">
        <v>6.0618399999999995E-4</v>
      </c>
      <c r="O158" s="211">
        <v>8.850461801478731E-3</v>
      </c>
      <c r="P158" s="1">
        <v>2.8402235863579987E-2</v>
      </c>
      <c r="Q158" s="1">
        <v>2.4073379269931285E-2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3.5918065923643189E-2</v>
      </c>
      <c r="L159" s="188">
        <v>8.6039500000000002E-5</v>
      </c>
      <c r="M159" s="233">
        <v>86039</v>
      </c>
      <c r="N159" s="195">
        <v>8.6038999999999994E-5</v>
      </c>
      <c r="O159" s="211">
        <v>1.4242769350060927E-3</v>
      </c>
      <c r="P159" s="1">
        <v>1.7992534141981549E-2</v>
      </c>
      <c r="Q159" s="1">
        <v>8.4673070571441786E-3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1.9381215902770001E-2</v>
      </c>
      <c r="L160" s="188">
        <v>1.5128949999999999E-4</v>
      </c>
      <c r="M160" s="233">
        <v>151289</v>
      </c>
      <c r="N160" s="195">
        <v>1.5128900000000001E-4</v>
      </c>
      <c r="O160" s="211">
        <v>2.9257254334651003E-3</v>
      </c>
      <c r="P160" s="1">
        <v>1.7868722798119289E-2</v>
      </c>
      <c r="Q160" s="1">
        <v>6.0211322540328037E-3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2.2952160371414845</v>
      </c>
      <c r="L161" s="188">
        <v>5.0346894999999999E-3</v>
      </c>
      <c r="M161" s="233">
        <v>5034689</v>
      </c>
      <c r="N161" s="195">
        <v>5.0346890000000002E-3</v>
      </c>
      <c r="O161" s="211">
        <v>0.10993264047128398</v>
      </c>
      <c r="P161" s="1">
        <v>1.5505402638088439E-2</v>
      </c>
      <c r="Q161" s="1">
        <v>6.988647146158225E-3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1.0194721602527997E-2</v>
      </c>
      <c r="L162" s="188">
        <v>8.0254500000000002E-5</v>
      </c>
      <c r="M162" s="233">
        <v>80254</v>
      </c>
      <c r="N162" s="195">
        <v>8.0253999999999994E-5</v>
      </c>
      <c r="O162" s="211">
        <v>1.9946544524904655E-3</v>
      </c>
      <c r="P162" s="1">
        <v>5.3277612935302898E-3</v>
      </c>
      <c r="Q162" s="1">
        <v>3.4022846708717924E-3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4.8685990219995224E-3</v>
      </c>
      <c r="L163" s="188">
        <v>3.1049500000000001E-5</v>
      </c>
      <c r="M163" s="233">
        <v>31049</v>
      </c>
      <c r="N163" s="195">
        <v>3.1049E-5</v>
      </c>
      <c r="O163" s="211">
        <v>9.0706199318698764E-4</v>
      </c>
      <c r="P163" s="1">
        <v>9.0629528614808736E-3</v>
      </c>
      <c r="Q163" s="1">
        <v>1.8689964610717896E-3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0.34347512613711501</v>
      </c>
      <c r="L164" s="188">
        <v>2.1547335E-3</v>
      </c>
      <c r="M164" s="233">
        <v>2154733</v>
      </c>
      <c r="N164" s="195">
        <v>2.1547329999999998E-3</v>
      </c>
      <c r="O164" s="211">
        <v>7.7347875376421474E-2</v>
      </c>
      <c r="P164" s="1">
        <v>3.611796729393566E-3</v>
      </c>
      <c r="Q164" s="1">
        <v>3.1783836981386104E-4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0.17749738635629905</v>
      </c>
      <c r="L165" s="188">
        <v>6.460115E-4</v>
      </c>
      <c r="M165" s="233">
        <v>646011</v>
      </c>
      <c r="N165" s="195">
        <v>6.4601100000000005E-4</v>
      </c>
      <c r="O165" s="211">
        <v>2.6341480410331176E-2</v>
      </c>
      <c r="P165" s="1">
        <v>6.2150455206749181E-4</v>
      </c>
      <c r="Q165" s="1">
        <v>2.2703756427837937E-4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1.8629480749014031E-4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0.34392590238551674</v>
      </c>
      <c r="L167" s="188">
        <v>8.3872350000000005E-4</v>
      </c>
      <c r="M167" s="233">
        <v>838723</v>
      </c>
      <c r="N167" s="195">
        <v>8.3872299999999999E-4</v>
      </c>
      <c r="O167" s="211">
        <v>4.5216273757134717E-2</v>
      </c>
      <c r="P167" s="1">
        <v>2.3205224148359254E-3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3.2052520338260691E-3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2.5064100398200701E-3</v>
      </c>
      <c r="Q169" s="1">
        <v>8.0072696302461261E-5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0.26800128540690582</v>
      </c>
      <c r="L175" s="188">
        <v>2.8772349999999999E-4</v>
      </c>
      <c r="M175" s="233">
        <v>287723</v>
      </c>
      <c r="N175" s="195">
        <v>2.8772299999999998E-4</v>
      </c>
      <c r="O175" s="211">
        <v>2.9775883942458711E-2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4.9361396445573612E-5</v>
      </c>
      <c r="Q179" s="1">
        <v>6.2509686120718015E-5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1.1424164635914896E-2</v>
      </c>
      <c r="L180" s="188">
        <v>9.693350000000001E-5</v>
      </c>
      <c r="M180" s="233">
        <v>96933</v>
      </c>
      <c r="N180" s="195">
        <v>9.6933000000000002E-5</v>
      </c>
      <c r="O180" s="211">
        <v>3.0421347242431531E-2</v>
      </c>
      <c r="P180" s="1">
        <v>5.1149369949368016E-5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2.2853371885338841E-2</v>
      </c>
      <c r="L182" s="188">
        <v>6.0828499999999995E-5</v>
      </c>
      <c r="M182" s="233">
        <v>60828</v>
      </c>
      <c r="N182" s="195">
        <v>6.0828000000000001E-5</v>
      </c>
      <c r="O182" s="211">
        <v>3.4285753730502022E-2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5.9996356443889239E-2</v>
      </c>
      <c r="L186" s="188">
        <v>3.4579500000000003E-5</v>
      </c>
      <c r="M186" s="233">
        <v>34579</v>
      </c>
      <c r="N186" s="195">
        <v>3.4579000000000002E-5</v>
      </c>
      <c r="O186" s="211">
        <v>3.6700171588802136E-2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3.8072420738260115E-3</v>
      </c>
      <c r="L188" s="188">
        <v>5.8845000000000002E-6</v>
      </c>
      <c r="M188" s="233">
        <v>5884</v>
      </c>
      <c r="N188" s="195">
        <v>5.8839999999999999E-6</v>
      </c>
      <c r="O188" s="211">
        <v>9.8915581740888856E-3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28919.286272014804</v>
      </c>
      <c r="O192" s="10">
        <f>SUM(O175:O185)</f>
        <v>9.4482984915392268E-2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16439.797461695271</v>
      </c>
      <c r="O194" s="220" cm="1">
        <f t="array" ref="O194:O195">N196/N194:N195</f>
        <v>212.89800000000002</v>
      </c>
    </row>
    <row r="195" spans="1:20" ht="16.8" thickBot="1">
      <c r="M195" s="124" t="s">
        <v>179</v>
      </c>
      <c r="N195" s="218">
        <f>1/SUM(N192)</f>
        <v>3.4579000000000002E-5</v>
      </c>
      <c r="O195" s="220">
        <v>101217501952.05182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0.919999999996575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0.75554024000000009</v>
      </c>
      <c r="W223" s="296" cm="1">
        <f t="array" ref="W223:W228">1/V223:V228</f>
        <v>1.323556241028274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0.24445976</v>
      </c>
      <c r="W224" s="297">
        <v>4.0906527929177381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0.12459840899999999</v>
      </c>
      <c r="W225" s="297">
        <v>8.0257846631091425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5.3877199999999995E-3</v>
      </c>
      <c r="W226" s="297">
        <v>185.6072698655461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3.7930779999999996E-3</v>
      </c>
      <c r="W227" s="297">
        <v>263.63813240856109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1.99722E-4</v>
      </c>
      <c r="W228" s="298">
        <v>5006.9596739467861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  <c r="P229" s="1" cm="1">
        <f t="array" ref="P229:P256">2*K229:K256</f>
        <v>3.5631323845213916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  <c r="P230" s="1">
        <v>0.577671089045104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  <c r="P231" s="1">
        <v>0.70407623111792728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  <c r="P232" s="1">
        <v>0.58954231780344479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  <c r="P233" s="1">
        <v>0.78159562132802018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  <c r="P234" s="1">
        <v>2.4127826986046856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  <c r="P235" s="1">
        <v>1.3493783236775283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  <c r="P236" s="1">
        <v>0.95475537049999848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  <c r="P237" s="1">
        <v>0.47850070472721973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  <c r="P238" s="1">
        <v>0.43168490594025621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  <c r="P239" s="1">
        <v>0.75277430382430166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  <c r="P240" s="1">
        <v>0.4512323542705991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  <c r="P241" s="1">
        <v>0.46539560247136824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  <c r="P242" s="1">
        <v>0.38170537404700755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  <c r="P243" s="1">
        <v>0.73745196400813684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  <c r="P244" s="1">
        <v>0.16124166277752608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  <c r="P245" s="1">
        <v>5.0354145578114587E-2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  <c r="P246" s="1">
        <v>0.10754438141867163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  <c r="P247" s="1">
        <v>0.19556173782588909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  <c r="P248" s="1">
        <v>0.12816409785669983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  <c r="P249" s="1">
        <v>0.20664726784581153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  <c r="P250" s="1">
        <v>0.29549520848703398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  <c r="P251" s="198">
        <v>0.33753718848740943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  <c r="P252" s="198">
        <v>0.14643946900668492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  <c r="P253" s="198">
        <v>0.13994749582114244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48.167900198422849</v>
      </c>
      <c r="O259" s="220" cm="1">
        <f t="array" ref="O259:O260">N261/N259:N260</f>
        <v>290.64999599999999</v>
      </c>
    </row>
    <row r="260" spans="13:15" ht="16.8" thickBot="1">
      <c r="M260" s="124" t="s">
        <v>179</v>
      </c>
      <c r="N260" s="218">
        <f>1/SUM(N257)</f>
        <v>2.4131799999999997E-4</v>
      </c>
      <c r="O260" s="220">
        <v>58014735.742878698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0.92000000000095705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1.1307510379178209</v>
      </c>
      <c r="L4" s="185" cm="1">
        <f t="array" ref="L4:L61">K4:K61*_xlfn.ANCHORARRAY(J4)*_xlfn.ANCHORARRAY(F4)</f>
        <v>0.8991606955</v>
      </c>
      <c r="M4" s="240" cm="1">
        <f t="array" ref="M4:M61">INT(_xlfn.ANCHORARRAY(L4)*$M$2)</f>
        <v>899160695</v>
      </c>
      <c r="N4" s="194" cm="1">
        <f t="array" ref="N4:N61">_xlfn.ANCHORARRAY(M4)/SUM(_xlfn.ANCHORARRAY(M4))</f>
        <v>0.89916069499999995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0.4608992751931868</v>
      </c>
      <c r="L5" s="188">
        <v>5.6338174999999999E-3</v>
      </c>
      <c r="M5" s="233">
        <v>5633817</v>
      </c>
      <c r="N5" s="195">
        <v>5.6338170000000002E-3</v>
      </c>
      <c r="O5" s="211">
        <v>4.229809160137989E-3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0.4607738097186822</v>
      </c>
      <c r="L6" s="188">
        <v>9.1483115000000007E-3</v>
      </c>
      <c r="M6" s="233">
        <v>9148311</v>
      </c>
      <c r="N6" s="195">
        <v>9.1483109999999992E-3</v>
      </c>
      <c r="O6" s="211">
        <v>1.5709715684257317E-2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0.46053417904121391</v>
      </c>
      <c r="L7" s="188">
        <v>6.4571115000000004E-3</v>
      </c>
      <c r="M7" s="233">
        <v>6457111</v>
      </c>
      <c r="N7" s="195">
        <v>6.4571109999999998E-3</v>
      </c>
      <c r="O7" s="211">
        <v>1.7752266731110668E-2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0.46028703637756579</v>
      </c>
      <c r="L8" s="188">
        <v>8.4983554999999988E-3</v>
      </c>
      <c r="M8" s="233">
        <v>8498355</v>
      </c>
      <c r="N8" s="195">
        <v>8.4983550000000008E-3</v>
      </c>
      <c r="O8" s="211">
        <v>3.1430483015499243E-2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0.461296941052037</v>
      </c>
      <c r="L9" s="188">
        <v>5.8128475000000001E-3</v>
      </c>
      <c r="M9" s="233">
        <v>5812847</v>
      </c>
      <c r="N9" s="195">
        <v>5.8128470000000003E-3</v>
      </c>
      <c r="O9" s="211">
        <v>2.7933735052842829E-2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0.46095013517110661</v>
      </c>
      <c r="L10" s="188">
        <v>5.7820345000000007E-3</v>
      </c>
      <c r="M10" s="233">
        <v>5782034</v>
      </c>
      <c r="N10" s="195">
        <v>5.7820340000000001E-3</v>
      </c>
      <c r="O10" s="211">
        <v>3.4414724672655661E-2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0.46106580144818582</v>
      </c>
      <c r="L11" s="188">
        <v>1.4565645E-3</v>
      </c>
      <c r="M11" s="233">
        <v>1456564</v>
      </c>
      <c r="N11" s="195">
        <v>1.456564E-3</v>
      </c>
      <c r="O11" s="211">
        <v>9.5081757345816965E-3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1.153551999724969</v>
      </c>
      <c r="L12" s="188">
        <v>1.51664495E-2</v>
      </c>
      <c r="M12" s="233">
        <v>15166449</v>
      </c>
      <c r="N12" s="195">
        <v>1.5166449E-2</v>
      </c>
      <c r="O12" s="211">
        <v>0.11699517400034998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0.57415317903872365</v>
      </c>
      <c r="L13" s="188">
        <v>3.3072825000000001E-3</v>
      </c>
      <c r="M13" s="233">
        <v>3307282</v>
      </c>
      <c r="N13" s="195">
        <v>3.3072819999999999E-3</v>
      </c>
      <c r="O13" s="211">
        <v>2.9504964130957753E-2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0.57614978990015786</v>
      </c>
      <c r="L14" s="188">
        <v>4.1116174999999994E-3</v>
      </c>
      <c r="M14" s="233">
        <v>4111617</v>
      </c>
      <c r="N14" s="195">
        <v>4.1116169999999997E-3</v>
      </c>
      <c r="O14" s="211">
        <v>4.0089756047672814E-2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1.1518505922424498</v>
      </c>
      <c r="L15" s="188">
        <v>2.0629328500000002E-2</v>
      </c>
      <c r="M15" s="233">
        <v>20629328</v>
      </c>
      <c r="N15" s="195">
        <v>2.0629327999999999E-2</v>
      </c>
      <c r="O15" s="211">
        <v>0.26261923126237047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0.45974888994308577</v>
      </c>
      <c r="L16" s="188">
        <v>5.1810214999999998E-3</v>
      </c>
      <c r="M16" s="233">
        <v>5181021</v>
      </c>
      <c r="N16" s="195">
        <v>5.1810210000000001E-3</v>
      </c>
      <c r="O16" s="211">
        <v>9.2467958015487919E-2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1.1524919081456659</v>
      </c>
      <c r="L17" s="188">
        <v>7.1619004999999994E-3</v>
      </c>
      <c r="M17" s="233">
        <v>7161900</v>
      </c>
      <c r="N17" s="195">
        <v>7.1618999999999997E-3</v>
      </c>
      <c r="O17" s="211">
        <v>0.16646486206442779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0.57595198331204511</v>
      </c>
      <c r="L18" s="188">
        <v>2.4926694999999996E-3</v>
      </c>
      <c r="M18" s="233">
        <v>2492669</v>
      </c>
      <c r="N18" s="195">
        <v>2.4926689999999999E-3</v>
      </c>
      <c r="O18" s="211">
        <v>7.0879144428604879E-2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0.91999999988202652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1.0918309590722872</v>
      </c>
      <c r="L69" s="185" cm="1">
        <f t="array" ref="L69:L126">K69:K126*_xlfn.ANCHORARRAY(J69)*_xlfn.ANCHORARRAY(F69)</f>
        <v>0.86824349950000002</v>
      </c>
      <c r="M69" s="207" cm="1">
        <f t="array" ref="M69:M126">INT(_xlfn.ANCHORARRAY(L69)*$M$2)</f>
        <v>868243499</v>
      </c>
      <c r="N69" s="194" cm="1">
        <f t="array" ref="N69:N126">_xlfn.ANCHORARRAY(M69)/SUM(_xlfn.ANCHORARRAY(M69))</f>
        <v>0.86824349899999997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2.2743449934408946</v>
      </c>
      <c r="L70" s="188">
        <v>1.0126723499999999E-2</v>
      </c>
      <c r="M70" s="208">
        <v>10126723</v>
      </c>
      <c r="N70" s="195">
        <v>1.0126723000000001E-2</v>
      </c>
      <c r="O70" s="211">
        <v>5.4009189333333336E-3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1.301617674063708</v>
      </c>
      <c r="L71" s="188">
        <v>1.64444815E-2</v>
      </c>
      <c r="M71" s="208">
        <v>16444481</v>
      </c>
      <c r="N71" s="195">
        <v>1.6444481E-2</v>
      </c>
      <c r="O71" s="211">
        <v>1.819528583885514E-2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1.5190247503805592</v>
      </c>
      <c r="L72" s="188">
        <v>1.1606459500000001E-2</v>
      </c>
      <c r="M72" s="208">
        <v>11606459</v>
      </c>
      <c r="N72" s="195">
        <v>1.1606459E-2</v>
      </c>
      <c r="O72" s="211">
        <v>2.1629963034557869E-2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0.8926898101648203</v>
      </c>
      <c r="L73" s="188">
        <v>1.26686735E-2</v>
      </c>
      <c r="M73" s="208">
        <v>12668673</v>
      </c>
      <c r="N73" s="195">
        <v>1.2668673E-2</v>
      </c>
      <c r="O73" s="211">
        <v>3.0824182288316036E-2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0.7119726546002868</v>
      </c>
      <c r="L74" s="188">
        <v>8.6651885000000005E-3</v>
      </c>
      <c r="M74" s="208">
        <v>8665188</v>
      </c>
      <c r="N74" s="195">
        <v>8.6651880000000008E-3</v>
      </c>
      <c r="O74" s="211">
        <v>2.785432476184482E-2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0.68132175589939592</v>
      </c>
      <c r="L75" s="188">
        <v>8.6191984999999995E-3</v>
      </c>
      <c r="M75" s="208">
        <v>8619198</v>
      </c>
      <c r="N75" s="195">
        <v>8.6191979999999998E-3</v>
      </c>
      <c r="O75" s="211">
        <v>3.435931551184692E-2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0.76867951901406806</v>
      </c>
      <c r="L76" s="188">
        <v>2.1712875000000002E-3</v>
      </c>
      <c r="M76" s="208">
        <v>2171287</v>
      </c>
      <c r="N76" s="195">
        <v>2.171287E-3</v>
      </c>
      <c r="O76" s="211">
        <v>9.3828079301998789E-3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0.63945444291223807</v>
      </c>
      <c r="L77" s="188">
        <v>9.0433425000000008E-3</v>
      </c>
      <c r="M77" s="208">
        <v>9043342</v>
      </c>
      <c r="N77" s="195">
        <v>9.0433419999999994E-3</v>
      </c>
      <c r="O77" s="211">
        <v>4.6436105816530196E-2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0.61743151178698441</v>
      </c>
      <c r="L78" s="188">
        <v>3.9440604999999998E-3</v>
      </c>
      <c r="M78" s="208">
        <v>3944060</v>
      </c>
      <c r="N78" s="195">
        <v>3.9440600000000001E-3</v>
      </c>
      <c r="O78" s="211">
        <v>2.349158292709708E-2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0.57454660223821608</v>
      </c>
      <c r="L79" s="188">
        <v>4.9032485000000004E-3</v>
      </c>
      <c r="M79" s="208">
        <v>4903248</v>
      </c>
      <c r="N79" s="195">
        <v>4.9032479999999998E-3</v>
      </c>
      <c r="O79" s="211">
        <v>3.1882300144844493E-2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0.34094087710576787</v>
      </c>
      <c r="L80" s="188">
        <v>7.4158564999999999E-3</v>
      </c>
      <c r="M80" s="208">
        <v>7415856</v>
      </c>
      <c r="N80" s="195">
        <v>7.4158560000000002E-3</v>
      </c>
      <c r="O80" s="211">
        <v>6.3123895836797977E-2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1.3125204898104155</v>
      </c>
      <c r="L81" s="188">
        <v>1.8624639499999998E-2</v>
      </c>
      <c r="M81" s="208">
        <v>18624639</v>
      </c>
      <c r="N81" s="195">
        <v>1.8624638999999998E-2</v>
      </c>
      <c r="O81" s="211">
        <v>0.22188858820495561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0.32356123781035656</v>
      </c>
      <c r="L82" s="188">
        <v>2.5745305E-3</v>
      </c>
      <c r="M82" s="208">
        <v>2574530</v>
      </c>
      <c r="N82" s="195">
        <v>2.5745299999999998E-3</v>
      </c>
      <c r="O82" s="211">
        <v>3.9898516151213974E-2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0.32337765637346477</v>
      </c>
      <c r="L83" s="188">
        <v>1.7920984999999997E-3</v>
      </c>
      <c r="M83" s="208">
        <v>1792098</v>
      </c>
      <c r="N83" s="195">
        <v>1.792098E-3</v>
      </c>
      <c r="O83" s="211">
        <v>3.3975307539267606E-2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3.261552145343233</v>
      </c>
      <c r="L84" s="188">
        <v>8.8648335000000005E-3</v>
      </c>
      <c r="M84" s="208">
        <v>8864833</v>
      </c>
      <c r="N84" s="195">
        <v>8.8648330000000008E-3</v>
      </c>
      <c r="O84" s="211">
        <v>0.19255791954920684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0.32284162335840011</v>
      </c>
      <c r="L85" s="188">
        <v>1.5576184999999999E-3</v>
      </c>
      <c r="M85" s="208">
        <v>1557618</v>
      </c>
      <c r="N85" s="195">
        <v>1.557618E-3</v>
      </c>
      <c r="O85" s="211">
        <v>3.9746037046808076E-2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1.3066775466121237</v>
      </c>
      <c r="L86" s="188">
        <v>2.7342684999999999E-3</v>
      </c>
      <c r="M86" s="208">
        <v>2734268</v>
      </c>
      <c r="N86" s="195">
        <v>2.7342680000000002E-3</v>
      </c>
      <c r="O86" s="211">
        <v>7.9352948366350554E-2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0.92000000008707572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1.0970658369227411</v>
      </c>
      <c r="L134" s="185" cm="1">
        <f t="array" ref="L134:L191">K134:K191*_xlfn.ANCHORARRAY(J134)*_xlfn.ANCHORARRAY(F134)</f>
        <v>0.87238485450000003</v>
      </c>
      <c r="M134" s="207" cm="1">
        <f t="array" ref="M134:M191">INT(_xlfn.ANCHORARRAY(L134)*$M$2)</f>
        <v>872384854</v>
      </c>
      <c r="N134" s="194" cm="1">
        <f t="array" ref="N134:N191">_xlfn.ANCHORARRAY(M134)/SUM(_xlfn.ANCHORARRAY(M134))</f>
        <v>0.87238485399999999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15.071623910471434</v>
      </c>
      <c r="L142" s="188">
        <v>3.2763841499999995E-2</v>
      </c>
      <c r="M142" s="208">
        <v>32763841</v>
      </c>
      <c r="N142" s="195">
        <v>3.2763841000000002E-2</v>
      </c>
      <c r="O142" s="211">
        <v>3.2763841000000002E-2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1.5115873447629002</v>
      </c>
      <c r="L144" s="188">
        <v>4.9403314999999998E-3</v>
      </c>
      <c r="M144" s="208">
        <v>4940331</v>
      </c>
      <c r="N144" s="195">
        <v>4.9403310000000001E-3</v>
      </c>
      <c r="O144" s="211">
        <v>6.1754137499999999E-3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1.4975809959305622</v>
      </c>
      <c r="L145" s="188">
        <v>3.9457694999999997E-3</v>
      </c>
      <c r="M145" s="208">
        <v>3945769</v>
      </c>
      <c r="N145" s="195">
        <v>3.945769E-3</v>
      </c>
      <c r="O145" s="211">
        <v>6.8940464116145498E-3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1.5043251380508336</v>
      </c>
      <c r="L146" s="188">
        <v>1.3563362499999999E-2</v>
      </c>
      <c r="M146" s="208">
        <v>13563362</v>
      </c>
      <c r="N146" s="195">
        <v>1.3563362000000001E-2</v>
      </c>
      <c r="O146" s="211">
        <v>3.1819457069205762E-2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1.5060795285485042</v>
      </c>
      <c r="L147" s="188">
        <v>8.5491505000000016E-3</v>
      </c>
      <c r="M147" s="208">
        <v>8549150</v>
      </c>
      <c r="N147" s="195">
        <v>8.5491500000000002E-3</v>
      </c>
      <c r="O147" s="211">
        <v>2.5967656043757809E-2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1.5087972440883597</v>
      </c>
      <c r="L148" s="188">
        <v>6.7847685000000007E-3</v>
      </c>
      <c r="M148" s="208">
        <v>6784768</v>
      </c>
      <c r="N148" s="195">
        <v>6.784768E-3</v>
      </c>
      <c r="O148" s="211">
        <v>2.5345962981967202E-2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1.5072807052185522</v>
      </c>
      <c r="L149" s="188">
        <v>4.5418994999999992E-3</v>
      </c>
      <c r="M149" s="208">
        <v>4541899</v>
      </c>
      <c r="N149" s="195">
        <v>4.5418990000000003E-3</v>
      </c>
      <c r="O149" s="211">
        <v>1.825322008559533E-2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0.30143458371870319</v>
      </c>
      <c r="L150" s="188">
        <v>3.1851655000000004E-3</v>
      </c>
      <c r="M150" s="208">
        <v>3185165</v>
      </c>
      <c r="N150" s="195">
        <v>3.1851649999999998E-3</v>
      </c>
      <c r="O150" s="211">
        <v>1.5649106286977403E-2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1.5012918584084145</v>
      </c>
      <c r="L151" s="188">
        <v>3.3840874999999998E-3</v>
      </c>
      <c r="M151" s="208">
        <v>3384087</v>
      </c>
      <c r="N151" s="195">
        <v>3.384087E-3</v>
      </c>
      <c r="O151" s="211">
        <v>1.88809212672943E-2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0.30163052214293684</v>
      </c>
      <c r="L152" s="188">
        <v>2.3080664999999998E-3</v>
      </c>
      <c r="M152" s="208">
        <v>2308066</v>
      </c>
      <c r="N152" s="195">
        <v>2.3080660000000001E-3</v>
      </c>
      <c r="O152" s="211">
        <v>1.4159805844063015E-2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0.30143791991983054</v>
      </c>
      <c r="L153" s="188">
        <v>2.3973824999999997E-3</v>
      </c>
      <c r="M153" s="208">
        <v>2397382</v>
      </c>
      <c r="N153" s="195">
        <v>2.397382E-3</v>
      </c>
      <c r="O153" s="211">
        <v>1.7752776780344717E-2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0.30089846641867157</v>
      </c>
      <c r="L154" s="188">
        <v>6.5640849999999988E-4</v>
      </c>
      <c r="M154" s="208">
        <v>656408</v>
      </c>
      <c r="N154" s="195">
        <v>6.5640800000000003E-4</v>
      </c>
      <c r="O154" s="211">
        <v>5.3990414055484891E-3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0.3008837519290008</v>
      </c>
      <c r="L155" s="188">
        <v>3.0667435E-3</v>
      </c>
      <c r="M155" s="208">
        <v>3066743</v>
      </c>
      <c r="N155" s="195">
        <v>3.0667429999999998E-3</v>
      </c>
      <c r="O155" s="211">
        <v>2.9834148832612914E-2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6.0266772356625413</v>
      </c>
      <c r="L156" s="188">
        <v>1.44114185E-2</v>
      </c>
      <c r="M156" s="208">
        <v>14411418</v>
      </c>
      <c r="N156" s="195">
        <v>1.4411418E-2</v>
      </c>
      <c r="O156" s="211">
        <v>0.15826215989381465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0.30075435283951857</v>
      </c>
      <c r="L157" s="188">
        <v>2.4893125000000002E-3</v>
      </c>
      <c r="M157" s="208">
        <v>2489312</v>
      </c>
      <c r="N157" s="195">
        <v>2.489312E-3</v>
      </c>
      <c r="O157" s="211">
        <v>3.0839890676505298E-2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0.30099002897984201</v>
      </c>
      <c r="L158" s="188">
        <v>1.9958095E-3</v>
      </c>
      <c r="M158" s="208">
        <v>1995809</v>
      </c>
      <c r="N158" s="195">
        <v>1.9958089999999999E-3</v>
      </c>
      <c r="O158" s="211">
        <v>2.9139388894374424E-2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0.30128665404823668</v>
      </c>
      <c r="L159" s="188">
        <v>7.2171349999999997E-4</v>
      </c>
      <c r="M159" s="208">
        <v>721713</v>
      </c>
      <c r="N159" s="195">
        <v>7.2171300000000002E-4</v>
      </c>
      <c r="O159" s="211">
        <v>1.1947130715071681E-2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0.30147523964301243</v>
      </c>
      <c r="L160" s="188">
        <v>2.3533115E-3</v>
      </c>
      <c r="M160" s="208">
        <v>2353311</v>
      </c>
      <c r="N160" s="195">
        <v>2.3533109999999999E-3</v>
      </c>
      <c r="O160" s="211">
        <v>4.5509864203961872E-2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3.0112777961649519</v>
      </c>
      <c r="L161" s="188">
        <v>6.6054124999999995E-3</v>
      </c>
      <c r="M161" s="208">
        <v>6605412</v>
      </c>
      <c r="N161" s="195">
        <v>6.6054119999999997E-3</v>
      </c>
      <c r="O161" s="211">
        <v>0.14422944149295117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0.30077906171138247</v>
      </c>
      <c r="L162" s="188">
        <v>2.3677815E-3</v>
      </c>
      <c r="M162" s="208">
        <v>2367781</v>
      </c>
      <c r="N162" s="195">
        <v>2.3677809999999998E-3</v>
      </c>
      <c r="O162" s="211">
        <v>5.8849464377754721E-2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1.0322881121793455</v>
      </c>
      <c r="L163" s="188">
        <v>6.5834194999999998E-3</v>
      </c>
      <c r="M163" s="208">
        <v>6583419</v>
      </c>
      <c r="N163" s="195">
        <v>6.5834190000000001E-3</v>
      </c>
      <c r="O163" s="211">
        <v>0.19232726207366049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33"/>
      <c r="C197" s="333"/>
      <c r="D197" s="333"/>
      <c r="E197" s="333"/>
      <c r="F197" s="334"/>
      <c r="G197" s="333"/>
      <c r="H197" s="333"/>
      <c r="I197" s="333"/>
      <c r="J197" s="229">
        <v>3000</v>
      </c>
      <c r="K197" s="333"/>
      <c r="L197" s="333"/>
      <c r="M197" s="333"/>
      <c r="N197" s="333"/>
      <c r="O197" s="308">
        <f>SUM(_xlfn.ANCHORARRAY(O199))</f>
        <v>0.919999999996575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6" t="str">
        <v>Count</v>
      </c>
      <c r="D198" s="317" t="str">
        <v>Pay</v>
      </c>
      <c r="E198" s="317" t="str">
        <v>Multi.</v>
      </c>
      <c r="F198" s="317" t="str">
        <v>Prob.</v>
      </c>
      <c r="G198" s="318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5040-79C3-4185-8851-C6CC45FC5666}">
  <dimension ref="B4:D12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14" t="s">
        <v>295</v>
      </c>
      <c r="C4" s="314" t="s">
        <v>296</v>
      </c>
      <c r="D4" s="314" t="s">
        <v>297</v>
      </c>
    </row>
    <row r="5" spans="2:4">
      <c r="B5" t="s">
        <v>298</v>
      </c>
      <c r="C5" s="315">
        <v>1878853800</v>
      </c>
      <c r="D5" t="s">
        <v>299</v>
      </c>
    </row>
    <row r="6" spans="2:4">
      <c r="B6" t="s">
        <v>300</v>
      </c>
      <c r="C6" s="315">
        <v>1860850500</v>
      </c>
      <c r="D6" t="s">
        <v>301</v>
      </c>
    </row>
    <row r="7" spans="2:4">
      <c r="B7" t="s">
        <v>302</v>
      </c>
      <c r="C7" s="315">
        <v>2392069000</v>
      </c>
      <c r="D7" t="s">
        <v>303</v>
      </c>
    </row>
    <row r="8" spans="2:4">
      <c r="B8" t="s">
        <v>304</v>
      </c>
      <c r="C8" s="315">
        <v>2417717700</v>
      </c>
      <c r="D8" t="s">
        <v>305</v>
      </c>
    </row>
    <row r="9" spans="2:4">
      <c r="B9" t="s">
        <v>306</v>
      </c>
      <c r="C9" s="315">
        <v>2707967400</v>
      </c>
      <c r="D9" t="s">
        <v>307</v>
      </c>
    </row>
    <row r="10" spans="2:4">
      <c r="B10" t="s">
        <v>308</v>
      </c>
      <c r="C10" s="315">
        <v>2644466700</v>
      </c>
      <c r="D10" t="s">
        <v>309</v>
      </c>
    </row>
    <row r="11" spans="2:4">
      <c r="B11" t="s">
        <v>310</v>
      </c>
      <c r="C11" s="315">
        <v>18085710700</v>
      </c>
      <c r="D11" t="s">
        <v>311</v>
      </c>
    </row>
    <row r="12" spans="2:4">
      <c r="B12" t="s">
        <v>312</v>
      </c>
      <c r="C12" s="315">
        <v>18086783600</v>
      </c>
      <c r="D12" t="s">
        <v>313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30" t="s">
        <v>138</v>
      </c>
      <c r="B1" s="330"/>
      <c r="C1" s="330"/>
      <c r="D1" s="330"/>
      <c r="E1" s="330"/>
      <c r="F1" s="330"/>
      <c r="G1" s="1"/>
      <c r="H1" s="330" t="s">
        <v>139</v>
      </c>
      <c r="I1" s="330"/>
      <c r="J1" s="330"/>
      <c r="K1" s="330"/>
      <c r="L1" s="330"/>
      <c r="M1" s="330"/>
      <c r="N1" s="1"/>
      <c r="O1" s="330" t="s">
        <v>140</v>
      </c>
      <c r="P1" s="330"/>
      <c r="Q1" s="330"/>
      <c r="R1" s="330"/>
      <c r="S1" s="330"/>
      <c r="T1" s="33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31" t="s">
        <v>145</v>
      </c>
      <c r="B27" s="331"/>
      <c r="C27" s="331"/>
      <c r="D27" s="331"/>
      <c r="E27" s="331"/>
      <c r="F27" s="331"/>
      <c r="H27" s="331" t="s">
        <v>146</v>
      </c>
      <c r="I27" s="331"/>
      <c r="J27" s="331"/>
      <c r="K27" s="331"/>
      <c r="L27" s="331"/>
      <c r="M27" s="331"/>
      <c r="O27" s="331" t="s">
        <v>147</v>
      </c>
      <c r="P27" s="331"/>
      <c r="Q27" s="331"/>
      <c r="R27" s="331"/>
      <c r="S27" s="331"/>
      <c r="T27" s="33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8" t="s">
        <v>148</v>
      </c>
      <c r="B53" s="328"/>
      <c r="C53" s="328"/>
      <c r="D53" s="328"/>
      <c r="E53" s="328"/>
      <c r="F53" s="328"/>
      <c r="H53" s="328" t="s">
        <v>149</v>
      </c>
      <c r="I53" s="328"/>
      <c r="J53" s="328"/>
      <c r="K53" s="328"/>
      <c r="L53" s="328"/>
      <c r="M53" s="328"/>
      <c r="O53" s="328" t="s">
        <v>150</v>
      </c>
      <c r="P53" s="328"/>
      <c r="Q53" s="328"/>
      <c r="R53" s="328"/>
      <c r="S53" s="328"/>
      <c r="T53" s="328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9" t="s">
        <v>151</v>
      </c>
      <c r="B79" s="329"/>
      <c r="C79" s="329"/>
      <c r="D79" s="329"/>
      <c r="E79" s="329"/>
      <c r="F79" s="329"/>
      <c r="H79" s="329" t="s">
        <v>152</v>
      </c>
      <c r="I79" s="329"/>
      <c r="J79" s="329"/>
      <c r="K79" s="329"/>
      <c r="L79" s="329"/>
      <c r="M79" s="329"/>
      <c r="O79" s="329" t="s">
        <v>153</v>
      </c>
      <c r="P79" s="329"/>
      <c r="Q79" s="329"/>
      <c r="R79" s="329"/>
      <c r="S79" s="329"/>
      <c r="T79" s="329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30" t="s">
        <v>113</v>
      </c>
      <c r="B1" s="330"/>
      <c r="C1" s="330"/>
      <c r="D1" s="330"/>
      <c r="E1" s="330"/>
      <c r="F1" s="1"/>
      <c r="G1" s="331" t="s">
        <v>114</v>
      </c>
      <c r="H1" s="331"/>
      <c r="I1" s="331"/>
      <c r="J1" s="331"/>
      <c r="K1" s="331"/>
      <c r="L1" s="1"/>
      <c r="M1" s="328" t="s">
        <v>115</v>
      </c>
      <c r="N1" s="328"/>
      <c r="O1" s="328"/>
      <c r="P1" s="328"/>
      <c r="Q1" s="328"/>
      <c r="R1" s="60"/>
      <c r="S1" s="329" t="s">
        <v>129</v>
      </c>
      <c r="T1" s="329"/>
      <c r="U1" s="329"/>
      <c r="V1" s="329"/>
      <c r="W1" s="329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2">
        <f>PRODUCT('Regular Symbol'!C18:E18)</f>
        <v>5218521</v>
      </c>
      <c r="D11" s="332"/>
      <c r="E11" s="332"/>
      <c r="F11" s="332"/>
      <c r="G11" s="332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2">
        <f>PRODUCT('Regular Symbol'!C18:E18)</f>
        <v>5218521</v>
      </c>
      <c r="D23" s="332"/>
      <c r="E23" s="332"/>
      <c r="F23" s="332"/>
      <c r="G23" s="332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2">
        <f>PRODUCT('Regular Symbol'!C18:E18)</f>
        <v>5218521</v>
      </c>
      <c r="D35" s="332"/>
      <c r="E35" s="332"/>
      <c r="F35" s="332"/>
      <c r="G35" s="332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2">
        <f>PRODUCT('Regular Symbol'!C18:E18)</f>
        <v>5218521</v>
      </c>
      <c r="D47" s="332"/>
      <c r="E47" s="332"/>
      <c r="F47" s="332"/>
      <c r="G47" s="332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2">
        <f>PRODUCT('Regular Symbol'!C18:E18)</f>
        <v>5218521</v>
      </c>
      <c r="D59" s="332"/>
      <c r="E59" s="332"/>
      <c r="F59" s="332"/>
      <c r="G59" s="332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Symbol'!C44:E44)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Symbol'!C44:E44)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Symbol'!C44:E44)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Symbol'!C44:E44)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Symbol'!C44:E44)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Symbol'!C70:E70)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Symbol'!C70:E70)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Symbol'!C70:E70)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Symbol'!C70:E70)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Symbol'!C70:E70)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2026-10-20T08:57:06Z</dcterms:modified>
</cp:coreProperties>
</file>