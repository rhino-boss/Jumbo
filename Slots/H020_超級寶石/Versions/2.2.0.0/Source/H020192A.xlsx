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2.0.0\Source\"/>
    </mc:Choice>
  </mc:AlternateContent>
  <xr:revisionPtr revIDLastSave="0" documentId="13_ncr:1_{870F0A5A-D7B4-4B31-AA26-A317233EED81}" xr6:coauthVersionLast="47" xr6:coauthVersionMax="47" xr10:uidLastSave="{00000000-0000-0000-0000-000000000000}"/>
  <bookViews>
    <workbookView xWindow="-108" yWindow="-108" windowWidth="23256" windowHeight="12456" firstSheet="2" activeTab="1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R20" i="24" a="1"/>
  <c r="R20" i="24" s="1"/>
  <c r="S31" i="24" s="1"/>
  <c r="E217" i="32" l="1"/>
  <c r="E237" i="32"/>
  <c r="E218" i="32"/>
  <c r="E238" i="32"/>
  <c r="E219" i="32"/>
  <c r="E239" i="32"/>
  <c r="E200" i="32"/>
  <c r="E220" i="32"/>
  <c r="E240" i="32"/>
  <c r="E201" i="32"/>
  <c r="E221" i="32"/>
  <c r="E241" i="32"/>
  <c r="E202" i="32"/>
  <c r="E222" i="32"/>
  <c r="E242" i="32"/>
  <c r="E203" i="32"/>
  <c r="E223" i="32"/>
  <c r="E243" i="32"/>
  <c r="E204" i="32"/>
  <c r="E224" i="32"/>
  <c r="E244" i="32"/>
  <c r="E205" i="32"/>
  <c r="E225" i="32"/>
  <c r="E245" i="32"/>
  <c r="E206" i="32"/>
  <c r="E226" i="32"/>
  <c r="E246" i="32"/>
  <c r="E207" i="32"/>
  <c r="E227" i="32"/>
  <c r="E247" i="32"/>
  <c r="E208" i="32"/>
  <c r="E228" i="32"/>
  <c r="E248" i="32"/>
  <c r="E209" i="32"/>
  <c r="E229" i="32"/>
  <c r="E249" i="32"/>
  <c r="E210" i="32"/>
  <c r="E230" i="32"/>
  <c r="E250" i="32"/>
  <c r="E211" i="32"/>
  <c r="E231" i="32"/>
  <c r="E251" i="32"/>
  <c r="E212" i="32"/>
  <c r="E232" i="32"/>
  <c r="E252" i="32"/>
  <c r="E213" i="32"/>
  <c r="E233" i="32"/>
  <c r="E253" i="32"/>
  <c r="E214" i="32"/>
  <c r="E234" i="32"/>
  <c r="E254" i="32"/>
  <c r="E215" i="32"/>
  <c r="E235" i="32"/>
  <c r="E255" i="32"/>
  <c r="E216" i="32"/>
  <c r="E236" i="32"/>
  <c r="E256" i="32"/>
  <c r="F199" i="32" a="1"/>
  <c r="F199" i="32" s="1"/>
  <c r="J199" i="32" s="1" a="1"/>
  <c r="J199" i="32" s="1"/>
  <c r="L199" i="32" s="1" a="1"/>
  <c r="L199" i="32" s="1"/>
  <c r="E199" i="32"/>
  <c r="P229" i="28" a="1"/>
  <c r="P229" i="28" s="1"/>
  <c r="G199" i="32" l="1" a="1"/>
  <c r="G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93" i="38" l="1"/>
  <c r="M4" i="39" a="1"/>
  <c r="M4" i="39" s="1"/>
  <c r="N4" i="39" s="1" a="1"/>
  <c r="N65" i="39" s="1"/>
  <c r="I117" i="39"/>
  <c r="Q69" i="39" a="1"/>
  <c r="Q69" i="39" s="1"/>
  <c r="P68" i="39" s="1"/>
  <c r="R69" i="39" s="1" a="1"/>
  <c r="S70" i="39" s="1" a="1"/>
  <c r="S70" i="39" s="1"/>
  <c r="I101" i="39"/>
  <c r="I125" i="39"/>
  <c r="I109" i="39"/>
  <c r="I93" i="39"/>
  <c r="I77" i="39"/>
  <c r="Q4" i="39" a="1"/>
  <c r="Q4" i="39" s="1"/>
  <c r="P3" i="39" s="1"/>
  <c r="R4" i="39" s="1" a="1"/>
  <c r="R4" i="39" s="1"/>
  <c r="I85" i="39"/>
  <c r="I70" i="39"/>
  <c r="E220" i="38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T3" i="40" a="1"/>
  <c r="T3" i="40" s="1"/>
  <c r="T16" i="40" s="1" a="1"/>
  <c r="T16" i="40" s="1"/>
  <c r="O14" i="40" s="1"/>
  <c r="O15" i="40" s="1"/>
  <c r="S5" i="39" a="1"/>
  <c r="S5" i="39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Q134" i="39" s="1" a="1"/>
  <c r="Q134" i="39" s="1"/>
  <c r="N64" i="39"/>
  <c r="O64" i="39" s="1" a="1"/>
  <c r="O64" i="39" s="1"/>
  <c r="R69" i="39"/>
  <c r="E199" i="38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4" i="39" l="1" a="1"/>
  <c r="O194" i="39" a="1"/>
  <c r="O194" i="39" s="1"/>
  <c r="O64" i="38" a="1"/>
  <c r="O64" i="38" s="1"/>
  <c r="U225" i="38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108" i="36"/>
  <c r="Q69" i="36" a="1"/>
  <c r="Q69" i="36" s="1"/>
  <c r="P68" i="36" s="1"/>
  <c r="R69" i="36" s="1" a="1"/>
  <c r="I92" i="36"/>
  <c r="I84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I121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I106" i="34"/>
  <c r="E106" i="34"/>
  <c r="I105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14" i="34" l="1"/>
  <c r="I115" i="34"/>
  <c r="I99" i="34"/>
  <c r="J69" i="34" a="1"/>
  <c r="J69" i="34" s="1"/>
  <c r="L69" i="34" s="1" a="1"/>
  <c r="L69" i="34" s="1"/>
  <c r="M69" i="34" s="1" a="1"/>
  <c r="M69" i="34" s="1"/>
  <c r="N69" i="34" s="1" a="1"/>
  <c r="N129" i="34" s="1"/>
  <c r="G69" i="34" a="1"/>
  <c r="G69" i="34" s="1"/>
  <c r="I107" i="34"/>
  <c r="I122" i="34"/>
  <c r="I123" i="34"/>
  <c r="O129" i="36" a="1"/>
  <c r="O129" i="36" s="1"/>
  <c r="I81" i="34"/>
  <c r="I82" i="34"/>
  <c r="I97" i="34"/>
  <c r="Q69" i="34" a="1"/>
  <c r="Q69" i="34" s="1"/>
  <c r="P68" i="34" s="1"/>
  <c r="R69" i="34" s="1" a="1"/>
  <c r="S70" i="34" s="1" a="1"/>
  <c r="S70" i="34" s="1"/>
  <c r="I83" i="34"/>
  <c r="Q4" i="34" a="1"/>
  <c r="Q4" i="34" s="1"/>
  <c r="P3" i="34" s="1"/>
  <c r="R4" i="34" s="1" a="1"/>
  <c r="S5" i="34" s="1" a="1"/>
  <c r="S5" i="34" s="1"/>
  <c r="I98" i="34"/>
  <c r="I113" i="34"/>
  <c r="I84" i="34"/>
  <c r="E243" i="34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69" i="34"/>
  <c r="R68" i="34" s="1"/>
  <c r="S69" i="34" s="1"/>
  <c r="T69" i="34" s="1" a="1"/>
  <c r="T69" i="34" s="1"/>
  <c r="O64" i="36" a="1"/>
  <c r="O64" i="36" s="1"/>
  <c r="R4" i="34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I122" i="28"/>
  <c r="A134" i="28" a="1"/>
  <c r="A134" i="28" s="1"/>
  <c r="I123" i="28"/>
  <c r="I124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E116" i="32"/>
  <c r="E71" i="32"/>
  <c r="E90" i="32"/>
  <c r="E110" i="32"/>
  <c r="E120" i="32"/>
  <c r="E81" i="32"/>
  <c r="E111" i="32"/>
  <c r="E122" i="32"/>
  <c r="E91" i="32"/>
  <c r="E121" i="32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O257" i="32" l="1"/>
  <c r="O199" i="32"/>
  <c r="O197" i="32" s="1"/>
  <c r="I188" i="28"/>
  <c r="A199" i="28" a="1"/>
  <c r="H134" i="28" a="1"/>
  <c r="H134" i="28" s="1"/>
  <c r="I187" i="28"/>
  <c r="I186" i="28"/>
  <c r="I191" i="28"/>
  <c r="A134" i="32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252" i="28" l="1"/>
  <c r="I255" i="28"/>
  <c r="I253" i="28"/>
  <c r="A199" i="28"/>
  <c r="H199" i="28" s="1" a="1"/>
  <c r="H199" i="28" s="1"/>
  <c r="I256" i="28"/>
  <c r="I254" i="28"/>
  <c r="I251" i="28"/>
  <c r="N65" i="32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I247" i="32" l="1"/>
  <c r="I201" i="32"/>
  <c r="I215" i="32"/>
  <c r="I211" i="32"/>
  <c r="I225" i="32"/>
  <c r="A199" i="32"/>
  <c r="I221" i="32"/>
  <c r="I235" i="32"/>
  <c r="I200" i="32"/>
  <c r="I231" i="32"/>
  <c r="I245" i="32"/>
  <c r="I210" i="32"/>
  <c r="I241" i="32"/>
  <c r="I255" i="32"/>
  <c r="I220" i="32"/>
  <c r="I251" i="32"/>
  <c r="I206" i="32"/>
  <c r="I230" i="32"/>
  <c r="I202" i="32"/>
  <c r="I216" i="32"/>
  <c r="I240" i="32"/>
  <c r="I232" i="32"/>
  <c r="I226" i="32"/>
  <c r="I250" i="32"/>
  <c r="I203" i="32"/>
  <c r="I236" i="32"/>
  <c r="I212" i="32"/>
  <c r="I213" i="32"/>
  <c r="I246" i="32"/>
  <c r="I222" i="32"/>
  <c r="I223" i="32"/>
  <c r="I256" i="32"/>
  <c r="I242" i="32"/>
  <c r="I233" i="32"/>
  <c r="I209" i="32"/>
  <c r="I252" i="32"/>
  <c r="I243" i="32"/>
  <c r="I219" i="32"/>
  <c r="I244" i="32"/>
  <c r="I253" i="32"/>
  <c r="I229" i="32"/>
  <c r="I208" i="32"/>
  <c r="I204" i="32"/>
  <c r="I249" i="32"/>
  <c r="I218" i="32"/>
  <c r="I214" i="32"/>
  <c r="I207" i="32"/>
  <c r="I228" i="32"/>
  <c r="I224" i="32"/>
  <c r="I217" i="32"/>
  <c r="I238" i="32"/>
  <c r="I234" i="32"/>
  <c r="I227" i="32"/>
  <c r="I248" i="32"/>
  <c r="I254" i="32"/>
  <c r="I237" i="32"/>
  <c r="I239" i="32"/>
  <c r="I205" i="32"/>
  <c r="H134" i="32" a="1"/>
  <c r="H134" i="32" s="1"/>
  <c r="I134" i="32"/>
  <c r="O4" i="32"/>
  <c r="O2" i="32" s="1"/>
  <c r="O62" i="32"/>
  <c r="O127" i="32"/>
  <c r="O69" i="32"/>
  <c r="O67" i="32" s="1"/>
  <c r="I199" i="32" l="1"/>
  <c r="H199" i="32" a="1"/>
  <c r="H199" i="32" s="1"/>
  <c r="N131" i="28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56" i="24" l="1"/>
  <c r="C20" i="24"/>
  <c r="C72" i="1"/>
  <c r="C47" i="1"/>
  <c r="C73" i="1"/>
  <c r="C49" i="1"/>
  <c r="C77" i="1"/>
  <c r="C46" i="1"/>
  <c r="C75" i="1"/>
  <c r="C45" i="1"/>
  <c r="C71" i="1"/>
  <c r="C48" i="1"/>
  <c r="C74" i="1"/>
  <c r="C50" i="1"/>
  <c r="C76" i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16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55" i="26" l="1"/>
  <c r="C19" i="26"/>
  <c r="C55" i="24"/>
  <c r="C19" i="24"/>
  <c r="C14" i="26"/>
  <c r="C50" i="26"/>
  <c r="C52" i="24"/>
  <c r="C16" i="24"/>
  <c r="C52" i="26"/>
  <c r="C16" i="26"/>
  <c r="C51" i="26"/>
  <c r="C15" i="26"/>
  <c r="C53" i="26"/>
  <c r="C17" i="26"/>
  <c r="J59" i="1"/>
  <c r="C14" i="24"/>
  <c r="C50" i="24"/>
  <c r="C54" i="26"/>
  <c r="C18" i="26"/>
  <c r="C51" i="24"/>
  <c r="C15" i="24"/>
  <c r="C56" i="26"/>
  <c r="C20" i="26"/>
  <c r="C17" i="24"/>
  <c r="C53" i="24"/>
  <c r="R34" i="1"/>
  <c r="C18" i="24"/>
  <c r="C54" i="24"/>
  <c r="E13" i="40"/>
  <c r="E61" i="40"/>
  <c r="E13" i="37"/>
  <c r="E61" i="37"/>
  <c r="E13" i="27"/>
  <c r="E61" i="27"/>
  <c r="E13" i="35"/>
  <c r="E61" i="35"/>
  <c r="E61" i="33"/>
  <c r="E13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Q75" i="1" s="1"/>
  <c r="C97" i="1" l="1"/>
  <c r="C103" i="1"/>
  <c r="C100" i="1"/>
  <c r="C102" i="1"/>
  <c r="C99" i="1"/>
  <c r="C101" i="1"/>
  <c r="C98" i="1"/>
  <c r="D97" i="1"/>
  <c r="D103" i="1"/>
  <c r="D100" i="1"/>
  <c r="D102" i="1"/>
  <c r="D99" i="1"/>
  <c r="D101" i="1"/>
  <c r="D98" i="1"/>
  <c r="C37" i="26"/>
  <c r="E62" i="40"/>
  <c r="E14" i="40"/>
  <c r="E62" i="37"/>
  <c r="E14" i="37"/>
  <c r="E62" i="27"/>
  <c r="E14" i="27"/>
  <c r="E14" i="35"/>
  <c r="E62" i="35"/>
  <c r="E14" i="33"/>
  <c r="E62" i="33"/>
  <c r="E17" i="40"/>
  <c r="E65" i="40"/>
  <c r="E65" i="37"/>
  <c r="E17" i="37"/>
  <c r="E65" i="27"/>
  <c r="E17" i="27"/>
  <c r="E65" i="35"/>
  <c r="E17" i="35"/>
  <c r="E17" i="33"/>
  <c r="E65" i="33"/>
  <c r="E68" i="40"/>
  <c r="E20" i="40"/>
  <c r="E68" i="37"/>
  <c r="E20" i="37"/>
  <c r="E20" i="27"/>
  <c r="E68" i="27"/>
  <c r="E68" i="35"/>
  <c r="E20" i="35"/>
  <c r="E68" i="33"/>
  <c r="E20" i="33"/>
  <c r="E63" i="40"/>
  <c r="E15" i="40"/>
  <c r="E15" i="37"/>
  <c r="E63" i="37"/>
  <c r="E63" i="27"/>
  <c r="E15" i="27"/>
  <c r="E63" i="35"/>
  <c r="E15" i="35"/>
  <c r="E15" i="33"/>
  <c r="E63" i="33"/>
  <c r="Q51" i="1"/>
  <c r="C68" i="24" s="1"/>
  <c r="J24" i="1"/>
  <c r="C31" i="2" s="1"/>
  <c r="J50" i="1"/>
  <c r="C31" i="24" s="1"/>
  <c r="J75" i="1"/>
  <c r="C30" i="26" s="1"/>
  <c r="J48" i="1"/>
  <c r="C29" i="24" s="1"/>
  <c r="J73" i="1"/>
  <c r="C28" i="26" s="1"/>
  <c r="J45" i="1"/>
  <c r="C26" i="24" s="1"/>
  <c r="J49" i="1"/>
  <c r="C30" i="24" s="1"/>
  <c r="J47" i="1"/>
  <c r="C28" i="24" s="1"/>
  <c r="J74" i="1"/>
  <c r="C29" i="26" s="1"/>
  <c r="J72" i="1"/>
  <c r="C27" i="26" s="1"/>
  <c r="J46" i="1"/>
  <c r="C27" i="24" s="1"/>
  <c r="J71" i="1"/>
  <c r="C26" i="26" s="1"/>
  <c r="J76" i="1"/>
  <c r="C31" i="26" s="1"/>
  <c r="J51" i="1"/>
  <c r="C32" i="24" s="1"/>
  <c r="E16" i="40"/>
  <c r="E64" i="40"/>
  <c r="E16" i="37"/>
  <c r="E64" i="37"/>
  <c r="E16" i="27"/>
  <c r="E64" i="27"/>
  <c r="E64" i="35"/>
  <c r="E16" i="35"/>
  <c r="E64" i="33"/>
  <c r="E16" i="33"/>
  <c r="Q21" i="1"/>
  <c r="C64" i="2" s="1"/>
  <c r="Q73" i="1"/>
  <c r="C40" i="26" s="1"/>
  <c r="Q47" i="1"/>
  <c r="C64" i="24" s="1"/>
  <c r="Q71" i="1"/>
  <c r="C62" i="26" s="1"/>
  <c r="Q50" i="1"/>
  <c r="C67" i="24" s="1"/>
  <c r="Q74" i="1"/>
  <c r="C41" i="26" s="1"/>
  <c r="Q48" i="1"/>
  <c r="C41" i="24" s="1"/>
  <c r="Q72" i="1"/>
  <c r="C39" i="26" s="1"/>
  <c r="Q46" i="1"/>
  <c r="C63" i="24" s="1"/>
  <c r="Q45" i="1"/>
  <c r="C38" i="24" s="1"/>
  <c r="Q76" i="1"/>
  <c r="C67" i="26" s="1"/>
  <c r="Q49" i="1"/>
  <c r="C66" i="24" s="1"/>
  <c r="E18" i="40"/>
  <c r="E66" i="40"/>
  <c r="E18" i="37"/>
  <c r="E66" i="37"/>
  <c r="E66" i="27"/>
  <c r="E18" i="27"/>
  <c r="E66" i="35"/>
  <c r="E18" i="35"/>
  <c r="E18" i="33"/>
  <c r="E66" i="33"/>
  <c r="E19" i="40"/>
  <c r="E67" i="40"/>
  <c r="E67" i="37"/>
  <c r="E19" i="37"/>
  <c r="E67" i="27"/>
  <c r="E19" i="27"/>
  <c r="E19" i="35"/>
  <c r="E67" i="35"/>
  <c r="E19" i="33"/>
  <c r="E67" i="33"/>
  <c r="Q77" i="1"/>
  <c r="C44" i="26" s="1"/>
  <c r="E37" i="24"/>
  <c r="S81" i="1"/>
  <c r="D13" i="40"/>
  <c r="D13" i="37"/>
  <c r="D13" i="27"/>
  <c r="D13" i="35"/>
  <c r="D13" i="33"/>
  <c r="C49" i="40"/>
  <c r="C13" i="40"/>
  <c r="C49" i="37"/>
  <c r="C13" i="37"/>
  <c r="C13" i="27"/>
  <c r="C49" i="27"/>
  <c r="C13" i="35"/>
  <c r="C49" i="35"/>
  <c r="C13" i="33"/>
  <c r="C49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103" i="1" s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S99" i="1"/>
  <c r="S101" i="1"/>
  <c r="S98" i="1"/>
  <c r="S100" i="1"/>
  <c r="Q102" i="1"/>
  <c r="Q99" i="1"/>
  <c r="Q98" i="1"/>
  <c r="Q100" i="1"/>
  <c r="Q97" i="1"/>
  <c r="Q101" i="1"/>
  <c r="C66" i="27" s="1"/>
  <c r="S97" i="1"/>
  <c r="E50" i="40" s="1"/>
  <c r="K103" i="1"/>
  <c r="R103" i="1"/>
  <c r="D44" i="27" s="1"/>
  <c r="J97" i="1"/>
  <c r="J100" i="1"/>
  <c r="J102" i="1"/>
  <c r="J99" i="1"/>
  <c r="J101" i="1"/>
  <c r="J98" i="1"/>
  <c r="L100" i="1"/>
  <c r="L103" i="1"/>
  <c r="L102" i="1"/>
  <c r="L99" i="1"/>
  <c r="L101" i="1"/>
  <c r="L98" i="1"/>
  <c r="L97" i="1"/>
  <c r="E26" i="27" s="1"/>
  <c r="C64" i="26"/>
  <c r="R101" i="1"/>
  <c r="D42" i="33" s="1"/>
  <c r="R102" i="1"/>
  <c r="D43" i="37" s="1"/>
  <c r="K101" i="1"/>
  <c r="D30" i="27" s="1"/>
  <c r="K102" i="1"/>
  <c r="D67" i="37" s="1"/>
  <c r="R99" i="1"/>
  <c r="D40" i="33" s="1"/>
  <c r="R100" i="1"/>
  <c r="D41" i="37" s="1"/>
  <c r="K99" i="1"/>
  <c r="D64" i="40" s="1"/>
  <c r="K100" i="1"/>
  <c r="D29" i="27" s="1"/>
  <c r="R97" i="1"/>
  <c r="D38" i="27" s="1"/>
  <c r="R98" i="1"/>
  <c r="D39" i="33" s="1"/>
  <c r="K97" i="1"/>
  <c r="D62" i="27" s="1"/>
  <c r="K98" i="1"/>
  <c r="D27" i="27" s="1"/>
  <c r="C62" i="24"/>
  <c r="C32" i="35"/>
  <c r="C39" i="24"/>
  <c r="C44" i="33"/>
  <c r="C63" i="26"/>
  <c r="C40" i="2"/>
  <c r="E55" i="27"/>
  <c r="E52" i="35"/>
  <c r="E42" i="27"/>
  <c r="E39" i="33"/>
  <c r="E41" i="35"/>
  <c r="C38" i="26"/>
  <c r="C43" i="26"/>
  <c r="D68" i="37"/>
  <c r="F13" i="35"/>
  <c r="F13" i="27"/>
  <c r="F13" i="37"/>
  <c r="F13" i="40"/>
  <c r="C44" i="24"/>
  <c r="C42" i="24"/>
  <c r="C65" i="26"/>
  <c r="C53" i="40"/>
  <c r="C17" i="40"/>
  <c r="C17" i="37"/>
  <c r="C53" i="37"/>
  <c r="C17" i="27"/>
  <c r="C53" i="27"/>
  <c r="C53" i="35"/>
  <c r="C17" i="35"/>
  <c r="C17" i="33"/>
  <c r="C53" i="33"/>
  <c r="C14" i="40"/>
  <c r="C50" i="40"/>
  <c r="C14" i="37"/>
  <c r="C50" i="37"/>
  <c r="C14" i="27"/>
  <c r="C50" i="27"/>
  <c r="C14" i="35"/>
  <c r="C50" i="35"/>
  <c r="C14" i="33"/>
  <c r="C50" i="33"/>
  <c r="D19" i="40"/>
  <c r="D19" i="37"/>
  <c r="D19" i="27"/>
  <c r="D19" i="35"/>
  <c r="D19" i="33"/>
  <c r="D17" i="40"/>
  <c r="D17" i="37"/>
  <c r="D17" i="27"/>
  <c r="D17" i="35"/>
  <c r="D17" i="33"/>
  <c r="C65" i="24"/>
  <c r="D20" i="40"/>
  <c r="D20" i="37"/>
  <c r="D20" i="27"/>
  <c r="D20" i="35"/>
  <c r="D20" i="33"/>
  <c r="C55" i="40"/>
  <c r="C19" i="40"/>
  <c r="C19" i="37"/>
  <c r="C55" i="37"/>
  <c r="C19" i="27"/>
  <c r="C55" i="27"/>
  <c r="C55" i="35"/>
  <c r="C19" i="35"/>
  <c r="C19" i="33"/>
  <c r="C55" i="33"/>
  <c r="C40" i="24"/>
  <c r="D15" i="40"/>
  <c r="D15" i="37"/>
  <c r="D15" i="27"/>
  <c r="D15" i="35"/>
  <c r="D15" i="33"/>
  <c r="D16" i="40"/>
  <c r="D16" i="37"/>
  <c r="D16" i="27"/>
  <c r="D16" i="35"/>
  <c r="D16" i="33"/>
  <c r="C43" i="24"/>
  <c r="C65" i="2"/>
  <c r="F13" i="33"/>
  <c r="C18" i="40"/>
  <c r="C54" i="40"/>
  <c r="C18" i="37"/>
  <c r="C54" i="37"/>
  <c r="C54" i="27"/>
  <c r="C18" i="27"/>
  <c r="C18" i="35"/>
  <c r="C54" i="35"/>
  <c r="C18" i="33"/>
  <c r="C54" i="33"/>
  <c r="C15" i="40"/>
  <c r="C51" i="40"/>
  <c r="C15" i="37"/>
  <c r="C51" i="37"/>
  <c r="C15" i="27"/>
  <c r="C51" i="27"/>
  <c r="C51" i="35"/>
  <c r="C15" i="35"/>
  <c r="C51" i="33"/>
  <c r="C15" i="33"/>
  <c r="C56" i="40"/>
  <c r="C20" i="40"/>
  <c r="C20" i="37"/>
  <c r="C56" i="37"/>
  <c r="C56" i="27"/>
  <c r="C20" i="27"/>
  <c r="C20" i="35"/>
  <c r="C56" i="35"/>
  <c r="C20" i="33"/>
  <c r="C56" i="33"/>
  <c r="D18" i="40"/>
  <c r="D18" i="37"/>
  <c r="D18" i="27"/>
  <c r="D18" i="35"/>
  <c r="D18" i="33"/>
  <c r="D14" i="40"/>
  <c r="D14" i="37"/>
  <c r="D14" i="27"/>
  <c r="D14" i="35"/>
  <c r="D14" i="33"/>
  <c r="C52" i="40"/>
  <c r="C16" i="40"/>
  <c r="C52" i="37"/>
  <c r="C16" i="37"/>
  <c r="C52" i="27"/>
  <c r="C16" i="27"/>
  <c r="C16" i="35"/>
  <c r="C52" i="35"/>
  <c r="C16" i="33"/>
  <c r="C52" i="33"/>
  <c r="E25" i="40"/>
  <c r="E25" i="37"/>
  <c r="E25" i="27"/>
  <c r="E49" i="40"/>
  <c r="E37" i="40"/>
  <c r="E49" i="37"/>
  <c r="E37" i="37"/>
  <c r="E49" i="27"/>
  <c r="E37" i="27"/>
  <c r="E37" i="35"/>
  <c r="E49" i="35"/>
  <c r="E37" i="33"/>
  <c r="E49" i="33"/>
  <c r="C25" i="40"/>
  <c r="C25" i="37"/>
  <c r="C25" i="27"/>
  <c r="C25" i="35"/>
  <c r="C25" i="33"/>
  <c r="C35" i="40"/>
  <c r="C11" i="40"/>
  <c r="C47" i="40"/>
  <c r="C59" i="40"/>
  <c r="C23" i="40"/>
  <c r="C47" i="37"/>
  <c r="C11" i="37"/>
  <c r="C35" i="37"/>
  <c r="C59" i="37"/>
  <c r="C23" i="37"/>
  <c r="C47" i="35"/>
  <c r="C35" i="35"/>
  <c r="C59" i="35"/>
  <c r="C11" i="35"/>
  <c r="C23" i="35"/>
  <c r="C35" i="33"/>
  <c r="C59" i="33"/>
  <c r="C11" i="33"/>
  <c r="C23" i="33"/>
  <c r="C47" i="33"/>
  <c r="C37" i="40"/>
  <c r="C61" i="40"/>
  <c r="C61" i="37"/>
  <c r="C37" i="37"/>
  <c r="C61" i="27"/>
  <c r="C37" i="27"/>
  <c r="C37" i="35"/>
  <c r="C61" i="35"/>
  <c r="C61" i="33"/>
  <c r="C37" i="33"/>
  <c r="D37" i="37"/>
  <c r="D37" i="40"/>
  <c r="D49" i="40"/>
  <c r="D25" i="40"/>
  <c r="D61" i="40"/>
  <c r="D61" i="27"/>
  <c r="D49" i="37"/>
  <c r="D61" i="37"/>
  <c r="D25" i="37"/>
  <c r="E43" i="27"/>
  <c r="E43" i="35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C32" i="27" l="1"/>
  <c r="C32" i="37"/>
  <c r="C32" i="33"/>
  <c r="C32" i="40"/>
  <c r="C44" i="35"/>
  <c r="C68" i="27"/>
  <c r="C44" i="37"/>
  <c r="C44" i="27"/>
  <c r="C68" i="40"/>
  <c r="C68" i="37"/>
  <c r="C68" i="33"/>
  <c r="C68" i="35"/>
  <c r="C44" i="40"/>
  <c r="E38" i="37"/>
  <c r="E38" i="35"/>
  <c r="E44" i="33"/>
  <c r="E50" i="37"/>
  <c r="E50" i="27"/>
  <c r="E38" i="40"/>
  <c r="E56" i="33"/>
  <c r="E50" i="33"/>
  <c r="E55" i="33"/>
  <c r="E38" i="33"/>
  <c r="E50" i="35"/>
  <c r="E38" i="27"/>
  <c r="E43" i="33"/>
  <c r="E55" i="35"/>
  <c r="E26" i="40"/>
  <c r="E41" i="33"/>
  <c r="E52" i="27"/>
  <c r="E26" i="37"/>
  <c r="E53" i="33"/>
  <c r="E40" i="35"/>
  <c r="E42" i="33"/>
  <c r="E54" i="33"/>
  <c r="E53" i="27"/>
  <c r="E54" i="35"/>
  <c r="E40" i="27"/>
  <c r="E42" i="35"/>
  <c r="E54" i="27"/>
  <c r="F20" i="40"/>
  <c r="G20" i="40" s="1"/>
  <c r="F19" i="40"/>
  <c r="J19" i="40" s="1"/>
  <c r="F17" i="40"/>
  <c r="J17" i="40" s="1"/>
  <c r="D32" i="27"/>
  <c r="F16" i="35"/>
  <c r="J16" i="35" s="1"/>
  <c r="F20" i="35"/>
  <c r="J20" i="35" s="1"/>
  <c r="D32" i="37"/>
  <c r="D56" i="37"/>
  <c r="D68" i="27"/>
  <c r="F16" i="27"/>
  <c r="G16" i="27" s="1"/>
  <c r="F16" i="37"/>
  <c r="G16" i="37" s="1"/>
  <c r="F20" i="27"/>
  <c r="J20" i="27" s="1"/>
  <c r="F20" i="37"/>
  <c r="J20" i="37" s="1"/>
  <c r="F17" i="37"/>
  <c r="J17" i="37" s="1"/>
  <c r="G13" i="37"/>
  <c r="D44" i="33"/>
  <c r="F16" i="33"/>
  <c r="J16" i="33" s="1"/>
  <c r="F20" i="33"/>
  <c r="J20" i="33" s="1"/>
  <c r="F18" i="33"/>
  <c r="J18" i="33" s="1"/>
  <c r="F19" i="37"/>
  <c r="G19" i="37" s="1"/>
  <c r="C66" i="33"/>
  <c r="F15" i="27"/>
  <c r="J15" i="27" s="1"/>
  <c r="F19" i="27"/>
  <c r="J19" i="27" s="1"/>
  <c r="F17" i="33"/>
  <c r="J17" i="33" s="1"/>
  <c r="F14" i="40"/>
  <c r="J14" i="40" s="1"/>
  <c r="D32" i="40"/>
  <c r="D68" i="40"/>
  <c r="D44" i="40"/>
  <c r="D44" i="35"/>
  <c r="F14" i="37"/>
  <c r="J14" i="37" s="1"/>
  <c r="D56" i="40"/>
  <c r="F14" i="27"/>
  <c r="G14" i="27" s="1"/>
  <c r="F18" i="37"/>
  <c r="G18" i="37" s="1"/>
  <c r="D44" i="37"/>
  <c r="D56" i="27"/>
  <c r="C66" i="40"/>
  <c r="F18" i="40"/>
  <c r="G18" i="40" s="1"/>
  <c r="F15" i="40"/>
  <c r="G15" i="40" s="1"/>
  <c r="F15" i="35"/>
  <c r="J15" i="35" s="1"/>
  <c r="E53" i="35"/>
  <c r="E41" i="27"/>
  <c r="J13" i="33"/>
  <c r="E40" i="33"/>
  <c r="E51" i="33"/>
  <c r="E52" i="33"/>
  <c r="C66" i="37"/>
  <c r="C42" i="40"/>
  <c r="C42" i="37"/>
  <c r="F15" i="37"/>
  <c r="J15" i="37" s="1"/>
  <c r="F16" i="40"/>
  <c r="G16" i="40" s="1"/>
  <c r="F19" i="33"/>
  <c r="G19" i="33" s="1"/>
  <c r="F17" i="35"/>
  <c r="G17" i="35" s="1"/>
  <c r="D42" i="37"/>
  <c r="C42" i="35"/>
  <c r="C66" i="35"/>
  <c r="C42" i="27"/>
  <c r="F15" i="33"/>
  <c r="J15" i="33" s="1"/>
  <c r="F19" i="35"/>
  <c r="J19" i="35" s="1"/>
  <c r="F14" i="35"/>
  <c r="G14" i="35" s="1"/>
  <c r="F17" i="27"/>
  <c r="G17" i="27" s="1"/>
  <c r="F18" i="27"/>
  <c r="J18" i="27" s="1"/>
  <c r="J13" i="37"/>
  <c r="F18" i="35"/>
  <c r="J18" i="35" s="1"/>
  <c r="F14" i="33"/>
  <c r="G14" i="33" s="1"/>
  <c r="C42" i="33"/>
  <c r="E28" i="40"/>
  <c r="E28" i="37"/>
  <c r="E28" i="27"/>
  <c r="C65" i="35"/>
  <c r="C41" i="37"/>
  <c r="C65" i="33"/>
  <c r="C65" i="40"/>
  <c r="C41" i="40"/>
  <c r="C41" i="27"/>
  <c r="C41" i="33"/>
  <c r="C65" i="37"/>
  <c r="C41" i="35"/>
  <c r="C65" i="27"/>
  <c r="E29" i="37"/>
  <c r="E29" i="40"/>
  <c r="E29" i="27"/>
  <c r="C26" i="27"/>
  <c r="C26" i="35"/>
  <c r="C26" i="33"/>
  <c r="C26" i="37"/>
  <c r="C26" i="40"/>
  <c r="E39" i="37"/>
  <c r="E39" i="40"/>
  <c r="E51" i="37"/>
  <c r="E51" i="40"/>
  <c r="E39" i="35"/>
  <c r="E56" i="27"/>
  <c r="E54" i="37"/>
  <c r="E42" i="37"/>
  <c r="E54" i="40"/>
  <c r="E42" i="40"/>
  <c r="E32" i="40"/>
  <c r="E32" i="37"/>
  <c r="E32" i="27"/>
  <c r="C30" i="37"/>
  <c r="C30" i="27"/>
  <c r="C30" i="40"/>
  <c r="C30" i="35"/>
  <c r="C30" i="33"/>
  <c r="C28" i="33"/>
  <c r="C28" i="40"/>
  <c r="C28" i="27"/>
  <c r="C28" i="37"/>
  <c r="C28" i="35"/>
  <c r="C29" i="40"/>
  <c r="C29" i="35"/>
  <c r="C29" i="37"/>
  <c r="C29" i="27"/>
  <c r="C29" i="33"/>
  <c r="E51" i="35"/>
  <c r="E44" i="27"/>
  <c r="E40" i="40"/>
  <c r="E52" i="40"/>
  <c r="E40" i="37"/>
  <c r="E52" i="37"/>
  <c r="E30" i="37"/>
  <c r="E30" i="40"/>
  <c r="E30" i="27"/>
  <c r="C63" i="40"/>
  <c r="C39" i="37"/>
  <c r="C63" i="33"/>
  <c r="C39" i="27"/>
  <c r="C63" i="35"/>
  <c r="C63" i="37"/>
  <c r="C39" i="35"/>
  <c r="C39" i="33"/>
  <c r="C39" i="40"/>
  <c r="C63" i="27"/>
  <c r="C62" i="35"/>
  <c r="C62" i="37"/>
  <c r="C38" i="33"/>
  <c r="C38" i="37"/>
  <c r="C38" i="35"/>
  <c r="C62" i="33"/>
  <c r="C38" i="40"/>
  <c r="C62" i="40"/>
  <c r="C38" i="27"/>
  <c r="C62" i="27"/>
  <c r="C27" i="33"/>
  <c r="C27" i="40"/>
  <c r="C27" i="27"/>
  <c r="C27" i="35"/>
  <c r="C27" i="37"/>
  <c r="E53" i="40"/>
  <c r="E53" i="37"/>
  <c r="E41" i="40"/>
  <c r="E41" i="37"/>
  <c r="E51" i="27"/>
  <c r="E43" i="40"/>
  <c r="E43" i="37"/>
  <c r="E55" i="40"/>
  <c r="E55" i="37"/>
  <c r="E27" i="37"/>
  <c r="E27" i="40"/>
  <c r="E27" i="27"/>
  <c r="E31" i="40"/>
  <c r="E31" i="37"/>
  <c r="E31" i="27"/>
  <c r="C40" i="33"/>
  <c r="C40" i="37"/>
  <c r="C40" i="40"/>
  <c r="C64" i="37"/>
  <c r="C40" i="27"/>
  <c r="C64" i="33"/>
  <c r="C64" i="40"/>
  <c r="C64" i="27"/>
  <c r="C40" i="35"/>
  <c r="C64" i="35"/>
  <c r="C67" i="37"/>
  <c r="C43" i="27"/>
  <c r="C67" i="40"/>
  <c r="C43" i="37"/>
  <c r="C43" i="35"/>
  <c r="C67" i="33"/>
  <c r="C43" i="40"/>
  <c r="C43" i="33"/>
  <c r="C67" i="27"/>
  <c r="C67" i="35"/>
  <c r="E56" i="37"/>
  <c r="E44" i="40"/>
  <c r="E56" i="40"/>
  <c r="E44" i="37"/>
  <c r="E56" i="35"/>
  <c r="C31" i="35"/>
  <c r="C31" i="33"/>
  <c r="C31" i="37"/>
  <c r="C31" i="40"/>
  <c r="C31" i="27"/>
  <c r="E39" i="27"/>
  <c r="D54" i="37"/>
  <c r="D42" i="27"/>
  <c r="D42" i="35"/>
  <c r="D66" i="37"/>
  <c r="D66" i="27"/>
  <c r="D66" i="40"/>
  <c r="D31" i="40"/>
  <c r="D54" i="40"/>
  <c r="D67" i="40"/>
  <c r="D55" i="40"/>
  <c r="D30" i="40"/>
  <c r="D30" i="37"/>
  <c r="D42" i="40"/>
  <c r="D43" i="27"/>
  <c r="D43" i="35"/>
  <c r="D43" i="33"/>
  <c r="D55" i="27"/>
  <c r="D55" i="37"/>
  <c r="D31" i="27"/>
  <c r="D43" i="40"/>
  <c r="D67" i="27"/>
  <c r="D54" i="27"/>
  <c r="D31" i="37"/>
  <c r="D50" i="27"/>
  <c r="D40" i="40"/>
  <c r="D40" i="37"/>
  <c r="D41" i="27"/>
  <c r="D41" i="35"/>
  <c r="D40" i="27"/>
  <c r="D65" i="27"/>
  <c r="D41" i="33"/>
  <c r="D65" i="40"/>
  <c r="D29" i="40"/>
  <c r="D39" i="35"/>
  <c r="D41" i="40"/>
  <c r="D52" i="37"/>
  <c r="D27" i="40"/>
  <c r="D26" i="40"/>
  <c r="D64" i="37"/>
  <c r="D63" i="40"/>
  <c r="D40" i="35"/>
  <c r="D62" i="40"/>
  <c r="D50" i="40"/>
  <c r="D65" i="37"/>
  <c r="D51" i="40"/>
  <c r="D26" i="27"/>
  <c r="D52" i="40"/>
  <c r="D29" i="37"/>
  <c r="D39" i="40"/>
  <c r="D39" i="27"/>
  <c r="D53" i="37"/>
  <c r="D39" i="37"/>
  <c r="D63" i="37"/>
  <c r="D27" i="37"/>
  <c r="D62" i="37"/>
  <c r="D52" i="27"/>
  <c r="D51" i="37"/>
  <c r="D63" i="27"/>
  <c r="D50" i="37"/>
  <c r="D28" i="27"/>
  <c r="D26" i="37"/>
  <c r="D53" i="40"/>
  <c r="D53" i="27"/>
  <c r="D28" i="37"/>
  <c r="D28" i="40"/>
  <c r="D64" i="27"/>
  <c r="D38" i="35"/>
  <c r="F49" i="40"/>
  <c r="F61" i="40"/>
  <c r="D38" i="33"/>
  <c r="D38" i="40"/>
  <c r="D38" i="37"/>
  <c r="D51" i="27"/>
  <c r="F37" i="40"/>
  <c r="J37" i="40" s="1"/>
  <c r="F25" i="37"/>
  <c r="F25" i="40"/>
  <c r="F49" i="37"/>
  <c r="G49" i="37" s="1"/>
  <c r="F37" i="33"/>
  <c r="G13" i="35"/>
  <c r="F37" i="37"/>
  <c r="G37" i="37" s="1"/>
  <c r="F61" i="37"/>
  <c r="G13" i="40"/>
  <c r="J13" i="35"/>
  <c r="F37" i="27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20" i="37" l="1"/>
  <c r="G16" i="35"/>
  <c r="G20" i="35"/>
  <c r="G19" i="40"/>
  <c r="G17" i="40"/>
  <c r="J20" i="40"/>
  <c r="G17" i="37"/>
  <c r="J19" i="37"/>
  <c r="G15" i="27"/>
  <c r="G16" i="33"/>
  <c r="G18" i="33"/>
  <c r="G20" i="33"/>
  <c r="J16" i="37"/>
  <c r="J16" i="27"/>
  <c r="G20" i="27"/>
  <c r="G14" i="37"/>
  <c r="G17" i="33"/>
  <c r="G14" i="40"/>
  <c r="J18" i="40"/>
  <c r="J15" i="40"/>
  <c r="G19" i="35"/>
  <c r="G19" i="27"/>
  <c r="G15" i="35"/>
  <c r="J18" i="37"/>
  <c r="J14" i="27"/>
  <c r="J19" i="33"/>
  <c r="J16" i="40"/>
  <c r="J14" i="33"/>
  <c r="G15" i="37"/>
  <c r="J17" i="35"/>
  <c r="G15" i="33"/>
  <c r="J17" i="27"/>
  <c r="G18" i="27"/>
  <c r="J14" i="35"/>
  <c r="G18" i="35"/>
  <c r="F40" i="33"/>
  <c r="G40" i="33" s="1"/>
  <c r="F67" i="37"/>
  <c r="J67" i="37" s="1"/>
  <c r="F30" i="40"/>
  <c r="J30" i="40" s="1"/>
  <c r="F67" i="40"/>
  <c r="G67" i="40" s="1"/>
  <c r="F43" i="27"/>
  <c r="J43" i="27" s="1"/>
  <c r="F50" i="40"/>
  <c r="J50" i="40" s="1"/>
  <c r="F26" i="37"/>
  <c r="J26" i="37" s="1"/>
  <c r="F63" i="40"/>
  <c r="J63" i="40" s="1"/>
  <c r="F62" i="40"/>
  <c r="J62" i="40" s="1"/>
  <c r="F64" i="40"/>
  <c r="G64" i="40" s="1"/>
  <c r="F68" i="40"/>
  <c r="J68" i="40" s="1"/>
  <c r="F27" i="40"/>
  <c r="J27" i="40" s="1"/>
  <c r="F66" i="40"/>
  <c r="G66" i="40" s="1"/>
  <c r="F54" i="40"/>
  <c r="J54" i="40" s="1"/>
  <c r="F32" i="40"/>
  <c r="J32" i="40" s="1"/>
  <c r="G61" i="40"/>
  <c r="J61" i="40"/>
  <c r="F65" i="40"/>
  <c r="J65" i="40" s="1"/>
  <c r="F27" i="37"/>
  <c r="G27" i="37" s="1"/>
  <c r="F30" i="37"/>
  <c r="G30" i="37" s="1"/>
  <c r="F32" i="37"/>
  <c r="J32" i="37" s="1"/>
  <c r="G49" i="40"/>
  <c r="F55" i="40"/>
  <c r="J55" i="40" s="1"/>
  <c r="F53" i="40"/>
  <c r="J53" i="40" s="1"/>
  <c r="F56" i="40"/>
  <c r="J56" i="40" s="1"/>
  <c r="J49" i="40"/>
  <c r="F51" i="40"/>
  <c r="J51" i="40" s="1"/>
  <c r="F52" i="40"/>
  <c r="J52" i="40" s="1"/>
  <c r="F31" i="40"/>
  <c r="J31" i="40" s="1"/>
  <c r="G37" i="40"/>
  <c r="F29" i="40"/>
  <c r="J29" i="40" s="1"/>
  <c r="G25" i="40"/>
  <c r="J25" i="40"/>
  <c r="F42" i="40"/>
  <c r="G42" i="40" s="1"/>
  <c r="F43" i="40"/>
  <c r="J43" i="40" s="1"/>
  <c r="F40" i="40"/>
  <c r="J40" i="40" s="1"/>
  <c r="F44" i="40"/>
  <c r="J44" i="40" s="1"/>
  <c r="F39" i="40"/>
  <c r="G39" i="40" s="1"/>
  <c r="F41" i="40"/>
  <c r="G41" i="40" s="1"/>
  <c r="F38" i="40"/>
  <c r="G38" i="40" s="1"/>
  <c r="F28" i="40"/>
  <c r="J28" i="40" s="1"/>
  <c r="F28" i="37"/>
  <c r="J28" i="37" s="1"/>
  <c r="J61" i="37"/>
  <c r="F31" i="37"/>
  <c r="G31" i="37" s="1"/>
  <c r="F50" i="37"/>
  <c r="J50" i="37" s="1"/>
  <c r="G61" i="37"/>
  <c r="G25" i="37"/>
  <c r="J25" i="37"/>
  <c r="F29" i="37"/>
  <c r="G29" i="37" s="1"/>
  <c r="J37" i="33"/>
  <c r="F39" i="33"/>
  <c r="G39" i="33" s="1"/>
  <c r="F51" i="37"/>
  <c r="G51" i="37" s="1"/>
  <c r="F44" i="33"/>
  <c r="G44" i="33" s="1"/>
  <c r="F38" i="33"/>
  <c r="J38" i="33" s="1"/>
  <c r="F42" i="33"/>
  <c r="G42" i="33" s="1"/>
  <c r="F44" i="37"/>
  <c r="J44" i="37" s="1"/>
  <c r="F43" i="37"/>
  <c r="J43" i="37" s="1"/>
  <c r="F41" i="37"/>
  <c r="J41" i="37" s="1"/>
  <c r="F40" i="37"/>
  <c r="G40" i="37" s="1"/>
  <c r="F54" i="37"/>
  <c r="J54" i="37" s="1"/>
  <c r="F52" i="37"/>
  <c r="G52" i="37" s="1"/>
  <c r="F55" i="37"/>
  <c r="J55" i="37" s="1"/>
  <c r="F53" i="37"/>
  <c r="G53" i="37" s="1"/>
  <c r="F68" i="37"/>
  <c r="G68" i="37" s="1"/>
  <c r="F26" i="40"/>
  <c r="G26" i="40" s="1"/>
  <c r="F41" i="33"/>
  <c r="J41" i="33" s="1"/>
  <c r="F40" i="27"/>
  <c r="J40" i="27" s="1"/>
  <c r="F43" i="33"/>
  <c r="J43" i="33" s="1"/>
  <c r="F42" i="27"/>
  <c r="G42" i="27" s="1"/>
  <c r="F56" i="37"/>
  <c r="J56" i="37" s="1"/>
  <c r="J49" i="37"/>
  <c r="G37" i="33"/>
  <c r="F62" i="37"/>
  <c r="G62" i="37" s="1"/>
  <c r="F63" i="37"/>
  <c r="J63" i="37" s="1"/>
  <c r="J37" i="37"/>
  <c r="F38" i="35"/>
  <c r="G38" i="35" s="1"/>
  <c r="F42" i="37"/>
  <c r="J42" i="37" s="1"/>
  <c r="F44" i="35"/>
  <c r="J44" i="35" s="1"/>
  <c r="F65" i="37"/>
  <c r="G65" i="37" s="1"/>
  <c r="F44" i="27"/>
  <c r="G44" i="27" s="1"/>
  <c r="J37" i="27"/>
  <c r="F38" i="27"/>
  <c r="J38" i="27" s="1"/>
  <c r="F41" i="27"/>
  <c r="G41" i="27" s="1"/>
  <c r="F39" i="27"/>
  <c r="J39" i="27" s="1"/>
  <c r="F66" i="37"/>
  <c r="G66" i="37" s="1"/>
  <c r="F40" i="35"/>
  <c r="J40" i="35" s="1"/>
  <c r="G37" i="27"/>
  <c r="F41" i="35"/>
  <c r="J41" i="35" s="1"/>
  <c r="F64" i="37"/>
  <c r="J64" i="37" s="1"/>
  <c r="G37" i="35"/>
  <c r="F39" i="35"/>
  <c r="J39" i="35" s="1"/>
  <c r="F38" i="37"/>
  <c r="J38" i="37" s="1"/>
  <c r="F43" i="35"/>
  <c r="G43" i="35" s="1"/>
  <c r="F39" i="37"/>
  <c r="J39" i="37" s="1"/>
  <c r="F42" i="35"/>
  <c r="J42" i="35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0" i="33" l="1"/>
  <c r="G43" i="27"/>
  <c r="J67" i="40"/>
  <c r="G67" i="37"/>
  <c r="G30" i="40"/>
  <c r="G26" i="37"/>
  <c r="G32" i="40"/>
  <c r="G54" i="40"/>
  <c r="G62" i="40"/>
  <c r="J64" i="40"/>
  <c r="G68" i="40"/>
  <c r="G63" i="40"/>
  <c r="J66" i="40"/>
  <c r="G50" i="40"/>
  <c r="G27" i="40"/>
  <c r="G55" i="40"/>
  <c r="J27" i="37"/>
  <c r="J30" i="37"/>
  <c r="G53" i="40"/>
  <c r="J41" i="40"/>
  <c r="G32" i="37"/>
  <c r="G42" i="37"/>
  <c r="G43" i="40"/>
  <c r="G52" i="40"/>
  <c r="G65" i="40"/>
  <c r="G29" i="40"/>
  <c r="G51" i="40"/>
  <c r="G44" i="37"/>
  <c r="J42" i="40"/>
  <c r="G40" i="40"/>
  <c r="G56" i="40"/>
  <c r="J29" i="37"/>
  <c r="G50" i="37"/>
  <c r="J31" i="37"/>
  <c r="G31" i="40"/>
  <c r="J39" i="40"/>
  <c r="J39" i="33"/>
  <c r="G44" i="40"/>
  <c r="J38" i="40"/>
  <c r="G28" i="40"/>
  <c r="J51" i="37"/>
  <c r="J62" i="37"/>
  <c r="G28" i="37"/>
  <c r="G41" i="37"/>
  <c r="G43" i="37"/>
  <c r="G56" i="37"/>
  <c r="G38" i="33"/>
  <c r="J43" i="35"/>
  <c r="J40" i="37"/>
  <c r="J44" i="33"/>
  <c r="J66" i="37"/>
  <c r="G40" i="27"/>
  <c r="J52" i="37"/>
  <c r="G43" i="33"/>
  <c r="G55" i="37"/>
  <c r="J53" i="37"/>
  <c r="G41" i="33"/>
  <c r="G54" i="37"/>
  <c r="J68" i="37"/>
  <c r="J26" i="40"/>
  <c r="J42" i="33"/>
  <c r="G63" i="37"/>
  <c r="G38" i="27"/>
  <c r="J41" i="27"/>
  <c r="G44" i="35"/>
  <c r="J38" i="35"/>
  <c r="G42" i="35"/>
  <c r="J42" i="27"/>
  <c r="J44" i="27"/>
  <c r="G39" i="27"/>
  <c r="G41" i="35"/>
  <c r="J65" i="37"/>
  <c r="G38" i="37"/>
  <c r="G39" i="37"/>
  <c r="G64" i="37"/>
  <c r="G39" i="35"/>
  <c r="G40" i="35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AW2" i="20" s="1" a="1"/>
  <c r="AW2" i="20" s="1"/>
  <c r="AZ2" i="20" s="1" a="1"/>
  <c r="AZ2" i="20" s="1"/>
  <c r="E5" i="20"/>
  <c r="AC60" i="20"/>
  <c r="AC68" i="20"/>
  <c r="AC49" i="20"/>
  <c r="AC40" i="20"/>
  <c r="AC43" i="20"/>
  <c r="AC28" i="20"/>
  <c r="AC13" i="20"/>
  <c r="AC6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M15" i="20" s="1"/>
  <c r="AN12" i="20" l="1"/>
  <c r="AM28" i="20"/>
  <c r="AC67" i="20"/>
  <c r="AC50" i="20"/>
  <c r="AC11" i="20"/>
  <c r="AC59" i="20"/>
  <c r="AC31" i="20"/>
  <c r="AC61" i="20"/>
  <c r="AC42" i="20"/>
  <c r="AC10" i="20"/>
  <c r="AC51" i="20"/>
  <c r="AC27" i="20"/>
  <c r="AC32" i="20"/>
  <c r="AC46" i="20"/>
  <c r="AC71" i="20"/>
  <c r="AC15" i="20"/>
  <c r="AD32" i="20"/>
  <c r="H13" i="33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66" i="20"/>
  <c r="AC23" i="20"/>
  <c r="AC52" i="20"/>
  <c r="AC33" i="20"/>
  <c r="AC6" i="20"/>
  <c r="AC72" i="20"/>
  <c r="AM33" i="20"/>
  <c r="AM16" i="20"/>
  <c r="AD16" i="20"/>
  <c r="AD48" i="20"/>
  <c r="AN16" i="20"/>
  <c r="AN48" i="20"/>
  <c r="AD6" i="20"/>
  <c r="H25" i="35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AW67" i="20"/>
  <c r="AC87" i="20"/>
  <c r="AN100" i="20"/>
  <c r="AM49" i="20"/>
  <c r="AM77" i="20"/>
  <c r="AX100" i="20"/>
  <c r="AN32" i="20"/>
  <c r="AM23" i="20"/>
  <c r="AM87" i="20"/>
  <c r="AW23" i="20"/>
  <c r="AW87" i="20"/>
  <c r="AX32" i="20"/>
  <c r="AD100" i="20"/>
  <c r="AC77" i="20"/>
  <c r="AW33" i="20"/>
  <c r="AM27" i="20"/>
  <c r="E8" i="20"/>
  <c r="AW77" i="20" s="1"/>
  <c r="AW27" i="20" l="1"/>
  <c r="BG7" i="20"/>
  <c r="AW49" i="20"/>
  <c r="AW7" i="20"/>
  <c r="AM7" i="20"/>
  <c r="AC65" i="20"/>
  <c r="AC17" i="20"/>
  <c r="AC22" i="20"/>
  <c r="AC7" i="20"/>
  <c r="AC73" i="20"/>
  <c r="AC45" i="20"/>
  <c r="AC53" i="20"/>
  <c r="AC34" i="20"/>
  <c r="AC82" i="20"/>
  <c r="AM79" i="20"/>
  <c r="AM82" i="20"/>
  <c r="AN82" i="20"/>
  <c r="AD82" i="20"/>
  <c r="AM17" i="20"/>
  <c r="AD22" i="20"/>
  <c r="BG53" i="20"/>
  <c r="AM53" i="20"/>
  <c r="AM22" i="20"/>
  <c r="BG73" i="20"/>
  <c r="AN22" i="20"/>
  <c r="H25" i="37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35" i="20" l="1"/>
  <c r="AC44" i="20"/>
  <c r="AC26" i="20"/>
  <c r="AC54" i="20"/>
  <c r="AC18" i="20"/>
  <c r="AC74" i="20"/>
  <c r="AC64" i="20"/>
  <c r="AC9" i="20"/>
  <c r="AD44" i="20"/>
  <c r="AM64" i="20"/>
  <c r="AN44" i="20"/>
  <c r="AD64" i="20"/>
  <c r="AN64" i="20"/>
  <c r="AM44" i="20"/>
  <c r="AN74" i="20"/>
  <c r="AM85" i="20"/>
  <c r="AM35" i="20"/>
  <c r="AD74" i="20"/>
  <c r="AX18" i="20"/>
  <c r="BH44" i="20"/>
  <c r="AN18" i="20"/>
  <c r="AD18" i="20"/>
  <c r="AW44" i="20"/>
  <c r="AW15" i="20"/>
  <c r="BH18" i="20"/>
  <c r="AX44" i="20"/>
  <c r="BG44" i="20"/>
  <c r="H37" i="33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75" i="20"/>
  <c r="AC55" i="20"/>
  <c r="AC19" i="20"/>
  <c r="AC8" i="20"/>
  <c r="AM8" i="20"/>
  <c r="AN8" i="20"/>
  <c r="AM19" i="20"/>
  <c r="AD8" i="20"/>
  <c r="AM75" i="20"/>
  <c r="BG81" i="20"/>
  <c r="AX36" i="20"/>
  <c r="AM36" i="20"/>
  <c r="AN36" i="20"/>
  <c r="AD36" i="20"/>
  <c r="BH36" i="20"/>
  <c r="AW36" i="20"/>
  <c r="BG36" i="20"/>
  <c r="AW19" i="20"/>
  <c r="AW75" i="20"/>
  <c r="AW25" i="20"/>
  <c r="BG75" i="20"/>
  <c r="AM25" i="20"/>
  <c r="AX8" i="20"/>
  <c r="BG8" i="20"/>
  <c r="BG19" i="20"/>
  <c r="AW8" i="20"/>
  <c r="BG25" i="20"/>
  <c r="BH8" i="20"/>
  <c r="AW59" i="20"/>
  <c r="AW40" i="20"/>
  <c r="H37" i="37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W5" i="20" s="1"/>
  <c r="AD20" i="20" l="1"/>
  <c r="AW20" i="20"/>
  <c r="AN20" i="20"/>
  <c r="AM20" i="20"/>
  <c r="BH20" i="20"/>
  <c r="BG37" i="20"/>
  <c r="AW37" i="20"/>
  <c r="AX20" i="20"/>
  <c r="AM37" i="20"/>
  <c r="AC56" i="20"/>
  <c r="AC20" i="20"/>
  <c r="AC5" i="20"/>
  <c r="AC37" i="20"/>
  <c r="AC24" i="20"/>
  <c r="AX24" i="20"/>
  <c r="AN24" i="20"/>
  <c r="AM5" i="20"/>
  <c r="AD24" i="20"/>
  <c r="AM24" i="20"/>
  <c r="BG5" i="20"/>
  <c r="AM80" i="20"/>
  <c r="AD80" i="20"/>
  <c r="AN80" i="20"/>
  <c r="BH80" i="20"/>
  <c r="AC80" i="20"/>
  <c r="AW80" i="20"/>
  <c r="AX80" i="20"/>
  <c r="BG80" i="20"/>
  <c r="BG20" i="20"/>
  <c r="H49" i="33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21" i="20" l="1"/>
  <c r="AC57" i="20"/>
  <c r="AC39" i="20"/>
  <c r="AC4" i="20"/>
  <c r="AW57" i="20"/>
  <c r="AM57" i="20"/>
  <c r="BG57" i="20"/>
  <c r="BH4" i="20"/>
  <c r="H49" i="35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D38" i="20"/>
  <c r="AM38" i="20"/>
  <c r="AN38" i="20"/>
  <c r="BG3" i="20"/>
  <c r="AW3" i="20"/>
  <c r="AM58" i="20"/>
  <c r="BH58" i="20"/>
  <c r="AD58" i="20"/>
  <c r="AX58" i="20"/>
  <c r="AN58" i="20"/>
  <c r="BH38" i="20"/>
  <c r="BG58" i="20"/>
  <c r="AX38" i="20"/>
  <c r="AW58" i="20"/>
  <c r="H61" i="33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12" i="20" l="1"/>
  <c r="AC29" i="20"/>
  <c r="AC48" i="20"/>
  <c r="AC69" i="20"/>
  <c r="AM12" i="20"/>
  <c r="AM48" i="20"/>
  <c r="AM69" i="20"/>
  <c r="AM29" i="20"/>
  <c r="BG48" i="20"/>
  <c r="AW48" i="20"/>
  <c r="AW69" i="20"/>
  <c r="BG69" i="20"/>
  <c r="AW12" i="20"/>
  <c r="BG12" i="20"/>
  <c r="H61" i="40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57" i="20"/>
  <c r="E16" i="20"/>
  <c r="BH47" i="20" s="1"/>
  <c r="AD83" i="20" l="1"/>
  <c r="M23" i="40"/>
  <c r="M21" i="40"/>
  <c r="M22" i="40"/>
  <c r="M25" i="40"/>
  <c r="M24" i="40"/>
  <c r="M23" i="37"/>
  <c r="M24" i="37"/>
  <c r="M22" i="37"/>
  <c r="M25" i="37"/>
  <c r="M21" i="37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O21" i="37" l="1" a="1"/>
  <c r="O21" i="37" s="1"/>
  <c r="I2" i="37" s="1"/>
  <c r="AD61" i="20"/>
  <c r="AN61" i="20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47" i="20"/>
  <c r="AX70" i="20"/>
  <c r="AD33" i="20"/>
  <c r="AN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X27" i="20" s="1"/>
  <c r="BH7" i="20" l="1"/>
  <c r="AN7" i="20"/>
  <c r="AD7" i="20"/>
  <c r="AX49" i="20"/>
  <c r="AX7" i="20"/>
  <c r="AX77" i="20"/>
  <c r="AX29" i="20"/>
  <c r="AX42" i="20"/>
  <c r="AD53" i="20"/>
  <c r="AN79" i="20"/>
  <c r="BH73" i="20"/>
  <c r="AN53" i="20"/>
  <c r="BH53" i="20"/>
  <c r="AD17" i="20"/>
  <c r="AN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D73" i="20"/>
  <c r="AD97" i="20"/>
  <c r="AD9" i="20"/>
  <c r="AN9" i="20"/>
  <c r="AN73" i="20"/>
  <c r="AN97" i="20"/>
  <c r="AX9" i="20"/>
  <c r="AX73" i="20"/>
  <c r="AX89" i="20"/>
  <c r="AX97" i="20"/>
  <c r="E22" i="20"/>
  <c r="AX59" i="20" s="1"/>
  <c r="AX40" i="20" l="1"/>
  <c r="AD19" i="20"/>
  <c r="AN81" i="20"/>
  <c r="AN19" i="20"/>
  <c r="AD81" i="20"/>
  <c r="BH81" i="20"/>
  <c r="AX19" i="20"/>
  <c r="BH19" i="20"/>
  <c r="AX81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D5" i="20" l="1"/>
  <c r="AN5" i="20"/>
  <c r="BH5" i="20"/>
  <c r="AD37" i="20"/>
  <c r="AX37" i="20"/>
  <c r="BH37" i="20"/>
  <c r="AX5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E24" i="20"/>
  <c r="AD21" i="20" s="1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<sst xmlns="http://schemas.openxmlformats.org/spreadsheetml/2006/main" count="12319" uniqueCount="296">
  <si>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</si>
  <si>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</si>
  <si>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</si>
  <si>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</si>
  <si>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</si>
  <si>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</si>
  <si>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</si>
  <si>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</si>
  <si>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</si>
  <si>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</si>
  <si>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</si>
  <si>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</si>
  <si>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</si>
  <si>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</si>
  <si>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</si>
  <si>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</si>
  <si>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</si>
  <si>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</si>
  <si>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</si>
  <si>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</si>
  <si>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</si>
  <si>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</si>
  <si>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</si>
  <si>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</si>
  <si>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</si>
  <si>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</si>
  <si>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</si>
  <si>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</si>
  <si>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</si>
  <si>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</si>
  <si>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</si>
  <si>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</si>
  <si>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</si>
  <si>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</si>
  <si>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</si>
  <si>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</si>
  <si>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</si>
  <si>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</si>
  <si>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</si>
  <si>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</si>
  <si>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</si>
  <si>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</si>
  <si>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</si>
  <si>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</si>
  <si>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</si>
  <si>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</si>
  <si>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</si>
  <si>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</si>
  <si>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</si>
  <si>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</si>
  <si>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</si>
  <si>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</si>
  <si>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</si>
  <si>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</si>
  <si>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</si>
  <si>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</si>
  <si>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</si>
  <si>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</si>
  <si>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</si>
  <si>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</si>
  <si>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</si>
  <si>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</si>
  <si>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</si>
  <si>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</si>
  <si>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</si>
  <si>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</si>
  <si>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</si>
  <si>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</si>
  <si>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</si>
  <si>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</si>
  <si>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</si>
  <si>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</si>
  <si>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</si>
  <si>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</si>
  <si>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</si>
  <si>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</si>
  <si>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</si>
  <si>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</si>
  <si>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</si>
  <si>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</si>
  <si>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</si>
  <si>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</si>
  <si>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</si>
  <si>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</si>
  <si>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</si>
  <si>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</si>
  <si>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</si>
  <si>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</si>
  <si>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</si>
  <si>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</si>
  <si>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</si>
  <si>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</si>
  <si>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</si>
  <si>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</si>
  <si>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</si>
  <si>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</si>
  <si>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</si>
  <si>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</si>
  <si>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</si>
  <si>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</si>
  <si>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</si>
  <si>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</si>
  <si>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</si>
  <si>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</si>
  <si>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</si>
  <si>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</si>
  <si>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</si>
  <si>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</si>
  <si>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</si>
  <si>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</si>
  <si>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</si>
  <si>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</si>
  <si>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</si>
  <si>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</si>
  <si>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</si>
  <si>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</si>
  <si>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</si>
  <si>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</si>
  <si>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</si>
  <si>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</si>
  <si>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</si>
  <si>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</si>
  <si>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</si>
  <si>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</si>
  <si>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</si>
  <si>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</si>
  <si>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</si>
  <si>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</si>
  <si>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</si>
  <si>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</si>
  <si>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</si>
  <si>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</si>
  <si>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</si>
  <si>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</si>
  <si>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</si>
  <si>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</si>
  <si>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</si>
  <si>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</si>
  <si>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</si>
  <si>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</si>
  <si>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</si>
  <si>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</si>
  <si>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</si>
  <si>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</si>
  <si>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</si>
  <si>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</si>
  <si>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</si>
  <si>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</si>
  <si>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</si>
  <si>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</si>
  <si>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</si>
  <si>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</si>
  <si>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</si>
  <si>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</si>
  <si>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</si>
  <si>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</si>
  <si>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</si>
  <si>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</si>
  <si>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</si>
  <si>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</si>
  <si>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</si>
  <si>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</si>
  <si>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</si>
  <si>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</si>
  <si>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</si>
  <si>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</si>
  <si>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</si>
  <si>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</si>
  <si>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</si>
  <si>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</si>
  <si>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</si>
  <si>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</si>
  <si>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</si>
  <si>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</si>
  <si>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</si>
  <si>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</si>
  <si>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</si>
  <si>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</si>
  <si>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</si>
  <si>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</si>
  <si>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</si>
  <si>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</si>
  <si>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</si>
  <si>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</si>
  <si>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</si>
  <si>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</si>
  <si>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</si>
  <si>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</si>
  <si>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</si>
  <si>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</si>
  <si>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</si>
  <si>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</si>
  <si>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</si>
  <si>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</si>
  <si>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</si>
  <si>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</si>
  <si>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</si>
  <si>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</si>
  <si>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</si>
  <si>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</si>
  <si>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</si>
  <si>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</si>
  <si>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</si>
  <si>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</si>
  <si>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</si>
  <si>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</si>
  <si>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</si>
  <si>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</si>
  <si>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</si>
  <si>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</si>
  <si>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</si>
  <si>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</si>
  <si>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</si>
  <si>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</si>
  <si>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</si>
  <si>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</si>
  <si>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</si>
  <si>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</si>
  <si>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</si>
  <si>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</si>
  <si>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</si>
  <si>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</si>
  <si>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</si>
  <si>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</si>
  <si>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</si>
  <si>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</si>
  <si>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</si>
  <si>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</si>
  <si>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</si>
  <si>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</si>
  <si>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</si>
  <si>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</si>
  <si>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</si>
  <si>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</si>
  <si>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</si>
  <si>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</si>
  <si>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</si>
  <si>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</si>
  <si>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</si>
  <si>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</si>
  <si>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</si>
  <si>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</si>
  <si>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</si>
  <si>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</si>
  <si>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</si>
  <si>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</si>
  <si>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</si>
  <si>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</si>
  <si>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</si>
  <si>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</si>
  <si>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</si>
  <si>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</si>
  <si>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</si>
  <si>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</si>
  <si>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</si>
  <si>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</si>
  <si>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</si>
  <si>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</si>
  <si>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</si>
  <si>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</si>
  <si>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</si>
  <si>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</si>
  <si>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</si>
  <si>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</si>
  <si>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</si>
  <si>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</si>
  <si>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</si>
  <si>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</si>
  <si>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</si>
  <si>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</si>
  <si>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</si>
  <si>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</si>
  <si>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</si>
  <si>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</si>
  <si>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</si>
  <si>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</si>
  <si>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</si>
  <si>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</si>
  <si>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</si>
  <si>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</si>
  <si>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</si>
  <si>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</si>
  <si>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</si>
  <si>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</si>
  <si>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</si>
  <si>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</si>
  <si>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</si>
  <si>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</si>
  <si>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</si>
  <si>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</si>
  <si>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</si>
  <si>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</si>
  <si>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</si>
  <si>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</si>
  <si>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</si>
  <si>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2.2.0.0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</si>
</sst>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1.1248721999999999E-2</c:v>
                </c:pt>
                <c:pt idx="1">
                  <c:v>1.5597397000000001E-2</c:v>
                </c:pt>
                <c:pt idx="2">
                  <c:v>1.1058851999999999E-2</c:v>
                </c:pt>
                <c:pt idx="3">
                  <c:v>1.1752891999999999E-2</c:v>
                </c:pt>
                <c:pt idx="4">
                  <c:v>9.5848540000000003E-3</c:v>
                </c:pt>
                <c:pt idx="5">
                  <c:v>7.6499259999999996E-3</c:v>
                </c:pt>
                <c:pt idx="6">
                  <c:v>1.858782E-3</c:v>
                </c:pt>
                <c:pt idx="7">
                  <c:v>7.9801060000000007E-3</c:v>
                </c:pt>
                <c:pt idx="8">
                  <c:v>2.9194210000000002E-3</c:v>
                </c:pt>
                <c:pt idx="9">
                  <c:v>5.8726029999999997E-3</c:v>
                </c:pt>
                <c:pt idx="10">
                  <c:v>9.3519399999999996E-3</c:v>
                </c:pt>
                <c:pt idx="11">
                  <c:v>5.5502210000000001E-3</c:v>
                </c:pt>
                <c:pt idx="12">
                  <c:v>2.3259159999999999E-3</c:v>
                </c:pt>
                <c:pt idx="13">
                  <c:v>2.01571E-3</c:v>
                </c:pt>
                <c:pt idx="14">
                  <c:v>3.8511699999999998E-4</c:v>
                </c:pt>
                <c:pt idx="15">
                  <c:v>8.9844000000000002E-4</c:v>
                </c:pt>
                <c:pt idx="16">
                  <c:v>2.0863699999999999E-4</c:v>
                </c:pt>
                <c:pt idx="17">
                  <c:v>1.043003E-3</c:v>
                </c:pt>
                <c:pt idx="18">
                  <c:v>4.0659399999999998E-4</c:v>
                </c:pt>
                <c:pt idx="19">
                  <c:v>4.1795000000000002E-5</c:v>
                </c:pt>
                <c:pt idx="20">
                  <c:v>1.79137E-4</c:v>
                </c:pt>
                <c:pt idx="21">
                  <c:v>6.8918000000000007E-5</c:v>
                </c:pt>
                <c:pt idx="22">
                  <c:v>1.2998099999999999E-4</c:v>
                </c:pt>
                <c:pt idx="23">
                  <c:v>8.195E-5</c:v>
                </c:pt>
                <c:pt idx="24">
                  <c:v>1.9854E-5</c:v>
                </c:pt>
                <c:pt idx="25">
                  <c:v>1.3361E-5</c:v>
                </c:pt>
                <c:pt idx="26">
                  <c:v>1.1905E-5</c:v>
                </c:pt>
                <c:pt idx="27">
                  <c:v>5.2850000000000002E-6</c:v>
                </c:pt>
                <c:pt idx="28">
                  <c:v>5.6200000000000004E-6</c:v>
                </c:pt>
                <c:pt idx="29">
                  <c:v>6.6000000000000003E-7</c:v>
                </c:pt>
                <c:pt idx="30">
                  <c:v>3.3000000000000002E-7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6.1999999999999999E-8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2.05E-7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3.868065E-3</c:v>
                </c:pt>
                <c:pt idx="1">
                  <c:v>1.1187304E-2</c:v>
                </c:pt>
                <c:pt idx="2">
                  <c:v>5.7238549999999999E-3</c:v>
                </c:pt>
                <c:pt idx="3">
                  <c:v>1.0551458999999999E-2</c:v>
                </c:pt>
                <c:pt idx="4">
                  <c:v>9.8434330000000004E-3</c:v>
                </c:pt>
                <c:pt idx="5">
                  <c:v>8.695263E-3</c:v>
                </c:pt>
                <c:pt idx="6">
                  <c:v>1.9840510000000001E-3</c:v>
                </c:pt>
                <c:pt idx="7">
                  <c:v>9.0421570000000003E-3</c:v>
                </c:pt>
                <c:pt idx="8">
                  <c:v>3.4137999999999998E-3</c:v>
                </c:pt>
                <c:pt idx="9">
                  <c:v>7.9408410000000006E-3</c:v>
                </c:pt>
                <c:pt idx="10">
                  <c:v>1.3847816000000001E-2</c:v>
                </c:pt>
                <c:pt idx="11">
                  <c:v>8.7147200000000005E-3</c:v>
                </c:pt>
                <c:pt idx="12">
                  <c:v>4.8639030000000001E-3</c:v>
                </c:pt>
                <c:pt idx="13">
                  <c:v>3.2409629999999999E-3</c:v>
                </c:pt>
                <c:pt idx="14">
                  <c:v>5.8186900000000005E-4</c:v>
                </c:pt>
                <c:pt idx="15">
                  <c:v>1.952903E-3</c:v>
                </c:pt>
                <c:pt idx="16">
                  <c:v>6.6693000000000004E-4</c:v>
                </c:pt>
                <c:pt idx="17">
                  <c:v>9.7347299999999998E-4</c:v>
                </c:pt>
                <c:pt idx="18">
                  <c:v>9.39306E-4</c:v>
                </c:pt>
                <c:pt idx="19">
                  <c:v>1.08282E-4</c:v>
                </c:pt>
                <c:pt idx="20">
                  <c:v>3.58294E-4</c:v>
                </c:pt>
                <c:pt idx="21">
                  <c:v>2.0877800000000001E-4</c:v>
                </c:pt>
                <c:pt idx="22">
                  <c:v>3.5035099999999999E-4</c:v>
                </c:pt>
                <c:pt idx="23">
                  <c:v>1.79402E-4</c:v>
                </c:pt>
                <c:pt idx="24">
                  <c:v>4.1041999999999998E-5</c:v>
                </c:pt>
                <c:pt idx="25">
                  <c:v>1.32786E-4</c:v>
                </c:pt>
                <c:pt idx="26">
                  <c:v>3.2369999999999997E-5</c:v>
                </c:pt>
                <c:pt idx="27">
                  <c:v>3.9907000000000003E-5</c:v>
                </c:pt>
                <c:pt idx="28">
                  <c:v>5.4978000000000001E-5</c:v>
                </c:pt>
                <c:pt idx="29">
                  <c:v>2.1542000000000001E-5</c:v>
                </c:pt>
                <c:pt idx="30">
                  <c:v>2.1500000000000002E-6</c:v>
                </c:pt>
                <c:pt idx="31">
                  <c:v>1.0720000000000001E-6</c:v>
                </c:pt>
                <c:pt idx="32">
                  <c:v>5.3750000000000002E-6</c:v>
                </c:pt>
                <c:pt idx="33">
                  <c:v>1.5048000000000001E-5</c:v>
                </c:pt>
                <c:pt idx="34">
                  <c:v>4.296E-6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9.2099999999999995E-7</c:v>
                </c:pt>
                <c:pt idx="45">
                  <c:v>4.0999999999999999E-7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3.2115336000000001E-2</c:v>
                      </c:pt>
                      <c:pt idx="8">
                        <c:v>0</c:v>
                      </c:pt>
                      <c:pt idx="9">
                        <c:v>2.4198962000000001E-2</c:v>
                      </c:pt>
                      <c:pt idx="10">
                        <c:v>3.8612109999999998E-3</c:v>
                      </c:pt>
                      <c:pt idx="11">
                        <c:v>1.3261838999999999E-2</c:v>
                      </c:pt>
                      <c:pt idx="12">
                        <c:v>8.3521210000000005E-3</c:v>
                      </c:pt>
                      <c:pt idx="13">
                        <c:v>6.624296E-3</c:v>
                      </c:pt>
                      <c:pt idx="14">
                        <c:v>4.4335049999999999E-3</c:v>
                      </c:pt>
                      <c:pt idx="15">
                        <c:v>3.884101E-3</c:v>
                      </c:pt>
                      <c:pt idx="16">
                        <c:v>8.2502170000000007E-3</c:v>
                      </c:pt>
                      <c:pt idx="17">
                        <c:v>2.8126480000000001E-3</c:v>
                      </c:pt>
                      <c:pt idx="18">
                        <c:v>2.9198649999999998E-3</c:v>
                      </c:pt>
                      <c:pt idx="19">
                        <c:v>7.9921300000000001E-4</c:v>
                      </c:pt>
                      <c:pt idx="20">
                        <c:v>1.492822E-3</c:v>
                      </c:pt>
                      <c:pt idx="21">
                        <c:v>1.4025245E-2</c:v>
                      </c:pt>
                      <c:pt idx="22">
                        <c:v>2.1120980000000002E-3</c:v>
                      </c:pt>
                      <c:pt idx="23">
                        <c:v>5.7976999999999996E-4</c:v>
                      </c:pt>
                      <c:pt idx="24">
                        <c:v>8.2268999999999994E-5</c:v>
                      </c:pt>
                      <c:pt idx="25">
                        <c:v>1.4461500000000001E-4</c:v>
                      </c:pt>
                      <c:pt idx="26">
                        <c:v>4.8113990000000001E-3</c:v>
                      </c:pt>
                      <c:pt idx="27">
                        <c:v>7.6674999999999993E-5</c:v>
                      </c:pt>
                      <c:pt idx="28">
                        <c:v>2.9654000000000001E-5</c:v>
                      </c:pt>
                      <c:pt idx="29">
                        <c:v>2.057106E-3</c:v>
                      </c:pt>
                      <c:pt idx="30">
                        <c:v>6.1658399999999999E-4</c:v>
                      </c:pt>
                      <c:pt idx="31">
                        <c:v>0</c:v>
                      </c:pt>
                      <c:pt idx="32">
                        <c:v>8.0006599999999999E-4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2.7410100000000001E-4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9.2137000000000002E-5</c:v>
                      </c:pt>
                      <c:pt idx="46">
                        <c:v>0</c:v>
                      </c:pt>
                      <c:pt idx="47">
                        <c:v>5.7748999999999999E-5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9.2582427999999994E-2</c:v>
                      </c:pt>
                      <c:pt idx="19">
                        <c:v>7.2278590000000004E-2</c:v>
                      </c:pt>
                      <c:pt idx="20">
                        <c:v>6.2011653E-2</c:v>
                      </c:pt>
                      <c:pt idx="21">
                        <c:v>7.4825468000000006E-2</c:v>
                      </c:pt>
                      <c:pt idx="22">
                        <c:v>0.13759199899999999</c:v>
                      </c:pt>
                      <c:pt idx="23">
                        <c:v>0.15113370800000001</c:v>
                      </c:pt>
                      <c:pt idx="24">
                        <c:v>7.9065117000000004E-2</c:v>
                      </c:pt>
                      <c:pt idx="25">
                        <c:v>3.5844607000000001E-2</c:v>
                      </c:pt>
                      <c:pt idx="26">
                        <c:v>2.0331472999999999E-2</c:v>
                      </c:pt>
                      <c:pt idx="27">
                        <c:v>2.9684537E-2</c:v>
                      </c:pt>
                      <c:pt idx="28">
                        <c:v>1.2491578E-2</c:v>
                      </c:pt>
                      <c:pt idx="29">
                        <c:v>7.1850743999999994E-2</c:v>
                      </c:pt>
                      <c:pt idx="30">
                        <c:v>1.0721110000000001E-2</c:v>
                      </c:pt>
                      <c:pt idx="31">
                        <c:v>1.2204847E-2</c:v>
                      </c:pt>
                      <c:pt idx="32">
                        <c:v>9.4560170000000006E-3</c:v>
                      </c:pt>
                      <c:pt idx="33">
                        <c:v>1.170771E-2</c:v>
                      </c:pt>
                      <c:pt idx="34">
                        <c:v>3.3606181999999998E-2</c:v>
                      </c:pt>
                      <c:pt idx="35">
                        <c:v>1.7630040999999999E-2</c:v>
                      </c:pt>
                      <c:pt idx="36">
                        <c:v>1.1605231000000001E-2</c:v>
                      </c:pt>
                      <c:pt idx="37">
                        <c:v>5.4467220000000002E-3</c:v>
                      </c:pt>
                      <c:pt idx="38">
                        <c:v>4.5929930000000001E-3</c:v>
                      </c:pt>
                      <c:pt idx="39">
                        <c:v>7.5329769999999997E-3</c:v>
                      </c:pt>
                      <c:pt idx="40">
                        <c:v>4.2150959999999998E-3</c:v>
                      </c:pt>
                      <c:pt idx="41">
                        <c:v>4.0867589999999997E-3</c:v>
                      </c:pt>
                      <c:pt idx="42">
                        <c:v>3.1331060000000001E-3</c:v>
                      </c:pt>
                      <c:pt idx="43">
                        <c:v>5.7069540000000002E-3</c:v>
                      </c:pt>
                      <c:pt idx="44">
                        <c:v>1.3973975E-2</c:v>
                      </c:pt>
                      <c:pt idx="45">
                        <c:v>1.4171819999999999E-3</c:v>
                      </c:pt>
                      <c:pt idx="46">
                        <c:v>1.129391E-3</c:v>
                      </c:pt>
                      <c:pt idx="47">
                        <c:v>8.8822300000000005E-4</c:v>
                      </c:pt>
                      <c:pt idx="48">
                        <c:v>2.9218700000000001E-4</c:v>
                      </c:pt>
                      <c:pt idx="49">
                        <c:v>2.7417700000000001E-4</c:v>
                      </c:pt>
                      <c:pt idx="50">
                        <c:v>2.5401800000000001E-4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8.195E-5</c:v>
                </c:pt>
                <c:pt idx="1">
                  <c:v>1.9854E-5</c:v>
                </c:pt>
                <c:pt idx="2">
                  <c:v>1.3361E-5</c:v>
                </c:pt>
                <c:pt idx="3">
                  <c:v>1.1905E-5</c:v>
                </c:pt>
                <c:pt idx="4">
                  <c:v>5.2850000000000002E-6</c:v>
                </c:pt>
                <c:pt idx="5">
                  <c:v>5.6200000000000004E-6</c:v>
                </c:pt>
                <c:pt idx="6">
                  <c:v>6.6000000000000003E-7</c:v>
                </c:pt>
                <c:pt idx="7">
                  <c:v>3.3000000000000002E-7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6.1999999999999999E-8</c:v>
                </c:pt>
                <c:pt idx="12">
                  <c:v>2.05E-7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1.79402E-4</c:v>
                      </c:pt>
                      <c:pt idx="1">
                        <c:v>4.1041999999999998E-5</c:v>
                      </c:pt>
                      <c:pt idx="2">
                        <c:v>1.32786E-4</c:v>
                      </c:pt>
                      <c:pt idx="3">
                        <c:v>3.2369999999999997E-5</c:v>
                      </c:pt>
                      <c:pt idx="4">
                        <c:v>3.9907000000000003E-5</c:v>
                      </c:pt>
                      <c:pt idx="5">
                        <c:v>5.4978000000000001E-5</c:v>
                      </c:pt>
                      <c:pt idx="6">
                        <c:v>2.1542000000000001E-5</c:v>
                      </c:pt>
                      <c:pt idx="7">
                        <c:v>2.1500000000000002E-6</c:v>
                      </c:pt>
                      <c:pt idx="8">
                        <c:v>1.0720000000000001E-6</c:v>
                      </c:pt>
                      <c:pt idx="9">
                        <c:v>5.3750000000000002E-6</c:v>
                      </c:pt>
                      <c:pt idx="10">
                        <c:v>1.5048000000000001E-5</c:v>
                      </c:pt>
                      <c:pt idx="11">
                        <c:v>4.296E-6</c:v>
                      </c:pt>
                      <c:pt idx="12">
                        <c:v>9.2099999999999995E-7</c:v>
                      </c:pt>
                      <c:pt idx="13">
                        <c:v>4.0999999999999999E-7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5.7976999999999996E-4</c:v>
                      </c:pt>
                      <c:pt idx="1">
                        <c:v>8.2268999999999994E-5</c:v>
                      </c:pt>
                      <c:pt idx="2">
                        <c:v>1.4461500000000001E-4</c:v>
                      </c:pt>
                      <c:pt idx="3">
                        <c:v>4.8113990000000001E-3</c:v>
                      </c:pt>
                      <c:pt idx="4">
                        <c:v>7.6674999999999993E-5</c:v>
                      </c:pt>
                      <c:pt idx="5">
                        <c:v>2.9654000000000001E-5</c:v>
                      </c:pt>
                      <c:pt idx="6">
                        <c:v>2.057106E-3</c:v>
                      </c:pt>
                      <c:pt idx="7">
                        <c:v>6.1658399999999999E-4</c:v>
                      </c:pt>
                      <c:pt idx="8">
                        <c:v>0</c:v>
                      </c:pt>
                      <c:pt idx="9">
                        <c:v>8.0006599999999999E-4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9.2137000000000002E-5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0.15113370800000001</c:v>
                      </c:pt>
                      <c:pt idx="1">
                        <c:v>7.9065117000000004E-2</c:v>
                      </c:pt>
                      <c:pt idx="2">
                        <c:v>3.5844607000000001E-2</c:v>
                      </c:pt>
                      <c:pt idx="3">
                        <c:v>2.0331472999999999E-2</c:v>
                      </c:pt>
                      <c:pt idx="4">
                        <c:v>2.9684537E-2</c:v>
                      </c:pt>
                      <c:pt idx="5">
                        <c:v>1.2491578E-2</c:v>
                      </c:pt>
                      <c:pt idx="6">
                        <c:v>7.1850743999999994E-2</c:v>
                      </c:pt>
                      <c:pt idx="7">
                        <c:v>1.0721110000000001E-2</c:v>
                      </c:pt>
                      <c:pt idx="8">
                        <c:v>1.2204847E-2</c:v>
                      </c:pt>
                      <c:pt idx="9">
                        <c:v>9.4560170000000006E-3</c:v>
                      </c:pt>
                      <c:pt idx="10">
                        <c:v>1.170771E-2</c:v>
                      </c:pt>
                      <c:pt idx="11">
                        <c:v>3.3606181999999998E-2</c:v>
                      </c:pt>
                      <c:pt idx="12">
                        <c:v>1.3973975E-2</c:v>
                      </c:pt>
                      <c:pt idx="13">
                        <c:v>1.4171819999999999E-3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5.4206289999999997E-3</c:v>
                </c:pt>
                <c:pt idx="1">
                  <c:v>8.7865600000000006E-3</c:v>
                </c:pt>
                <c:pt idx="2">
                  <c:v>6.1955939999999996E-3</c:v>
                </c:pt>
                <c:pt idx="3">
                  <c:v>8.1490420000000004E-3</c:v>
                </c:pt>
                <c:pt idx="4">
                  <c:v>5.5708249999999997E-3</c:v>
                </c:pt>
                <c:pt idx="5">
                  <c:v>5.5387819999999999E-3</c:v>
                </c:pt>
                <c:pt idx="6">
                  <c:v>1.3950119999999999E-3</c:v>
                </c:pt>
                <c:pt idx="7">
                  <c:v>1.4520405E-2</c:v>
                </c:pt>
                <c:pt idx="8">
                  <c:v>3.1654270000000002E-3</c:v>
                </c:pt>
                <c:pt idx="9">
                  <c:v>3.9345209999999999E-3</c:v>
                </c:pt>
                <c:pt idx="10">
                  <c:v>1.9729627E-2</c:v>
                </c:pt>
                <c:pt idx="11">
                  <c:v>4.9515150000000001E-3</c:v>
                </c:pt>
                <c:pt idx="12">
                  <c:v>6.8408150000000001E-3</c:v>
                </c:pt>
                <c:pt idx="13">
                  <c:v>2.379899E-3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9.7495849999999998E-3</c:v>
                </c:pt>
                <c:pt idx="1">
                  <c:v>1.5807149999999999E-2</c:v>
                </c:pt>
                <c:pt idx="2">
                  <c:v>1.1144138E-2</c:v>
                </c:pt>
                <c:pt idx="3">
                  <c:v>1.2156995E-2</c:v>
                </c:pt>
                <c:pt idx="4">
                  <c:v>8.3102139999999998E-3</c:v>
                </c:pt>
                <c:pt idx="5">
                  <c:v>8.2622709999999999E-3</c:v>
                </c:pt>
                <c:pt idx="6">
                  <c:v>2.0810099999999999E-3</c:v>
                </c:pt>
                <c:pt idx="7">
                  <c:v>8.6641050000000001E-3</c:v>
                </c:pt>
                <c:pt idx="8">
                  <c:v>3.7774599999999998E-3</c:v>
                </c:pt>
                <c:pt idx="9">
                  <c:v>4.6952419999999996E-3</c:v>
                </c:pt>
                <c:pt idx="10">
                  <c:v>7.0971360000000004E-3</c:v>
                </c:pt>
                <c:pt idx="11">
                  <c:v>1.7811260999999998E-2</c:v>
                </c:pt>
                <c:pt idx="12">
                  <c:v>2.4606979999999999E-3</c:v>
                </c:pt>
                <c:pt idx="13">
                  <c:v>1.7121160000000001E-3</c:v>
                </c:pt>
                <c:pt idx="14">
                  <c:v>8.4667089999999993E-3</c:v>
                </c:pt>
                <c:pt idx="15">
                  <c:v>1.4871470000000001E-3</c:v>
                </c:pt>
                <c:pt idx="16">
                  <c:v>2.6098390000000001E-3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3.1496204999999999E-2</c:v>
                      </c:pt>
                      <c:pt idx="8">
                        <c:v>0</c:v>
                      </c:pt>
                      <c:pt idx="9">
                        <c:v>4.7470760000000002E-3</c:v>
                      </c:pt>
                      <c:pt idx="10">
                        <c:v>3.7888879999999998E-3</c:v>
                      </c:pt>
                      <c:pt idx="11">
                        <c:v>1.3016438E-2</c:v>
                      </c:pt>
                      <c:pt idx="12">
                        <c:v>8.2002269999999992E-3</c:v>
                      </c:pt>
                      <c:pt idx="13">
                        <c:v>6.5051429999999997E-3</c:v>
                      </c:pt>
                      <c:pt idx="14">
                        <c:v>4.3540760000000001E-3</c:v>
                      </c:pt>
                      <c:pt idx="15">
                        <c:v>3.0522240000000001E-3</c:v>
                      </c:pt>
                      <c:pt idx="16">
                        <c:v>3.2420209999999999E-3</c:v>
                      </c:pt>
                      <c:pt idx="17">
                        <c:v>2.2107400000000001E-3</c:v>
                      </c:pt>
                      <c:pt idx="18">
                        <c:v>2.295442E-3</c:v>
                      </c:pt>
                      <c:pt idx="19">
                        <c:v>6.2836499999999998E-4</c:v>
                      </c:pt>
                      <c:pt idx="20">
                        <c:v>2.934744E-3</c:v>
                      </c:pt>
                      <c:pt idx="21">
                        <c:v>1.3787786E-2</c:v>
                      </c:pt>
                      <c:pt idx="22">
                        <c:v>2.3810179999999999E-3</c:v>
                      </c:pt>
                      <c:pt idx="23">
                        <c:v>1.9083590000000001E-3</c:v>
                      </c:pt>
                      <c:pt idx="24">
                        <c:v>6.8991699999999996E-4</c:v>
                      </c:pt>
                      <c:pt idx="25">
                        <c:v>2.2489350000000001E-3</c:v>
                      </c:pt>
                      <c:pt idx="26">
                        <c:v>6.3109159999999997E-3</c:v>
                      </c:pt>
                      <c:pt idx="27">
                        <c:v>2.2616310000000001E-3</c:v>
                      </c:pt>
                      <c:pt idx="28">
                        <c:v>6.2862530000000003E-3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1.9083590000000001E-3</c:v>
                      </c:pt>
                      <c:pt idx="1">
                        <c:v>6.8991699999999996E-4</c:v>
                      </c:pt>
                      <c:pt idx="2">
                        <c:v>2.2489350000000001E-3</c:v>
                      </c:pt>
                      <c:pt idx="3">
                        <c:v>6.3109159999999997E-3</c:v>
                      </c:pt>
                      <c:pt idx="4">
                        <c:v>2.2616310000000001E-3</c:v>
                      </c:pt>
                      <c:pt idx="5">
                        <c:v>6.2862530000000003E-3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H020192-2.2.0.0</v>
      </c>
      <c r="C1" s="11" t="s">
        <v>270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0.10826819600000004</v>
      </c>
      <c r="H5" s="188">
        <f>SUM('Multiplier Weight'!$N$12:$N$61)-I5-J5</f>
        <v>1.6772129999999993E-2</v>
      </c>
      <c r="I5" s="188">
        <f>SUM('Multiplier Weight'!$N$15:$N$61)-J5</f>
        <v>1.9243787000000005E-2</v>
      </c>
      <c r="J5" s="189">
        <f>SUM('Multiplier Weight'!$N$19:$N$61)</f>
        <v>3.5008539999999999E-3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0.10958911500000001</v>
      </c>
      <c r="H6" s="188">
        <f>SUM('Multiplier Weight'!N79:N126)-I6-J6</f>
        <v>2.178865700000001E-2</v>
      </c>
      <c r="I6" s="188">
        <f>SUM('Multiplier Weight'!N81:N126)-J6</f>
        <v>2.0021287999999995E-2</v>
      </c>
      <c r="J6" s="189">
        <f>SUM('Multiplier Weight'!N87:N126)</f>
        <v>3.4697829999999997E-3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0.13880396399999995</v>
      </c>
      <c r="H7" s="188">
        <f>SUM('Multiplier Weight'!N153:N191)-I7-J7</f>
        <v>5.2118999999999985E-3</v>
      </c>
      <c r="I7" s="188">
        <f>SUM('Multiplier Weight'!N156:N191)-J7</f>
        <v>2.1861724999999995E-2</v>
      </c>
      <c r="J7" s="189">
        <f>SUM('Multiplier Weight'!N164:N191)</f>
        <v>3.9361029999999998E-3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3" t="s">
        <v>293</v>
      </c>
      <c r="B18" s="314"/>
      <c r="C18" s="314"/>
      <c r="D18" s="314"/>
      <c r="E18" s="314"/>
      <c r="F18" s="315"/>
    </row>
    <row r="19" spans="1:6" ht="31.8" customHeight="1">
      <c r="A19" s="316"/>
      <c r="B19" s="317"/>
      <c r="C19" s="317"/>
      <c r="D19" s="317"/>
      <c r="E19" s="317"/>
      <c r="F19" s="318"/>
    </row>
    <row r="20" spans="1:6" ht="31.8" customHeight="1">
      <c r="A20" s="316"/>
      <c r="B20" s="317"/>
      <c r="C20" s="317"/>
      <c r="D20" s="317"/>
      <c r="E20" s="317"/>
      <c r="F20" s="318"/>
    </row>
    <row r="21" spans="1:6" ht="31.8" customHeight="1">
      <c r="A21" s="316"/>
      <c r="B21" s="317"/>
      <c r="C21" s="317"/>
      <c r="D21" s="317"/>
      <c r="E21" s="317"/>
      <c r="F21" s="318"/>
    </row>
    <row r="22" spans="1:6" ht="31.8" customHeight="1" thickBot="1">
      <c r="A22" s="319"/>
      <c r="B22" s="320"/>
      <c r="C22" s="320"/>
      <c r="D22" s="320"/>
      <c r="E22" s="320"/>
      <c r="F22" s="321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891731804</v>
      </c>
      <c r="D3" s="100">
        <v>890410885</v>
      </c>
      <c r="E3" s="100">
        <v>861196036</v>
      </c>
      <c r="F3" s="100">
        <v>0</v>
      </c>
      <c r="G3" s="261">
        <v>903421347</v>
      </c>
      <c r="H3" s="261">
        <v>873706924</v>
      </c>
      <c r="I3" s="261">
        <v>877653596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11248722</v>
      </c>
      <c r="D4" s="101">
        <v>3868065</v>
      </c>
      <c r="E4" s="101">
        <v>0</v>
      </c>
      <c r="F4" s="101">
        <v>0</v>
      </c>
      <c r="G4" s="262">
        <v>5420629</v>
      </c>
      <c r="H4" s="262">
        <v>9749585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15597397</v>
      </c>
      <c r="D5" s="101">
        <v>11187304</v>
      </c>
      <c r="E5" s="101">
        <v>0</v>
      </c>
      <c r="F5" s="101">
        <v>0</v>
      </c>
      <c r="G5" s="262">
        <v>8786560</v>
      </c>
      <c r="H5" s="262">
        <v>15807150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11058852</v>
      </c>
      <c r="D6" s="101">
        <v>5723855</v>
      </c>
      <c r="E6" s="101">
        <v>0</v>
      </c>
      <c r="F6" s="101">
        <v>0</v>
      </c>
      <c r="G6" s="262">
        <v>6195594</v>
      </c>
      <c r="H6" s="262">
        <v>11144138</v>
      </c>
      <c r="I6" s="262">
        <v>0</v>
      </c>
      <c r="J6" s="262"/>
    </row>
    <row r="7" spans="1:16">
      <c r="A7" s="8">
        <v>3</v>
      </c>
      <c r="B7" s="8">
        <v>4</v>
      </c>
      <c r="C7" s="101">
        <v>11752892</v>
      </c>
      <c r="D7" s="101">
        <v>10551459</v>
      </c>
      <c r="E7" s="101">
        <v>0</v>
      </c>
      <c r="F7" s="101">
        <v>0</v>
      </c>
      <c r="G7" s="262">
        <v>8149042</v>
      </c>
      <c r="H7" s="262">
        <v>12156995</v>
      </c>
      <c r="I7" s="262">
        <v>0</v>
      </c>
      <c r="J7" s="262"/>
    </row>
    <row r="8" spans="1:16">
      <c r="A8" s="8">
        <v>4</v>
      </c>
      <c r="B8" s="8">
        <v>5</v>
      </c>
      <c r="C8" s="101">
        <v>9584854</v>
      </c>
      <c r="D8" s="101">
        <v>9843433</v>
      </c>
      <c r="E8" s="101">
        <v>0</v>
      </c>
      <c r="F8" s="101">
        <v>0</v>
      </c>
      <c r="G8" s="262">
        <v>5570825</v>
      </c>
      <c r="H8" s="262">
        <v>8310214</v>
      </c>
      <c r="I8" s="262">
        <v>0</v>
      </c>
      <c r="J8" s="262"/>
    </row>
    <row r="9" spans="1:16">
      <c r="A9" s="8">
        <v>5</v>
      </c>
      <c r="B9" s="8">
        <v>6</v>
      </c>
      <c r="C9" s="101">
        <v>7649926</v>
      </c>
      <c r="D9" s="101">
        <v>8695263</v>
      </c>
      <c r="E9" s="101">
        <v>0</v>
      </c>
      <c r="F9" s="101">
        <v>0</v>
      </c>
      <c r="G9" s="262">
        <v>5538782</v>
      </c>
      <c r="H9" s="262">
        <v>8262271</v>
      </c>
      <c r="I9" s="262">
        <v>0</v>
      </c>
      <c r="J9" s="262"/>
    </row>
    <row r="10" spans="1:16">
      <c r="A10" s="8">
        <v>6</v>
      </c>
      <c r="B10" s="8">
        <v>7</v>
      </c>
      <c r="C10" s="101">
        <v>1858782</v>
      </c>
      <c r="D10" s="101">
        <v>1984051</v>
      </c>
      <c r="E10" s="101">
        <v>0</v>
      </c>
      <c r="F10" s="101">
        <v>0</v>
      </c>
      <c r="G10" s="262">
        <v>1395012</v>
      </c>
      <c r="H10" s="262">
        <v>2081010</v>
      </c>
      <c r="I10" s="262">
        <v>0</v>
      </c>
      <c r="J10" s="262"/>
    </row>
    <row r="11" spans="1:16">
      <c r="A11" s="8">
        <v>7</v>
      </c>
      <c r="B11" s="8">
        <v>8</v>
      </c>
      <c r="C11" s="101">
        <v>7980106</v>
      </c>
      <c r="D11" s="101">
        <v>9042157</v>
      </c>
      <c r="E11" s="101">
        <v>32115336</v>
      </c>
      <c r="F11" s="101">
        <v>0</v>
      </c>
      <c r="G11" s="262">
        <v>14520405</v>
      </c>
      <c r="H11" s="262">
        <v>8664105</v>
      </c>
      <c r="I11" s="262">
        <v>31496205</v>
      </c>
      <c r="J11" s="262"/>
    </row>
    <row r="12" spans="1:16">
      <c r="A12" s="8">
        <v>8</v>
      </c>
      <c r="B12" s="8">
        <v>9</v>
      </c>
      <c r="C12" s="101">
        <v>2919421</v>
      </c>
      <c r="D12" s="101">
        <v>3413800</v>
      </c>
      <c r="E12" s="101">
        <v>0</v>
      </c>
      <c r="F12" s="101">
        <v>0</v>
      </c>
      <c r="G12" s="262">
        <v>3165427</v>
      </c>
      <c r="H12" s="262">
        <v>3777460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5872603</v>
      </c>
      <c r="D13" s="101">
        <v>7940841</v>
      </c>
      <c r="E13" s="101">
        <v>24198962</v>
      </c>
      <c r="F13" s="101">
        <v>0</v>
      </c>
      <c r="G13" s="262">
        <v>3934521</v>
      </c>
      <c r="H13" s="262">
        <v>4695242</v>
      </c>
      <c r="I13" s="262">
        <v>4747076</v>
      </c>
      <c r="J13" s="262"/>
    </row>
    <row r="14" spans="1:16">
      <c r="A14" s="8">
        <v>10</v>
      </c>
      <c r="B14" s="8">
        <v>15</v>
      </c>
      <c r="C14" s="101">
        <v>9351940</v>
      </c>
      <c r="D14" s="101">
        <v>13847816</v>
      </c>
      <c r="E14" s="101">
        <v>3861211</v>
      </c>
      <c r="F14" s="101">
        <v>0</v>
      </c>
      <c r="G14" s="262">
        <v>19729627</v>
      </c>
      <c r="H14" s="262">
        <v>7097136</v>
      </c>
      <c r="I14" s="262">
        <v>3788888</v>
      </c>
      <c r="J14" s="262"/>
    </row>
    <row r="15" spans="1:16">
      <c r="A15" s="8">
        <v>15</v>
      </c>
      <c r="B15" s="8">
        <v>20</v>
      </c>
      <c r="C15" s="101">
        <v>5550221</v>
      </c>
      <c r="D15" s="101">
        <v>8714720</v>
      </c>
      <c r="E15" s="101">
        <v>13261839</v>
      </c>
      <c r="F15" s="101">
        <v>0</v>
      </c>
      <c r="G15" s="262">
        <v>4951515</v>
      </c>
      <c r="H15" s="262">
        <v>17811261</v>
      </c>
      <c r="I15" s="262">
        <v>13016438</v>
      </c>
      <c r="J15" s="262"/>
    </row>
    <row r="16" spans="1:16">
      <c r="A16" s="8">
        <v>20</v>
      </c>
      <c r="B16" s="8">
        <v>25</v>
      </c>
      <c r="C16" s="101">
        <v>2325916</v>
      </c>
      <c r="D16" s="101">
        <v>4863903</v>
      </c>
      <c r="E16" s="101">
        <v>8352121</v>
      </c>
      <c r="F16" s="101">
        <v>0</v>
      </c>
      <c r="G16" s="262">
        <v>6840815</v>
      </c>
      <c r="H16" s="262">
        <v>2460698</v>
      </c>
      <c r="I16" s="262">
        <v>8200227</v>
      </c>
      <c r="J16" s="262"/>
    </row>
    <row r="17" spans="1:10">
      <c r="A17" s="8">
        <v>25</v>
      </c>
      <c r="B17" s="8">
        <v>30</v>
      </c>
      <c r="C17" s="101">
        <v>2015710</v>
      </c>
      <c r="D17" s="101">
        <v>3240963</v>
      </c>
      <c r="E17" s="101">
        <v>6624296</v>
      </c>
      <c r="F17" s="101">
        <v>0</v>
      </c>
      <c r="G17" s="262">
        <v>2379899</v>
      </c>
      <c r="H17" s="262">
        <v>1712116</v>
      </c>
      <c r="I17" s="262">
        <v>6505143</v>
      </c>
      <c r="J17" s="262"/>
    </row>
    <row r="18" spans="1:10">
      <c r="A18" s="8">
        <v>30</v>
      </c>
      <c r="B18" s="8">
        <v>35</v>
      </c>
      <c r="C18" s="101">
        <v>385117</v>
      </c>
      <c r="D18" s="101">
        <v>581869</v>
      </c>
      <c r="E18" s="101">
        <v>4433505</v>
      </c>
      <c r="F18" s="101">
        <v>0</v>
      </c>
      <c r="G18" s="262">
        <v>0</v>
      </c>
      <c r="H18" s="262">
        <v>8466709</v>
      </c>
      <c r="I18" s="262">
        <v>4354076</v>
      </c>
      <c r="J18" s="262"/>
    </row>
    <row r="19" spans="1:10">
      <c r="A19" s="8">
        <v>35</v>
      </c>
      <c r="B19" s="8">
        <v>40</v>
      </c>
      <c r="C19" s="101">
        <v>898440</v>
      </c>
      <c r="D19" s="101">
        <v>1952903</v>
      </c>
      <c r="E19" s="101">
        <v>3884101</v>
      </c>
      <c r="F19" s="101">
        <v>0</v>
      </c>
      <c r="G19" s="262">
        <v>0</v>
      </c>
      <c r="H19" s="262">
        <v>1487147</v>
      </c>
      <c r="I19" s="262">
        <v>3052224</v>
      </c>
      <c r="J19" s="262"/>
    </row>
    <row r="20" spans="1:10">
      <c r="A20" s="8">
        <v>40</v>
      </c>
      <c r="B20" s="8">
        <v>45</v>
      </c>
      <c r="C20" s="101">
        <v>208637</v>
      </c>
      <c r="D20" s="101">
        <v>666930</v>
      </c>
      <c r="E20" s="101">
        <v>8250217</v>
      </c>
      <c r="F20" s="101">
        <v>0</v>
      </c>
      <c r="G20" s="262">
        <v>0</v>
      </c>
      <c r="H20" s="262">
        <v>2609839</v>
      </c>
      <c r="I20" s="262">
        <v>3242021</v>
      </c>
      <c r="J20" s="262"/>
    </row>
    <row r="21" spans="1:10">
      <c r="A21" s="8">
        <v>45</v>
      </c>
      <c r="B21" s="8">
        <v>50</v>
      </c>
      <c r="C21" s="101">
        <v>1043003</v>
      </c>
      <c r="D21" s="101">
        <v>973473</v>
      </c>
      <c r="E21" s="101">
        <v>2812648</v>
      </c>
      <c r="F21" s="101">
        <v>0</v>
      </c>
      <c r="G21" s="262">
        <v>0</v>
      </c>
      <c r="H21" s="262">
        <v>0</v>
      </c>
      <c r="I21" s="262">
        <v>2210740</v>
      </c>
      <c r="J21" s="262"/>
    </row>
    <row r="22" spans="1:10">
      <c r="A22" s="8">
        <v>50</v>
      </c>
      <c r="B22" s="8">
        <v>60</v>
      </c>
      <c r="C22" s="101">
        <v>406594</v>
      </c>
      <c r="D22" s="101">
        <v>939306</v>
      </c>
      <c r="E22" s="101">
        <v>2919865</v>
      </c>
      <c r="F22" s="101">
        <v>92582428</v>
      </c>
      <c r="G22" s="262">
        <v>0</v>
      </c>
      <c r="H22" s="262">
        <v>0</v>
      </c>
      <c r="I22" s="262">
        <v>2295442</v>
      </c>
      <c r="J22" s="262"/>
    </row>
    <row r="23" spans="1:10">
      <c r="A23" s="8">
        <v>60</v>
      </c>
      <c r="B23" s="8">
        <v>70</v>
      </c>
      <c r="C23" s="101">
        <v>41795</v>
      </c>
      <c r="D23" s="101">
        <v>108282</v>
      </c>
      <c r="E23" s="101">
        <v>799213</v>
      </c>
      <c r="F23" s="101">
        <v>72278590</v>
      </c>
      <c r="G23" s="262">
        <v>0</v>
      </c>
      <c r="H23" s="262">
        <v>0</v>
      </c>
      <c r="I23" s="262">
        <v>628365</v>
      </c>
      <c r="J23" s="262"/>
    </row>
    <row r="24" spans="1:10">
      <c r="A24" s="8">
        <v>70</v>
      </c>
      <c r="B24" s="8">
        <v>80</v>
      </c>
      <c r="C24" s="101">
        <v>179137</v>
      </c>
      <c r="D24" s="101">
        <v>358294</v>
      </c>
      <c r="E24" s="101">
        <v>1492822</v>
      </c>
      <c r="F24" s="101">
        <v>62011653</v>
      </c>
      <c r="G24" s="262">
        <v>0</v>
      </c>
      <c r="H24" s="262">
        <v>0</v>
      </c>
      <c r="I24" s="262">
        <v>2934744</v>
      </c>
      <c r="J24" s="262"/>
    </row>
    <row r="25" spans="1:10">
      <c r="A25" s="8">
        <v>80</v>
      </c>
      <c r="B25" s="8">
        <v>90</v>
      </c>
      <c r="C25" s="101">
        <v>68918</v>
      </c>
      <c r="D25" s="101">
        <v>208778</v>
      </c>
      <c r="E25" s="101">
        <v>14025245</v>
      </c>
      <c r="F25" s="101">
        <v>74825468</v>
      </c>
      <c r="G25" s="262">
        <v>0</v>
      </c>
      <c r="H25" s="262">
        <v>0</v>
      </c>
      <c r="I25" s="262">
        <v>13787786</v>
      </c>
      <c r="J25" s="262"/>
    </row>
    <row r="26" spans="1:10">
      <c r="A26" s="8">
        <v>90</v>
      </c>
      <c r="B26" s="8">
        <v>100</v>
      </c>
      <c r="C26" s="101">
        <v>129981</v>
      </c>
      <c r="D26" s="101">
        <v>350351</v>
      </c>
      <c r="E26" s="101">
        <v>2112098</v>
      </c>
      <c r="F26" s="101">
        <v>137591999</v>
      </c>
      <c r="G26" s="262">
        <v>0</v>
      </c>
      <c r="H26" s="262">
        <v>0</v>
      </c>
      <c r="I26" s="262">
        <v>2381018</v>
      </c>
      <c r="J26" s="262"/>
    </row>
    <row r="27" spans="1:10">
      <c r="A27" s="8">
        <v>100</v>
      </c>
      <c r="B27" s="8">
        <v>120</v>
      </c>
      <c r="C27" s="101">
        <v>81950</v>
      </c>
      <c r="D27" s="101">
        <v>179402</v>
      </c>
      <c r="E27" s="101">
        <v>579770</v>
      </c>
      <c r="F27" s="101">
        <v>151133708</v>
      </c>
      <c r="G27" s="262">
        <v>0</v>
      </c>
      <c r="H27" s="262">
        <v>0</v>
      </c>
      <c r="I27" s="262">
        <v>1908359</v>
      </c>
      <c r="J27" s="262"/>
    </row>
    <row r="28" spans="1:10">
      <c r="A28" s="8">
        <v>120</v>
      </c>
      <c r="B28" s="8">
        <v>140</v>
      </c>
      <c r="C28" s="101">
        <v>19854</v>
      </c>
      <c r="D28" s="101">
        <v>41042</v>
      </c>
      <c r="E28" s="101">
        <v>82269</v>
      </c>
      <c r="F28" s="101">
        <v>79065117</v>
      </c>
      <c r="G28" s="262">
        <v>0</v>
      </c>
      <c r="H28" s="262">
        <v>0</v>
      </c>
      <c r="I28" s="262">
        <v>689917</v>
      </c>
      <c r="J28" s="262"/>
    </row>
    <row r="29" spans="1:10">
      <c r="A29" s="8">
        <v>140</v>
      </c>
      <c r="B29" s="8">
        <v>160</v>
      </c>
      <c r="C29" s="101">
        <v>13361</v>
      </c>
      <c r="D29" s="101">
        <v>132786</v>
      </c>
      <c r="E29" s="101">
        <v>144615</v>
      </c>
      <c r="F29" s="101">
        <v>35844607</v>
      </c>
      <c r="G29" s="262">
        <v>0</v>
      </c>
      <c r="H29" s="262">
        <v>0</v>
      </c>
      <c r="I29" s="262">
        <v>2248935</v>
      </c>
      <c r="J29" s="262"/>
    </row>
    <row r="30" spans="1:10">
      <c r="A30" s="8">
        <v>160</v>
      </c>
      <c r="B30" s="8">
        <v>180</v>
      </c>
      <c r="C30" s="101">
        <v>11905</v>
      </c>
      <c r="D30" s="101">
        <v>32370</v>
      </c>
      <c r="E30" s="101">
        <v>4811399</v>
      </c>
      <c r="F30" s="101">
        <v>20331473</v>
      </c>
      <c r="G30" s="262">
        <v>0</v>
      </c>
      <c r="H30" s="262">
        <v>0</v>
      </c>
      <c r="I30" s="262">
        <v>6310916</v>
      </c>
      <c r="J30" s="262"/>
    </row>
    <row r="31" spans="1:10">
      <c r="A31" s="8">
        <v>180</v>
      </c>
      <c r="B31" s="8">
        <v>200</v>
      </c>
      <c r="C31" s="101">
        <v>5285</v>
      </c>
      <c r="D31" s="101">
        <v>39907</v>
      </c>
      <c r="E31" s="101">
        <v>76675</v>
      </c>
      <c r="F31" s="101">
        <v>29684537</v>
      </c>
      <c r="G31" s="262">
        <v>0</v>
      </c>
      <c r="H31" s="262">
        <v>0</v>
      </c>
      <c r="I31" s="262">
        <v>2261631</v>
      </c>
      <c r="J31" s="262"/>
    </row>
    <row r="32" spans="1:10">
      <c r="A32" s="8">
        <v>200</v>
      </c>
      <c r="B32" s="8">
        <v>250</v>
      </c>
      <c r="C32" s="101">
        <v>5620</v>
      </c>
      <c r="D32" s="101">
        <v>54978</v>
      </c>
      <c r="E32" s="101">
        <v>29654</v>
      </c>
      <c r="F32" s="101">
        <v>12491578</v>
      </c>
      <c r="G32" s="262">
        <v>0</v>
      </c>
      <c r="H32" s="262">
        <v>0</v>
      </c>
      <c r="I32" s="262">
        <v>6286253</v>
      </c>
      <c r="J32" s="262"/>
    </row>
    <row r="33" spans="1:10">
      <c r="A33" s="8">
        <v>250</v>
      </c>
      <c r="B33" s="8">
        <v>300</v>
      </c>
      <c r="C33" s="101">
        <v>660</v>
      </c>
      <c r="D33" s="101">
        <v>21542</v>
      </c>
      <c r="E33" s="101">
        <v>2057106</v>
      </c>
      <c r="F33" s="101">
        <v>71850744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330</v>
      </c>
      <c r="D34" s="101">
        <v>2150</v>
      </c>
      <c r="E34" s="101">
        <v>616584</v>
      </c>
      <c r="F34" s="101">
        <v>10721110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1072</v>
      </c>
      <c r="E35" s="101">
        <v>0</v>
      </c>
      <c r="F35" s="101">
        <v>12204847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5375</v>
      </c>
      <c r="E36" s="101">
        <v>800066</v>
      </c>
      <c r="F36" s="101">
        <v>9456017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15048</v>
      </c>
      <c r="E37" s="101">
        <v>0</v>
      </c>
      <c r="F37" s="101">
        <v>11707710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62</v>
      </c>
      <c r="D38" s="101">
        <v>4296</v>
      </c>
      <c r="E38" s="101">
        <v>0</v>
      </c>
      <c r="F38" s="101">
        <v>33606182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17630041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101">
        <v>0</v>
      </c>
      <c r="F40" s="101">
        <v>11605231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5446722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4592993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7532977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274101</v>
      </c>
      <c r="F44" s="101">
        <v>4215096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4086759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3133106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5706954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205</v>
      </c>
      <c r="D48" s="101">
        <v>921</v>
      </c>
      <c r="E48" s="101">
        <v>0</v>
      </c>
      <c r="F48" s="101">
        <v>13973975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410</v>
      </c>
      <c r="E49" s="101">
        <v>92137</v>
      </c>
      <c r="F49" s="101">
        <v>1417182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1129391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57749</v>
      </c>
      <c r="F51" s="101">
        <v>888223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292187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274177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254018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32787</v>
      </c>
      <c r="F55" s="101">
        <v>203534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64080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5573</v>
      </c>
      <c r="F57" s="101">
        <v>165586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0.86999999984424969</v>
      </c>
      <c r="P2" s="215">
        <v>0.92</v>
      </c>
      <c r="Q2" s="181">
        <f>P2-O2</f>
        <v>5.0000000155750346E-2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0.96564290919602347</v>
      </c>
      <c r="R3" s="216">
        <f>1-SUM(_xlfn.ANCHORARRAY(R4))</f>
        <v>4.7266861032537189E-2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1.1214087409837259</v>
      </c>
      <c r="L4" s="185" cm="1">
        <f t="array" ref="L4:L61">K4:K61*_xlfn.ANCHORARRAY(J4)*_xlfn.ANCHORARRAY(F4)</f>
        <v>0.8917318045</v>
      </c>
      <c r="M4" s="240" cm="1">
        <f t="array" ref="M4:M61">INT(_xlfn.ANCHORARRAY(L4)*$M$2)</f>
        <v>891731804</v>
      </c>
      <c r="N4" s="194" cm="1">
        <f t="array" ref="N4:N61">_xlfn.ANCHORARRAY(M4)/SUM(_xlfn.ANCHORARRAY(M4))</f>
        <v>0.89173180399999996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0.83870461855686262</v>
      </c>
      <c r="S4" s="182">
        <f>R4+R3</f>
        <v>0.88597147958939981</v>
      </c>
      <c r="T4" s="213" cm="1">
        <f t="array" ref="T4:T61">S4:S55/_xlfn.ANCHORARRAY(F4)</f>
        <v>1.1141647706856437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0.92025132995509562</v>
      </c>
      <c r="L5" s="188">
        <v>1.1248722500000001E-2</v>
      </c>
      <c r="M5" s="233">
        <v>11248722</v>
      </c>
      <c r="N5" s="195">
        <v>1.1248721999999999E-2</v>
      </c>
      <c r="O5" s="211">
        <v>8.4454193942482894E-3</v>
      </c>
      <c r="P5" s="198">
        <v>1.23573389287732E-2</v>
      </c>
      <c r="Q5" s="198">
        <v>9.2777570510108234E-3</v>
      </c>
      <c r="R5" s="1">
        <v>1.1773246306894915E-2</v>
      </c>
      <c r="S5" s="182" cm="1">
        <f t="array" ref="S5:S55">R5:R55</f>
        <v>1.1773246306894915E-2</v>
      </c>
      <c r="T5" s="1">
        <v>0.96316231214779846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0.78559549133975703</v>
      </c>
      <c r="L6" s="188">
        <v>1.5597397500000002E-2</v>
      </c>
      <c r="M6" s="233">
        <v>15597397</v>
      </c>
      <c r="N6" s="195">
        <v>1.5597397000000001E-2</v>
      </c>
      <c r="O6" s="211">
        <v>2.6784252555962305E-2</v>
      </c>
      <c r="P6" s="198">
        <v>1.7178728121466199E-2</v>
      </c>
      <c r="Q6" s="198">
        <v>2.9499755157579341E-2</v>
      </c>
      <c r="R6" s="1">
        <v>1.6366743566633115E-2</v>
      </c>
      <c r="S6" s="182">
        <v>1.6366743566633115E-2</v>
      </c>
      <c r="T6" s="1">
        <v>0.82434521232538616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0.7887396024097425</v>
      </c>
      <c r="L7" s="188">
        <v>1.1058852500000001E-2</v>
      </c>
      <c r="M7" s="233">
        <v>11058852</v>
      </c>
      <c r="N7" s="195">
        <v>1.1058851999999999E-2</v>
      </c>
      <c r="O7" s="211">
        <v>3.0403641883169838E-2</v>
      </c>
      <c r="P7" s="198">
        <v>1.2210324982495699E-2</v>
      </c>
      <c r="Q7" s="198">
        <v>3.3569338665977382E-2</v>
      </c>
      <c r="R7" s="1">
        <v>1.1633181248385957E-2</v>
      </c>
      <c r="S7" s="182">
        <v>1.1633181248385957E-2</v>
      </c>
      <c r="T7" s="1">
        <v>0.82970188386294252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0.63655892692287586</v>
      </c>
      <c r="L8" s="188">
        <v>1.1752892499999999E-2</v>
      </c>
      <c r="M8" s="233">
        <v>11752892</v>
      </c>
      <c r="N8" s="195">
        <v>1.1752891999999999E-2</v>
      </c>
      <c r="O8" s="211">
        <v>4.3467126566140962E-2</v>
      </c>
      <c r="P8" s="198">
        <v>1.2996255599337999E-2</v>
      </c>
      <c r="Q8" s="198">
        <v>4.806560691805413E-2</v>
      </c>
      <c r="R8" s="1">
        <v>1.2381963391980756E-2</v>
      </c>
      <c r="S8" s="182">
        <v>1.2381963391980756E-2</v>
      </c>
      <c r="T8" s="1">
        <v>0.67063059838227934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0.7606365144241013</v>
      </c>
      <c r="L9" s="188">
        <v>9.5848545E-3</v>
      </c>
      <c r="M9" s="233">
        <v>9584854</v>
      </c>
      <c r="N9" s="195">
        <v>9.5848540000000003E-3</v>
      </c>
      <c r="O9" s="211">
        <v>4.6060178799851567E-2</v>
      </c>
      <c r="P9" s="198">
        <v>1.05879741106956E-2</v>
      </c>
      <c r="Q9" s="198">
        <v>5.0880689540689791E-2</v>
      </c>
      <c r="R9" s="1">
        <v>1.0087513809789249E-2</v>
      </c>
      <c r="S9" s="182">
        <v>1.0087513809789249E-2</v>
      </c>
      <c r="T9" s="1">
        <v>0.80052663746571018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0.60986053511511051</v>
      </c>
      <c r="L10" s="188">
        <v>7.6499265000000011E-3</v>
      </c>
      <c r="M10" s="233">
        <v>7649926</v>
      </c>
      <c r="N10" s="195">
        <v>7.6499259999999996E-3</v>
      </c>
      <c r="O10" s="211">
        <v>4.5532436692034328E-2</v>
      </c>
      <c r="P10" s="198">
        <v>8.37719620644619E-3</v>
      </c>
      <c r="Q10" s="198">
        <v>4.9861156294421838E-2</v>
      </c>
      <c r="R10" s="1">
        <v>7.9812324375137991E-3</v>
      </c>
      <c r="S10" s="182">
        <v>7.9812324375137991E-3</v>
      </c>
      <c r="T10" s="1">
        <v>0.63627260800744201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0.58838523325287861</v>
      </c>
      <c r="L11" s="188">
        <v>1.8587825000000002E-3</v>
      </c>
      <c r="M11" s="233">
        <v>1858782</v>
      </c>
      <c r="N11" s="195">
        <v>1.858782E-3</v>
      </c>
      <c r="O11" s="211">
        <v>1.2133779159911432E-2</v>
      </c>
      <c r="P11" s="198">
        <v>2.1346721997370101E-3</v>
      </c>
      <c r="Q11" s="198">
        <v>1.3934738474125113E-2</v>
      </c>
      <c r="R11" s="1">
        <v>2.0337729455220202E-3</v>
      </c>
      <c r="S11" s="182">
        <v>2.0337729455220202E-3</v>
      </c>
      <c r="T11" s="1">
        <v>0.64377729451098642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0.60696261251476313</v>
      </c>
      <c r="L12" s="188">
        <v>7.9801065000000004E-3</v>
      </c>
      <c r="M12" s="233">
        <v>7980106</v>
      </c>
      <c r="N12" s="195">
        <v>7.9801060000000007E-3</v>
      </c>
      <c r="O12" s="211">
        <v>6.1559161937724309E-2</v>
      </c>
      <c r="P12" s="198">
        <v>8.8375429069112096E-3</v>
      </c>
      <c r="Q12" s="198">
        <v>6.8173497311706632E-2</v>
      </c>
      <c r="R12" s="1">
        <v>8.4198199944611526E-3</v>
      </c>
      <c r="S12" s="182">
        <v>8.4198199944611526E-3</v>
      </c>
      <c r="T12" s="1">
        <v>0.64040698463638046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0.50681946134900757</v>
      </c>
      <c r="L13" s="188">
        <v>2.9194214999999999E-3</v>
      </c>
      <c r="M13" s="233">
        <v>2919421</v>
      </c>
      <c r="N13" s="195">
        <v>2.9194210000000002E-3</v>
      </c>
      <c r="O13" s="211">
        <v>2.6044773892327542E-2</v>
      </c>
      <c r="P13" s="198">
        <v>3.2443304962611699E-3</v>
      </c>
      <c r="Q13" s="198">
        <v>2.8943360415337484E-2</v>
      </c>
      <c r="R13" s="1">
        <v>3.0909811775507706E-3</v>
      </c>
      <c r="S13" s="182">
        <v>3.0909811775507706E-3</v>
      </c>
      <c r="T13" s="1">
        <v>0.53660268496556685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0.82291197386233816</v>
      </c>
      <c r="L14" s="188">
        <v>5.8726035000000003E-3</v>
      </c>
      <c r="M14" s="233">
        <v>5872603</v>
      </c>
      <c r="N14" s="195">
        <v>5.8726029999999997E-3</v>
      </c>
      <c r="O14" s="211">
        <v>5.7260007835075961E-2</v>
      </c>
      <c r="P14" s="198">
        <v>6.4938584552695199E-3</v>
      </c>
      <c r="Q14" s="198">
        <v>6.3317473704353422E-2</v>
      </c>
      <c r="R14" s="1">
        <v>6.1869141500993288E-3</v>
      </c>
      <c r="S14" s="182">
        <v>6.1869141500993288E-3</v>
      </c>
      <c r="T14" s="1">
        <v>0.86695547134674911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0.52217105387318596</v>
      </c>
      <c r="L15" s="188">
        <v>9.3519404999999993E-3</v>
      </c>
      <c r="M15" s="233">
        <v>9351940</v>
      </c>
      <c r="N15" s="195">
        <v>9.3519399999999996E-3</v>
      </c>
      <c r="O15" s="211">
        <v>0.11905377109772131</v>
      </c>
      <c r="P15" s="198">
        <v>1.0357800760463E-2</v>
      </c>
      <c r="Q15" s="198">
        <v>0.13185876308145325</v>
      </c>
      <c r="R15" s="1">
        <v>9.8682200313154854E-3</v>
      </c>
      <c r="S15" s="182">
        <v>9.8682200313154854E-3</v>
      </c>
      <c r="T15" s="1">
        <v>0.55099782270904007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0.49251063203718581</v>
      </c>
      <c r="L16" s="188">
        <v>5.5502214999999999E-3</v>
      </c>
      <c r="M16" s="233">
        <v>5550221</v>
      </c>
      <c r="N16" s="195">
        <v>5.5502210000000001E-3</v>
      </c>
      <c r="O16" s="211">
        <v>9.9057232619724822E-2</v>
      </c>
      <c r="P16" s="198">
        <v>6.1690170335704101E-3</v>
      </c>
      <c r="Q16" s="198">
        <v>0.11010115729255265</v>
      </c>
      <c r="R16" s="1">
        <v>5.8774269627372821E-3</v>
      </c>
      <c r="S16" s="182">
        <v>5.8774269627372821E-3</v>
      </c>
      <c r="T16" s="1">
        <v>0.52154590013572177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0.37428611934394912</v>
      </c>
      <c r="L17" s="188">
        <v>2.3259165000000001E-3</v>
      </c>
      <c r="M17" s="233">
        <v>2325916</v>
      </c>
      <c r="N17" s="195">
        <v>2.3259159999999999E-3</v>
      </c>
      <c r="O17" s="211">
        <v>5.4061532011539626E-2</v>
      </c>
      <c r="P17" s="198">
        <v>2.5816539959949798E-3</v>
      </c>
      <c r="Q17" s="198">
        <v>6.0005679546123673E-2</v>
      </c>
      <c r="R17" s="1">
        <v>2.4596273153321903E-3</v>
      </c>
      <c r="S17" s="182">
        <v>2.4596273153321903E-3</v>
      </c>
      <c r="T17" s="1">
        <v>0.39580284283122863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0.46574664641979779</v>
      </c>
      <c r="L18" s="188">
        <v>2.0157104999999997E-3</v>
      </c>
      <c r="M18" s="233">
        <v>2015710</v>
      </c>
      <c r="N18" s="195">
        <v>2.01571E-3</v>
      </c>
      <c r="O18" s="211">
        <v>5.7316795858649155E-2</v>
      </c>
      <c r="P18" s="198">
        <v>2.25050136953143E-3</v>
      </c>
      <c r="Q18" s="198">
        <v>6.3993098003702578E-2</v>
      </c>
      <c r="R18" s="1">
        <v>2.1441272340442532E-3</v>
      </c>
      <c r="S18" s="182">
        <v>2.1441272340442532E-3</v>
      </c>
      <c r="T18" s="1">
        <v>0.49541839899800488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0.179512917956862</v>
      </c>
      <c r="L19" s="188">
        <v>3.8511750000000004E-4</v>
      </c>
      <c r="M19" s="233">
        <v>385117</v>
      </c>
      <c r="N19" s="195">
        <v>3.8511699999999998E-4</v>
      </c>
      <c r="O19" s="211">
        <v>1.2548325714004495E-2</v>
      </c>
      <c r="P19" s="198">
        <v>4.2879067664282501E-4</v>
      </c>
      <c r="Q19" s="198">
        <v>1.397135175451239E-2</v>
      </c>
      <c r="R19" s="1">
        <v>4.08523087317901E-4</v>
      </c>
      <c r="S19" s="182">
        <v>4.08523087317901E-4</v>
      </c>
      <c r="T19" s="1">
        <v>0.19042284875961837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0.23779918097438216</v>
      </c>
      <c r="L20" s="188">
        <v>8.9844049999999998E-4</v>
      </c>
      <c r="M20" s="233">
        <v>898440</v>
      </c>
      <c r="N20" s="195">
        <v>8.9844000000000002E-4</v>
      </c>
      <c r="O20" s="211">
        <v>3.4382446727960897E-2</v>
      </c>
      <c r="P20" s="198">
        <v>1.0049665469022799E-3</v>
      </c>
      <c r="Q20" s="198">
        <v>3.8459116649136788E-2</v>
      </c>
      <c r="R20" s="1">
        <v>9.5746493278750099E-4</v>
      </c>
      <c r="S20" s="182">
        <v>9.5746493278750099E-4</v>
      </c>
      <c r="T20" s="1">
        <v>0.25342176452259174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0.12660134661174718</v>
      </c>
      <c r="L21" s="188">
        <v>2.0863750000000002E-4</v>
      </c>
      <c r="M21" s="233">
        <v>208637</v>
      </c>
      <c r="N21" s="195">
        <v>2.0863699999999999E-4</v>
      </c>
      <c r="O21" s="211">
        <v>9.0811036159683198E-3</v>
      </c>
      <c r="P21" s="198">
        <v>2.3202958692793599E-4</v>
      </c>
      <c r="Q21" s="198">
        <v>1.0099285940954458E-2</v>
      </c>
      <c r="R21" s="1">
        <v>2.2106227668717621E-4</v>
      </c>
      <c r="S21" s="182">
        <v>2.2106227668717621E-4</v>
      </c>
      <c r="T21" s="1">
        <v>0.13414070775222647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0.5127743308882815</v>
      </c>
      <c r="L22" s="188">
        <v>1.0430035000000002E-3</v>
      </c>
      <c r="M22" s="233">
        <v>1043003</v>
      </c>
      <c r="N22" s="195">
        <v>1.043003E-3</v>
      </c>
      <c r="O22" s="211">
        <v>5.0194037572469673E-2</v>
      </c>
      <c r="P22" s="198">
        <v>1.16460290270869E-3</v>
      </c>
      <c r="Q22" s="198">
        <v>5.6045976718731606E-2</v>
      </c>
      <c r="R22" s="1">
        <v>1.1095557791482688E-3</v>
      </c>
      <c r="S22" s="182">
        <v>1.1095557791482688E-3</v>
      </c>
      <c r="T22" s="1">
        <v>0.54549358869455311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0.12556673332149501</v>
      </c>
      <c r="L23" s="188">
        <v>4.0659449999999993E-4</v>
      </c>
      <c r="M23" s="233">
        <v>406594</v>
      </c>
      <c r="N23" s="195">
        <v>4.0659399999999998E-4</v>
      </c>
      <c r="O23" s="211">
        <v>2.3082846088585591E-2</v>
      </c>
      <c r="P23" s="198">
        <v>4.5292175368333E-4</v>
      </c>
      <c r="Q23" s="198">
        <v>2.5712930172222367E-2</v>
      </c>
      <c r="R23" s="1">
        <v>4.3151356409336697E-4</v>
      </c>
      <c r="S23" s="182">
        <v>4.3151356409336697E-4</v>
      </c>
      <c r="T23" s="1">
        <v>0.13326237474220548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2.1160349942790025E-2</v>
      </c>
      <c r="L24" s="188">
        <v>4.1795500000000003E-5</v>
      </c>
      <c r="M24" s="233">
        <v>41795</v>
      </c>
      <c r="N24" s="195">
        <v>4.1795000000000002E-5</v>
      </c>
      <c r="O24" s="211">
        <v>2.7381343344262295E-3</v>
      </c>
      <c r="P24" s="198">
        <v>4.6777164724671799E-5</v>
      </c>
      <c r="Q24" s="198">
        <v>3.0645330972541049E-3</v>
      </c>
      <c r="R24" s="1">
        <v>4.4566154980134628E-5</v>
      </c>
      <c r="S24" s="182">
        <v>4.4566154980134628E-5</v>
      </c>
      <c r="T24" s="1">
        <v>2.2563085379628502E-2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6.9944056468295157E-2</v>
      </c>
      <c r="L25" s="188">
        <v>1.7913750000000001E-4</v>
      </c>
      <c r="M25" s="233">
        <v>179137</v>
      </c>
      <c r="N25" s="195">
        <v>1.79137E-4</v>
      </c>
      <c r="O25" s="211">
        <v>1.3641890634935268E-2</v>
      </c>
      <c r="P25" s="198">
        <v>2.0010231576665199E-4</v>
      </c>
      <c r="Q25" s="198">
        <v>1.5238470597843827E-2</v>
      </c>
      <c r="R25" s="1">
        <v>1.9064410741502077E-4</v>
      </c>
      <c r="S25" s="182">
        <v>1.9064410741502077E-4</v>
      </c>
      <c r="T25" s="1">
        <v>7.4436799745357274E-2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4.0809299417217254E-2</v>
      </c>
      <c r="L26" s="188">
        <v>6.8918500000000001E-5</v>
      </c>
      <c r="M26" s="233">
        <v>68918</v>
      </c>
      <c r="N26" s="195">
        <v>6.8918000000000007E-5</v>
      </c>
      <c r="O26" s="211">
        <v>5.9468327745309376E-3</v>
      </c>
      <c r="P26" s="198">
        <v>7.7219446529617E-5</v>
      </c>
      <c r="Q26" s="198">
        <v>6.6631523760623586E-3</v>
      </c>
      <c r="R26" s="1">
        <v>7.3569525681492151E-5</v>
      </c>
      <c r="S26" s="182">
        <v>7.3569525681492151E-5</v>
      </c>
      <c r="T26" s="1">
        <v>4.3563350936521653E-2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7.768521296547537E-2</v>
      </c>
      <c r="L27" s="188">
        <v>1.2998150000000002E-4</v>
      </c>
      <c r="M27" s="233">
        <v>129981</v>
      </c>
      <c r="N27" s="195">
        <v>1.2998099999999999E-4</v>
      </c>
      <c r="O27" s="211">
        <v>1.2500043324498708E-2</v>
      </c>
      <c r="P27" s="198">
        <v>1.45157709582117E-4</v>
      </c>
      <c r="Q27" s="198">
        <v>1.3959560694728184E-2</v>
      </c>
      <c r="R27" s="1">
        <v>1.3829656029549768E-4</v>
      </c>
      <c r="S27" s="182">
        <v>1.3829656029549768E-4</v>
      </c>
      <c r="T27" s="1">
        <v>8.2654821947342055E-2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2.8690817453993444E-2</v>
      </c>
      <c r="L28" s="188">
        <v>8.1950500000000008E-5</v>
      </c>
      <c r="M28" s="233">
        <v>81950</v>
      </c>
      <c r="N28" s="195">
        <v>8.195E-5</v>
      </c>
      <c r="O28" s="211">
        <v>9.1573197226372839E-3</v>
      </c>
      <c r="P28" s="198">
        <v>9.1698092753920201E-5</v>
      </c>
      <c r="Q28" s="198">
        <v>1.0246598576006058E-2</v>
      </c>
      <c r="R28" s="1">
        <v>8.7363811746771943E-5</v>
      </c>
      <c r="S28" s="182">
        <v>8.7363811746771943E-5</v>
      </c>
      <c r="T28" s="1">
        <v>3.0586014422263219E-2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1.0076917415919951E-2</v>
      </c>
      <c r="L29" s="188">
        <v>1.9854499999999998E-5</v>
      </c>
      <c r="M29" s="233">
        <v>19854</v>
      </c>
      <c r="N29" s="195">
        <v>1.9854E-5</v>
      </c>
      <c r="O29" s="211">
        <v>2.6006661849349464E-3</v>
      </c>
      <c r="P29" s="198">
        <v>2.22748403450818E-5</v>
      </c>
      <c r="Q29" s="198">
        <v>2.9177709308088502E-3</v>
      </c>
      <c r="R29" s="1">
        <v>2.1221978561968865E-5</v>
      </c>
      <c r="S29" s="182">
        <v>2.1221978561968865E-5</v>
      </c>
      <c r="T29" s="1">
        <v>1.077096503922959E-2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7.2296777419100008E-3</v>
      </c>
      <c r="L30" s="188">
        <v>1.3361500000000001E-5</v>
      </c>
      <c r="M30" s="233">
        <v>13361</v>
      </c>
      <c r="N30" s="195">
        <v>1.3361E-5</v>
      </c>
      <c r="O30" s="211">
        <v>2.0193422420991636E-3</v>
      </c>
      <c r="P30" s="198">
        <v>1.4849893563387901E-5</v>
      </c>
      <c r="Q30" s="198">
        <v>2.2443692360770645E-3</v>
      </c>
      <c r="R30" s="1">
        <v>1.4147985707979275E-5</v>
      </c>
      <c r="S30" s="182">
        <v>1.4147985707979275E-5</v>
      </c>
      <c r="T30" s="1">
        <v>7.6552316256287521E-3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8.3602399333736876E-3</v>
      </c>
      <c r="L31" s="188">
        <v>1.19055E-5</v>
      </c>
      <c r="M31" s="233">
        <v>11905</v>
      </c>
      <c r="N31" s="195">
        <v>1.1905E-5</v>
      </c>
      <c r="O31" s="211">
        <v>2.0413099354550574E-3</v>
      </c>
      <c r="P31" s="198">
        <v>1.33649042070491E-5</v>
      </c>
      <c r="Q31" s="198">
        <v>2.2916347538222952E-3</v>
      </c>
      <c r="R31" s="1">
        <v>1.2733187137181338E-5</v>
      </c>
      <c r="S31" s="182">
        <v>1.2733187137181338E-5</v>
      </c>
      <c r="T31" s="1">
        <v>8.9414555947573467E-3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4.0852180109768738E-3</v>
      </c>
      <c r="L32" s="188">
        <v>5.2854999999999996E-6</v>
      </c>
      <c r="M32" s="233">
        <v>5285</v>
      </c>
      <c r="N32" s="195">
        <v>5.2850000000000002E-6</v>
      </c>
      <c r="O32" s="211">
        <v>1.0152066406886324E-3</v>
      </c>
      <c r="P32" s="198">
        <v>5.9399574253551498E-6</v>
      </c>
      <c r="Q32" s="198">
        <v>1.1410187745748909E-3</v>
      </c>
      <c r="R32" s="1">
        <v>5.6591942831917002E-6</v>
      </c>
      <c r="S32" s="182">
        <v>5.6591942831917002E-6</v>
      </c>
      <c r="T32" s="1">
        <v>4.374050215365073E-3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2.2449645570803358E-3</v>
      </c>
      <c r="L33" s="188">
        <v>5.6204999999999998E-6</v>
      </c>
      <c r="M33" s="233">
        <v>5620</v>
      </c>
      <c r="N33" s="195">
        <v>5.6200000000000004E-6</v>
      </c>
      <c r="O33" s="211">
        <v>1.2603183546241157E-3</v>
      </c>
      <c r="P33" s="198">
        <v>6.3112047644398504E-6</v>
      </c>
      <c r="Q33" s="198">
        <v>1.4153251253406962E-3</v>
      </c>
      <c r="R33" s="1">
        <v>6.0128939258911849E-6</v>
      </c>
      <c r="S33" s="182">
        <v>6.0128939258911849E-6</v>
      </c>
      <c r="T33" s="1">
        <v>2.4016962457271318E-3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3.7955690968844151E-4</v>
      </c>
      <c r="L34" s="188">
        <v>6.6049999999999997E-7</v>
      </c>
      <c r="M34" s="233">
        <v>660</v>
      </c>
      <c r="N34" s="195">
        <v>6.6000000000000003E-7</v>
      </c>
      <c r="O34" s="211">
        <v>1.8166899054182108E-4</v>
      </c>
      <c r="P34" s="198">
        <v>7.4249467816939405E-7</v>
      </c>
      <c r="Q34" s="198">
        <v>2.0437614949349718E-4</v>
      </c>
      <c r="R34" s="1">
        <v>7.0739928539896273E-7</v>
      </c>
      <c r="S34" s="182">
        <v>7.0739928539896273E-7</v>
      </c>
      <c r="T34" s="1">
        <v>4.0650762555918574E-4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2.7614592202240753E-4</v>
      </c>
      <c r="L35" s="188">
        <v>3.305E-7</v>
      </c>
      <c r="M35" s="233">
        <v>330</v>
      </c>
      <c r="N35" s="195">
        <v>3.3000000000000002E-7</v>
      </c>
      <c r="O35" s="211">
        <v>1.0712589205660616E-4</v>
      </c>
      <c r="P35" s="198">
        <v>3.7124733908469702E-7</v>
      </c>
      <c r="Q35" s="198">
        <v>1.2051576476693792E-4</v>
      </c>
      <c r="R35" s="1">
        <v>3.5369964269948137E-7</v>
      </c>
      <c r="S35" s="182">
        <v>3.5369964269948137E-7</v>
      </c>
      <c r="T35" s="1">
        <v>2.9553014811571675E-4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9.7724504458582791E-5</v>
      </c>
      <c r="L39" s="188">
        <v>6.2499999999999997E-8</v>
      </c>
      <c r="M39" s="233">
        <v>62</v>
      </c>
      <c r="N39" s="195">
        <v>6.1999999999999999E-8</v>
      </c>
      <c r="O39" s="211">
        <v>3.2535755277201417E-5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3.648504265991822E-4</v>
      </c>
      <c r="R48" s="1">
        <v>3.5369964269948137E-7</v>
      </c>
      <c r="S48" s="182">
        <v>3.5369964269948137E-7</v>
      </c>
      <c r="T48" s="1">
        <v>1.5833634429325218E-3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8.314919798451199E-5</v>
      </c>
      <c r="L49" s="188">
        <v>2.0549999999999998E-7</v>
      </c>
      <c r="M49" s="233">
        <v>205</v>
      </c>
      <c r="N49" s="195">
        <v>2.05E-7</v>
      </c>
      <c r="O49" s="211">
        <v>2.8873503447313147E-4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1.870422875278796E-2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1675041.8760469013</v>
      </c>
      <c r="O64" s="220" cm="1">
        <f t="array" ref="O64:O65">N66/N64:N65</f>
        <v>2.0894999999999997</v>
      </c>
    </row>
    <row r="65" spans="1:47" ht="16.8" thickBot="1">
      <c r="L65" s="180"/>
      <c r="M65" s="124" t="s">
        <v>179</v>
      </c>
      <c r="N65" s="253">
        <f>1/N49</f>
        <v>4878048.7804878047</v>
      </c>
      <c r="O65" s="220">
        <v>0.71750000000000003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0.87000000000739364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0.95615370270296507</v>
      </c>
      <c r="R68" s="216">
        <f>1-SUM(_xlfn.ANCHORARRAY(R69))</f>
        <v>3.7811601420108087E-2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1.1197068237697407</v>
      </c>
      <c r="L69" s="185" cm="1">
        <f t="array" ref="L69:L126">K69:K126*_xlfn.ANCHORARRAY(J69)*_xlfn.ANCHORARRAY(F69)</f>
        <v>0.89041088549999992</v>
      </c>
      <c r="M69" s="240" cm="1">
        <f t="array" ref="M69:M126">INT(_xlfn.ANCHORARRAY(L69)*$M$2)</f>
        <v>890410885</v>
      </c>
      <c r="N69" s="194" cm="1">
        <f t="array" ref="N69:N126">_xlfn.ANCHORARRAY(M69)/SUM(_xlfn.ANCHORARRAY(M69))</f>
        <v>0.89041088499999999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0.84686224286319678</v>
      </c>
      <c r="S69" s="182">
        <f>R69+R68</f>
        <v>0.88467384428330487</v>
      </c>
      <c r="T69" s="213" cm="1">
        <f t="array" ref="T69:T120">S69:S120/F69:F120</f>
        <v>1.1124923969212026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0.86872278128522529</v>
      </c>
      <c r="L70" s="188">
        <v>3.8680654999999997E-3</v>
      </c>
      <c r="M70" s="233">
        <v>3868065</v>
      </c>
      <c r="N70" s="195">
        <v>3.868065E-3</v>
      </c>
      <c r="O70" s="211">
        <v>2.0629680000000001E-3</v>
      </c>
      <c r="P70" s="183">
        <v>4.1935503124571009E-3</v>
      </c>
      <c r="Q70" s="183">
        <v>2.2365601666437872E-3</v>
      </c>
      <c r="R70" s="1">
        <v>4.0349854595073033E-3</v>
      </c>
      <c r="S70" s="182" cm="1">
        <f t="array" ref="S70:S120">R70:R120</f>
        <v>4.0349854595073033E-3</v>
      </c>
      <c r="T70" s="1">
        <v>0.90621107394086975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0.88550029761245164</v>
      </c>
      <c r="L71" s="188">
        <v>1.11873045E-2</v>
      </c>
      <c r="M71" s="233">
        <v>11187304</v>
      </c>
      <c r="N71" s="195">
        <v>1.1187304E-2</v>
      </c>
      <c r="O71" s="211">
        <v>1.2378389688684457E-2</v>
      </c>
      <c r="P71" s="183">
        <v>1.217001008696275E-2</v>
      </c>
      <c r="Q71" s="183">
        <v>1.3465722158944241E-2</v>
      </c>
      <c r="R71" s="1">
        <v>1.1709842516275819E-2</v>
      </c>
      <c r="S71" s="1">
        <v>1.1709842516275819E-2</v>
      </c>
      <c r="T71" s="1">
        <v>0.92686035614362483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0.7491240694116833</v>
      </c>
      <c r="L72" s="188">
        <v>5.7238555000000005E-3</v>
      </c>
      <c r="M72" s="233">
        <v>5723855</v>
      </c>
      <c r="N72" s="195">
        <v>5.7238549999999999E-3</v>
      </c>
      <c r="O72" s="211">
        <v>1.0667058063546276E-2</v>
      </c>
      <c r="P72" s="183">
        <v>6.2383985006834062E-3</v>
      </c>
      <c r="Q72" s="183">
        <v>1.1625968692486083E-2</v>
      </c>
      <c r="R72" s="1">
        <v>6.0025146630757649E-3</v>
      </c>
      <c r="S72" s="1">
        <v>6.0025146630757649E-3</v>
      </c>
      <c r="T72" s="1">
        <v>0.78559429236230993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0.74350170742160104</v>
      </c>
      <c r="L73" s="188">
        <v>1.0551459500000001E-2</v>
      </c>
      <c r="M73" s="233">
        <v>10551459</v>
      </c>
      <c r="N73" s="195">
        <v>1.0551458999999999E-2</v>
      </c>
      <c r="O73" s="211">
        <v>2.5672783220759807E-2</v>
      </c>
      <c r="P73" s="183">
        <v>1.1511074768865306E-2</v>
      </c>
      <c r="Q73" s="183">
        <v>2.8007626924298982E-2</v>
      </c>
      <c r="R73" s="1">
        <v>1.1075822597787909E-2</v>
      </c>
      <c r="S73" s="1">
        <v>1.1075822597787909E-2</v>
      </c>
      <c r="T73" s="1">
        <v>0.78045061088980749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0.8087828071341312</v>
      </c>
      <c r="L74" s="188">
        <v>9.8434335000000001E-3</v>
      </c>
      <c r="M74" s="233">
        <v>9843433</v>
      </c>
      <c r="N74" s="195">
        <v>9.8434330000000004E-3</v>
      </c>
      <c r="O74" s="211">
        <v>3.1641803911635895E-2</v>
      </c>
      <c r="P74" s="183">
        <v>1.0749479238165724E-2</v>
      </c>
      <c r="Q74" s="183">
        <v>3.4554297693319094E-2</v>
      </c>
      <c r="R74" s="1">
        <v>1.0343024213738476E-2</v>
      </c>
      <c r="S74" s="1">
        <v>1.0343024213738476E-2</v>
      </c>
      <c r="T74" s="1">
        <v>0.84983153061822336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0.6873344657079109</v>
      </c>
      <c r="L75" s="188">
        <v>8.6952634999999997E-3</v>
      </c>
      <c r="M75" s="233">
        <v>8695263</v>
      </c>
      <c r="N75" s="195">
        <v>8.695263E-3</v>
      </c>
      <c r="O75" s="211">
        <v>3.4662538773965808E-2</v>
      </c>
      <c r="P75" s="183">
        <v>9.5020382827095129E-3</v>
      </c>
      <c r="Q75" s="183">
        <v>3.7878643855410239E-2</v>
      </c>
      <c r="R75" s="1">
        <v>9.1427509984850931E-3</v>
      </c>
      <c r="S75" s="1">
        <v>9.1427509984850931E-3</v>
      </c>
      <c r="T75" s="1">
        <v>0.72270700855060011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0.70239420284929577</v>
      </c>
      <c r="L76" s="188">
        <v>1.9840515000000003E-3</v>
      </c>
      <c r="M76" s="233">
        <v>1984051</v>
      </c>
      <c r="N76" s="195">
        <v>1.9840510000000001E-3</v>
      </c>
      <c r="O76" s="211">
        <v>8.5737028116140337E-3</v>
      </c>
      <c r="P76" s="183">
        <v>2.168995422070752E-3</v>
      </c>
      <c r="Q76" s="183">
        <v>9.3729053076689918E-3</v>
      </c>
      <c r="R76" s="1">
        <v>2.0869822316893737E-3</v>
      </c>
      <c r="S76" s="1">
        <v>2.0869822316893737E-3</v>
      </c>
      <c r="T76" s="1">
        <v>0.73883375556940023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0.63937065160223838</v>
      </c>
      <c r="L77" s="188">
        <v>9.0421575000000001E-3</v>
      </c>
      <c r="M77" s="233">
        <v>9042157</v>
      </c>
      <c r="N77" s="195">
        <v>9.0421570000000003E-3</v>
      </c>
      <c r="O77" s="211">
        <v>4.6430021032233357E-2</v>
      </c>
      <c r="P77" s="183">
        <v>9.891192111875757E-3</v>
      </c>
      <c r="Q77" s="183">
        <v>5.0789679695702264E-2</v>
      </c>
      <c r="R77" s="1">
        <v>9.5171902981717928E-3</v>
      </c>
      <c r="S77" s="1">
        <v>9.5171902981717928E-3</v>
      </c>
      <c r="T77" s="1">
        <v>0.67296020472598495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0.53442080912657486</v>
      </c>
      <c r="L78" s="188">
        <v>3.4138005000000004E-3</v>
      </c>
      <c r="M78" s="233">
        <v>3413800</v>
      </c>
      <c r="N78" s="195">
        <v>3.4137999999999998E-3</v>
      </c>
      <c r="O78" s="211">
        <v>2.0333251978043945E-2</v>
      </c>
      <c r="P78" s="183">
        <v>3.7363542493568814E-3</v>
      </c>
      <c r="Q78" s="183">
        <v>2.2254447369912916E-2</v>
      </c>
      <c r="R78" s="1">
        <v>3.595076711715872E-3</v>
      </c>
      <c r="S78" s="1">
        <v>3.595076711715872E-3</v>
      </c>
      <c r="T78" s="1">
        <v>0.56279908716027849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0.93048180257174784</v>
      </c>
      <c r="L79" s="188">
        <v>7.9408415000000003E-3</v>
      </c>
      <c r="M79" s="233">
        <v>7940841</v>
      </c>
      <c r="N79" s="195">
        <v>7.9408410000000006E-3</v>
      </c>
      <c r="O79" s="211">
        <v>5.1633585771000592E-2</v>
      </c>
      <c r="P79" s="183">
        <v>8.6938875393182645E-3</v>
      </c>
      <c r="Q79" s="183">
        <v>5.6530106564886877E-2</v>
      </c>
      <c r="R79" s="1">
        <v>8.3651577288903177E-3</v>
      </c>
      <c r="S79" s="1">
        <v>8.3651577288903177E-3</v>
      </c>
      <c r="T79" s="1">
        <v>0.98020178873672914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0.63664752729637153</v>
      </c>
      <c r="L80" s="188">
        <v>1.3847816499999999E-2</v>
      </c>
      <c r="M80" s="233">
        <v>13847816</v>
      </c>
      <c r="N80" s="195">
        <v>1.3847816000000001E-2</v>
      </c>
      <c r="O80" s="211">
        <v>0.11787285173163348</v>
      </c>
      <c r="P80" s="183">
        <v>1.5175805614081161E-2</v>
      </c>
      <c r="Q80" s="183">
        <v>0.12917672252842466</v>
      </c>
      <c r="R80" s="1">
        <v>1.4601984100972486E-2</v>
      </c>
      <c r="S80" s="1">
        <v>1.4601984100972486E-2</v>
      </c>
      <c r="T80" s="1">
        <v>0.67132006490012808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0.61414607349693229</v>
      </c>
      <c r="L81" s="188">
        <v>8.7147204999999985E-3</v>
      </c>
      <c r="M81" s="233">
        <v>8714720</v>
      </c>
      <c r="N81" s="195">
        <v>8.7147200000000005E-3</v>
      </c>
      <c r="O81" s="211">
        <v>0.10382466567010996</v>
      </c>
      <c r="P81" s="183">
        <v>9.5617244528270352E-3</v>
      </c>
      <c r="Q81" s="183">
        <v>0.11391563292274244</v>
      </c>
      <c r="R81" s="1">
        <v>9.2001803389278377E-3</v>
      </c>
      <c r="S81" s="1">
        <v>9.2001803389278377E-3</v>
      </c>
      <c r="T81" s="1">
        <v>0.64835752685541759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0.61128451849769327</v>
      </c>
      <c r="L82" s="188">
        <v>4.8639034999999999E-3</v>
      </c>
      <c r="M82" s="233">
        <v>4863903</v>
      </c>
      <c r="N82" s="195">
        <v>4.8639030000000001E-3</v>
      </c>
      <c r="O82" s="211">
        <v>7.5377840772272275E-2</v>
      </c>
      <c r="P82" s="183">
        <v>5.3419122255182255E-3</v>
      </c>
      <c r="Q82" s="183">
        <v>8.2785740002332978E-2</v>
      </c>
      <c r="R82" s="1">
        <v>5.1399259696257278E-3</v>
      </c>
      <c r="S82" s="1">
        <v>5.1399259696257278E-3</v>
      </c>
      <c r="T82" s="1">
        <v>0.64597440542487172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0.58482007602927055</v>
      </c>
      <c r="L83" s="188">
        <v>3.2409634999999997E-3</v>
      </c>
      <c r="M83" s="233">
        <v>3240963</v>
      </c>
      <c r="N83" s="195">
        <v>3.2409629999999999E-3</v>
      </c>
      <c r="O83" s="211">
        <v>6.1443467181140396E-2</v>
      </c>
      <c r="P83" s="183">
        <v>3.5620706326137171E-3</v>
      </c>
      <c r="Q83" s="183">
        <v>6.7531153552788159E-2</v>
      </c>
      <c r="R83" s="1">
        <v>3.4273830376230548E-3</v>
      </c>
      <c r="S83" s="1">
        <v>3.4273830376230548E-3</v>
      </c>
      <c r="T83" s="1">
        <v>0.6184588035762042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0.21408159736274734</v>
      </c>
      <c r="L84" s="188">
        <v>5.818695E-4</v>
      </c>
      <c r="M84" s="233">
        <v>581869</v>
      </c>
      <c r="N84" s="195">
        <v>5.8186900000000005E-4</v>
      </c>
      <c r="O84" s="211">
        <v>1.2639096990341209E-2</v>
      </c>
      <c r="P84" s="183">
        <v>6.3983574365983657E-4</v>
      </c>
      <c r="Q84" s="183">
        <v>1.3898224552268241E-2</v>
      </c>
      <c r="R84" s="1">
        <v>6.156425295462324E-4</v>
      </c>
      <c r="S84" s="1">
        <v>6.156425295462324E-4</v>
      </c>
      <c r="T84" s="1">
        <v>0.22650738031414228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0.40477083201201147</v>
      </c>
      <c r="L85" s="188">
        <v>1.9529034999999999E-3</v>
      </c>
      <c r="M85" s="233">
        <v>1952903</v>
      </c>
      <c r="N85" s="195">
        <v>1.952903E-3</v>
      </c>
      <c r="O85" s="211">
        <v>4.9832600154095956E-2</v>
      </c>
      <c r="P85" s="183">
        <v>2.1487021242307947E-3</v>
      </c>
      <c r="Q85" s="183">
        <v>5.482884393492652E-2</v>
      </c>
      <c r="R85" s="1">
        <v>2.0674562559388405E-3</v>
      </c>
      <c r="S85" s="1">
        <v>2.0674562559388405E-3</v>
      </c>
      <c r="T85" s="1">
        <v>0.42851374318536611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0.31871892226414372</v>
      </c>
      <c r="L86" s="188">
        <v>6.6693049999999999E-4</v>
      </c>
      <c r="M86" s="233">
        <v>666930</v>
      </c>
      <c r="N86" s="195">
        <v>6.6693000000000004E-4</v>
      </c>
      <c r="O86" s="211">
        <v>1.9355404025490613E-2</v>
      </c>
      <c r="P86" s="183">
        <v>7.3413989244552143E-4</v>
      </c>
      <c r="Q86" s="183">
        <v>2.1305945495799096E-2</v>
      </c>
      <c r="R86" s="1">
        <v>7.0638088744577035E-4</v>
      </c>
      <c r="S86" s="1">
        <v>7.0638088744577035E-4</v>
      </c>
      <c r="T86" s="1">
        <v>0.33757183867690166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0.37586357344597321</v>
      </c>
      <c r="L87" s="188">
        <v>9.7347350000000004E-4</v>
      </c>
      <c r="M87" s="233">
        <v>973473</v>
      </c>
      <c r="N87" s="195">
        <v>9.7347299999999998E-4</v>
      </c>
      <c r="O87" s="211">
        <v>3.1233716492270126E-2</v>
      </c>
      <c r="P87" s="183">
        <v>1.0719636153106963E-3</v>
      </c>
      <c r="Q87" s="183">
        <v>3.4393771219790592E-2</v>
      </c>
      <c r="R87" s="1">
        <v>1.0314309543517101E-3</v>
      </c>
      <c r="S87" s="1">
        <v>1.0314309543517101E-3</v>
      </c>
      <c r="T87" s="1">
        <v>0.39824127134988702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0.22831629986743013</v>
      </c>
      <c r="L88" s="188">
        <v>9.3930649999999995E-4</v>
      </c>
      <c r="M88" s="233">
        <v>939306</v>
      </c>
      <c r="N88" s="195">
        <v>9.39306E-4</v>
      </c>
      <c r="O88" s="211">
        <v>3.55598259217135E-2</v>
      </c>
      <c r="P88" s="183">
        <v>1.0349581898378326E-3</v>
      </c>
      <c r="Q88" s="183">
        <v>3.9180983691028314E-2</v>
      </c>
      <c r="R88" s="1">
        <v>9.958247632772079E-4</v>
      </c>
      <c r="S88" s="1">
        <v>9.958247632772079E-4</v>
      </c>
      <c r="T88" s="1">
        <v>0.24205413809849249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4.3779443705010662E-2</v>
      </c>
      <c r="L89" s="188">
        <v>1.082825E-4</v>
      </c>
      <c r="M89" s="233">
        <v>108282</v>
      </c>
      <c r="N89" s="195">
        <v>1.08282E-4</v>
      </c>
      <c r="O89" s="211">
        <v>4.728336146458993E-3</v>
      </c>
      <c r="P89" s="183">
        <v>1.1937234023504414E-4</v>
      </c>
      <c r="Q89" s="183">
        <v>5.2126166049829186E-3</v>
      </c>
      <c r="R89" s="1">
        <v>1.1485868088549111E-4</v>
      </c>
      <c r="S89" s="1">
        <v>1.1485868088549111E-4</v>
      </c>
      <c r="T89" s="1">
        <v>4.6438243980866184E-2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0.11140675969258351</v>
      </c>
      <c r="L90" s="188">
        <v>3.582945E-4</v>
      </c>
      <c r="M90" s="233">
        <v>358294</v>
      </c>
      <c r="N90" s="195">
        <v>3.58294E-4</v>
      </c>
      <c r="O90" s="211">
        <v>1.8194309216243768E-2</v>
      </c>
      <c r="P90" s="183">
        <v>4.0586595679915005E-4</v>
      </c>
      <c r="Q90" s="183">
        <v>2.0610031757021807E-2</v>
      </c>
      <c r="R90" s="1">
        <v>3.9051951501066978E-4</v>
      </c>
      <c r="S90" s="1">
        <v>3.9051951501066978E-4</v>
      </c>
      <c r="T90" s="1">
        <v>0.12142668604753337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9.9065001494669014E-2</v>
      </c>
      <c r="L91" s="188">
        <v>2.0877849999999999E-4</v>
      </c>
      <c r="M91" s="233">
        <v>208778</v>
      </c>
      <c r="N91" s="195">
        <v>2.0877800000000001E-4</v>
      </c>
      <c r="O91" s="211">
        <v>1.2014011602840536E-2</v>
      </c>
      <c r="P91" s="183">
        <v>2.3038861665363518E-4</v>
      </c>
      <c r="Q91" s="183">
        <v>1.3257582281845563E-2</v>
      </c>
      <c r="R91" s="1">
        <v>2.2167725410899785E-4</v>
      </c>
      <c r="S91" s="1">
        <v>2.2167725410899785E-4</v>
      </c>
      <c r="T91" s="1">
        <v>0.10518543580704907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0.16722447695739145</v>
      </c>
      <c r="L92" s="188">
        <v>3.503515E-4</v>
      </c>
      <c r="M92" s="233">
        <v>350351</v>
      </c>
      <c r="N92" s="195">
        <v>3.5035099999999999E-4</v>
      </c>
      <c r="O92" s="211">
        <v>2.246588464304192E-2</v>
      </c>
      <c r="P92" s="183">
        <v>3.8676638236154301E-4</v>
      </c>
      <c r="Q92" s="183">
        <v>2.4800982243353292E-2</v>
      </c>
      <c r="R92" s="1">
        <v>3.7214212606899124E-4</v>
      </c>
      <c r="S92" s="1">
        <v>3.7214212606899124E-4</v>
      </c>
      <c r="T92" s="1">
        <v>0.17762524888775613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5.0157067155295186E-2</v>
      </c>
      <c r="L93" s="188">
        <v>1.7940250000000001E-4</v>
      </c>
      <c r="M93" s="233">
        <v>179402</v>
      </c>
      <c r="N93" s="195">
        <v>1.79402E-4</v>
      </c>
      <c r="O93" s="211">
        <v>1.3368513063286227E-2</v>
      </c>
      <c r="P93" s="183">
        <v>1.9815808479017326E-4</v>
      </c>
      <c r="Q93" s="183">
        <v>1.476616172123617E-2</v>
      </c>
      <c r="R93" s="1">
        <v>1.9066541026991525E-4</v>
      </c>
      <c r="S93" s="1">
        <v>1.9066541026991525E-4</v>
      </c>
      <c r="T93" s="1">
        <v>5.3305933791892794E-2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1.6653222632396009E-2</v>
      </c>
      <c r="L94" s="188">
        <v>4.1042499999999999E-5</v>
      </c>
      <c r="M94" s="233">
        <v>41042</v>
      </c>
      <c r="N94" s="195">
        <v>4.1041999999999998E-5</v>
      </c>
      <c r="O94" s="211">
        <v>3.5841886729730816E-3</v>
      </c>
      <c r="P94" s="183">
        <v>4.5361489289316774E-5</v>
      </c>
      <c r="Q94" s="183">
        <v>3.9614087057150962E-3</v>
      </c>
      <c r="R94" s="1">
        <v>4.3646298736486627E-5</v>
      </c>
      <c r="S94" s="1">
        <v>4.3646298736486627E-5</v>
      </c>
      <c r="T94" s="1">
        <v>1.7709728450722457E-2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5.6913801114046619E-2</v>
      </c>
      <c r="L95" s="188">
        <v>1.3278650000000001E-4</v>
      </c>
      <c r="M95" s="233">
        <v>132786</v>
      </c>
      <c r="N95" s="195">
        <v>1.32786E-4</v>
      </c>
      <c r="O95" s="211">
        <v>1.3380621353062257E-2</v>
      </c>
      <c r="P95" s="183">
        <v>1.4682797848910429E-4</v>
      </c>
      <c r="Q95" s="183">
        <v>1.4795607851718363E-2</v>
      </c>
      <c r="R95" s="1">
        <v>1.4127617748915406E-4</v>
      </c>
      <c r="S95" s="1">
        <v>1.4127617748915406E-4</v>
      </c>
      <c r="T95" s="1">
        <v>6.0552573249317246E-2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1.8067726415199652E-2</v>
      </c>
      <c r="L96" s="188">
        <v>3.2370499999999998E-5</v>
      </c>
      <c r="M96" s="233">
        <v>32370</v>
      </c>
      <c r="N96" s="195">
        <v>3.2369999999999997E-5</v>
      </c>
      <c r="O96" s="211">
        <v>3.7004982517230213E-3</v>
      </c>
      <c r="P96" s="183">
        <v>3.5811702070513243E-5</v>
      </c>
      <c r="Q96" s="183">
        <v>4.0939493637059E-3</v>
      </c>
      <c r="R96" s="1">
        <v>3.4457604265647338E-5</v>
      </c>
      <c r="S96" s="1">
        <v>3.4457604265647338E-5</v>
      </c>
      <c r="T96" s="1">
        <v>1.9232652161533883E-2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2.4420265378204329E-2</v>
      </c>
      <c r="L97" s="188">
        <v>3.9907500000000004E-5</v>
      </c>
      <c r="M97" s="233">
        <v>39907</v>
      </c>
      <c r="N97" s="195">
        <v>3.9907000000000003E-5</v>
      </c>
      <c r="O97" s="211">
        <v>5.111465469256401E-3</v>
      </c>
      <c r="P97" s="183">
        <v>4.4167765886966334E-5</v>
      </c>
      <c r="Q97" s="183">
        <v>5.6572032521970891E-3</v>
      </c>
      <c r="R97" s="1">
        <v>4.2497711927631718E-5</v>
      </c>
      <c r="S97" s="1">
        <v>4.2497711927631718E-5</v>
      </c>
      <c r="T97" s="1">
        <v>2.6005272273112719E-2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1.7371871840242668E-2</v>
      </c>
      <c r="L98" s="188">
        <v>5.4978499999999995E-5</v>
      </c>
      <c r="M98" s="233">
        <v>54978</v>
      </c>
      <c r="N98" s="195">
        <v>5.4978000000000001E-5</v>
      </c>
      <c r="O98" s="211">
        <v>8.2222570489560165E-3</v>
      </c>
      <c r="P98" s="183">
        <v>6.087989351987251E-5</v>
      </c>
      <c r="Q98" s="183">
        <v>9.1049171238215907E-3</v>
      </c>
      <c r="R98" s="1">
        <v>5.8577927251600465E-5</v>
      </c>
      <c r="S98" s="1">
        <v>5.8577927251600465E-5</v>
      </c>
      <c r="T98" s="1">
        <v>1.8509203504676587E-2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9.8518461607411539E-3</v>
      </c>
      <c r="L99" s="188">
        <v>2.1542500000000003E-5</v>
      </c>
      <c r="M99" s="233">
        <v>21542</v>
      </c>
      <c r="N99" s="195">
        <v>2.1542000000000001E-5</v>
      </c>
      <c r="O99" s="211">
        <v>3.9520241063350295E-3</v>
      </c>
      <c r="P99" s="183">
        <v>2.3874468047008827E-5</v>
      </c>
      <c r="Q99" s="183">
        <v>4.3799309835532577E-3</v>
      </c>
      <c r="R99" s="1">
        <v>2.2971736177098222E-5</v>
      </c>
      <c r="S99" s="1">
        <v>2.2971736177098222E-5</v>
      </c>
      <c r="T99" s="1">
        <v>1.0505466443630209E-2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1.403000810289238E-3</v>
      </c>
      <c r="L100" s="188">
        <v>2.1505E-6</v>
      </c>
      <c r="M100" s="233">
        <v>2150</v>
      </c>
      <c r="N100" s="195">
        <v>2.1500000000000002E-6</v>
      </c>
      <c r="O100" s="211">
        <v>4.6549387429599875E-4</v>
      </c>
      <c r="P100" s="183">
        <v>2.3874468047008827E-6</v>
      </c>
      <c r="Q100" s="183">
        <v>5.1690319199805415E-4</v>
      </c>
      <c r="R100" s="1">
        <v>2.2971736177098222E-6</v>
      </c>
      <c r="S100" s="1">
        <v>2.2971736177098222E-6</v>
      </c>
      <c r="T100" s="1">
        <v>1.4986916749695144E-3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8.1128184801305915E-4</v>
      </c>
      <c r="L101" s="188">
        <v>1.0724999999999999E-6</v>
      </c>
      <c r="M101" s="233">
        <v>1072</v>
      </c>
      <c r="N101" s="195">
        <v>1.0720000000000001E-6</v>
      </c>
      <c r="O101" s="211">
        <v>2.6883520240931168E-4</v>
      </c>
      <c r="P101" s="183">
        <v>1.1937234023504413E-6</v>
      </c>
      <c r="Q101" s="183">
        <v>2.9936088851829581E-4</v>
      </c>
      <c r="R101" s="1">
        <v>1.1485868088549111E-6</v>
      </c>
      <c r="S101" s="1">
        <v>1.1485868088549111E-6</v>
      </c>
      <c r="T101" s="1">
        <v>8.688369500151372E-4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5.3400049868523921E-3</v>
      </c>
      <c r="L102" s="188">
        <v>5.3755000000000005E-6</v>
      </c>
      <c r="M102" s="233">
        <v>5375</v>
      </c>
      <c r="N102" s="195">
        <v>5.3750000000000002E-6</v>
      </c>
      <c r="O102" s="211">
        <v>1.5242156672266114E-3</v>
      </c>
      <c r="P102" s="183">
        <v>5.9686170117522067E-6</v>
      </c>
      <c r="Q102" s="183">
        <v>1.6925506159977662E-3</v>
      </c>
      <c r="R102" s="1">
        <v>5.7429340442745555E-6</v>
      </c>
      <c r="S102" s="1">
        <v>5.7429340442745555E-6</v>
      </c>
      <c r="T102" s="1">
        <v>5.7050128240332069E-3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1.737439255724596E-2</v>
      </c>
      <c r="L103" s="188">
        <v>1.5048500000000002E-5</v>
      </c>
      <c r="M103" s="233">
        <v>15048</v>
      </c>
      <c r="N103" s="195">
        <v>1.5048000000000001E-5</v>
      </c>
      <c r="O103" s="211">
        <v>4.7887307873160064E-3</v>
      </c>
      <c r="P103" s="183">
        <v>1.6712127632906179E-5</v>
      </c>
      <c r="Q103" s="183">
        <v>5.3183067595196963E-3</v>
      </c>
      <c r="R103" s="1">
        <v>1.6080215323968754E-5</v>
      </c>
      <c r="S103" s="1">
        <v>1.6080215323968754E-5</v>
      </c>
      <c r="T103" s="1">
        <v>1.8565569554684861E-2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5.2126112070231033E-3</v>
      </c>
      <c r="L104" s="188">
        <v>4.2965000000000003E-6</v>
      </c>
      <c r="M104" s="233">
        <v>4296</v>
      </c>
      <c r="N104" s="195">
        <v>4.296E-6</v>
      </c>
      <c r="O104" s="211">
        <v>1.5030646868218539E-3</v>
      </c>
      <c r="P104" s="183">
        <v>4.7748936094017653E-6</v>
      </c>
      <c r="Q104" s="183">
        <v>1.6706177764485885E-3</v>
      </c>
      <c r="R104" s="1">
        <v>4.5943472354196444E-6</v>
      </c>
      <c r="S104" s="1">
        <v>4.5943472354196444E-6</v>
      </c>
      <c r="T104" s="1">
        <v>5.5739662256031773E-3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1.1539397658337322E-3</v>
      </c>
      <c r="R108" s="1">
        <v>2.2971736177098222E-6</v>
      </c>
      <c r="S108" s="1">
        <v>2.2971736177098222E-6</v>
      </c>
      <c r="T108" s="1">
        <v>6.6715272423141575E-3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2.6545011871079101E-4</v>
      </c>
      <c r="L114" s="188">
        <v>9.2149999999999988E-7</v>
      </c>
      <c r="M114" s="233">
        <v>921</v>
      </c>
      <c r="N114" s="195">
        <v>9.2099999999999995E-7</v>
      </c>
      <c r="O114" s="211">
        <v>8.7079779174388191E-4</v>
      </c>
      <c r="P114" s="183">
        <v>1.1937234023504413E-6</v>
      </c>
      <c r="Q114" s="183">
        <v>1.1286554861235157E-3</v>
      </c>
      <c r="R114" s="1">
        <v>1.1485868088549111E-6</v>
      </c>
      <c r="S114" s="1">
        <v>1.1485868088549111E-6</v>
      </c>
      <c r="T114" s="1">
        <v>3.3086544195353747E-4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2.5246809861077969E-4</v>
      </c>
      <c r="L115" s="188">
        <v>4.1050000000000003E-7</v>
      </c>
      <c r="M115" s="233">
        <v>410</v>
      </c>
      <c r="N115" s="195">
        <v>4.0999999999999999E-7</v>
      </c>
      <c r="O115" s="211">
        <v>6.6118023285123518E-4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3.1068563118935362E-2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48367.593712212816</v>
      </c>
      <c r="O129" s="220" cm="1">
        <f t="array" ref="O129:O130">N131/N129:N130</f>
        <v>72.362499999999997</v>
      </c>
    </row>
    <row r="130" spans="1:55" ht="16.8" thickBot="1">
      <c r="M130" s="124" t="s">
        <v>179</v>
      </c>
      <c r="N130" s="218">
        <f>1/SUM(N115:N120)</f>
        <v>2439024.3902439023</v>
      </c>
      <c r="O130" s="220">
        <v>1.4350000000000001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0.86999999999449262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1.0829953611229504</v>
      </c>
      <c r="L134" s="185" cm="1">
        <f t="array" ref="L134:L191">K134:K191*_xlfn.ANCHORARRAY(J134)*_xlfn.ANCHORARRAY(F134)</f>
        <v>0.86119603649999998</v>
      </c>
      <c r="M134" s="240" cm="1">
        <f t="array" ref="M134:M191">INT(_xlfn.ANCHORARRAY(L134)*$M$2)</f>
        <v>861196036</v>
      </c>
      <c r="N134" s="194" cm="1">
        <f t="array" ref="N134:N191">_xlfn.ANCHORARRAY(M134)/SUM(_xlfn.ANCHORARRAY(M134))</f>
        <v>0.86119603600000005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1.1197344356895222</v>
      </c>
      <c r="Q134" s="1" cm="1">
        <f t="array" ref="Q134:Q191">IFERROR(_xlfn.ANCHORARRAY(N4)/(_xlfn.ANCHORARRAY(J69)*_xlfn.ANCHORARRAY(F69)),0)</f>
        <v>1.1213679012365365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2.5263328818357138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1.2345690318413662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1.44735523341942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6.8649254071216195</v>
      </c>
      <c r="Q138" s="1">
        <v>0.82815986443786993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0.78753669886537114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5.6629251461439871</v>
      </c>
      <c r="Q140" s="1">
        <v>0.6047036757327775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0.65804627609748012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14.773306527143223</v>
      </c>
      <c r="L142" s="188">
        <v>3.2115336500000001E-2</v>
      </c>
      <c r="M142" s="233">
        <v>32115336</v>
      </c>
      <c r="N142" s="195">
        <v>3.2115336000000001E-2</v>
      </c>
      <c r="O142" s="211">
        <v>3.2115336000000001E-2</v>
      </c>
      <c r="P142" s="1">
        <v>4.1594630972511775</v>
      </c>
      <c r="Q142" s="1">
        <v>0.56427302588734296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0.45702709721939355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>
        <v>1.125</v>
      </c>
      <c r="I144" s="124" t="str">
        <f t="shared" si="5"/>
        <v>(9, 10]</v>
      </c>
      <c r="J144" s="160">
        <v>1</v>
      </c>
      <c r="K144" s="234">
        <v>7.4041277334106006</v>
      </c>
      <c r="L144" s="188">
        <v>2.4198962499999997E-2</v>
      </c>
      <c r="M144" s="233">
        <v>24198962</v>
      </c>
      <c r="N144" s="195">
        <v>2.4198962000000001E-2</v>
      </c>
      <c r="O144" s="211">
        <v>3.0248702500000002E-2</v>
      </c>
      <c r="P144" s="1">
        <v>2.4296496626540902</v>
      </c>
      <c r="Q144" s="1">
        <v>0.6881323881389968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>
        <v>1.25</v>
      </c>
      <c r="I145" s="214" t="str">
        <f t="shared" si="5"/>
        <v>(10, 15]</v>
      </c>
      <c r="J145" s="160">
        <v>1</v>
      </c>
      <c r="K145" s="234">
        <v>1.465487774607346</v>
      </c>
      <c r="L145" s="188">
        <v>3.8612115000000004E-3</v>
      </c>
      <c r="M145" s="233">
        <v>3861211</v>
      </c>
      <c r="N145" s="195">
        <v>3.8612109999999998E-3</v>
      </c>
      <c r="O145" s="211">
        <v>6.7463066994131252E-3</v>
      </c>
      <c r="P145" s="1">
        <v>5.2558128589982704</v>
      </c>
      <c r="Q145" s="1">
        <v>0.42995150003786003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>
        <v>1.875</v>
      </c>
      <c r="I146" s="124" t="str">
        <f t="shared" si="5"/>
        <v>(15, 20]</v>
      </c>
      <c r="J146" s="160">
        <v>1</v>
      </c>
      <c r="K146" s="234">
        <v>1.4708829419434524</v>
      </c>
      <c r="L146" s="188">
        <v>1.3261839500000001E-2</v>
      </c>
      <c r="M146" s="233">
        <v>13261839</v>
      </c>
      <c r="N146" s="195">
        <v>1.3261838999999999E-2</v>
      </c>
      <c r="O146" s="211">
        <v>3.1112088339101958E-2</v>
      </c>
      <c r="P146" s="1">
        <v>0.96655769298168959</v>
      </c>
      <c r="Q146" s="1">
        <v>0.39113663303260471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>
        <v>2.5</v>
      </c>
      <c r="I147" s="124" t="str">
        <f t="shared" si="5"/>
        <v>(20, 25]</v>
      </c>
      <c r="J147" s="160">
        <v>1</v>
      </c>
      <c r="K147" s="234">
        <v>1.4713694899978456</v>
      </c>
      <c r="L147" s="188">
        <v>8.3521215000000003E-3</v>
      </c>
      <c r="M147" s="233">
        <v>8352121</v>
      </c>
      <c r="N147" s="195">
        <v>8.3521210000000005E-3</v>
      </c>
      <c r="O147" s="211">
        <v>2.5369189377171593E-2</v>
      </c>
      <c r="P147" s="1">
        <v>0.85685995785729296</v>
      </c>
      <c r="Q147" s="1">
        <v>0.29231592323451333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>
        <v>3.125</v>
      </c>
      <c r="I148" s="124" t="str">
        <f t="shared" si="5"/>
        <v>(25, 30]</v>
      </c>
      <c r="J148" s="160">
        <v>1</v>
      </c>
      <c r="K148" s="234">
        <v>1.4731114706749635</v>
      </c>
      <c r="L148" s="188">
        <v>6.6242964999999997E-3</v>
      </c>
      <c r="M148" s="233">
        <v>6624296</v>
      </c>
      <c r="N148" s="195">
        <v>6.624296E-3</v>
      </c>
      <c r="O148" s="211">
        <v>2.4746485244240245E-2</v>
      </c>
      <c r="P148" s="1">
        <v>0.72072555498280333</v>
      </c>
      <c r="Q148" s="1">
        <v>0.36372753826229792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>
        <v>3.75</v>
      </c>
      <c r="I149" s="124" t="str">
        <f t="shared" si="5"/>
        <v>(30, 35]</v>
      </c>
      <c r="J149" s="160">
        <v>1</v>
      </c>
      <c r="K149" s="234">
        <v>1.4713089306864517</v>
      </c>
      <c r="L149" s="188">
        <v>4.4335054999999996E-3</v>
      </c>
      <c r="M149" s="233">
        <v>4433505</v>
      </c>
      <c r="N149" s="195">
        <v>4.4335049999999999E-3</v>
      </c>
      <c r="O149" s="211">
        <v>1.7817600636999484E-2</v>
      </c>
      <c r="P149" s="1">
        <v>0.19309980695627763</v>
      </c>
      <c r="Q149" s="1">
        <v>0.14169235976718003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>
        <v>4.375</v>
      </c>
      <c r="I150" s="214" t="str">
        <f t="shared" si="5"/>
        <v>(35, 40]</v>
      </c>
      <c r="J150" s="160">
        <v>1</v>
      </c>
      <c r="K150" s="234">
        <v>0.36757980669252216</v>
      </c>
      <c r="L150" s="188">
        <v>3.8841015000000007E-3</v>
      </c>
      <c r="M150" s="233">
        <v>3884101</v>
      </c>
      <c r="N150" s="195">
        <v>3.884101E-3</v>
      </c>
      <c r="O150" s="211">
        <v>1.9083064575416104E-2</v>
      </c>
      <c r="P150" s="1">
        <v>0.18481692798945817</v>
      </c>
      <c r="Q150" s="1">
        <v>0.18621621924118198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>
        <v>5</v>
      </c>
      <c r="I151" s="124" t="str">
        <f t="shared" si="5"/>
        <v>(40, 45]</v>
      </c>
      <c r="J151" s="160">
        <v>1</v>
      </c>
      <c r="K151" s="234">
        <v>3.6600662254887388</v>
      </c>
      <c r="L151" s="188">
        <v>8.2502174999999987E-3</v>
      </c>
      <c r="M151" s="233">
        <v>8250217</v>
      </c>
      <c r="N151" s="195">
        <v>8.2502170000000007E-3</v>
      </c>
      <c r="O151" s="211">
        <v>4.6030642124476405E-2</v>
      </c>
      <c r="P151" s="1">
        <v>0.29587195340791983</v>
      </c>
      <c r="Q151" s="1">
        <v>9.9705381271997837E-2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>
        <v>5.625</v>
      </c>
      <c r="I152" s="124" t="str">
        <f t="shared" si="5"/>
        <v>(45, 50]</v>
      </c>
      <c r="J152" s="160">
        <v>1</v>
      </c>
      <c r="K152" s="234">
        <v>0.36757200698487158</v>
      </c>
      <c r="L152" s="188">
        <v>2.8126484999999998E-3</v>
      </c>
      <c r="M152" s="233">
        <v>2812648</v>
      </c>
      <c r="N152" s="195">
        <v>2.8126480000000001E-3</v>
      </c>
      <c r="O152" s="211">
        <v>1.7255377267241124E-2</v>
      </c>
      <c r="P152" s="1">
        <v>0.12721867818022192</v>
      </c>
      <c r="Q152" s="1">
        <v>0.4027093030214694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>
        <v>6.25</v>
      </c>
      <c r="I153" s="214" t="str">
        <f t="shared" si="5"/>
        <v>(50, 60]</v>
      </c>
      <c r="J153" s="160">
        <v>1</v>
      </c>
      <c r="K153" s="234">
        <v>0.3671329805592875</v>
      </c>
      <c r="L153" s="188">
        <v>2.9198655000000004E-3</v>
      </c>
      <c r="M153" s="233">
        <v>2919865</v>
      </c>
      <c r="N153" s="195">
        <v>2.9198649999999998E-3</v>
      </c>
      <c r="O153" s="211">
        <v>2.1621798934730145E-2</v>
      </c>
      <c r="P153" s="1">
        <v>0.11810482758100402</v>
      </c>
      <c r="Q153" s="1">
        <v>9.8830400543696739E-2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>
        <v>7.5</v>
      </c>
      <c r="I154" s="124" t="str">
        <f t="shared" si="5"/>
        <v>(60, 70]</v>
      </c>
      <c r="J154" s="160">
        <v>1</v>
      </c>
      <c r="K154" s="234">
        <v>0.3663604546423439</v>
      </c>
      <c r="L154" s="188">
        <v>7.9921349999999996E-4</v>
      </c>
      <c r="M154" s="233">
        <v>799213</v>
      </c>
      <c r="N154" s="195">
        <v>7.9921300000000001E-4</v>
      </c>
      <c r="O154" s="211">
        <v>6.5736311544841389E-3</v>
      </c>
      <c r="P154" s="1">
        <v>4.9636602421733726E-2</v>
      </c>
      <c r="Q154" s="1">
        <v>1.6898038460978652E-2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>
        <v>8.75</v>
      </c>
      <c r="I155" s="214" t="str">
        <f t="shared" si="5"/>
        <v>(70, 80]</v>
      </c>
      <c r="J155" s="160">
        <v>1</v>
      </c>
      <c r="K155" s="234">
        <v>0.14646351570127428</v>
      </c>
      <c r="L155" s="188">
        <v>1.4928225000000002E-3</v>
      </c>
      <c r="M155" s="233">
        <v>1492822</v>
      </c>
      <c r="N155" s="195">
        <v>1.492822E-3</v>
      </c>
      <c r="O155" s="211">
        <v>1.4522597338152846E-2</v>
      </c>
      <c r="P155" s="1">
        <v>3.5152872424332002E-2</v>
      </c>
      <c r="Q155" s="1">
        <v>5.570019274940121E-2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>
        <v>10</v>
      </c>
      <c r="I156" s="124" t="str">
        <f t="shared" si="5"/>
        <v>(80, 90]</v>
      </c>
      <c r="J156" s="160">
        <v>1</v>
      </c>
      <c r="K156" s="234">
        <v>5.8651844562996001</v>
      </c>
      <c r="L156" s="188">
        <v>1.40252455E-2</v>
      </c>
      <c r="M156" s="233">
        <v>14025245</v>
      </c>
      <c r="N156" s="195">
        <v>1.4025245E-2</v>
      </c>
      <c r="O156" s="211">
        <v>0.15402131606618616</v>
      </c>
      <c r="P156" s="1">
        <v>8.7308381191424991E-2</v>
      </c>
      <c r="Q156" s="1">
        <v>3.2701460030652579E-2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>
        <v>11.25</v>
      </c>
      <c r="I157" s="124" t="str">
        <f t="shared" si="5"/>
        <v>(90, 100]</v>
      </c>
      <c r="J157" s="160">
        <v>1</v>
      </c>
      <c r="K157" s="234">
        <v>0.25518002159263564</v>
      </c>
      <c r="L157" s="188">
        <v>2.1120984999999999E-3</v>
      </c>
      <c r="M157" s="233">
        <v>2112098</v>
      </c>
      <c r="N157" s="195">
        <v>2.1120980000000002E-3</v>
      </c>
      <c r="O157" s="211">
        <v>2.6166616084309837E-2</v>
      </c>
      <c r="P157" s="1">
        <v>4.232879088972484E-2</v>
      </c>
      <c r="Q157" s="1">
        <v>6.204056423163222E-2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>
        <v>12.5</v>
      </c>
      <c r="I158" s="124" t="str">
        <f t="shared" si="5"/>
        <v>(100, 120]</v>
      </c>
      <c r="J158" s="160">
        <v>1</v>
      </c>
      <c r="K158" s="234">
        <v>8.7435769594571763E-2</v>
      </c>
      <c r="L158" s="188">
        <v>5.7977050000000002E-4</v>
      </c>
      <c r="M158" s="233">
        <v>579770</v>
      </c>
      <c r="N158" s="195">
        <v>5.7976999999999996E-4</v>
      </c>
      <c r="O158" s="211">
        <v>8.4648097584946545E-3</v>
      </c>
      <c r="P158" s="1">
        <v>2.705579524450686E-2</v>
      </c>
      <c r="Q158" s="1">
        <v>2.2911451364258806E-2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>
        <v>15</v>
      </c>
      <c r="I159" s="124" t="str">
        <f t="shared" si="5"/>
        <v>(120, 140]</v>
      </c>
      <c r="J159" s="160">
        <v>1</v>
      </c>
      <c r="K159" s="234">
        <v>3.4344241011455945E-2</v>
      </c>
      <c r="L159" s="188">
        <v>8.2269500000000016E-5</v>
      </c>
      <c r="M159" s="233">
        <v>82269</v>
      </c>
      <c r="N159" s="195">
        <v>8.2268999999999994E-5</v>
      </c>
      <c r="O159" s="211">
        <v>1.3618689102153237E-3</v>
      </c>
      <c r="P159" s="1">
        <v>1.7133401073206652E-2</v>
      </c>
      <c r="Q159" s="1">
        <v>8.055870917794734E-3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>
        <v>17.5</v>
      </c>
      <c r="I160" s="124" t="str">
        <f t="shared" si="5"/>
        <v>(140, 160]</v>
      </c>
      <c r="J160" s="160">
        <v>1</v>
      </c>
      <c r="K160" s="234">
        <v>1.8526231023217311E-2</v>
      </c>
      <c r="L160" s="188">
        <v>1.4461549999999999E-4</v>
      </c>
      <c r="M160" s="233">
        <v>144615</v>
      </c>
      <c r="N160" s="195">
        <v>1.4461500000000001E-4</v>
      </c>
      <c r="O160" s="211">
        <v>2.7966592651187823E-3</v>
      </c>
      <c r="P160" s="1">
        <v>1.7010791461834547E-2</v>
      </c>
      <c r="Q160" s="1">
        <v>5.7266762561312846E-3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>
        <v>20</v>
      </c>
      <c r="I161" s="124" t="str">
        <f t="shared" si="5"/>
        <v>(160, 180]</v>
      </c>
      <c r="J161" s="160">
        <v>1</v>
      </c>
      <c r="K161" s="234">
        <v>2.1934225126484006</v>
      </c>
      <c r="L161" s="188">
        <v>4.8113995000000007E-3</v>
      </c>
      <c r="M161" s="233">
        <v>4811399</v>
      </c>
      <c r="N161" s="195">
        <v>4.8113990000000001E-3</v>
      </c>
      <c r="O161" s="211">
        <v>0.10505709417818962</v>
      </c>
      <c r="P161" s="1">
        <v>1.4756847094993612E-2</v>
      </c>
      <c r="Q161" s="1">
        <v>6.644824237282459E-3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>
        <v>22.5</v>
      </c>
      <c r="I162" s="124" t="str">
        <f t="shared" si="5"/>
        <v>(180, 200]</v>
      </c>
      <c r="J162" s="160">
        <v>1</v>
      </c>
      <c r="K162" s="234">
        <v>9.7400815684433317E-3</v>
      </c>
      <c r="L162" s="188">
        <v>7.6675500000000001E-5</v>
      </c>
      <c r="M162" s="233">
        <v>76675</v>
      </c>
      <c r="N162" s="195">
        <v>7.6674999999999993E-5</v>
      </c>
      <c r="O162" s="211">
        <v>1.9057010260511184E-3</v>
      </c>
      <c r="P162" s="1">
        <v>5.0693824644360728E-3</v>
      </c>
      <c r="Q162" s="1">
        <v>3.2340062024383857E-3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>
        <v>25</v>
      </c>
      <c r="I163" s="124" t="str">
        <f t="shared" si="5"/>
        <v>(200, 250]</v>
      </c>
      <c r="J163" s="160">
        <v>1</v>
      </c>
      <c r="K163" s="234">
        <v>4.6498613406942089E-3</v>
      </c>
      <c r="L163" s="188">
        <v>2.9654499999999999E-5</v>
      </c>
      <c r="M163" s="233">
        <v>29654</v>
      </c>
      <c r="N163" s="195">
        <v>2.9654000000000001E-5</v>
      </c>
      <c r="O163" s="211">
        <v>8.6630862011552489E-4</v>
      </c>
      <c r="P163" s="1">
        <v>8.6206166615079068E-3</v>
      </c>
      <c r="Q163" s="1">
        <v>1.7757836198179981E-3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>
        <v>31.25</v>
      </c>
      <c r="I164" s="124" t="str">
        <f t="shared" si="5"/>
        <v>(250, 300]</v>
      </c>
      <c r="J164" s="160">
        <v>1</v>
      </c>
      <c r="K164" s="234">
        <v>0.32791290178807692</v>
      </c>
      <c r="L164" s="188">
        <v>2.0571065000000001E-3</v>
      </c>
      <c r="M164" s="233">
        <v>2057106</v>
      </c>
      <c r="N164" s="195">
        <v>2.057106E-3</v>
      </c>
      <c r="O164" s="211">
        <v>7.3843385015261234E-2</v>
      </c>
      <c r="P164" s="1">
        <v>3.4339008361106986E-3</v>
      </c>
      <c r="Q164" s="1">
        <v>3.018321209743141E-4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>
        <v>37.5</v>
      </c>
      <c r="I165" s="124" t="str">
        <f t="shared" si="5"/>
        <v>(300, 350]</v>
      </c>
      <c r="J165" s="160">
        <v>1</v>
      </c>
      <c r="K165" s="234">
        <v>0.16941205724326189</v>
      </c>
      <c r="L165" s="188">
        <v>6.1658450000000005E-4</v>
      </c>
      <c r="M165" s="233">
        <v>616584</v>
      </c>
      <c r="N165" s="195">
        <v>6.1658399999999999E-4</v>
      </c>
      <c r="O165" s="211">
        <v>2.5141577089745584E-2</v>
      </c>
      <c r="P165" s="1">
        <v>5.9073155921534368E-4</v>
      </c>
      <c r="Q165" s="1">
        <v>2.1529424198811839E-4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1.7688931233784803E-4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>
        <v>50</v>
      </c>
      <c r="I167" s="124" t="str">
        <f t="shared" si="5"/>
        <v>(400, 450]</v>
      </c>
      <c r="J167" s="160">
        <v>1</v>
      </c>
      <c r="K167" s="234">
        <v>0.32807426163797965</v>
      </c>
      <c r="L167" s="188">
        <v>8.0006650000000006E-4</v>
      </c>
      <c r="M167" s="233">
        <v>800066</v>
      </c>
      <c r="N167" s="195">
        <v>8.0006599999999999E-4</v>
      </c>
      <c r="O167" s="211">
        <v>4.3132241848352487E-2</v>
      </c>
      <c r="P167" s="1">
        <v>2.2040657324161688E-3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3.0438364637772742E-3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2.3795663052081817E-3</v>
      </c>
      <c r="Q169" s="1">
        <v>7.5219805617463608E-5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>
        <v>100</v>
      </c>
      <c r="I175" s="124" t="str">
        <f t="shared" si="5"/>
        <v>(800, 850]</v>
      </c>
      <c r="J175" s="160">
        <v>1</v>
      </c>
      <c r="K175" s="234">
        <v>0.25531301521064836</v>
      </c>
      <c r="L175" s="188">
        <v>2.7410149999999996E-4</v>
      </c>
      <c r="M175" s="233">
        <v>274101</v>
      </c>
      <c r="N175" s="195">
        <v>2.7410100000000001E-4</v>
      </c>
      <c r="O175" s="211">
        <v>2.8366170116785504E-2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4.6723377313847165E-5</v>
      </c>
      <c r="Q179" s="1">
        <v>5.9052929284549278E-5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>
        <v>250</v>
      </c>
      <c r="I180" s="124" t="str">
        <f t="shared" si="5"/>
        <v>(2000, 3000]</v>
      </c>
      <c r="J180" s="160">
        <v>1</v>
      </c>
      <c r="K180" s="234">
        <v>1.0858928741267041E-2</v>
      </c>
      <c r="L180" s="188">
        <v>9.213750000000001E-5</v>
      </c>
      <c r="M180" s="233">
        <v>92137</v>
      </c>
      <c r="N180" s="195">
        <v>9.2137000000000002E-5</v>
      </c>
      <c r="O180" s="211">
        <v>2.8916175821195197E-2</v>
      </c>
      <c r="P180" s="1">
        <v>4.832083336230619E-5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>
        <v>500</v>
      </c>
      <c r="I182" s="124" t="str">
        <f t="shared" si="5"/>
        <v>(4000, 5000]</v>
      </c>
      <c r="J182" s="160">
        <v>1</v>
      </c>
      <c r="K182" s="234">
        <v>2.1696586299060069E-2</v>
      </c>
      <c r="L182" s="188">
        <v>5.7749499999999993E-5</v>
      </c>
      <c r="M182" s="233">
        <v>57749</v>
      </c>
      <c r="N182" s="195">
        <v>5.7748999999999999E-5</v>
      </c>
      <c r="O182" s="211">
        <v>3.2550272772124043E-2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>
        <v>1000</v>
      </c>
      <c r="I186" s="124" t="str">
        <f t="shared" si="5"/>
        <v>(8000, 9000]</v>
      </c>
      <c r="J186" s="160">
        <v>1</v>
      </c>
      <c r="K186" s="234">
        <v>5.6887188562703868E-2</v>
      </c>
      <c r="L186" s="188">
        <v>3.2787500000000004E-5</v>
      </c>
      <c r="M186" s="233">
        <v>32787</v>
      </c>
      <c r="N186" s="195">
        <v>3.2787000000000003E-5</v>
      </c>
      <c r="O186" s="211">
        <v>3.4798245347813866E-2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>
        <v>1250</v>
      </c>
      <c r="I188" s="124" t="str">
        <f t="shared" si="5"/>
        <v>(10000, 20000]</v>
      </c>
      <c r="J188" s="160">
        <v>1</v>
      </c>
      <c r="K188" s="234">
        <v>3.6060266290201845E-3</v>
      </c>
      <c r="L188" s="188">
        <v>5.5735000000000001E-6</v>
      </c>
      <c r="M188" s="233">
        <v>5573</v>
      </c>
      <c r="N188" s="195">
        <v>5.5729999999999998E-6</v>
      </c>
      <c r="O188" s="211">
        <v>9.3687378831062811E-3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>
        <v>2500</v>
      </c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30499.893250373621</v>
      </c>
      <c r="O192" s="10">
        <f>SUM(O175:O185)</f>
        <v>8.9832618710104756E-2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17316.317165665208</v>
      </c>
      <c r="O194" s="220" cm="1">
        <f t="array" ref="O194:O195">N196/N194:N195</f>
        <v>202.12149999999997</v>
      </c>
    </row>
    <row r="195" spans="1:20" ht="16.8" thickBot="1">
      <c r="M195" s="124" t="s">
        <v>179</v>
      </c>
      <c r="N195" s="218">
        <f>1/SUM(N192)</f>
        <v>3.2787000000000003E-5</v>
      </c>
      <c r="O195" s="220">
        <v>106749626376.30768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0.88000000001022793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  <c r="Q222" s="1">
        <v>8.1534868779438843E-2</v>
      </c>
      <c r="R222" s="1">
        <v>7.2544017192642869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  <c r="Q223" s="1">
        <v>9.0112979805137619E-2</v>
      </c>
      <c r="R223" s="1">
        <v>4.1937401925006723</v>
      </c>
      <c r="U223" s="128" t="s">
        <v>271</v>
      </c>
      <c r="V223" s="185">
        <f>SUM(N199:N228)</f>
        <v>0.76784115799999997</v>
      </c>
      <c r="W223" s="296" cm="1">
        <f t="array" ref="W223:W228">1/V223:V228</f>
        <v>1.3023526931073941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  <c r="Q224" s="1">
        <v>4.747126106777233E-2</v>
      </c>
      <c r="R224" s="272">
        <v>2.3362329708063445</v>
      </c>
      <c r="U224" s="124" t="s">
        <v>275</v>
      </c>
      <c r="V224" s="188">
        <f>SUM(N229:N256)</f>
        <v>0.23215884199999992</v>
      </c>
      <c r="W224" s="297">
        <v>4.3073957097012068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  <c r="Q225" s="1">
        <v>2.1651011757170088E-2</v>
      </c>
      <c r="R225" s="272">
        <v>1.0780776973958937</v>
      </c>
      <c r="U225" s="124" t="s">
        <v>272</v>
      </c>
      <c r="V225" s="188">
        <f>SUM(N234:N256)</f>
        <v>0.11621841399999996</v>
      </c>
      <c r="W225" s="297">
        <v>8.6044884419090444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  <c r="Q226" s="1">
        <v>1.2345605360363113E-2</v>
      </c>
      <c r="R226" s="272">
        <v>0.64060754328147018</v>
      </c>
      <c r="U226" s="124" t="s">
        <v>287</v>
      </c>
      <c r="V226" s="188">
        <f>SUM(N245:N256)</f>
        <v>4.688378E-3</v>
      </c>
      <c r="W226" s="297">
        <v>213.29338206091745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  <c r="Q227" s="1">
        <v>1.8109825476012021E-2</v>
      </c>
      <c r="R227" s="272">
        <v>0.96376949987714722</v>
      </c>
      <c r="U227" s="124" t="s">
        <v>288</v>
      </c>
      <c r="V227" s="188">
        <f>SUM(N246:N256)</f>
        <v>3.2711960000000001E-3</v>
      </c>
      <c r="W227" s="297">
        <v>305.69858852847705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  <c r="Q228" s="1">
        <v>7.674595432961279E-3</v>
      </c>
      <c r="R228" s="272">
        <v>0.17324484204206636</v>
      </c>
      <c r="U228" s="125" t="s">
        <v>273</v>
      </c>
      <c r="V228" s="191">
        <f>SUM(N253)</f>
        <v>1.6558600000000001E-4</v>
      </c>
      <c r="W228" s="298">
        <v>6039.1578998224486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  <c r="P229" s="1" cm="1">
        <f t="array" ref="P229:P256">2*K229:K256</f>
        <v>3.4666684727572981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  <c r="P230" s="1">
        <v>0.55814028490995238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  <c r="P231" s="1">
        <v>0.6762237212050729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  <c r="P232" s="1">
        <v>0.56327838013684917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  <c r="P233" s="1">
        <v>0.74332173224150122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  <c r="P234" s="1">
        <v>2.2851008169636433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  <c r="P235" s="1">
        <v>1.2731293221212523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  <c r="P236" s="1">
        <v>0.89768123236604991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  <c r="P237" s="1">
        <v>0.44845676945072444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  <c r="P238" s="1">
        <v>0.40337797254549251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  <c r="P239" s="1">
        <v>0.70145689391110222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  <c r="P240" s="1">
        <v>0.41937907846766076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  <c r="P241" s="1">
        <v>0.43148267894189407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  <c r="P242" s="1">
        <v>0.35307284925456889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  <c r="P243" s="1">
        <v>0.68063676718930133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  <c r="P244" s="1">
        <v>0.1465678690792748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  <c r="P245" s="1">
        <v>4.4750477875609346E-2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  <c r="P246" s="1">
        <v>9.4193915572709203E-2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  <c r="P247" s="1">
        <v>0.16944778215185169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  <c r="P248" s="1">
        <v>0.11010329502539418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  <c r="P249" s="1">
        <v>0.17627221183203776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  <c r="P250" s="1">
        <v>0.25054197949256124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  <c r="P251" s="198">
        <v>0.2846879244243215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  <c r="P252" s="198">
        <v>0.12293632895571124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  <c r="P253" s="198">
        <v>0.11602806902971675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53.583811216088336</v>
      </c>
      <c r="O259" s="220" cm="1">
        <f t="array" ref="O259:O260">N261/N259:N260</f>
        <v>261.27294200000006</v>
      </c>
    </row>
    <row r="260" spans="13:15" ht="16.8" thickBot="1">
      <c r="M260" s="124" t="s">
        <v>179</v>
      </c>
      <c r="N260" s="218">
        <f>1/SUM(N257)</f>
        <v>2.0353400000000001E-4</v>
      </c>
      <c r="O260" s="220">
        <v>68784576.532667756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0.87999999993722955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 cm="1">
        <f t="array" ref="H4:H18">18*(K4:K18/SUM(K4:K18))</f>
        <v>2.1240993008091831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1.1361090753579779</v>
      </c>
      <c r="L4" s="185" cm="1">
        <f t="array" ref="L4:L61">K4:K61*_xlfn.ANCHORARRAY(J4)*_xlfn.ANCHORARRAY(F4)</f>
        <v>0.90342134750000003</v>
      </c>
      <c r="M4" s="240" cm="1">
        <f t="array" ref="M4:M61">INT(_xlfn.ANCHORARRAY(L4)*$M$2)</f>
        <v>903421347</v>
      </c>
      <c r="N4" s="194" cm="1">
        <f t="array" ref="N4:N61">_xlfn.ANCHORARRAY(M4)/SUM(_xlfn.ANCHORARRAY(M4))</f>
        <v>0.90342134699999999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>
        <v>0.8291016164718007</v>
      </c>
      <c r="I5" s="124" t="str">
        <f t="shared" ref="I5:I61" si="1">"("&amp;$A5&amp;", "&amp;$B5&amp;"]"</f>
        <v>(0, 1]</v>
      </c>
      <c r="J5" s="160">
        <v>1</v>
      </c>
      <c r="K5" s="234">
        <v>0.44345849109255076</v>
      </c>
      <c r="L5" s="188">
        <v>5.4206295000000003E-3</v>
      </c>
      <c r="M5" s="233">
        <v>5420629</v>
      </c>
      <c r="N5" s="195">
        <v>5.4206289999999997E-3</v>
      </c>
      <c r="O5" s="211">
        <v>4.069749904533574E-3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>
        <v>0.8274095565201347</v>
      </c>
      <c r="I6" s="214" t="str">
        <f t="shared" si="1"/>
        <v>(1, 2]</v>
      </c>
      <c r="J6" s="160">
        <v>1</v>
      </c>
      <c r="K6" s="234">
        <v>0.44255346529342482</v>
      </c>
      <c r="L6" s="188">
        <v>8.7865605000000003E-3</v>
      </c>
      <c r="M6" s="233">
        <v>8786560</v>
      </c>
      <c r="N6" s="195">
        <v>8.7865600000000006E-3</v>
      </c>
      <c r="O6" s="211">
        <v>1.5088507533540126E-2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>
        <v>0.82615465468267768</v>
      </c>
      <c r="I7" s="124" t="str">
        <f t="shared" si="1"/>
        <v>(2, 3]</v>
      </c>
      <c r="J7" s="160">
        <v>1</v>
      </c>
      <c r="K7" s="234">
        <v>0.44188226062532143</v>
      </c>
      <c r="L7" s="188">
        <v>6.1955945000000002E-3</v>
      </c>
      <c r="M7" s="233">
        <v>6195594</v>
      </c>
      <c r="N7" s="195">
        <v>6.1955939999999996E-3</v>
      </c>
      <c r="O7" s="211">
        <v>1.7033288919095377E-2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>
        <v>0.82519239883506557</v>
      </c>
      <c r="I8" s="124" t="str">
        <f t="shared" si="1"/>
        <v>(3, 4]</v>
      </c>
      <c r="J8" s="160">
        <v>1</v>
      </c>
      <c r="K8" s="234">
        <v>0.44136758242695662</v>
      </c>
      <c r="L8" s="188">
        <v>8.1490425000000002E-3</v>
      </c>
      <c r="M8" s="233">
        <v>8149042</v>
      </c>
      <c r="N8" s="195">
        <v>8.1490420000000004E-3</v>
      </c>
      <c r="O8" s="211">
        <v>3.0138576956786341E-2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>
        <v>0.82654401811351108</v>
      </c>
      <c r="I9" s="124" t="str">
        <f t="shared" si="1"/>
        <v>(4, 5]</v>
      </c>
      <c r="J9" s="160">
        <v>1</v>
      </c>
      <c r="K9" s="234">
        <v>0.44209051799220339</v>
      </c>
      <c r="L9" s="188">
        <v>5.5708255000000003E-3</v>
      </c>
      <c r="M9" s="233">
        <v>5570825</v>
      </c>
      <c r="N9" s="195">
        <v>5.5708249999999997E-3</v>
      </c>
      <c r="O9" s="211">
        <v>2.677069421847042E-2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>
        <v>0.82554806974743367</v>
      </c>
      <c r="I10" s="124" t="str">
        <f t="shared" si="1"/>
        <v>(5, 6]</v>
      </c>
      <c r="J10" s="160">
        <v>1</v>
      </c>
      <c r="K10" s="234">
        <v>0.44155781880207728</v>
      </c>
      <c r="L10" s="188">
        <v>5.5387824999999996E-3</v>
      </c>
      <c r="M10" s="233">
        <v>5538782</v>
      </c>
      <c r="N10" s="195">
        <v>5.5387819999999999E-3</v>
      </c>
      <c r="O10" s="211">
        <v>3.2966886315760342E-2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>
        <v>0.82559314002774487</v>
      </c>
      <c r="I11" s="124" t="str">
        <f t="shared" si="1"/>
        <v>(6, 7]</v>
      </c>
      <c r="J11" s="160">
        <v>1</v>
      </c>
      <c r="K11" s="234">
        <v>0.44158192537490604</v>
      </c>
      <c r="L11" s="188">
        <v>1.3950125000000001E-3</v>
      </c>
      <c r="M11" s="233">
        <v>1395012</v>
      </c>
      <c r="N11" s="195">
        <v>1.3950119999999999E-3</v>
      </c>
      <c r="O11" s="211">
        <v>9.106375859797634E-3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>
        <v>2.0648418064180403</v>
      </c>
      <c r="I12" s="214" t="str">
        <f t="shared" si="1"/>
        <v>(7, 8]</v>
      </c>
      <c r="J12" s="160">
        <v>1</v>
      </c>
      <c r="K12" s="234">
        <v>1.1044142402176882</v>
      </c>
      <c r="L12" s="188">
        <v>1.4520405499999998E-2</v>
      </c>
      <c r="M12" s="233">
        <v>14520405</v>
      </c>
      <c r="N12" s="195">
        <v>1.4520405E-2</v>
      </c>
      <c r="O12" s="211">
        <v>0.11201154004675398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>
        <v>1.0274096461285118</v>
      </c>
      <c r="I13" s="124" t="str">
        <f t="shared" si="1"/>
        <v>(8, 9]</v>
      </c>
      <c r="J13" s="160">
        <v>1</v>
      </c>
      <c r="K13" s="234">
        <v>0.54952676771385556</v>
      </c>
      <c r="L13" s="188">
        <v>3.1654275000000003E-3</v>
      </c>
      <c r="M13" s="233">
        <v>3165427</v>
      </c>
      <c r="N13" s="195">
        <v>3.1654270000000002E-3</v>
      </c>
      <c r="O13" s="211">
        <v>2.8239445591323999E-2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>
        <v>1.0307881370352097</v>
      </c>
      <c r="I14" s="124" t="str">
        <f t="shared" si="1"/>
        <v>(9, 10]</v>
      </c>
      <c r="J14" s="160">
        <v>1</v>
      </c>
      <c r="K14" s="234">
        <v>0.55133380855165981</v>
      </c>
      <c r="L14" s="188">
        <v>3.9345214999999996E-3</v>
      </c>
      <c r="M14" s="233">
        <v>3934521</v>
      </c>
      <c r="N14" s="195">
        <v>3.9345209999999999E-3</v>
      </c>
      <c r="O14" s="211">
        <v>3.8363005857414666E-2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>
        <v>2.0596087634075264</v>
      </c>
      <c r="I15" s="214" t="str">
        <f t="shared" si="1"/>
        <v>(10, 15]</v>
      </c>
      <c r="J15" s="160">
        <v>1</v>
      </c>
      <c r="K15" s="234">
        <v>1.1016152620090336</v>
      </c>
      <c r="L15" s="188">
        <v>1.9729627500000003E-2</v>
      </c>
      <c r="M15" s="233">
        <v>19729627</v>
      </c>
      <c r="N15" s="195">
        <v>1.9729627E-2</v>
      </c>
      <c r="O15" s="211">
        <v>0.25116569361024793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>
        <v>0.82148232694163359</v>
      </c>
      <c r="I16" s="124" t="str">
        <f t="shared" si="1"/>
        <v>(15, 20]</v>
      </c>
      <c r="J16" s="160">
        <v>1</v>
      </c>
      <c r="K16" s="234">
        <v>0.43938319010275934</v>
      </c>
      <c r="L16" s="188">
        <v>4.9515154999999998E-3</v>
      </c>
      <c r="M16" s="233">
        <v>4951515</v>
      </c>
      <c r="N16" s="195">
        <v>4.9515150000000001E-3</v>
      </c>
      <c r="O16" s="211">
        <v>8.8371863602378489E-2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>
        <v>2.0581274551295281</v>
      </c>
      <c r="I17" s="124" t="str">
        <f t="shared" si="1"/>
        <v>(20, 25]</v>
      </c>
      <c r="J17" s="160">
        <v>1</v>
      </c>
      <c r="K17" s="234">
        <v>1.100822960172017</v>
      </c>
      <c r="L17" s="188">
        <v>6.8408154999999998E-3</v>
      </c>
      <c r="M17" s="233">
        <v>6840815</v>
      </c>
      <c r="N17" s="195">
        <v>6.8408150000000001E-3</v>
      </c>
      <c r="O17" s="211">
        <v>0.15900184663054059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>
        <v>1.0280991097319987</v>
      </c>
      <c r="I18" s="124" t="str">
        <f t="shared" si="1"/>
        <v>(25, 30]</v>
      </c>
      <c r="J18" s="160">
        <v>1</v>
      </c>
      <c r="K18" s="234">
        <v>0.54989553854144912</v>
      </c>
      <c r="L18" s="188">
        <v>2.3798995000000002E-3</v>
      </c>
      <c r="M18" s="233">
        <v>2379899</v>
      </c>
      <c r="N18" s="195">
        <v>2.379899E-3</v>
      </c>
      <c r="O18" s="211">
        <v>6.7672524890586089E-2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0.87999999998288503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1.0987013088773876</v>
      </c>
      <c r="L69" s="185" cm="1">
        <f t="array" ref="L69:L126">K69:K126*_xlfn.ANCHORARRAY(J69)*_xlfn.ANCHORARRAY(F69)</f>
        <v>0.87370692449999998</v>
      </c>
      <c r="M69" s="207" cm="1">
        <f t="array" ref="M69:M126">INT(_xlfn.ANCHORARRAY(L69)*$M$2)</f>
        <v>873706924</v>
      </c>
      <c r="N69" s="194" cm="1">
        <f t="array" ref="N69:N126">_xlfn.ANCHORARRAY(M69)/SUM(_xlfn.ANCHORARRAY(M69))</f>
        <v>0.87370692400000005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2.1896441598359964</v>
      </c>
      <c r="L70" s="188">
        <v>9.7495854999999996E-3</v>
      </c>
      <c r="M70" s="208">
        <v>9749585</v>
      </c>
      <c r="N70" s="195">
        <v>9.7495849999999998E-3</v>
      </c>
      <c r="O70" s="211">
        <v>5.1997786666666667E-3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1.2511714928430537</v>
      </c>
      <c r="L71" s="188">
        <v>1.5807150499999999E-2</v>
      </c>
      <c r="M71" s="208">
        <v>15807150</v>
      </c>
      <c r="N71" s="195">
        <v>1.5807149999999999E-2</v>
      </c>
      <c r="O71" s="211">
        <v>1.7490099720852182E-2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1.4585173198742372</v>
      </c>
      <c r="L72" s="188">
        <v>1.1144138500000001E-2</v>
      </c>
      <c r="M72" s="208">
        <v>11144138</v>
      </c>
      <c r="N72" s="195">
        <v>1.1144138E-2</v>
      </c>
      <c r="O72" s="211">
        <v>2.0768375004987454E-2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>
        <v>2</v>
      </c>
      <c r="I73" s="124" t="str">
        <f t="shared" si="3"/>
        <v>(3, 4]</v>
      </c>
      <c r="J73" s="160">
        <v>1</v>
      </c>
      <c r="K73" s="205">
        <v>0.85663475383350707</v>
      </c>
      <c r="L73" s="188">
        <v>1.21569955E-2</v>
      </c>
      <c r="M73" s="208">
        <v>12156995</v>
      </c>
      <c r="N73" s="195">
        <v>1.2156995E-2</v>
      </c>
      <c r="O73" s="211">
        <v>2.9579217172796757E-2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0.68280632070067426</v>
      </c>
      <c r="L74" s="188">
        <v>8.3102144999999995E-3</v>
      </c>
      <c r="M74" s="208">
        <v>8310214</v>
      </c>
      <c r="N74" s="195">
        <v>8.3102139999999998E-3</v>
      </c>
      <c r="O74" s="211">
        <v>2.6713257646161798E-2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0.65310774848700093</v>
      </c>
      <c r="L75" s="188">
        <v>8.2622714999999996E-3</v>
      </c>
      <c r="M75" s="208">
        <v>8262271</v>
      </c>
      <c r="N75" s="195">
        <v>8.2622709999999999E-3</v>
      </c>
      <c r="O75" s="211">
        <v>3.2936472295146596E-2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>
        <v>4</v>
      </c>
      <c r="I76" s="124" t="str">
        <f t="shared" si="3"/>
        <v>(6, 7]</v>
      </c>
      <c r="J76" s="160">
        <v>1</v>
      </c>
      <c r="K76" s="205">
        <v>0.73671964224140063</v>
      </c>
      <c r="L76" s="188">
        <v>2.0810105000000001E-3</v>
      </c>
      <c r="M76" s="208">
        <v>2081010</v>
      </c>
      <c r="N76" s="195">
        <v>2.0810099999999999E-3</v>
      </c>
      <c r="O76" s="211">
        <v>8.9926928733167228E-3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0.61263860744358156</v>
      </c>
      <c r="L77" s="188">
        <v>8.6641054999999998E-3</v>
      </c>
      <c r="M77" s="208">
        <v>8664105</v>
      </c>
      <c r="N77" s="195">
        <v>8.6641050000000001E-3</v>
      </c>
      <c r="O77" s="211">
        <v>4.448878485249462E-2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0.59135075317191965</v>
      </c>
      <c r="L78" s="188">
        <v>3.7774605E-3</v>
      </c>
      <c r="M78" s="208">
        <v>3777460</v>
      </c>
      <c r="N78" s="195">
        <v>3.7774599999999998E-3</v>
      </c>
      <c r="O78" s="211">
        <v>2.249928115794185E-2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>
        <v>6</v>
      </c>
      <c r="I79" s="124" t="str">
        <f t="shared" si="3"/>
        <v>(9, 10]</v>
      </c>
      <c r="J79" s="160">
        <v>1</v>
      </c>
      <c r="K79" s="205">
        <v>0.55017314032920561</v>
      </c>
      <c r="L79" s="188">
        <v>4.6952424999999994E-3</v>
      </c>
      <c r="M79" s="208">
        <v>4695242</v>
      </c>
      <c r="N79" s="195">
        <v>4.6952419999999996E-3</v>
      </c>
      <c r="O79" s="211">
        <v>3.0529786520420737E-2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>
        <v>6.666666666666667</v>
      </c>
      <c r="I80" s="214" t="str">
        <f t="shared" si="3"/>
        <v>(10, 15]</v>
      </c>
      <c r="J80" s="160">
        <v>1</v>
      </c>
      <c r="K80" s="205">
        <v>0.32628785943327782</v>
      </c>
      <c r="L80" s="188">
        <v>7.0971365000000002E-3</v>
      </c>
      <c r="M80" s="208">
        <v>7097136</v>
      </c>
      <c r="N80" s="195">
        <v>7.0971360000000004E-3</v>
      </c>
      <c r="O80" s="211">
        <v>6.0410945628338666E-2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>
        <v>10</v>
      </c>
      <c r="I81" s="124" t="str">
        <f t="shared" si="3"/>
        <v>(15, 20]</v>
      </c>
      <c r="J81" s="160">
        <v>1</v>
      </c>
      <c r="K81" s="205">
        <v>1.2551999016207211</v>
      </c>
      <c r="L81" s="188">
        <v>1.7811261500000002E-2</v>
      </c>
      <c r="M81" s="208">
        <v>17811261</v>
      </c>
      <c r="N81" s="195">
        <v>1.7811260999999998E-2</v>
      </c>
      <c r="O81" s="211">
        <v>0.21219823683240174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0.30925508652474215</v>
      </c>
      <c r="L82" s="188">
        <v>2.4606985E-3</v>
      </c>
      <c r="M82" s="208">
        <v>2460698</v>
      </c>
      <c r="N82" s="195">
        <v>2.4606979999999999E-3</v>
      </c>
      <c r="O82" s="211">
        <v>3.8134416338617118E-2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0.30894519537198384</v>
      </c>
      <c r="L83" s="188">
        <v>1.7121164999999998E-3</v>
      </c>
      <c r="M83" s="208">
        <v>1712116</v>
      </c>
      <c r="N83" s="195">
        <v>1.7121160000000001E-3</v>
      </c>
      <c r="O83" s="211">
        <v>3.245897693256769E-2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>
        <v>20</v>
      </c>
      <c r="I84" s="124" t="str">
        <f t="shared" si="3"/>
        <v>(30, 35]</v>
      </c>
      <c r="J84" s="160">
        <v>1</v>
      </c>
      <c r="K84" s="205">
        <v>3.1150742463152783</v>
      </c>
      <c r="L84" s="188">
        <v>8.4667095000000008E-3</v>
      </c>
      <c r="M84" s="208">
        <v>8466709</v>
      </c>
      <c r="N84" s="195">
        <v>8.4667089999999993E-3</v>
      </c>
      <c r="O84" s="211">
        <v>0.18391004889415799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0.30823536897731141</v>
      </c>
      <c r="L85" s="188">
        <v>1.4871475E-3</v>
      </c>
      <c r="M85" s="208">
        <v>1487147</v>
      </c>
      <c r="N85" s="195">
        <v>1.4871470000000001E-3</v>
      </c>
      <c r="O85" s="211">
        <v>3.7947815032985936E-2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1.2472142640385944</v>
      </c>
      <c r="L86" s="188">
        <v>2.6098394999999998E-3</v>
      </c>
      <c r="M86" s="208">
        <v>2609839</v>
      </c>
      <c r="N86" s="195">
        <v>2.6098390000000001E-3</v>
      </c>
      <c r="O86" s="211">
        <v>7.5741814413030448E-2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>
        <v>433.33333333333331</v>
      </c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>
        <v>466.66666666666669</v>
      </c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>
        <v>500</v>
      </c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>
        <v>533.33333333333337</v>
      </c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>
        <v>566.66666666666663</v>
      </c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>
        <v>2666.6666666666665</v>
      </c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0.87999999996614198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1.1036915329351653</v>
      </c>
      <c r="L134" s="185" cm="1">
        <f t="array" ref="L134:L191">K134:K191*_xlfn.ANCHORARRAY(J134)*_xlfn.ANCHORARRAY(F134)</f>
        <v>0.87765359649999997</v>
      </c>
      <c r="M134" s="207" cm="1">
        <f t="array" ref="M134:M191">INT(_xlfn.ANCHORARRAY(L134)*$M$2)</f>
        <v>877653596</v>
      </c>
      <c r="N134" s="194" cm="1">
        <f t="array" ref="N134:N191">_xlfn.ANCHORARRAY(M134)/SUM(_xlfn.ANCHORARRAY(M134))</f>
        <v>0.87765359600000004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>
        <v>0.875</v>
      </c>
      <c r="I142" s="214" t="str">
        <f t="shared" si="5"/>
        <v>(7, 8]</v>
      </c>
      <c r="J142" s="160">
        <v>1</v>
      </c>
      <c r="K142" s="205">
        <v>14.488501414064096</v>
      </c>
      <c r="L142" s="188">
        <v>3.1496205499999999E-2</v>
      </c>
      <c r="M142" s="208">
        <v>31496205</v>
      </c>
      <c r="N142" s="195">
        <v>3.1496204999999999E-2</v>
      </c>
      <c r="O142" s="211">
        <v>3.1496204999999999E-2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>
        <v>1.125</v>
      </c>
      <c r="I144" s="124" t="str">
        <f t="shared" si="5"/>
        <v>(9, 10]</v>
      </c>
      <c r="J144" s="160">
        <v>1</v>
      </c>
      <c r="K144" s="205">
        <v>1.4524573425935814</v>
      </c>
      <c r="L144" s="188">
        <v>4.7470765E-3</v>
      </c>
      <c r="M144" s="208">
        <v>4747076</v>
      </c>
      <c r="N144" s="195">
        <v>4.7470760000000002E-3</v>
      </c>
      <c r="O144" s="211">
        <v>5.9338450000000001E-3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>
        <v>1.25</v>
      </c>
      <c r="I145" s="214" t="str">
        <f t="shared" si="5"/>
        <v>(10, 15]</v>
      </c>
      <c r="J145" s="160">
        <v>1</v>
      </c>
      <c r="K145" s="205">
        <v>1.4380382364706945</v>
      </c>
      <c r="L145" s="188">
        <v>3.7888885E-3</v>
      </c>
      <c r="M145" s="208">
        <v>3788888</v>
      </c>
      <c r="N145" s="195">
        <v>3.7888879999999998E-3</v>
      </c>
      <c r="O145" s="211">
        <v>6.6199439755366893E-3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>
        <v>1.875</v>
      </c>
      <c r="I146" s="124" t="str">
        <f t="shared" si="5"/>
        <v>(15, 20]</v>
      </c>
      <c r="J146" s="160">
        <v>1</v>
      </c>
      <c r="K146" s="205">
        <v>1.4436652890050448</v>
      </c>
      <c r="L146" s="188">
        <v>1.30164385E-2</v>
      </c>
      <c r="M146" s="208">
        <v>13016438</v>
      </c>
      <c r="N146" s="195">
        <v>1.3016438E-2</v>
      </c>
      <c r="O146" s="211">
        <v>3.0536381034066515E-2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>
        <v>2.5</v>
      </c>
      <c r="I147" s="124" t="str">
        <f t="shared" si="5"/>
        <v>(20, 25]</v>
      </c>
      <c r="J147" s="160">
        <v>1</v>
      </c>
      <c r="K147" s="205">
        <v>1.4446107560266344</v>
      </c>
      <c r="L147" s="188">
        <v>8.2002275000000006E-3</v>
      </c>
      <c r="M147" s="208">
        <v>8200227</v>
      </c>
      <c r="N147" s="195">
        <v>8.2002269999999992E-3</v>
      </c>
      <c r="O147" s="211">
        <v>2.4907818229500701E-2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>
        <v>3.125</v>
      </c>
      <c r="I148" s="124" t="str">
        <f t="shared" si="5"/>
        <v>(25, 30]</v>
      </c>
      <c r="J148" s="160">
        <v>1</v>
      </c>
      <c r="K148" s="205">
        <v>1.4466142190701579</v>
      </c>
      <c r="L148" s="188">
        <v>6.5051435000000003E-3</v>
      </c>
      <c r="M148" s="208">
        <v>6505143</v>
      </c>
      <c r="N148" s="195">
        <v>6.5051429999999997E-3</v>
      </c>
      <c r="O148" s="211">
        <v>2.430136353526061E-2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>
        <v>3.75</v>
      </c>
      <c r="I149" s="124" t="str">
        <f t="shared" si="5"/>
        <v>(30, 35]</v>
      </c>
      <c r="J149" s="160">
        <v>1</v>
      </c>
      <c r="K149" s="205">
        <v>1.4449495189172561</v>
      </c>
      <c r="L149" s="188">
        <v>4.3540764999999999E-3</v>
      </c>
      <c r="M149" s="208">
        <v>4354076</v>
      </c>
      <c r="N149" s="195">
        <v>4.3540760000000001E-3</v>
      </c>
      <c r="O149" s="211">
        <v>1.7498387237895111E-2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>
        <v>4.375</v>
      </c>
      <c r="I150" s="214" t="str">
        <f t="shared" si="5"/>
        <v>(35, 40]</v>
      </c>
      <c r="J150" s="160">
        <v>1</v>
      </c>
      <c r="K150" s="205">
        <v>0.28885344311732841</v>
      </c>
      <c r="L150" s="188">
        <v>3.0522244999999998E-3</v>
      </c>
      <c r="M150" s="208">
        <v>3052224</v>
      </c>
      <c r="N150" s="195">
        <v>3.0522240000000001E-3</v>
      </c>
      <c r="O150" s="211">
        <v>1.4995950849536312E-2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>
        <v>5</v>
      </c>
      <c r="I151" s="124" t="str">
        <f t="shared" si="5"/>
        <v>(40, 45]</v>
      </c>
      <c r="J151" s="160">
        <v>1</v>
      </c>
      <c r="K151" s="205">
        <v>1.4382667359325181</v>
      </c>
      <c r="L151" s="188">
        <v>3.2420214999999996E-3</v>
      </c>
      <c r="M151" s="208">
        <v>3242021</v>
      </c>
      <c r="N151" s="195">
        <v>3.2420209999999999E-3</v>
      </c>
      <c r="O151" s="211">
        <v>1.8088288879072767E-2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>
        <v>5.625</v>
      </c>
      <c r="I152" s="124" t="str">
        <f t="shared" si="5"/>
        <v>(45, 50]</v>
      </c>
      <c r="J152" s="160">
        <v>1</v>
      </c>
      <c r="K152" s="205">
        <v>0.28891143792327356</v>
      </c>
      <c r="L152" s="188">
        <v>2.2107404999999998E-3</v>
      </c>
      <c r="M152" s="208">
        <v>2210740</v>
      </c>
      <c r="N152" s="195">
        <v>2.2107400000000001E-3</v>
      </c>
      <c r="O152" s="211">
        <v>1.3562718384874554E-2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>
        <v>6.25</v>
      </c>
      <c r="I153" s="214" t="str">
        <f t="shared" si="5"/>
        <v>(50, 60]</v>
      </c>
      <c r="J153" s="160">
        <v>1</v>
      </c>
      <c r="K153" s="205">
        <v>0.28862036512553824</v>
      </c>
      <c r="L153" s="188">
        <v>2.2954425000000001E-3</v>
      </c>
      <c r="M153" s="208">
        <v>2295442</v>
      </c>
      <c r="N153" s="195">
        <v>2.295442E-3</v>
      </c>
      <c r="O153" s="211">
        <v>1.6997904146368013E-2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>
        <v>7.5</v>
      </c>
      <c r="I154" s="124" t="str">
        <f t="shared" si="5"/>
        <v>(60, 70]</v>
      </c>
      <c r="J154" s="160">
        <v>1</v>
      </c>
      <c r="K154" s="205">
        <v>0.28804352061315747</v>
      </c>
      <c r="L154" s="188">
        <v>6.2836549999999993E-4</v>
      </c>
      <c r="M154" s="208">
        <v>628365</v>
      </c>
      <c r="N154" s="195">
        <v>6.2836499999999998E-4</v>
      </c>
      <c r="O154" s="211">
        <v>5.1683840733164066E-3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>
        <v>8.75</v>
      </c>
      <c r="I155" s="214" t="str">
        <f t="shared" si="5"/>
        <v>(70, 80]</v>
      </c>
      <c r="J155" s="160">
        <v>1</v>
      </c>
      <c r="K155" s="205">
        <v>0.28793309127841943</v>
      </c>
      <c r="L155" s="188">
        <v>2.9347445000000002E-3</v>
      </c>
      <c r="M155" s="208">
        <v>2934744</v>
      </c>
      <c r="N155" s="195">
        <v>2.934744E-3</v>
      </c>
      <c r="O155" s="211">
        <v>2.8550024987949025E-2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>
        <v>10</v>
      </c>
      <c r="I156" s="124" t="str">
        <f t="shared" si="5"/>
        <v>(80, 90]</v>
      </c>
      <c r="J156" s="160">
        <v>1</v>
      </c>
      <c r="K156" s="205">
        <v>5.7658820351185627</v>
      </c>
      <c r="L156" s="188">
        <v>1.37877865E-2</v>
      </c>
      <c r="M156" s="208">
        <v>13787786</v>
      </c>
      <c r="N156" s="195">
        <v>1.3787786E-2</v>
      </c>
      <c r="O156" s="211">
        <v>0.15141360777362081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>
        <v>11.25</v>
      </c>
      <c r="I157" s="124" t="str">
        <f t="shared" si="5"/>
        <v>(90, 100]</v>
      </c>
      <c r="J157" s="160">
        <v>1</v>
      </c>
      <c r="K157" s="205">
        <v>0.28767046245355743</v>
      </c>
      <c r="L157" s="188">
        <v>2.3810184999999997E-3</v>
      </c>
      <c r="M157" s="208">
        <v>2381018</v>
      </c>
      <c r="N157" s="195">
        <v>2.3810179999999999E-3</v>
      </c>
      <c r="O157" s="211">
        <v>2.949824482378717E-2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>
        <v>12.5</v>
      </c>
      <c r="I158" s="124" t="str">
        <f t="shared" si="5"/>
        <v>(100, 120]</v>
      </c>
      <c r="J158" s="160">
        <v>1</v>
      </c>
      <c r="K158" s="205">
        <v>0.2878016069213804</v>
      </c>
      <c r="L158" s="188">
        <v>1.9083595000000001E-3</v>
      </c>
      <c r="M158" s="208">
        <v>1908359</v>
      </c>
      <c r="N158" s="195">
        <v>1.9083590000000001E-3</v>
      </c>
      <c r="O158" s="211">
        <v>2.7862593590408442E-2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>
        <v>15</v>
      </c>
      <c r="I159" s="124" t="str">
        <f t="shared" si="5"/>
        <v>(120, 140]</v>
      </c>
      <c r="J159" s="160">
        <v>1</v>
      </c>
      <c r="K159" s="205">
        <v>0.28801308988168345</v>
      </c>
      <c r="L159" s="188">
        <v>6.8991750000000013E-4</v>
      </c>
      <c r="M159" s="208">
        <v>689917</v>
      </c>
      <c r="N159" s="195">
        <v>6.8991699999999996E-4</v>
      </c>
      <c r="O159" s="211">
        <v>1.1420784413679826E-2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>
        <v>17.5</v>
      </c>
      <c r="I160" s="124" t="str">
        <f t="shared" si="5"/>
        <v>(140, 160]</v>
      </c>
      <c r="J160" s="160">
        <v>1</v>
      </c>
      <c r="K160" s="205">
        <v>0.2881039627793337</v>
      </c>
      <c r="L160" s="188">
        <v>2.2489354999999998E-3</v>
      </c>
      <c r="M160" s="208">
        <v>2248935</v>
      </c>
      <c r="N160" s="195">
        <v>2.2489350000000001E-3</v>
      </c>
      <c r="O160" s="211">
        <v>4.3491372986204119E-2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>
        <v>20</v>
      </c>
      <c r="I161" s="124" t="str">
        <f t="shared" si="5"/>
        <v>(160, 180]</v>
      </c>
      <c r="J161" s="160">
        <v>1</v>
      </c>
      <c r="K161" s="205">
        <v>2.8770228551057233</v>
      </c>
      <c r="L161" s="188">
        <v>6.3109165000000004E-3</v>
      </c>
      <c r="M161" s="208">
        <v>6310916</v>
      </c>
      <c r="N161" s="195">
        <v>6.3109159999999997E-3</v>
      </c>
      <c r="O161" s="211">
        <v>0.13779910927417235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>
        <v>22.5</v>
      </c>
      <c r="I162" s="124" t="str">
        <f t="shared" si="5"/>
        <v>(180, 200]</v>
      </c>
      <c r="J162" s="160">
        <v>1</v>
      </c>
      <c r="K162" s="205">
        <v>0.28729483717433663</v>
      </c>
      <c r="L162" s="188">
        <v>2.2616315000000002E-3</v>
      </c>
      <c r="M162" s="208">
        <v>2261631</v>
      </c>
      <c r="N162" s="195">
        <v>2.2616310000000001E-3</v>
      </c>
      <c r="O162" s="211">
        <v>5.6211183791966317E-2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>
        <v>25</v>
      </c>
      <c r="I163" s="124" t="str">
        <f t="shared" si="5"/>
        <v>(200, 250]</v>
      </c>
      <c r="J163" s="160">
        <v>1</v>
      </c>
      <c r="K163" s="205">
        <v>0.98569212522395133</v>
      </c>
      <c r="L163" s="188">
        <v>6.2862535000000001E-3</v>
      </c>
      <c r="M163" s="208">
        <v>6286253</v>
      </c>
      <c r="N163" s="195">
        <v>6.2862530000000003E-3</v>
      </c>
      <c r="O163" s="211">
        <v>0.18364588797892623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11"/>
      <c r="C197" s="311"/>
      <c r="D197" s="311"/>
      <c r="E197" s="311"/>
      <c r="F197" s="312"/>
      <c r="G197" s="311"/>
      <c r="H197" s="311"/>
      <c r="I197" s="311"/>
      <c r="J197" s="229">
        <v>3000</v>
      </c>
      <c r="K197" s="311"/>
      <c r="L197" s="311"/>
      <c r="M197" s="311"/>
      <c r="N197" s="311"/>
      <c r="O197" s="231">
        <f>SUM(_xlfn.ANCHORARRAY(O199))</f>
        <v>0.88000000001022793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08" t="str">
        <v>Count</v>
      </c>
      <c r="D198" s="309" t="str">
        <v>Pay</v>
      </c>
      <c r="E198" s="309" t="str">
        <v>Multi.</v>
      </c>
      <c r="F198" s="309" t="str">
        <v>Prob.</v>
      </c>
      <c r="G198" s="310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{B396E34E-E9D7-4DF4-9399-42E80BA074CF}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{84A94C93-E2C2-4C92-AC0A-8DB7804BF13B}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{ACFAB8C5-8725-4C41-8225-718CFE264C1A}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B396E34E-E9D7-4DF4-9399-42E80BA07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84A94C93-E2C2-4C92-AC0A-8DB7804BF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CFAB8C5-8725-4C41-8225-718CFE264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abSelected="1"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4" t="s">
        <v>138</v>
      </c>
      <c r="B1" s="324"/>
      <c r="C1" s="324"/>
      <c r="D1" s="324"/>
      <c r="E1" s="324"/>
      <c r="F1" s="324"/>
      <c r="G1" s="1"/>
      <c r="H1" s="324" t="s">
        <v>139</v>
      </c>
      <c r="I1" s="324"/>
      <c r="J1" s="324"/>
      <c r="K1" s="324"/>
      <c r="L1" s="324"/>
      <c r="M1" s="324"/>
      <c r="N1" s="1"/>
      <c r="O1" s="324" t="s">
        <v>140</v>
      </c>
      <c r="P1" s="324"/>
      <c r="Q1" s="324"/>
      <c r="R1" s="324"/>
      <c r="S1" s="324"/>
      <c r="T1" s="324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5" t="s">
        <v>145</v>
      </c>
      <c r="B27" s="325"/>
      <c r="C27" s="325"/>
      <c r="D27" s="325"/>
      <c r="E27" s="325"/>
      <c r="F27" s="325"/>
      <c r="H27" s="325" t="s">
        <v>146</v>
      </c>
      <c r="I27" s="325"/>
      <c r="J27" s="325"/>
      <c r="K27" s="325"/>
      <c r="L27" s="325"/>
      <c r="M27" s="325"/>
      <c r="O27" s="325" t="s">
        <v>147</v>
      </c>
      <c r="P27" s="325"/>
      <c r="Q27" s="325"/>
      <c r="R27" s="325"/>
      <c r="S27" s="325"/>
      <c r="T27" s="325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2" t="s">
        <v>148</v>
      </c>
      <c r="B53" s="322"/>
      <c r="C53" s="322"/>
      <c r="D53" s="322"/>
      <c r="E53" s="322"/>
      <c r="F53" s="322"/>
      <c r="H53" s="322" t="s">
        <v>149</v>
      </c>
      <c r="I53" s="322"/>
      <c r="J53" s="322"/>
      <c r="K53" s="322"/>
      <c r="L53" s="322"/>
      <c r="M53" s="322"/>
      <c r="O53" s="322" t="s">
        <v>150</v>
      </c>
      <c r="P53" s="322"/>
      <c r="Q53" s="322"/>
      <c r="R53" s="322"/>
      <c r="S53" s="322"/>
      <c r="T53" s="322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3" t="s">
        <v>151</v>
      </c>
      <c r="B79" s="323"/>
      <c r="C79" s="323"/>
      <c r="D79" s="323"/>
      <c r="E79" s="323"/>
      <c r="F79" s="323"/>
      <c r="H79" s="323" t="s">
        <v>152</v>
      </c>
      <c r="I79" s="323"/>
      <c r="J79" s="323"/>
      <c r="K79" s="323"/>
      <c r="L79" s="323"/>
      <c r="M79" s="323"/>
      <c r="O79" s="323" t="s">
        <v>153</v>
      </c>
      <c r="P79" s="323"/>
      <c r="Q79" s="323"/>
      <c r="R79" s="323"/>
      <c r="S79" s="323"/>
      <c r="T79" s="323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4" t="s">
        <v>113</v>
      </c>
      <c r="B1" s="324"/>
      <c r="C1" s="324"/>
      <c r="D1" s="324"/>
      <c r="E1" s="324"/>
      <c r="F1" s="1"/>
      <c r="G1" s="325" t="s">
        <v>114</v>
      </c>
      <c r="H1" s="325"/>
      <c r="I1" s="325"/>
      <c r="J1" s="325"/>
      <c r="K1" s="325"/>
      <c r="L1" s="1"/>
      <c r="M1" s="322" t="s">
        <v>115</v>
      </c>
      <c r="N1" s="322"/>
      <c r="O1" s="322"/>
      <c r="P1" s="322"/>
      <c r="Q1" s="322"/>
      <c r="R1" s="60"/>
      <c r="S1" s="323" t="s">
        <v>129</v>
      </c>
      <c r="T1" s="323"/>
      <c r="U1" s="323"/>
      <c r="V1" s="323"/>
      <c r="W1" s="323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6">
        <f>PRODUCT('Regular Symbol'!C18:E18)</f>
        <v>5218521</v>
      </c>
      <c r="D11" s="326"/>
      <c r="E11" s="326"/>
      <c r="F11" s="326"/>
      <c r="G11" s="326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6">
        <f>PRODUCT('Regular Symbol'!C18:E18)</f>
        <v>5218521</v>
      </c>
      <c r="D23" s="326"/>
      <c r="E23" s="326"/>
      <c r="F23" s="326"/>
      <c r="G23" s="326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6">
        <f>PRODUCT('Regular Symbol'!C18:E18)</f>
        <v>5218521</v>
      </c>
      <c r="D35" s="326"/>
      <c r="E35" s="326"/>
      <c r="F35" s="326"/>
      <c r="G35" s="326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6">
        <f>PRODUCT('Regular Symbol'!C18:E18)</f>
        <v>5218521</v>
      </c>
      <c r="D47" s="326"/>
      <c r="E47" s="326"/>
      <c r="F47" s="326"/>
      <c r="G47" s="326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6">
        <f>PRODUCT('Regular Symbol'!C18:E18)</f>
        <v>5218521</v>
      </c>
      <c r="D59" s="326"/>
      <c r="E59" s="326"/>
      <c r="F59" s="326"/>
      <c r="G59" s="326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6">
        <f>PRODUCT('Regular Symbol'!C44:E44)</f>
        <v>5218521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6">
        <f>PRODUCT('Regular Symbol'!C44:E44)</f>
        <v>5218521</v>
      </c>
      <c r="D23" s="326"/>
      <c r="E23" s="326"/>
      <c r="F23" s="326"/>
      <c r="G23" s="326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Symbol'!C44:E44)</f>
        <v>5218521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Symbol'!C44:E44)</f>
        <v>5218521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Symbol'!C44:E44)</f>
        <v>5218521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6">
        <f>PRODUCT('Regular Symbol'!C70:E70)</f>
        <v>5218521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Symbol'!C70:E70)</f>
        <v>5218521</v>
      </c>
      <c r="D23" s="326"/>
      <c r="E23" s="326"/>
      <c r="F23" s="326"/>
      <c r="G23" s="326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Symbol'!C70:E70)</f>
        <v>5218521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Symbol'!C70:E70)</f>
        <v>5218521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Symbol'!C70:E70)</f>
        <v>5218521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6">
        <f>PRODUCT('Regular Symbol'!C96:E96)</f>
        <v>23976978049206</v>
      </c>
      <c r="D11" s="326"/>
      <c r="E11" s="326"/>
      <c r="F11" s="326"/>
      <c r="G11" s="326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6">
        <f>PRODUCT('Regular Symbol'!C96:E96)</f>
        <v>23976978049206</v>
      </c>
      <c r="D23" s="326"/>
      <c r="E23" s="326"/>
      <c r="F23" s="326"/>
      <c r="G23" s="326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6">
        <f>PRODUCT('Regular Symbol'!C96:E96)</f>
        <v>23976978049206</v>
      </c>
      <c r="D35" s="326"/>
      <c r="E35" s="326"/>
      <c r="F35" s="326"/>
      <c r="G35" s="326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6">
        <f>PRODUCT('Regular Symbol'!C96:E96)</f>
        <v>23976978049206</v>
      </c>
      <c r="D47" s="326"/>
      <c r="E47" s="326"/>
      <c r="F47" s="326"/>
      <c r="G47" s="326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6">
        <f>PRODUCT('Regular Symbol'!C96:E96)</f>
        <v>23976978049206</v>
      </c>
      <c r="D59" s="326"/>
      <c r="E59" s="326"/>
      <c r="F59" s="326"/>
      <c r="G59" s="326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2026-10-20T08:58:22Z</dcterms:modified>
</cp:coreProperties>
</file>